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4BB95DF7-D931-4AF9-A8C8-2F7065E77AA5}" xr6:coauthVersionLast="47" xr6:coauthVersionMax="47" xr10:uidLastSave="{00000000-0000-0000-0000-000000000000}"/>
  <bookViews>
    <workbookView xWindow="-120" yWindow="-120" windowWidth="29040" windowHeight="15720" activeTab="2" xr2:uid="{8FD38545-5735-4DA1-8F4E-47378DF2A53E}"/>
  </bookViews>
  <sheets>
    <sheet name="ES" sheetId="1" r:id="rId1"/>
    <sheet name="JHS" sheetId="2" r:id="rId2"/>
    <sheet name="SHS" sheetId="3" r:id="rId3"/>
  </sheets>
  <externalReferences>
    <externalReference r:id="rId4"/>
  </externalReferences>
  <definedNames>
    <definedName name="_xlnm._FilterDatabase" localSheetId="0" hidden="1">ES!$A$8:$AE$62</definedName>
    <definedName name="_xlnm._FilterDatabase" localSheetId="1" hidden="1">JHS!$A$8:$U$30</definedName>
    <definedName name="_xlnm._FilterDatabase" localSheetId="2" hidden="1">SHS!$A$7:$U$23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3" l="1"/>
  <c r="S23" i="3"/>
  <c r="R23" i="3"/>
  <c r="Q23" i="3"/>
  <c r="P23" i="3"/>
  <c r="O23" i="3"/>
  <c r="N23" i="3"/>
  <c r="M23" i="3"/>
  <c r="T22" i="3"/>
  <c r="S22" i="3"/>
  <c r="R22" i="3"/>
  <c r="Q22" i="3"/>
  <c r="P22" i="3"/>
  <c r="O22" i="3"/>
  <c r="N22" i="3"/>
  <c r="M22" i="3"/>
  <c r="T21" i="3"/>
  <c r="S21" i="3"/>
  <c r="R21" i="3"/>
  <c r="Q21" i="3"/>
  <c r="P21" i="3"/>
  <c r="O21" i="3"/>
  <c r="N21" i="3"/>
  <c r="M21" i="3"/>
  <c r="T20" i="3"/>
  <c r="S20" i="3"/>
  <c r="R20" i="3"/>
  <c r="Q20" i="3"/>
  <c r="P20" i="3"/>
  <c r="O20" i="3"/>
  <c r="N20" i="3"/>
  <c r="M20" i="3"/>
  <c r="T19" i="3"/>
  <c r="S19" i="3"/>
  <c r="R19" i="3"/>
  <c r="Q19" i="3"/>
  <c r="P19" i="3"/>
  <c r="O19" i="3"/>
  <c r="N19" i="3"/>
  <c r="M19" i="3"/>
  <c r="T18" i="3"/>
  <c r="S18" i="3"/>
  <c r="R18" i="3"/>
  <c r="Q18" i="3"/>
  <c r="P18" i="3"/>
  <c r="O18" i="3"/>
  <c r="N18" i="3"/>
  <c r="M18" i="3"/>
  <c r="T17" i="3"/>
  <c r="S17" i="3"/>
  <c r="R17" i="3"/>
  <c r="Q17" i="3"/>
  <c r="P17" i="3"/>
  <c r="O17" i="3"/>
  <c r="N17" i="3"/>
  <c r="M17" i="3"/>
  <c r="T16" i="3"/>
  <c r="S16" i="3"/>
  <c r="R16" i="3"/>
  <c r="Q16" i="3"/>
  <c r="P16" i="3"/>
  <c r="O16" i="3"/>
  <c r="N16" i="3"/>
  <c r="M16" i="3"/>
  <c r="T15" i="3"/>
  <c r="S15" i="3"/>
  <c r="R15" i="3"/>
  <c r="Q15" i="3"/>
  <c r="P15" i="3"/>
  <c r="O15" i="3"/>
  <c r="N15" i="3"/>
  <c r="M15" i="3"/>
  <c r="T14" i="3"/>
  <c r="S14" i="3"/>
  <c r="R14" i="3"/>
  <c r="Q14" i="3"/>
  <c r="P14" i="3"/>
  <c r="O14" i="3"/>
  <c r="N14" i="3"/>
  <c r="M14" i="3"/>
  <c r="T13" i="3"/>
  <c r="S13" i="3"/>
  <c r="R13" i="3"/>
  <c r="Q13" i="3"/>
  <c r="P13" i="3"/>
  <c r="O13" i="3"/>
  <c r="N13" i="3"/>
  <c r="M13" i="3"/>
  <c r="T12" i="3"/>
  <c r="S12" i="3"/>
  <c r="R12" i="3"/>
  <c r="Q12" i="3"/>
  <c r="P12" i="3"/>
  <c r="O12" i="3"/>
  <c r="N12" i="3"/>
  <c r="M12" i="3"/>
  <c r="T11" i="3"/>
  <c r="S11" i="3"/>
  <c r="R11" i="3"/>
  <c r="Q11" i="3"/>
  <c r="P11" i="3"/>
  <c r="O11" i="3"/>
  <c r="N11" i="3"/>
  <c r="M11" i="3"/>
  <c r="T10" i="3"/>
  <c r="S10" i="3"/>
  <c r="R10" i="3"/>
  <c r="Q10" i="3"/>
  <c r="P10" i="3"/>
  <c r="O10" i="3"/>
  <c r="N10" i="3"/>
  <c r="M10" i="3"/>
  <c r="T9" i="3"/>
  <c r="S9" i="3"/>
  <c r="R9" i="3"/>
  <c r="Q9" i="3"/>
  <c r="P9" i="3"/>
  <c r="O9" i="3"/>
  <c r="N9" i="3"/>
  <c r="M9" i="3"/>
  <c r="T8" i="3"/>
  <c r="S8" i="3"/>
  <c r="R8" i="3"/>
  <c r="Q8" i="3"/>
  <c r="Q6" i="3" s="1"/>
  <c r="P8" i="3"/>
  <c r="P6" i="3" s="1"/>
  <c r="O8" i="3"/>
  <c r="N8" i="3"/>
  <c r="M8" i="3"/>
  <c r="T7" i="2"/>
  <c r="S7" i="2"/>
  <c r="R7" i="2"/>
  <c r="Q7" i="2"/>
  <c r="P7" i="2"/>
  <c r="O7" i="2"/>
  <c r="N7" i="2"/>
  <c r="M7" i="2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O6" i="3" l="1"/>
  <c r="M6" i="3"/>
  <c r="N6" i="3"/>
  <c r="T6" i="3"/>
  <c r="R6" i="3"/>
  <c r="S6" i="3"/>
</calcChain>
</file>

<file path=xl/sharedStrings.xml><?xml version="1.0" encoding="utf-8"?>
<sst xmlns="http://schemas.openxmlformats.org/spreadsheetml/2006/main" count="1149" uniqueCount="252">
  <si>
    <t>School Level Data on Number of Locally Funded Teacher in Public Elementary</t>
  </si>
  <si>
    <t>SY 2019-2020</t>
  </si>
  <si>
    <t>Based on LIS, as of January 5, 2020</t>
  </si>
  <si>
    <t>LOCALLY-FUNDED TEACHERS WORKING IN THE SCHOOL BY FUNDING SOURCE</t>
  </si>
  <si>
    <t>Kindergarten</t>
  </si>
  <si>
    <t>Elementary (excluding handling ALIVE classes)</t>
  </si>
  <si>
    <t>DepEd Subsidized Contract of Service (COS) Teachers/Asatidz</t>
  </si>
  <si>
    <t>Qualified Teachers</t>
  </si>
  <si>
    <t>Trained Teachers</t>
  </si>
  <si>
    <t>Number of Asatidz</t>
  </si>
  <si>
    <t xml:space="preserve">Provincial </t>
  </si>
  <si>
    <t>Municipal/City</t>
  </si>
  <si>
    <t>Local Gov't Unit (LGU) funded</t>
  </si>
  <si>
    <t>Others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</si>
  <si>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</si>
  <si>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</si>
  <si>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</si>
  <si>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</si>
  <si>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</si>
  <si>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</si>
  <si>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</si>
  <si>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</si>
  <si>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</si>
  <si>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</si>
  <si>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</si>
  <si>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</si>
  <si>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</si>
  <si>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</si>
  <si>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personnel_kinder_sef_prov</t>
  </si>
  <si>
    <t>personnel_kinder_sef_mun_city</t>
  </si>
  <si>
    <t>personnel_kinder_lgu</t>
  </si>
  <si>
    <t>personnel_kinder_others</t>
  </si>
  <si>
    <t>personnel_elem_sef_prov</t>
  </si>
  <si>
    <t>personnel_elem_sef_mun_city</t>
  </si>
  <si>
    <t>personnel_elem_lgu</t>
  </si>
  <si>
    <t>personnel_elem_others</t>
  </si>
  <si>
    <t>personnel_kinder_qualified_m</t>
  </si>
  <si>
    <t>personnel_kinder_qualified_f</t>
  </si>
  <si>
    <t>personnel_kinder_trained_m</t>
  </si>
  <si>
    <t>personnel_kinder_trained_f</t>
  </si>
  <si>
    <t>personnel_elem_alive_qualified_m</t>
  </si>
  <si>
    <t>personnel_elem_alive_qualified_f</t>
  </si>
  <si>
    <t>personnel_elem_alive_trained_m</t>
  </si>
  <si>
    <t>personnel_elem_alive_trained_f</t>
  </si>
  <si>
    <t>personnel_deped_subsi_cont_serv_cos_m</t>
  </si>
  <si>
    <t>personnel_deped_subsi_cont_serv_cos_f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</si>
  <si>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</si>
  <si>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</si>
  <si>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</si>
  <si>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</si>
  <si>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</si>
  <si>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</si>
  <si>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</si>
  <si>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</si>
  <si>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</si>
  <si>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</si>
  <si>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</si>
  <si>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</si>
  <si>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</si>
  <si>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</si>
  <si>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</si>
  <si>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</si>
  <si>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</si>
  <si>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</si>
  <si>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</si>
  <si>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</si>
  <si>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</si>
  <si>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</si>
  <si>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</si>
  <si>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</si>
  <si>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</si>
  <si>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</si>
  <si>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</si>
  <si>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</si>
  <si>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</si>
  <si>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</si>
  <si>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</si>
  <si>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</si>
  <si>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</si>
  <si>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</si>
  <si>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</si>
  <si>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</si>
  <si>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</si>
  <si>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</si>
  <si>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</si>
  <si>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</si>
  <si>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</si>
  <si>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</si>
  <si>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</si>
  <si>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</si>
  <si>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</si>
  <si>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</si>
  <si>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</si>
  <si>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</si>
  <si>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</si>
  <si>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</si>
  <si>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</si>
  <si>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</si>
  <si>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</si>
  <si>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</si>
  <si>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</si>
  <si>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</si>
  <si>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</si>
  <si>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</si>
  <si>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</si>
  <si>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</si>
  <si>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</si>
  <si>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</si>
  <si>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</si>
  <si>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</si>
  <si>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</si>
  <si>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</si>
  <si>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</si>
  <si>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</si>
  <si>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</si>
  <si>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</si>
  <si>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</si>
  <si>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</si>
  <si>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</si>
  <si>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</si>
  <si>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</si>
  <si>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</si>
  <si>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</si>
  <si>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</si>
  <si>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</si>
  <si>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</si>
  <si>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</si>
  <si>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</si>
  <si>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</si>
  <si>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</si>
  <si>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</si>
  <si>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</si>
  <si>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</si>
  <si>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</si>
  <si>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</si>
  <si>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</si>
  <si>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</si>
  <si>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</si>
  <si>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</si>
  <si>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</si>
  <si>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</si>
  <si>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</si>
  <si>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</si>
  <si>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</si>
  <si>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</si>
  <si>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</si>
  <si>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</si>
  <si>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</si>
  <si>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</si>
  <si>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</si>
  <si>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</si>
  <si>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</si>
  <si>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</si>
  <si>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</si>
  <si>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</si>
  <si>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</si>
  <si>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</si>
  <si>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</si>
  <si>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</si>
  <si>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</si>
  <si>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</si>
  <si>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</si>
  <si>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</si>
  <si>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</si>
  <si>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</si>
  <si>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</si>
  <si>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</si>
  <si>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</si>
  <si>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</si>
  <si>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</si>
  <si>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</si>
  <si>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</si>
  <si>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</si>
  <si>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</si>
  <si>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</si>
  <si>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</si>
  <si>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</si>
  <si>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</si>
  <si>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</si>
  <si>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</si>
  <si>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</si>
  <si>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</si>
  <si>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</si>
  <si>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</si>
  <si>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</si>
  <si>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</si>
  <si>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</si>
  <si>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</si>
  <si>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</si>
  <si>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</si>
  <si>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</si>
  <si>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</si>
  <si>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</si>
  <si>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</si>
  <si>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Locally Funded Teachers in Public Junior High School</t>
  </si>
  <si>
    <t>Based on BEIS, generated as of April 14, 2020</t>
  </si>
  <si>
    <t>LOCALLY-FUNDED TEACHERS WORKING IN THE SCHOOL WHO ARE QUALIFIED AND TRAINED</t>
  </si>
  <si>
    <t>Special Education Fund  (SEF)</t>
  </si>
  <si>
    <t>Provincial</t>
  </si>
  <si>
    <t>numteach_sef_provincial</t>
  </si>
  <si>
    <t>numteach_sef_city</t>
  </si>
  <si>
    <t>numteach_lgu</t>
  </si>
  <si>
    <t>numteach_others</t>
  </si>
  <si>
    <t>locallyfunded_teachers_qualified_male</t>
  </si>
  <si>
    <t>locallyfunded_teachers_qualified_female</t>
  </si>
  <si>
    <t>locallyfunded_teachers_trained_male</t>
  </si>
  <si>
    <t>locallyfunded_teachers_trained_female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</si>
  <si>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</si>
  <si>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</si>
  <si>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</si>
  <si>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</si>
  <si>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</si>
  <si>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</si>
  <si>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</si>
  <si>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</si>
  <si>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</si>
  <si>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</si>
  <si>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</si>
  <si>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</si>
  <si>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</si>
  <si>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</si>
  <si>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</si>
  <si>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</si>
  <si>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</si>
  <si>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</si>
  <si>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</si>
  <si>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</si>
  <si>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</si>
  <si>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</si>
  <si>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</si>
  <si>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</si>
  <si>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</si>
  <si>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</si>
  <si>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</si>
  <si>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</si>
  <si>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</si>
  <si>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</si>
  <si>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</si>
  <si>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</si>
  <si>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</si>
  <si>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</si>
  <si>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Locally Funded Teachers in Senior High School</t>
  </si>
  <si>
    <t>Special Education Fund (SEF)</t>
  </si>
  <si>
    <t>Local Gov't Unit LGU Fund</t>
  </si>
  <si>
    <t>teach_local_fund_provincial</t>
  </si>
  <si>
    <t>teach_local_fund_city</t>
  </si>
  <si>
    <t>teach_local_fund_lgu</t>
  </si>
  <si>
    <t>teach_local_fund_others</t>
  </si>
  <si>
    <t>teach_qualified_m</t>
  </si>
  <si>
    <t>teach_qualified_f</t>
  </si>
  <si>
    <t>teach_trained_m</t>
  </si>
  <si>
    <t>teach_trained_f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</si>
</sst>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2019-2020%20BEIS\1_Public%20BEIS\__SY%2019-20%20PERSONNEL%20DATA-Locally%20Funded%20Teacher___FV\SHS\BEIS%20GSHSP%20SY%202019-2020%20%20Table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3">
          <cell r="C13">
            <v>300001</v>
          </cell>
          <cell r="D13" t="str">
            <v>Adams National High School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>
            <v>300002</v>
          </cell>
          <cell r="D14" t="str">
            <v>Bacarra NCHS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>
            <v>300003</v>
          </cell>
          <cell r="D15" t="str">
            <v>Bangui NHS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>
            <v>300004</v>
          </cell>
          <cell r="D16" t="str">
            <v>Banna National High School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>
            <v>300006</v>
          </cell>
          <cell r="D17" t="str">
            <v>Burgos Agro-Industrial School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>
            <v>300007</v>
          </cell>
          <cell r="D18" t="str">
            <v>Cadaratan National High School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>
            <v>300008</v>
          </cell>
          <cell r="D19" t="str">
            <v>Caestebanan NHS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>
            <v>300009</v>
          </cell>
          <cell r="D20" t="str">
            <v>Carasi NHS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3</v>
          </cell>
          <cell r="K20">
            <v>0</v>
          </cell>
          <cell r="L20">
            <v>0</v>
          </cell>
        </row>
        <row r="21">
          <cell r="C21">
            <v>300010</v>
          </cell>
          <cell r="D21" t="str">
            <v>Caribquib NHS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>
            <v>300011</v>
          </cell>
          <cell r="D22" t="str">
            <v>Catagtaguen National High School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>
            <v>300013</v>
          </cell>
          <cell r="D23" t="str">
            <v>Wilbur C. Go NHS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>
            <v>300014</v>
          </cell>
          <cell r="D24" t="str">
            <v>Davila National High School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>
            <v>300015</v>
          </cell>
          <cell r="D25" t="str">
            <v>Dingras NHS/Lt. Edgar Foz Mem. NHS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>
            <v>300016</v>
          </cell>
          <cell r="D26" t="str">
            <v>Piddig National High School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>
            <v>300017</v>
          </cell>
          <cell r="D27" t="str">
            <v>Dumalneg NHS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>
            <v>300018</v>
          </cell>
          <cell r="D28" t="str">
            <v>Ilocos Norte Agricultural College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8</v>
          </cell>
          <cell r="J28">
            <v>15</v>
          </cell>
          <cell r="K28">
            <v>8</v>
          </cell>
          <cell r="L28">
            <v>13</v>
          </cell>
        </row>
        <row r="29">
          <cell r="C29">
            <v>300019</v>
          </cell>
          <cell r="D29" t="str">
            <v>Luzong NHS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>
            <v>300020</v>
          </cell>
          <cell r="D30" t="str">
            <v>Marcos NHS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>
            <v>300021</v>
          </cell>
          <cell r="D31" t="str">
            <v>Nagrebcan NHS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>
            <v>300022</v>
          </cell>
          <cell r="D32" t="str">
            <v>NUEVA ERA NATIONAL HIGH SCHOOL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>
            <v>300023</v>
          </cell>
          <cell r="D33" t="str">
            <v>Pagsanahan NHS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>
            <v>300024</v>
          </cell>
          <cell r="D34" t="str">
            <v>PAGUDPUD NHS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>
            <v>300025</v>
          </cell>
          <cell r="D35" t="str">
            <v>Paoay Lake NHS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>
            <v>300026</v>
          </cell>
          <cell r="D36" t="str">
            <v>Pasaleng National High School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>
            <v>300027</v>
          </cell>
          <cell r="D37" t="str">
            <v>Pinili NHS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>
            <v>300028</v>
          </cell>
          <cell r="D38" t="str">
            <v>San Nicolas NHS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>
            <v>300029</v>
          </cell>
          <cell r="D39" t="str">
            <v>Sarrat National High School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>
            <v>300030</v>
          </cell>
          <cell r="D40" t="str">
            <v>Solsona National High School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C41">
            <v>300031</v>
          </cell>
          <cell r="D41" t="str">
            <v>VINTAR NHS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>
            <v>320801</v>
          </cell>
          <cell r="D42" t="str">
            <v>BANBAN NHS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>
            <v>320802</v>
          </cell>
          <cell r="D43" t="str">
            <v>LANAO NATIONAL HIGH SCHOOL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  <cell r="J43">
            <v>4</v>
          </cell>
          <cell r="K43">
            <v>1</v>
          </cell>
          <cell r="L43">
            <v>4</v>
          </cell>
        </row>
        <row r="44">
          <cell r="C44">
            <v>320805</v>
          </cell>
          <cell r="D44" t="str">
            <v>Currimao NHS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>
            <v>320806</v>
          </cell>
          <cell r="D45" t="str">
            <v>Dingras NHS/Lt. Edgar Foz Mem. NHS (Barong Campus)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3</v>
          </cell>
          <cell r="J45">
            <v>3</v>
          </cell>
          <cell r="K45">
            <v>0</v>
          </cell>
          <cell r="L45">
            <v>0</v>
          </cell>
        </row>
        <row r="46">
          <cell r="C46">
            <v>320807</v>
          </cell>
          <cell r="D46" t="str">
            <v>San Marcelino National High School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>
            <v>320808</v>
          </cell>
          <cell r="D47" t="str">
            <v>Dingras NHS/Lt. Edgar Foz Mem. NHS (San Marcos Campus)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320809</v>
          </cell>
          <cell r="D48" t="str">
            <v>Dingras NHS/Lt. Edgar Foz Mem. NHS- (Sulquiano Campus)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320810</v>
          </cell>
          <cell r="D49" t="str">
            <v>SUYO NATIONAL HIGH SCHOOL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>
            <v>320811</v>
          </cell>
          <cell r="D50" t="str">
            <v>Marcos NHS (Agunit Campus)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>
            <v>320812</v>
          </cell>
          <cell r="D51" t="str">
            <v>Marcos NHS (Santiago Campus)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1</v>
          </cell>
          <cell r="J51">
            <v>4</v>
          </cell>
          <cell r="K51">
            <v>1</v>
          </cell>
          <cell r="L51">
            <v>1</v>
          </cell>
        </row>
        <row r="52">
          <cell r="C52">
            <v>320814</v>
          </cell>
          <cell r="D52" t="str">
            <v>Paoay National High School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>
            <v>320815</v>
          </cell>
          <cell r="D53" t="str">
            <v>Bingao National High School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5</v>
          </cell>
          <cell r="J53">
            <v>7</v>
          </cell>
          <cell r="K53">
            <v>5</v>
          </cell>
          <cell r="L53">
            <v>7</v>
          </cell>
        </row>
        <row r="54">
          <cell r="C54">
            <v>320816</v>
          </cell>
          <cell r="D54" t="str">
            <v>STA. ROSA NATIONAL HIGH SCHOOL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>
            <v>320817</v>
          </cell>
          <cell r="D55" t="str">
            <v>Bagbag Solsona National High School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>
            <v>320818</v>
          </cell>
          <cell r="D56" t="str">
            <v>Talugtog Solsona National High School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>
            <v>320820</v>
          </cell>
          <cell r="D57" t="str">
            <v>Adriano P. Arzadon NHS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320821</v>
          </cell>
          <cell r="D58" t="str">
            <v>ISIC-ISIC NATIONAL HIGH SCHOOL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>
            <v>500000</v>
          </cell>
          <cell r="D59" t="str">
            <v>Caraitan Integrated School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>
            <v>500343</v>
          </cell>
          <cell r="D60" t="str">
            <v>Pallas Integrated School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>
            <v>500344</v>
          </cell>
          <cell r="D61" t="str">
            <v>Salpad Integrated School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>
            <v>500345</v>
          </cell>
          <cell r="D62" t="str">
            <v>Malaguip Integrated School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>
            <v>500591</v>
          </cell>
          <cell r="D63" t="str">
            <v>FLORENTINO CAMAQUIN INTEGRATED SCHOOL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>
            <v>500592</v>
          </cell>
          <cell r="D64" t="str">
            <v>Pandan IS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>
            <v>500593</v>
          </cell>
          <cell r="D65" t="str">
            <v>Sacritan IS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>
            <v>500594</v>
          </cell>
          <cell r="D66" t="str">
            <v>Uguis Integrated School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>
            <v>300032</v>
          </cell>
          <cell r="D67" t="str">
            <v>Ag-agrao NHS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>
            <v>300033</v>
          </cell>
          <cell r="D68" t="str">
            <v>Alilem NHS (Alilem Daya HS)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>
            <v>300034</v>
          </cell>
          <cell r="D69" t="str">
            <v>Amarao NHS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2</v>
          </cell>
          <cell r="K69">
            <v>1</v>
          </cell>
          <cell r="L69">
            <v>2</v>
          </cell>
        </row>
        <row r="70">
          <cell r="C70">
            <v>300035</v>
          </cell>
          <cell r="D70" t="str">
            <v>SAN JUAN NHS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8</v>
          </cell>
          <cell r="J70">
            <v>13</v>
          </cell>
          <cell r="K70">
            <v>8</v>
          </cell>
          <cell r="L70">
            <v>13</v>
          </cell>
        </row>
        <row r="71">
          <cell r="C71">
            <v>300036</v>
          </cell>
          <cell r="D71" t="str">
            <v>Sugpon NHS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3</v>
          </cell>
          <cell r="K71">
            <v>1</v>
          </cell>
          <cell r="L71">
            <v>3</v>
          </cell>
        </row>
        <row r="72">
          <cell r="C72">
            <v>300037</v>
          </cell>
          <cell r="D72" t="str">
            <v>Banayoyo NHS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>
            <v>300038</v>
          </cell>
          <cell r="D73" t="str">
            <v>Bantay National High School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>
            <v>300039</v>
          </cell>
          <cell r="D74" t="str">
            <v>Basug National High School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>
            <v>300040</v>
          </cell>
          <cell r="D75" t="str">
            <v>Belen NHS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>
            <v>300041</v>
          </cell>
          <cell r="D76" t="str">
            <v>Burgos National High School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>
            <v>300042</v>
          </cell>
          <cell r="D77" t="str">
            <v>Cabittaogan National High School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C78">
            <v>300043</v>
          </cell>
          <cell r="D78" t="str">
            <v>Cabugao NHS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C79">
            <v>300045</v>
          </cell>
          <cell r="D79" t="str">
            <v>Caoayan NHS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C80">
            <v>300046</v>
          </cell>
          <cell r="D80" t="str">
            <v>Cervantes NHS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>
            <v>300048</v>
          </cell>
          <cell r="D81" t="str">
            <v>G. DEL PILAR NHS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>
            <v>300049</v>
          </cell>
          <cell r="D82" t="str">
            <v>Dili NHS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>
            <v>300050</v>
          </cell>
          <cell r="D83" t="str">
            <v>Dinaratan National High School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>
            <v>300053</v>
          </cell>
          <cell r="D84" t="str">
            <v>Imelda National High School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>
            <v>300054</v>
          </cell>
          <cell r="D85" t="str">
            <v>Lidlidda National High School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>
            <v>300055</v>
          </cell>
          <cell r="D86" t="str">
            <v>Lipit NHS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>
            <v>300056</v>
          </cell>
          <cell r="D87" t="str">
            <v>Lussoc National High School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>
            <v>300057</v>
          </cell>
          <cell r="D88" t="str">
            <v>Magsingal NHS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>
            <v>300058</v>
          </cell>
          <cell r="D89" t="str">
            <v>Manzante NHS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>
            <v>300059</v>
          </cell>
          <cell r="D90" t="str">
            <v>Nagbukel NHS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>
            <v>300060</v>
          </cell>
          <cell r="D91" t="str">
            <v>Naglaoa-an NHS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>
            <v>300061</v>
          </cell>
          <cell r="D92" t="str">
            <v>Nagsuputan NHS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>
            <v>300062</v>
          </cell>
          <cell r="D93" t="str">
            <v>Nagtablaan NHS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1</v>
          </cell>
          <cell r="L93">
            <v>0</v>
          </cell>
        </row>
        <row r="94">
          <cell r="C94">
            <v>300063</v>
          </cell>
          <cell r="D94" t="str">
            <v>Narvacan Nat'l. Central HS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>
            <v>300064</v>
          </cell>
          <cell r="D95" t="str">
            <v>Pagangpang NHS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2</v>
          </cell>
          <cell r="J95">
            <v>3</v>
          </cell>
          <cell r="K95">
            <v>2</v>
          </cell>
          <cell r="L95">
            <v>3</v>
          </cell>
        </row>
        <row r="96">
          <cell r="C96">
            <v>300065</v>
          </cell>
          <cell r="D96" t="str">
            <v>Palali National High School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>
            <v>300066</v>
          </cell>
          <cell r="D97" t="str">
            <v>Pantay Tamurong National High School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>
            <v>300067</v>
          </cell>
          <cell r="D98" t="str">
            <v>Pug-os National High School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>
            <v>300068</v>
          </cell>
          <cell r="D99" t="str">
            <v>Puro NHS, Caoayan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>
            <v>300069</v>
          </cell>
          <cell r="D100" t="str">
            <v>Puro NHS, Magsingal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C101">
            <v>300070</v>
          </cell>
          <cell r="D101" t="str">
            <v>Quirino NHS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>
            <v>300071</v>
          </cell>
          <cell r="D102" t="str">
            <v>Rancho National High School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>
            <v>300072</v>
          </cell>
          <cell r="D103" t="str">
            <v>Teodoro Hernaez NHS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>
            <v>300073</v>
          </cell>
          <cell r="D104" t="str">
            <v>Salcedo NHS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>
            <v>300074</v>
          </cell>
          <cell r="D105" t="str">
            <v>San Emilio NHS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>
            <v>300075</v>
          </cell>
          <cell r="D106" t="str">
            <v>San Esteban NHS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2</v>
          </cell>
          <cell r="J106">
            <v>2</v>
          </cell>
          <cell r="K106">
            <v>1</v>
          </cell>
          <cell r="L106">
            <v>0</v>
          </cell>
        </row>
        <row r="107">
          <cell r="C107">
            <v>300076</v>
          </cell>
          <cell r="D107" t="str">
            <v>San Pedro NHS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>
            <v>300077</v>
          </cell>
          <cell r="D108" t="str">
            <v>Santa Maria National High School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>
            <v>300078</v>
          </cell>
          <cell r="D109" t="str">
            <v>Santiago NHS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>
            <v>300079</v>
          </cell>
          <cell r="D110" t="str">
            <v>Sigay NHS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>
            <v>300080</v>
          </cell>
          <cell r="D111" t="str">
            <v>Sinait NHS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>
            <v>300081</v>
          </cell>
          <cell r="D112" t="str">
            <v>Solotsolot NHS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>
            <v>300085</v>
          </cell>
          <cell r="D113" t="str">
            <v>Suyo NHS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C114">
            <v>300086</v>
          </cell>
          <cell r="D114" t="str">
            <v>Tagudin NHS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>
            <v>300087</v>
          </cell>
          <cell r="D115" t="str">
            <v>Tay-ac National High School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>
            <v>320904</v>
          </cell>
          <cell r="D116" t="str">
            <v>Baringcucurong National High School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>
            <v>320908</v>
          </cell>
          <cell r="D117" t="str">
            <v>SISIM NATIONAL HIGH SCHOOL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>
            <v>320909</v>
          </cell>
          <cell r="D118" t="str">
            <v>San Sebastian NHS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>
            <v>330511</v>
          </cell>
          <cell r="D119" t="str">
            <v>PHI SCIENCE HIGH SCHOOL - ILOCOS REGION CAMPUS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>
            <v>500001</v>
          </cell>
          <cell r="D120" t="str">
            <v>Sulvec IS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>
            <v>500346</v>
          </cell>
          <cell r="D121" t="str">
            <v>Mabilbila IS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>
            <v>500347</v>
          </cell>
          <cell r="D122" t="str">
            <v>Pudoc West Integrated School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1</v>
          </cell>
          <cell r="J122">
            <v>2</v>
          </cell>
          <cell r="K122">
            <v>1</v>
          </cell>
          <cell r="L122">
            <v>2</v>
          </cell>
        </row>
        <row r="123">
          <cell r="C123">
            <v>500348</v>
          </cell>
          <cell r="D123" t="str">
            <v>San Vicente IS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>
            <v>500349</v>
          </cell>
          <cell r="D124" t="str">
            <v>Ambalayat IS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>
            <v>500595</v>
          </cell>
          <cell r="D125" t="str">
            <v>BINACUD INTEGRATED SCHOOL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2</v>
          </cell>
          <cell r="J125">
            <v>2</v>
          </cell>
          <cell r="K125">
            <v>0</v>
          </cell>
          <cell r="L125">
            <v>2</v>
          </cell>
        </row>
        <row r="126">
          <cell r="C126">
            <v>500596</v>
          </cell>
          <cell r="D126" t="str">
            <v>Lungog Integrated School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>
            <v>500597</v>
          </cell>
          <cell r="D127" t="str">
            <v>Garitan Integrated  School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>
            <v>500598</v>
          </cell>
          <cell r="D128" t="str">
            <v>KALUMSING INTEGRATED SCHOOL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>
            <v>500599</v>
          </cell>
          <cell r="D129" t="str">
            <v>Libtong Integrated Sch.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>
            <v>300090</v>
          </cell>
          <cell r="D130" t="str">
            <v>Eulogio Clarence De Guzman Junior Memorial National Vocational High School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>
            <v>300091</v>
          </cell>
          <cell r="D131" t="str">
            <v>Amlang-Nagtagaan National High School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>
            <v>300092</v>
          </cell>
          <cell r="D132" t="str">
            <v>Anduyan NHS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>
            <v>300093</v>
          </cell>
          <cell r="D133" t="str">
            <v>Aringay NHS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5</v>
          </cell>
          <cell r="J133">
            <v>10</v>
          </cell>
          <cell r="K133">
            <v>5</v>
          </cell>
          <cell r="L133">
            <v>10</v>
          </cell>
        </row>
        <row r="134">
          <cell r="C134">
            <v>300094</v>
          </cell>
          <cell r="D134" t="str">
            <v>Baccuit NHS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C135">
            <v>300095</v>
          </cell>
          <cell r="D135" t="str">
            <v>Bacnotan NHS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>
            <v>300096</v>
          </cell>
          <cell r="D136" t="str">
            <v>Bail NHS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>
            <v>300097</v>
          </cell>
          <cell r="D137" t="str">
            <v>Balbalayang National High School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>
            <v>300100</v>
          </cell>
          <cell r="D138" t="str">
            <v>BAWANTA NATONAL HIGH SCHOOL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1</v>
          </cell>
          <cell r="J138">
            <v>1</v>
          </cell>
          <cell r="K138">
            <v>0</v>
          </cell>
          <cell r="L138">
            <v>0</v>
          </cell>
        </row>
        <row r="139">
          <cell r="C139">
            <v>300101</v>
          </cell>
          <cell r="D139" t="str">
            <v>Bungol National High School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>
            <v>300102</v>
          </cell>
          <cell r="D140" t="str">
            <v>Burgos National High School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3</v>
          </cell>
          <cell r="J140">
            <v>3</v>
          </cell>
          <cell r="K140">
            <v>0</v>
          </cell>
          <cell r="L140">
            <v>0</v>
          </cell>
        </row>
        <row r="141">
          <cell r="C141">
            <v>300103</v>
          </cell>
          <cell r="D141" t="str">
            <v>Butubut National High School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3</v>
          </cell>
          <cell r="K141">
            <v>0</v>
          </cell>
          <cell r="L141">
            <v>3</v>
          </cell>
        </row>
        <row r="142">
          <cell r="C142">
            <v>300104</v>
          </cell>
          <cell r="D142" t="str">
            <v>Caba NHS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>
            <v>300105</v>
          </cell>
          <cell r="D143" t="str">
            <v>Cambaly National High School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>
            <v>300106</v>
          </cell>
          <cell r="D144" t="str">
            <v>Castor Concepcion MNHS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>
            <v>300107</v>
          </cell>
          <cell r="D145" t="str">
            <v>Corrooy NHS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C146">
            <v>300108</v>
          </cell>
          <cell r="D146" t="str">
            <v>Cuenca National High School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2</v>
          </cell>
          <cell r="J146">
            <v>1</v>
          </cell>
          <cell r="K146">
            <v>0</v>
          </cell>
          <cell r="L146">
            <v>0</v>
          </cell>
        </row>
        <row r="147">
          <cell r="C147">
            <v>300109</v>
          </cell>
          <cell r="D147" t="str">
            <v>Damortis NHS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</row>
        <row r="148">
          <cell r="C148">
            <v>300110</v>
          </cell>
          <cell r="D148" t="str">
            <v>Alipang NHS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1</v>
          </cell>
          <cell r="J148">
            <v>3</v>
          </cell>
          <cell r="K148">
            <v>1</v>
          </cell>
          <cell r="L148">
            <v>3</v>
          </cell>
        </row>
        <row r="149">
          <cell r="C149">
            <v>300111</v>
          </cell>
          <cell r="D149" t="str">
            <v>Paraoir NHS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3</v>
          </cell>
          <cell r="J149">
            <v>2</v>
          </cell>
          <cell r="K149">
            <v>0</v>
          </cell>
          <cell r="L149">
            <v>0</v>
          </cell>
        </row>
        <row r="150">
          <cell r="C150">
            <v>300112</v>
          </cell>
          <cell r="D150" t="str">
            <v>Don Eulogio De Guzman MNHS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1</v>
          </cell>
          <cell r="J150">
            <v>2</v>
          </cell>
          <cell r="K150">
            <v>0</v>
          </cell>
          <cell r="L150">
            <v>0</v>
          </cell>
        </row>
        <row r="151">
          <cell r="C151">
            <v>300113</v>
          </cell>
          <cell r="D151" t="str">
            <v>Don Rufino Olarte MNHS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C152">
            <v>300114</v>
          </cell>
          <cell r="D152" t="str">
            <v>DOÑA FRANCISCA LACSAMANA DE ORTEGA MEMORIAL NATIONAL HIGH SCHOOL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7</v>
          </cell>
          <cell r="J152">
            <v>9</v>
          </cell>
          <cell r="K152">
            <v>7</v>
          </cell>
          <cell r="L152">
            <v>9</v>
          </cell>
        </row>
        <row r="153">
          <cell r="C153">
            <v>300115</v>
          </cell>
          <cell r="D153" t="str">
            <v>CASACRISTO NATIONAL HIGH SCHOOL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C154">
            <v>300117</v>
          </cell>
          <cell r="D154" t="str">
            <v>Duplas NHS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C155">
            <v>300119</v>
          </cell>
          <cell r="D155" t="str">
            <v>Leones National High School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C156">
            <v>300120</v>
          </cell>
          <cell r="D156" t="str">
            <v>Luna National High School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6</v>
          </cell>
          <cell r="J156">
            <v>10</v>
          </cell>
          <cell r="K156">
            <v>2</v>
          </cell>
          <cell r="L156">
            <v>1</v>
          </cell>
        </row>
        <row r="157">
          <cell r="C157">
            <v>300121</v>
          </cell>
          <cell r="D157" t="str">
            <v>Maoasoas NHS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3</v>
          </cell>
          <cell r="K157">
            <v>0</v>
          </cell>
          <cell r="L157">
            <v>3</v>
          </cell>
        </row>
        <row r="158">
          <cell r="C158">
            <v>300122</v>
          </cell>
          <cell r="D158" t="str">
            <v>Naguilian National HS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C159">
            <v>300123</v>
          </cell>
          <cell r="D159" t="str">
            <v>Northern Naguilian National High School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C160">
            <v>300124</v>
          </cell>
          <cell r="D160" t="str">
            <v>Oanari NHS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3</v>
          </cell>
          <cell r="J160">
            <v>2</v>
          </cell>
          <cell r="K160">
            <v>3</v>
          </cell>
          <cell r="L160">
            <v>2</v>
          </cell>
        </row>
        <row r="161">
          <cell r="C161">
            <v>300125</v>
          </cell>
          <cell r="D161" t="str">
            <v>Old Sudipen NHS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2</v>
          </cell>
          <cell r="J161">
            <v>1</v>
          </cell>
          <cell r="K161">
            <v>2</v>
          </cell>
          <cell r="L161">
            <v>1</v>
          </cell>
        </row>
        <row r="162">
          <cell r="C162">
            <v>300127</v>
          </cell>
          <cell r="D162" t="str">
            <v>Parasapas NHS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C163">
            <v>300128</v>
          </cell>
          <cell r="D163" t="str">
            <v>Paringao National High School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C164">
            <v>300129</v>
          </cell>
          <cell r="D164" t="str">
            <v>Pres. Elpidio. Quirino NHS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7</v>
          </cell>
          <cell r="J164">
            <v>9</v>
          </cell>
          <cell r="K164">
            <v>4</v>
          </cell>
          <cell r="L164">
            <v>2</v>
          </cell>
        </row>
        <row r="165">
          <cell r="C165">
            <v>300130</v>
          </cell>
          <cell r="D165" t="str">
            <v>Don Eufemio F. Eriguel MNHS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C166">
            <v>300131</v>
          </cell>
          <cell r="D166" t="str">
            <v>Pugo Central NHS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2</v>
          </cell>
          <cell r="J166">
            <v>8</v>
          </cell>
          <cell r="K166">
            <v>2</v>
          </cell>
          <cell r="L166">
            <v>8</v>
          </cell>
        </row>
        <row r="167">
          <cell r="C167">
            <v>300132</v>
          </cell>
          <cell r="D167" t="str">
            <v>Regional Science HS, La Union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C168">
            <v>300134</v>
          </cell>
          <cell r="D168" t="str">
            <v>San Francisco NHS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C169">
            <v>300135</v>
          </cell>
          <cell r="D169" t="str">
            <v>San Gabriel Vocational High School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C170">
            <v>300136</v>
          </cell>
          <cell r="D170" t="str">
            <v>San Gregorio National High School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5</v>
          </cell>
          <cell r="K170">
            <v>0</v>
          </cell>
          <cell r="L170">
            <v>0</v>
          </cell>
        </row>
        <row r="171">
          <cell r="C171">
            <v>300137</v>
          </cell>
          <cell r="D171" t="str">
            <v>San Jose National High School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1</v>
          </cell>
          <cell r="J171">
            <v>3</v>
          </cell>
          <cell r="K171">
            <v>1</v>
          </cell>
          <cell r="L171">
            <v>3</v>
          </cell>
        </row>
        <row r="172">
          <cell r="C172">
            <v>300138</v>
          </cell>
          <cell r="D172" t="str">
            <v>San Luis NHS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C173">
            <v>300139</v>
          </cell>
          <cell r="D173" t="str">
            <v>Dr. Manuel T. Cases Sr. National High School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C174">
            <v>300140</v>
          </cell>
          <cell r="D174" t="str">
            <v>Santol Voc'l. HS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C175">
            <v>300141</v>
          </cell>
          <cell r="D175" t="str">
            <v>Santol Voc'l. HS - Liguay Annex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C176">
            <v>300143</v>
          </cell>
          <cell r="D176" t="str">
            <v>SINAPANGAN NATIONAL HIGH SCHOOL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C177">
            <v>300144</v>
          </cell>
          <cell r="D177" t="str">
            <v>Magungunay NHS - Southern Naguilian NHS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C178">
            <v>300145</v>
          </cell>
          <cell r="D178" t="str">
            <v>Sta. Teresa National High School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C179">
            <v>300146</v>
          </cell>
          <cell r="D179" t="str">
            <v>Sto. Rosario National High School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5</v>
          </cell>
          <cell r="J179">
            <v>6</v>
          </cell>
          <cell r="K179">
            <v>5</v>
          </cell>
          <cell r="L179">
            <v>6</v>
          </cell>
        </row>
        <row r="180">
          <cell r="C180">
            <v>300148</v>
          </cell>
          <cell r="D180" t="str">
            <v>Sudipen Voc'l Sch.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C181">
            <v>300149</v>
          </cell>
          <cell r="D181" t="str">
            <v>Suyo National High School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C182">
            <v>300150</v>
          </cell>
          <cell r="D182" t="str">
            <v>Tagudtud NHS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2</v>
          </cell>
          <cell r="J182">
            <v>3</v>
          </cell>
          <cell r="K182">
            <v>0</v>
          </cell>
          <cell r="L182">
            <v>0</v>
          </cell>
        </row>
        <row r="183">
          <cell r="C183">
            <v>300151</v>
          </cell>
          <cell r="D183" t="str">
            <v>Tanglag National High School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C184">
            <v>300152</v>
          </cell>
          <cell r="D184" t="str">
            <v>Tubao National High School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6</v>
          </cell>
          <cell r="J184">
            <v>8</v>
          </cell>
          <cell r="K184">
            <v>6</v>
          </cell>
          <cell r="L184">
            <v>8</v>
          </cell>
        </row>
        <row r="185">
          <cell r="C185">
            <v>300153</v>
          </cell>
          <cell r="D185" t="str">
            <v>Wenceslao National HS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4</v>
          </cell>
          <cell r="K185">
            <v>1</v>
          </cell>
          <cell r="L185">
            <v>4</v>
          </cell>
        </row>
        <row r="186">
          <cell r="C186">
            <v>321002</v>
          </cell>
          <cell r="D186" t="str">
            <v>Canbarbusuy National High School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C187">
            <v>321003</v>
          </cell>
          <cell r="D187" t="str">
            <v>Rimos National High School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C188">
            <v>321004</v>
          </cell>
          <cell r="D188" t="str">
            <v>Aringay National High School-Basca Annex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C189">
            <v>321007</v>
          </cell>
          <cell r="D189" t="str">
            <v>Manga National High School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C190">
            <v>321009</v>
          </cell>
          <cell r="D190" t="str">
            <v>Upper Tumapoc National High School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C191">
            <v>321010</v>
          </cell>
          <cell r="D191" t="str">
            <v>Sto. Tomas NHS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C192">
            <v>321018</v>
          </cell>
          <cell r="D192" t="str">
            <v>LUNA NATIONAL VOCATIONAL HIGH SCHOOL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4</v>
          </cell>
          <cell r="J192">
            <v>4</v>
          </cell>
          <cell r="K192">
            <v>0</v>
          </cell>
          <cell r="L192">
            <v>1</v>
          </cell>
        </row>
        <row r="193">
          <cell r="C193">
            <v>340822</v>
          </cell>
          <cell r="D193" t="str">
            <v>Aringay Stand-Alone Senior High School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C194">
            <v>340823</v>
          </cell>
          <cell r="D194" t="str">
            <v>Naguilian Senior High School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C195">
            <v>340824</v>
          </cell>
          <cell r="D195" t="str">
            <v>SHS  within San Juan Central Elementary School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C196">
            <v>340825</v>
          </cell>
          <cell r="D196" t="str">
            <v>SHS within San Gabriel CS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C197">
            <v>500002</v>
          </cell>
          <cell r="D197" t="str">
            <v>Rosario Integrated School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11</v>
          </cell>
          <cell r="J197">
            <v>21</v>
          </cell>
          <cell r="K197">
            <v>11</v>
          </cell>
          <cell r="L197">
            <v>21</v>
          </cell>
        </row>
        <row r="198">
          <cell r="C198">
            <v>500350</v>
          </cell>
          <cell r="D198" t="str">
            <v>Baay Integrated School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C199">
            <v>500351</v>
          </cell>
          <cell r="D199" t="str">
            <v>Bitalag Integrated School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C200">
            <v>500352</v>
          </cell>
          <cell r="D200" t="str">
            <v>Dagup Integrated School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C201">
            <v>500353</v>
          </cell>
          <cell r="D201" t="str">
            <v>Mindoro Integrated School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C202">
            <v>500354</v>
          </cell>
          <cell r="D202" t="str">
            <v>Bungro-Sucoc Integrated School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C203">
            <v>500357</v>
          </cell>
          <cell r="D203" t="str">
            <v>Liquicia Integrated School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C204">
            <v>500358</v>
          </cell>
          <cell r="D204" t="str">
            <v>Casilagan Integrated School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C205">
            <v>500359</v>
          </cell>
          <cell r="D205" t="str">
            <v>Capas Integrated School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C206">
            <v>500360</v>
          </cell>
          <cell r="D206" t="str">
            <v>Daramuangan Integrated School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C207">
            <v>500361</v>
          </cell>
          <cell r="D207" t="str">
            <v>Cabaruan Integrated School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C208">
            <v>500362</v>
          </cell>
          <cell r="D208" t="str">
            <v>Santiago Sur Integrated School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C209">
            <v>500600</v>
          </cell>
          <cell r="D209" t="str">
            <v>Libtong Integrated School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2</v>
          </cell>
          <cell r="J209">
            <v>1</v>
          </cell>
          <cell r="K209">
            <v>1</v>
          </cell>
          <cell r="L209">
            <v>0</v>
          </cell>
        </row>
        <row r="210">
          <cell r="C210">
            <v>500601</v>
          </cell>
          <cell r="D210" t="str">
            <v>Saytan Integrated School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C211">
            <v>300154</v>
          </cell>
          <cell r="D211" t="str">
            <v>Agno NHS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6</v>
          </cell>
          <cell r="J211">
            <v>8</v>
          </cell>
          <cell r="K211">
            <v>4</v>
          </cell>
          <cell r="L211">
            <v>6</v>
          </cell>
        </row>
        <row r="212">
          <cell r="C212">
            <v>300156</v>
          </cell>
          <cell r="D212" t="str">
            <v>Aliaga National High School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C213">
            <v>300158</v>
          </cell>
          <cell r="D213" t="str">
            <v>Anda National High School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C214">
            <v>300159</v>
          </cell>
          <cell r="D214" t="str">
            <v>Arnedo NHS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C215">
            <v>300161</v>
          </cell>
          <cell r="D215" t="str">
            <v>Balingasay NHS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  <row r="216">
          <cell r="C216">
            <v>300162</v>
          </cell>
          <cell r="D216" t="str">
            <v>Baloling NHS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</row>
        <row r="217">
          <cell r="C217">
            <v>300164</v>
          </cell>
          <cell r="D217" t="str">
            <v>Bangan-Oda NHS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</row>
        <row r="218">
          <cell r="C218">
            <v>300165</v>
          </cell>
          <cell r="D218" t="str">
            <v>Bani NHS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2</v>
          </cell>
          <cell r="J218">
            <v>3</v>
          </cell>
          <cell r="K218">
            <v>2</v>
          </cell>
          <cell r="L218">
            <v>1</v>
          </cell>
        </row>
        <row r="219">
          <cell r="C219">
            <v>300166</v>
          </cell>
          <cell r="D219" t="str">
            <v>Banog Sur NHS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</row>
        <row r="220">
          <cell r="C220">
            <v>300167</v>
          </cell>
          <cell r="D220" t="str">
            <v>Basista NHS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10</v>
          </cell>
          <cell r="J220">
            <v>17</v>
          </cell>
          <cell r="K220">
            <v>10</v>
          </cell>
          <cell r="L220">
            <v>18</v>
          </cell>
        </row>
        <row r="221">
          <cell r="C221">
            <v>300168</v>
          </cell>
          <cell r="D221" t="str">
            <v>Bayambang NHS (Bayambang)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C222">
            <v>300169</v>
          </cell>
          <cell r="D222" t="str">
            <v>Bayambang NHS (Infanta)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</row>
        <row r="223">
          <cell r="C223">
            <v>300170</v>
          </cell>
          <cell r="D223" t="str">
            <v>BAYOYONG NHS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</row>
        <row r="224">
          <cell r="C224">
            <v>300171</v>
          </cell>
          <cell r="D224" t="str">
            <v>Beleng NHS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</row>
        <row r="225">
          <cell r="C225">
            <v>300172</v>
          </cell>
          <cell r="D225" t="str">
            <v>Binabalian NHS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6</v>
          </cell>
          <cell r="J225">
            <v>2</v>
          </cell>
          <cell r="K225">
            <v>0</v>
          </cell>
          <cell r="L225">
            <v>0</v>
          </cell>
        </row>
        <row r="226">
          <cell r="C226">
            <v>300173</v>
          </cell>
          <cell r="D226" t="str">
            <v>Bocboc East NHS</v>
          </cell>
          <cell r="E226">
            <v>0</v>
          </cell>
          <cell r="F226">
            <v>0</v>
          </cell>
          <cell r="G226">
            <v>1</v>
          </cell>
          <cell r="H226">
            <v>0</v>
          </cell>
          <cell r="I226">
            <v>1</v>
          </cell>
          <cell r="J226">
            <v>0</v>
          </cell>
          <cell r="K226">
            <v>1</v>
          </cell>
          <cell r="L226">
            <v>0</v>
          </cell>
        </row>
        <row r="227">
          <cell r="C227">
            <v>300174</v>
          </cell>
          <cell r="D227" t="str">
            <v>Bogtong NHS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2</v>
          </cell>
          <cell r="J227">
            <v>4</v>
          </cell>
          <cell r="K227">
            <v>2</v>
          </cell>
          <cell r="L227">
            <v>4</v>
          </cell>
        </row>
        <row r="228">
          <cell r="C228">
            <v>300175</v>
          </cell>
          <cell r="D228" t="str">
            <v>Bolinao SOF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C229">
            <v>300176</v>
          </cell>
          <cell r="D229" t="str">
            <v>Botao NHS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C230">
            <v>300177</v>
          </cell>
          <cell r="D230" t="str">
            <v>Bued National High School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1</v>
          </cell>
          <cell r="J230">
            <v>7</v>
          </cell>
          <cell r="K230">
            <v>1</v>
          </cell>
          <cell r="L230">
            <v>0</v>
          </cell>
        </row>
        <row r="231">
          <cell r="C231">
            <v>300178</v>
          </cell>
          <cell r="D231" t="str">
            <v>Buenlag NHS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3</v>
          </cell>
          <cell r="J231">
            <v>2</v>
          </cell>
          <cell r="K231">
            <v>0</v>
          </cell>
          <cell r="L231">
            <v>0</v>
          </cell>
        </row>
        <row r="232">
          <cell r="C232">
            <v>300179</v>
          </cell>
          <cell r="D232" t="str">
            <v>Burgos NHS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C233">
            <v>300180</v>
          </cell>
          <cell r="D233" t="str">
            <v>Cabanaetan NHS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3</v>
          </cell>
          <cell r="J233">
            <v>1</v>
          </cell>
          <cell r="K233">
            <v>0</v>
          </cell>
          <cell r="L233">
            <v>0</v>
          </cell>
        </row>
        <row r="234">
          <cell r="C234">
            <v>300181</v>
          </cell>
          <cell r="D234" t="str">
            <v>Cabayaoasan NHS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2</v>
          </cell>
          <cell r="J234">
            <v>5</v>
          </cell>
          <cell r="K234">
            <v>1</v>
          </cell>
          <cell r="L234">
            <v>1</v>
          </cell>
        </row>
        <row r="235">
          <cell r="C235">
            <v>300182</v>
          </cell>
          <cell r="D235" t="str">
            <v>Cabungan National High School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C236">
            <v>300183</v>
          </cell>
          <cell r="D236" t="str">
            <v>Calasiao Comprehensive NHS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C237">
            <v>300184</v>
          </cell>
          <cell r="D237" t="str">
            <v>Calbeg NHS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4</v>
          </cell>
          <cell r="J237">
            <v>1</v>
          </cell>
          <cell r="K237">
            <v>1</v>
          </cell>
          <cell r="L237">
            <v>0</v>
          </cell>
        </row>
        <row r="238">
          <cell r="C238">
            <v>300185</v>
          </cell>
          <cell r="D238" t="str">
            <v>Camaley NHS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C239">
            <v>300186</v>
          </cell>
          <cell r="D239" t="str">
            <v>Canan NHS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C240">
            <v>300187</v>
          </cell>
          <cell r="D240" t="str">
            <v>Carot National High School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C241">
            <v>300188</v>
          </cell>
          <cell r="D241" t="str">
            <v>Moises B. Rebamontan NHS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3</v>
          </cell>
          <cell r="J241">
            <v>6</v>
          </cell>
          <cell r="K241">
            <v>3</v>
          </cell>
          <cell r="L241">
            <v>6</v>
          </cell>
        </row>
        <row r="242">
          <cell r="C242">
            <v>300189</v>
          </cell>
          <cell r="D242" t="str">
            <v>Cato NHS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C243">
            <v>300192</v>
          </cell>
          <cell r="D243" t="str">
            <v>Dacap Norte National High School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C244">
            <v>300193</v>
          </cell>
          <cell r="D244" t="str">
            <v>Daniel Maramba NHS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C245">
            <v>300194</v>
          </cell>
          <cell r="D245" t="str">
            <v>Dewey National High School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C246">
            <v>300195</v>
          </cell>
          <cell r="D246" t="str">
            <v>Domingo P. Boquiren NHS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C247">
            <v>300196</v>
          </cell>
          <cell r="D247" t="str">
            <v>Don Gaudencio B. Dumlao National High School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1</v>
          </cell>
          <cell r="J247">
            <v>1</v>
          </cell>
          <cell r="K247">
            <v>1</v>
          </cell>
          <cell r="L247">
            <v>1</v>
          </cell>
        </row>
        <row r="248">
          <cell r="C248">
            <v>300197</v>
          </cell>
          <cell r="D248" t="str">
            <v>Don Pedro National High School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C249">
            <v>300198</v>
          </cell>
          <cell r="D249" t="str">
            <v>Doyong-Malabago NHS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C250">
            <v>300200</v>
          </cell>
          <cell r="D250" t="str">
            <v>Dumpay National High School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C251">
            <v>300201</v>
          </cell>
          <cell r="D251" t="str">
            <v>Eguia National High School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C252">
            <v>300202</v>
          </cell>
          <cell r="D252" t="str">
            <v>Enrico T. Prado NHS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C253">
            <v>300203</v>
          </cell>
          <cell r="D253" t="str">
            <v>Estanza NHS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C254">
            <v>300204</v>
          </cell>
          <cell r="D254" t="str">
            <v>Galarin National High School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2</v>
          </cell>
          <cell r="J254">
            <v>5</v>
          </cell>
          <cell r="K254">
            <v>2</v>
          </cell>
          <cell r="L254">
            <v>5</v>
          </cell>
        </row>
        <row r="255">
          <cell r="C255">
            <v>300205</v>
          </cell>
          <cell r="D255" t="str">
            <v>Garrita NHS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C256">
            <v>300206</v>
          </cell>
          <cell r="D256" t="str">
            <v>Hermosa NHS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C257">
            <v>300207</v>
          </cell>
          <cell r="D257" t="str">
            <v>ILOG-MALINO NATIONAL HIGH SCHOOL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C258">
            <v>300209</v>
          </cell>
          <cell r="D258" t="str">
            <v>Labrador NHS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C259">
            <v>300210</v>
          </cell>
          <cell r="D259" t="str">
            <v>Lareglareg NHS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2</v>
          </cell>
          <cell r="K259">
            <v>0</v>
          </cell>
          <cell r="L259">
            <v>1</v>
          </cell>
        </row>
        <row r="260">
          <cell r="C260">
            <v>300211</v>
          </cell>
          <cell r="D260" t="str">
            <v>Lasip NHS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C261">
            <v>300212</v>
          </cell>
          <cell r="D261" t="str">
            <v>Lokeb Norte NHS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  <row r="262">
          <cell r="C262">
            <v>300213</v>
          </cell>
          <cell r="D262" t="str">
            <v>Lokeb Sur National High School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C263">
            <v>300214</v>
          </cell>
          <cell r="D263" t="str">
            <v>Luciente II NHS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C264">
            <v>300215</v>
          </cell>
          <cell r="D264" t="str">
            <v>Luna National High School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C265">
            <v>300216</v>
          </cell>
          <cell r="D265" t="str">
            <v>Lunec National High School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C266">
            <v>300217</v>
          </cell>
          <cell r="D266" t="str">
            <v>Macaleeng National High School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C267">
            <v>300218</v>
          </cell>
          <cell r="D267" t="str">
            <v>Macarang National High School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4</v>
          </cell>
          <cell r="J267">
            <v>3</v>
          </cell>
          <cell r="K267">
            <v>0</v>
          </cell>
          <cell r="L267">
            <v>0</v>
          </cell>
        </row>
        <row r="268">
          <cell r="C268">
            <v>300219</v>
          </cell>
          <cell r="D268" t="str">
            <v>Magalong National High School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2</v>
          </cell>
          <cell r="J268">
            <v>3</v>
          </cell>
          <cell r="K268">
            <v>0</v>
          </cell>
          <cell r="L268">
            <v>0</v>
          </cell>
        </row>
        <row r="269">
          <cell r="C269">
            <v>300220</v>
          </cell>
          <cell r="D269" t="str">
            <v>Malasiqui NHS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14</v>
          </cell>
          <cell r="J269">
            <v>18</v>
          </cell>
          <cell r="K269">
            <v>14</v>
          </cell>
          <cell r="L269">
            <v>18</v>
          </cell>
        </row>
        <row r="270">
          <cell r="C270">
            <v>300221</v>
          </cell>
          <cell r="D270" t="str">
            <v>Malimpin NHS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C271">
            <v>300222</v>
          </cell>
          <cell r="D271" t="str">
            <v>MANGATAREM NATIONAL HIGH SCHOOL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C272">
            <v>300224</v>
          </cell>
          <cell r="D272" t="str">
            <v>Mapandan National High School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C273">
            <v>300225</v>
          </cell>
          <cell r="D273" t="str">
            <v>Maticmatic NHS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</row>
        <row r="274">
          <cell r="C274">
            <v>300226</v>
          </cell>
          <cell r="D274" t="str">
            <v>Minien NHS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C275">
            <v>300227</v>
          </cell>
          <cell r="D275" t="str">
            <v>Naguilayan NHS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C276">
            <v>300228</v>
          </cell>
          <cell r="D276" t="str">
            <v>Nalsian-Tomling National High School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2</v>
          </cell>
          <cell r="J276">
            <v>5</v>
          </cell>
          <cell r="K276">
            <v>0</v>
          </cell>
          <cell r="L276">
            <v>0</v>
          </cell>
        </row>
        <row r="277">
          <cell r="C277">
            <v>300229</v>
          </cell>
          <cell r="D277" t="str">
            <v>Nancapian National High School</v>
          </cell>
          <cell r="E277">
            <v>0</v>
          </cell>
          <cell r="F277">
            <v>1</v>
          </cell>
          <cell r="G277">
            <v>0</v>
          </cell>
          <cell r="H277">
            <v>1</v>
          </cell>
          <cell r="I277">
            <v>0</v>
          </cell>
          <cell r="J277">
            <v>4</v>
          </cell>
          <cell r="K277">
            <v>0</v>
          </cell>
          <cell r="L277">
            <v>4</v>
          </cell>
        </row>
        <row r="278">
          <cell r="C278">
            <v>300230</v>
          </cell>
          <cell r="D278" t="str">
            <v>Olea NHS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C279">
            <v>300231</v>
          </cell>
          <cell r="D279" t="str">
            <v>Olo NHS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6</v>
          </cell>
          <cell r="K279">
            <v>0</v>
          </cell>
          <cell r="L279">
            <v>6</v>
          </cell>
        </row>
        <row r="280">
          <cell r="C280">
            <v>300232</v>
          </cell>
          <cell r="D280" t="str">
            <v>BINMALEY SCHOOL OF FISHERIES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</row>
        <row r="281">
          <cell r="C281">
            <v>300233</v>
          </cell>
          <cell r="D281" t="str">
            <v>Pangasinan National High School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22</v>
          </cell>
          <cell r="J281">
            <v>38</v>
          </cell>
          <cell r="K281">
            <v>7</v>
          </cell>
          <cell r="L281">
            <v>13</v>
          </cell>
        </row>
        <row r="282">
          <cell r="C282">
            <v>300234</v>
          </cell>
          <cell r="D282" t="str">
            <v>Pangasinan School of Arts and Trades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12</v>
          </cell>
          <cell r="J282">
            <v>13</v>
          </cell>
          <cell r="K282">
            <v>0</v>
          </cell>
          <cell r="L282">
            <v>0</v>
          </cell>
        </row>
        <row r="283">
          <cell r="C283">
            <v>300235</v>
          </cell>
          <cell r="D283" t="str">
            <v>Parayao National High School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3</v>
          </cell>
          <cell r="J283">
            <v>5</v>
          </cell>
          <cell r="K283">
            <v>0</v>
          </cell>
          <cell r="L283">
            <v>0</v>
          </cell>
        </row>
        <row r="284">
          <cell r="C284">
            <v>300236</v>
          </cell>
          <cell r="D284" t="str">
            <v>Urbiztondo National High School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C285">
            <v>300237</v>
          </cell>
          <cell r="D285" t="str">
            <v>Payas NHS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C286">
            <v>300238</v>
          </cell>
          <cell r="D286" t="str">
            <v>Pilar NHS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C287">
            <v>300239</v>
          </cell>
          <cell r="D287" t="str">
            <v>Jose Rivera Bonsay NHS (Pogoruac NHS)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C288">
            <v>300242</v>
          </cell>
          <cell r="D288" t="str">
            <v>Primicias NHS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C289">
            <v>300243</v>
          </cell>
          <cell r="D289" t="str">
            <v>Quetegan NHS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4</v>
          </cell>
          <cell r="J289">
            <v>3</v>
          </cell>
          <cell r="K289">
            <v>0</v>
          </cell>
          <cell r="L289">
            <v>0</v>
          </cell>
        </row>
        <row r="290">
          <cell r="C290">
            <v>300244</v>
          </cell>
          <cell r="D290" t="str">
            <v>Quinaoayanan NHS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2</v>
          </cell>
          <cell r="J290">
            <v>3</v>
          </cell>
          <cell r="K290">
            <v>0</v>
          </cell>
          <cell r="L290">
            <v>0</v>
          </cell>
        </row>
        <row r="291">
          <cell r="C291">
            <v>300245</v>
          </cell>
          <cell r="D291" t="str">
            <v>Ranao National High School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C292">
            <v>300246</v>
          </cell>
          <cell r="D292" t="str">
            <v>Ranom Iloco National High School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</row>
        <row r="293">
          <cell r="C293">
            <v>300247</v>
          </cell>
          <cell r="D293" t="str">
            <v>Real National High School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</row>
        <row r="294">
          <cell r="C294">
            <v>300248</v>
          </cell>
          <cell r="D294" t="str">
            <v>Salomague NHS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</row>
        <row r="295">
          <cell r="C295">
            <v>300249</v>
          </cell>
          <cell r="D295" t="str">
            <v>Sampaloc National High School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</row>
        <row r="296">
          <cell r="C296">
            <v>300250</v>
          </cell>
          <cell r="D296" t="str">
            <v>San Jose NHS (Anda)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</row>
        <row r="297">
          <cell r="C297">
            <v>300251</v>
          </cell>
          <cell r="D297" t="str">
            <v>San Julian NHS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C298">
            <v>300252</v>
          </cell>
          <cell r="D298" t="str">
            <v>San Miguel NHS, Bani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C299">
            <v>300254</v>
          </cell>
          <cell r="D299" t="str">
            <v>Sanlibo National High School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3</v>
          </cell>
          <cell r="J299">
            <v>3</v>
          </cell>
          <cell r="K299">
            <v>1</v>
          </cell>
          <cell r="L299">
            <v>3</v>
          </cell>
        </row>
        <row r="300">
          <cell r="C300">
            <v>300255</v>
          </cell>
          <cell r="D300" t="str">
            <v>Sual National High School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10</v>
          </cell>
          <cell r="J300">
            <v>16</v>
          </cell>
          <cell r="K300">
            <v>0</v>
          </cell>
          <cell r="L300">
            <v>1</v>
          </cell>
        </row>
        <row r="301">
          <cell r="C301">
            <v>300256</v>
          </cell>
          <cell r="D301" t="str">
            <v>Tagudin NHS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2</v>
          </cell>
          <cell r="J301">
            <v>4</v>
          </cell>
          <cell r="K301">
            <v>0</v>
          </cell>
          <cell r="L301">
            <v>0</v>
          </cell>
        </row>
        <row r="302">
          <cell r="C302">
            <v>300257</v>
          </cell>
          <cell r="D302" t="str">
            <v>Talospatang NHS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3</v>
          </cell>
          <cell r="J302">
            <v>5</v>
          </cell>
          <cell r="K302">
            <v>3</v>
          </cell>
          <cell r="L302">
            <v>5</v>
          </cell>
        </row>
        <row r="303">
          <cell r="C303">
            <v>300258</v>
          </cell>
          <cell r="D303" t="str">
            <v>Tambobong National High School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</row>
        <row r="304">
          <cell r="C304">
            <v>300259</v>
          </cell>
          <cell r="D304" t="str">
            <v>Tanolong National High School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</row>
        <row r="305">
          <cell r="C305">
            <v>300261</v>
          </cell>
          <cell r="D305" t="str">
            <v>Tiep NHS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C306">
            <v>300262</v>
          </cell>
          <cell r="D306" t="str">
            <v>Tobor NHS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2</v>
          </cell>
          <cell r="J306">
            <v>5</v>
          </cell>
          <cell r="K306">
            <v>2</v>
          </cell>
          <cell r="L306">
            <v>5</v>
          </cell>
        </row>
        <row r="307">
          <cell r="C307">
            <v>300263</v>
          </cell>
          <cell r="D307" t="str">
            <v>Tococ National High School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4</v>
          </cell>
          <cell r="K307">
            <v>0</v>
          </cell>
          <cell r="L307">
            <v>1</v>
          </cell>
        </row>
        <row r="308">
          <cell r="C308">
            <v>300264</v>
          </cell>
          <cell r="D308" t="str">
            <v>Tondol NHS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C309">
            <v>300265</v>
          </cell>
          <cell r="D309" t="str">
            <v>Torres NHS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3</v>
          </cell>
          <cell r="J309">
            <v>1</v>
          </cell>
          <cell r="K309">
            <v>3</v>
          </cell>
          <cell r="L309">
            <v>1</v>
          </cell>
        </row>
        <row r="310">
          <cell r="C310">
            <v>300266</v>
          </cell>
          <cell r="D310" t="str">
            <v>Tuliao NHS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</row>
        <row r="311">
          <cell r="C311">
            <v>300267</v>
          </cell>
          <cell r="D311" t="str">
            <v>Irene Rayos Ombac NHS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C312">
            <v>300268</v>
          </cell>
          <cell r="D312" t="str">
            <v>Zaragosa NHS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C313">
            <v>321101</v>
          </cell>
          <cell r="D313" t="str">
            <v>Palapar NHS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</row>
        <row r="314">
          <cell r="C314">
            <v>321103</v>
          </cell>
          <cell r="D314" t="str">
            <v>Catuday NHS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</row>
        <row r="315">
          <cell r="C315">
            <v>321121</v>
          </cell>
          <cell r="D315" t="str">
            <v>Catalino D. Cerezo NHS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C316">
            <v>500364</v>
          </cell>
          <cell r="D316" t="str">
            <v>Bayaoas IS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6</v>
          </cell>
          <cell r="K316">
            <v>0</v>
          </cell>
          <cell r="L316">
            <v>6</v>
          </cell>
        </row>
        <row r="317">
          <cell r="C317">
            <v>500365</v>
          </cell>
          <cell r="D317" t="str">
            <v>Mabulitec Integrated School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</row>
        <row r="318">
          <cell r="C318">
            <v>500366</v>
          </cell>
          <cell r="D318" t="str">
            <v>Tampac IS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C319">
            <v>500367</v>
          </cell>
          <cell r="D319" t="str">
            <v>Domalandan Center IS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C320">
            <v>500368</v>
          </cell>
          <cell r="D320" t="str">
            <v>URBIZTONDO INTEGRATED SCHOOL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4</v>
          </cell>
          <cell r="J320">
            <v>5</v>
          </cell>
          <cell r="K320">
            <v>2</v>
          </cell>
          <cell r="L320">
            <v>3</v>
          </cell>
        </row>
        <row r="321">
          <cell r="C321">
            <v>500369</v>
          </cell>
          <cell r="D321" t="str">
            <v>Ramon Magsaysay IS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</row>
        <row r="322">
          <cell r="C322">
            <v>500370</v>
          </cell>
          <cell r="D322" t="str">
            <v>Bolinao Integrated School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4</v>
          </cell>
          <cell r="J322">
            <v>2</v>
          </cell>
          <cell r="K322">
            <v>2</v>
          </cell>
          <cell r="L322">
            <v>1</v>
          </cell>
        </row>
        <row r="323">
          <cell r="C323">
            <v>500374</v>
          </cell>
          <cell r="D323" t="str">
            <v>Ambayat Integrated School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</row>
        <row r="324">
          <cell r="C324">
            <v>500603</v>
          </cell>
          <cell r="D324" t="str">
            <v>A.P. Guevara IS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C325">
            <v>500604</v>
          </cell>
          <cell r="D325" t="str">
            <v>Abagatanen Integrated School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</row>
        <row r="326">
          <cell r="C326">
            <v>500605</v>
          </cell>
          <cell r="D326" t="str">
            <v>Aguilar Integrated School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C327">
            <v>500606</v>
          </cell>
          <cell r="D327" t="str">
            <v>ANDA INTEGRATED SCHOOL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</row>
        <row r="328">
          <cell r="C328">
            <v>500607</v>
          </cell>
          <cell r="D328" t="str">
            <v>Bacnit Integrated School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C329">
            <v>500608</v>
          </cell>
          <cell r="D329" t="str">
            <v>BANI EAST INTEGRATED SCHOOL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C330">
            <v>500609</v>
          </cell>
          <cell r="D330" t="str">
            <v>Barlo Integrated School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C331">
            <v>500610</v>
          </cell>
          <cell r="D331" t="str">
            <v>Bugallon IS</v>
          </cell>
          <cell r="E331">
            <v>0</v>
          </cell>
          <cell r="F331">
            <v>0</v>
          </cell>
          <cell r="G331">
            <v>1</v>
          </cell>
          <cell r="H331">
            <v>0</v>
          </cell>
          <cell r="I331">
            <v>3</v>
          </cell>
          <cell r="J331">
            <v>11</v>
          </cell>
          <cell r="K331">
            <v>5</v>
          </cell>
          <cell r="L331">
            <v>1</v>
          </cell>
        </row>
        <row r="332">
          <cell r="C332">
            <v>500611</v>
          </cell>
          <cell r="D332" t="str">
            <v>Catubig Integrated School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C333">
            <v>500612</v>
          </cell>
          <cell r="D333" t="str">
            <v>Dalanguiring IS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8</v>
          </cell>
          <cell r="K333">
            <v>0</v>
          </cell>
          <cell r="L333">
            <v>8</v>
          </cell>
        </row>
        <row r="334">
          <cell r="C334">
            <v>500613</v>
          </cell>
          <cell r="D334" t="str">
            <v>Gayusan Integrated School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C335">
            <v>500614</v>
          </cell>
          <cell r="D335" t="str">
            <v>Infanta Integrated School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4</v>
          </cell>
          <cell r="J335">
            <v>4</v>
          </cell>
          <cell r="K335">
            <v>0</v>
          </cell>
          <cell r="L335">
            <v>0</v>
          </cell>
        </row>
        <row r="336">
          <cell r="C336">
            <v>500615</v>
          </cell>
          <cell r="D336" t="str">
            <v>Liwa Liwa Integrated School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1</v>
          </cell>
          <cell r="L336">
            <v>3</v>
          </cell>
        </row>
        <row r="337">
          <cell r="C337">
            <v>500616</v>
          </cell>
          <cell r="D337" t="str">
            <v>Malawa IS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2</v>
          </cell>
          <cell r="J337">
            <v>1</v>
          </cell>
          <cell r="K337">
            <v>0</v>
          </cell>
          <cell r="L337">
            <v>1</v>
          </cell>
        </row>
        <row r="338">
          <cell r="C338">
            <v>500617</v>
          </cell>
          <cell r="D338" t="str">
            <v>PAITAN IS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2</v>
          </cell>
          <cell r="J338">
            <v>2</v>
          </cell>
          <cell r="K338">
            <v>2</v>
          </cell>
          <cell r="L338">
            <v>2</v>
          </cell>
        </row>
        <row r="339">
          <cell r="C339">
            <v>500618</v>
          </cell>
          <cell r="D339" t="str">
            <v>Pangascasan IS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C340">
            <v>500619</v>
          </cell>
          <cell r="D340" t="str">
            <v>Portic IS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1</v>
          </cell>
          <cell r="J340">
            <v>1</v>
          </cell>
          <cell r="K340">
            <v>0</v>
          </cell>
          <cell r="L340">
            <v>0</v>
          </cell>
        </row>
        <row r="341">
          <cell r="C341">
            <v>500620</v>
          </cell>
          <cell r="D341" t="str">
            <v>Sapa Grande Integrated School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C342">
            <v>500621</v>
          </cell>
          <cell r="D342" t="str">
            <v>Tupa Integrated School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C343">
            <v>300269</v>
          </cell>
          <cell r="D343" t="str">
            <v>Alibeng NHS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C344">
            <v>300271</v>
          </cell>
          <cell r="D344" t="str">
            <v>Amamperez Agro-Industrial HS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1</v>
          </cell>
          <cell r="J344">
            <v>5</v>
          </cell>
          <cell r="K344">
            <v>0</v>
          </cell>
          <cell r="L344">
            <v>0</v>
          </cell>
        </row>
        <row r="345">
          <cell r="C345">
            <v>300272</v>
          </cell>
          <cell r="D345" t="str">
            <v>Ambalangan Dalin NHS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C346">
            <v>300273</v>
          </cell>
          <cell r="D346" t="str">
            <v>Angela Valdez Ramos NHS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C347">
            <v>300274</v>
          </cell>
          <cell r="D347" t="str">
            <v>ANONANG NATIONAL HIGH SCHOOL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C348">
            <v>300275</v>
          </cell>
          <cell r="D348" t="str">
            <v>Antonio P. Villar National High School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5</v>
          </cell>
          <cell r="K348">
            <v>0</v>
          </cell>
          <cell r="L348">
            <v>0</v>
          </cell>
        </row>
        <row r="349">
          <cell r="C349">
            <v>300276</v>
          </cell>
          <cell r="D349" t="str">
            <v>Arboleda NHS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C350">
            <v>300277</v>
          </cell>
          <cell r="D350" t="str">
            <v>Ariston-Bantog NHS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C351">
            <v>300278</v>
          </cell>
          <cell r="D351" t="str">
            <v>Artacho NHS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C352">
            <v>300279</v>
          </cell>
          <cell r="D352" t="str">
            <v>Alejandro F. Oligan HS (Asan Sur NHS)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</row>
        <row r="353">
          <cell r="C353">
            <v>300280</v>
          </cell>
          <cell r="D353" t="str">
            <v>Baguinay NHS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C354">
            <v>300281</v>
          </cell>
          <cell r="D354" t="str">
            <v>Balungao NHS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3</v>
          </cell>
          <cell r="J354">
            <v>15</v>
          </cell>
          <cell r="K354">
            <v>3</v>
          </cell>
          <cell r="L354">
            <v>15</v>
          </cell>
        </row>
        <row r="355">
          <cell r="C355">
            <v>300283</v>
          </cell>
          <cell r="D355" t="str">
            <v>Baracbac NHS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C356">
            <v>300284</v>
          </cell>
          <cell r="D356" t="str">
            <v>Barangobong NHS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</row>
        <row r="357">
          <cell r="C357">
            <v>300285</v>
          </cell>
          <cell r="D357" t="str">
            <v>Batasan NHS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3</v>
          </cell>
          <cell r="K357">
            <v>0</v>
          </cell>
          <cell r="L357">
            <v>0</v>
          </cell>
        </row>
        <row r="358">
          <cell r="C358">
            <v>300286</v>
          </cell>
          <cell r="D358" t="str">
            <v>Bautista National High School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C359">
            <v>300287</v>
          </cell>
          <cell r="D359" t="str">
            <v>Benigno V. Aldana NHS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</row>
        <row r="360">
          <cell r="C360">
            <v>300288</v>
          </cell>
          <cell r="D360" t="str">
            <v>Bersamin Agro-Industrial HS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2</v>
          </cell>
          <cell r="J360">
            <v>3</v>
          </cell>
          <cell r="K360">
            <v>2</v>
          </cell>
          <cell r="L360">
            <v>3</v>
          </cell>
        </row>
        <row r="361">
          <cell r="C361">
            <v>300289</v>
          </cell>
          <cell r="D361" t="str">
            <v>Binday NHS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C362">
            <v>300290</v>
          </cell>
          <cell r="D362" t="str">
            <v>Bobonan National High School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C363">
            <v>300292</v>
          </cell>
          <cell r="D363" t="str">
            <v>Bulaoen East NHS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C364">
            <v>300293</v>
          </cell>
          <cell r="D364" t="str">
            <v>Cabalitian NHS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</row>
        <row r="365">
          <cell r="C365">
            <v>300294</v>
          </cell>
          <cell r="D365" t="str">
            <v>Cabanbanan NHS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3</v>
          </cell>
          <cell r="J365">
            <v>6</v>
          </cell>
          <cell r="K365">
            <v>0</v>
          </cell>
          <cell r="L365">
            <v>0</v>
          </cell>
        </row>
        <row r="366">
          <cell r="C366">
            <v>300295</v>
          </cell>
          <cell r="D366" t="str">
            <v>Cabilaoan Agro-Industrial HS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C367">
            <v>300296</v>
          </cell>
          <cell r="D367" t="str">
            <v>Cacabugaoan NHS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C368">
            <v>300297</v>
          </cell>
          <cell r="D368" t="str">
            <v>Canarvacanan NHS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C369">
            <v>300298</v>
          </cell>
          <cell r="D369" t="str">
            <v>Capulaan NHS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</row>
        <row r="370">
          <cell r="C370">
            <v>300300</v>
          </cell>
          <cell r="D370" t="str">
            <v>Carosucan Sur NHS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1</v>
          </cell>
          <cell r="K370">
            <v>1</v>
          </cell>
          <cell r="L370">
            <v>2</v>
          </cell>
        </row>
        <row r="371">
          <cell r="C371">
            <v>300301</v>
          </cell>
          <cell r="D371" t="str">
            <v>Cipriano P. Primicias NHS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C372">
            <v>300302</v>
          </cell>
          <cell r="D372" t="str">
            <v>Coloscaoayan NHS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C373">
            <v>300303</v>
          </cell>
          <cell r="D373" t="str">
            <v>Dalumpinas NHS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C374">
            <v>300304</v>
          </cell>
          <cell r="D374" t="str">
            <v>David National High School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C375">
            <v>300306</v>
          </cell>
          <cell r="D375" t="str">
            <v>Don Benito Agro-Industrial High School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C376">
            <v>300307</v>
          </cell>
          <cell r="D376" t="str">
            <v>Juan G. Macaraeg NHS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C377">
            <v>300308</v>
          </cell>
          <cell r="D377" t="str">
            <v>Don Ramon E. Costales MNHS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C378">
            <v>300309</v>
          </cell>
          <cell r="D378" t="str">
            <v>Eastern Pangasinan Agricultural College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C379">
            <v>300313</v>
          </cell>
          <cell r="D379" t="str">
            <v>Flores NHS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C380">
            <v>300314</v>
          </cell>
          <cell r="D380" t="str">
            <v>Guiling-Coliling NHS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C381">
            <v>300316</v>
          </cell>
          <cell r="D381" t="str">
            <v>La Paz NHS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2</v>
          </cell>
          <cell r="J381">
            <v>6</v>
          </cell>
          <cell r="K381">
            <v>0</v>
          </cell>
          <cell r="L381">
            <v>0</v>
          </cell>
        </row>
        <row r="382">
          <cell r="C382">
            <v>300317</v>
          </cell>
          <cell r="D382" t="str">
            <v>Labayug National High School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1</v>
          </cell>
          <cell r="J382">
            <v>2</v>
          </cell>
          <cell r="K382">
            <v>1</v>
          </cell>
          <cell r="L382">
            <v>2</v>
          </cell>
        </row>
        <row r="383">
          <cell r="C383">
            <v>300318</v>
          </cell>
          <cell r="D383" t="str">
            <v>Lagasit NHS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</row>
        <row r="384">
          <cell r="C384">
            <v>300319</v>
          </cell>
          <cell r="D384" t="str">
            <v>Laoac NHS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C385">
            <v>300320</v>
          </cell>
          <cell r="D385" t="str">
            <v>Lipit NHS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  <row r="386">
          <cell r="C386">
            <v>300321</v>
          </cell>
          <cell r="D386" t="str">
            <v>Lobong NHS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</row>
        <row r="387">
          <cell r="C387">
            <v>300322</v>
          </cell>
          <cell r="D387" t="str">
            <v>Luciano Millan National HS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C388">
            <v>300323</v>
          </cell>
          <cell r="D388" t="str">
            <v>Mabilao NHS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2</v>
          </cell>
          <cell r="J388">
            <v>10</v>
          </cell>
          <cell r="K388">
            <v>0</v>
          </cell>
          <cell r="L388">
            <v>0</v>
          </cell>
        </row>
        <row r="389">
          <cell r="C389">
            <v>300324</v>
          </cell>
          <cell r="D389" t="str">
            <v>Malico NHS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1</v>
          </cell>
          <cell r="L389">
            <v>0</v>
          </cell>
        </row>
        <row r="390">
          <cell r="C390">
            <v>300325</v>
          </cell>
          <cell r="D390" t="str">
            <v>Manaoag NHS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</row>
        <row r="391">
          <cell r="C391">
            <v>300326</v>
          </cell>
          <cell r="D391" t="str">
            <v>Mangaldan National High School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26</v>
          </cell>
          <cell r="J391">
            <v>52</v>
          </cell>
          <cell r="K391">
            <v>26</v>
          </cell>
          <cell r="L391">
            <v>52</v>
          </cell>
        </row>
        <row r="392">
          <cell r="C392">
            <v>300327</v>
          </cell>
          <cell r="D392" t="str">
            <v>Maseil-seil Alo-o NHS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</row>
        <row r="393">
          <cell r="C393">
            <v>300328</v>
          </cell>
          <cell r="D393" t="str">
            <v>Mataas Na Paaralang Juan C. Laya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</row>
        <row r="394">
          <cell r="C394">
            <v>300329</v>
          </cell>
          <cell r="D394" t="str">
            <v>Nama NHS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1</v>
          </cell>
          <cell r="J394">
            <v>4</v>
          </cell>
          <cell r="K394">
            <v>1</v>
          </cell>
          <cell r="L394">
            <v>0</v>
          </cell>
        </row>
        <row r="395">
          <cell r="C395">
            <v>300330</v>
          </cell>
          <cell r="D395" t="str">
            <v>Nantangalan NHS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</row>
        <row r="396">
          <cell r="C396">
            <v>300331</v>
          </cell>
          <cell r="D396" t="str">
            <v>Natividad NHS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</row>
        <row r="397">
          <cell r="C397">
            <v>300332</v>
          </cell>
          <cell r="D397" t="str">
            <v>Palguyod NHS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</row>
        <row r="398">
          <cell r="C398">
            <v>300333</v>
          </cell>
          <cell r="D398" t="str">
            <v>Panganiban NHS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C399">
            <v>300334</v>
          </cell>
          <cell r="D399" t="str">
            <v>Piaz National High School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</row>
        <row r="400">
          <cell r="C400">
            <v>300335</v>
          </cell>
          <cell r="D400" t="str">
            <v>Pindangan National High School -Alcala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</row>
        <row r="401">
          <cell r="C401">
            <v>300336</v>
          </cell>
          <cell r="D401" t="str">
            <v>Pindangan NHS (Sison)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</row>
        <row r="402">
          <cell r="C402">
            <v>300337</v>
          </cell>
          <cell r="D402" t="str">
            <v>Pinmilapil National High School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</row>
        <row r="403">
          <cell r="C403">
            <v>300338</v>
          </cell>
          <cell r="D403" t="str">
            <v>Prado National High School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</row>
        <row r="404">
          <cell r="C404">
            <v>300339</v>
          </cell>
          <cell r="D404" t="str">
            <v>Rajal Angayan NHS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</row>
        <row r="405">
          <cell r="C405">
            <v>300340</v>
          </cell>
          <cell r="D405" t="str">
            <v>Robert B. Estrella Memorial NHS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</row>
        <row r="406">
          <cell r="C406">
            <v>300341</v>
          </cell>
          <cell r="D406" t="str">
            <v>Rosales NHS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</row>
        <row r="407">
          <cell r="C407">
            <v>300342</v>
          </cell>
          <cell r="D407" t="str">
            <v>Rosario NHS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</row>
        <row r="408">
          <cell r="C408">
            <v>300343</v>
          </cell>
          <cell r="D408" t="str">
            <v>Salud-San Eugenio NHS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2</v>
          </cell>
          <cell r="J408">
            <v>2</v>
          </cell>
          <cell r="K408">
            <v>2</v>
          </cell>
          <cell r="L408">
            <v>2</v>
          </cell>
        </row>
        <row r="409">
          <cell r="C409">
            <v>300344</v>
          </cell>
          <cell r="D409" t="str">
            <v>San Aurelio NHS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</row>
        <row r="410">
          <cell r="C410">
            <v>300345</v>
          </cell>
          <cell r="D410" t="str">
            <v>San Fabian National High School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C411">
            <v>300346</v>
          </cell>
          <cell r="D411" t="str">
            <v>San Felipe National HighSchool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5</v>
          </cell>
          <cell r="J411">
            <v>2</v>
          </cell>
          <cell r="K411">
            <v>5</v>
          </cell>
          <cell r="L411">
            <v>1</v>
          </cell>
        </row>
        <row r="412">
          <cell r="C412">
            <v>300347</v>
          </cell>
          <cell r="D412" t="str">
            <v>San Isidro NHS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3</v>
          </cell>
          <cell r="J412">
            <v>1</v>
          </cell>
          <cell r="K412">
            <v>1</v>
          </cell>
          <cell r="L412">
            <v>0</v>
          </cell>
        </row>
        <row r="413">
          <cell r="C413">
            <v>300348</v>
          </cell>
          <cell r="D413" t="str">
            <v>San Jacinto National High School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</row>
        <row r="414">
          <cell r="C414">
            <v>300349</v>
          </cell>
          <cell r="D414" t="str">
            <v>San Juan NHS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</row>
        <row r="415">
          <cell r="C415">
            <v>300350</v>
          </cell>
          <cell r="D415" t="str">
            <v>San Leon NHS</v>
          </cell>
          <cell r="E415">
            <v>0</v>
          </cell>
          <cell r="F415">
            <v>0</v>
          </cell>
          <cell r="G415">
            <v>2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</row>
        <row r="416">
          <cell r="C416">
            <v>300351</v>
          </cell>
          <cell r="D416" t="str">
            <v>San Luis NHS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</row>
        <row r="417">
          <cell r="C417">
            <v>300352</v>
          </cell>
          <cell r="D417" t="str">
            <v>San Macario NHS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C418">
            <v>300353</v>
          </cell>
          <cell r="D418" t="str">
            <v>San Miguel NHS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2</v>
          </cell>
          <cell r="J418">
            <v>2</v>
          </cell>
          <cell r="K418">
            <v>2</v>
          </cell>
          <cell r="L418">
            <v>2</v>
          </cell>
        </row>
        <row r="419">
          <cell r="C419">
            <v>300354</v>
          </cell>
          <cell r="D419" t="str">
            <v>San Nicolas National High School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C420">
            <v>300355</v>
          </cell>
          <cell r="D420" t="str">
            <v>San Pedro Apartado NHS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</row>
        <row r="421">
          <cell r="C421">
            <v>300356</v>
          </cell>
          <cell r="D421" t="str">
            <v>San Quintin NHS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</row>
        <row r="422">
          <cell r="C422">
            <v>300357</v>
          </cell>
          <cell r="D422" t="str">
            <v>San Rafael NHS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</row>
        <row r="423">
          <cell r="C423">
            <v>300358</v>
          </cell>
          <cell r="D423" t="str">
            <v>Sta. Maria NHS, Binalonan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5</v>
          </cell>
          <cell r="J423">
            <v>0</v>
          </cell>
          <cell r="K423">
            <v>0</v>
          </cell>
          <cell r="L423">
            <v>0</v>
          </cell>
        </row>
        <row r="424">
          <cell r="C424">
            <v>300359</v>
          </cell>
          <cell r="D424" t="str">
            <v>Sta. Maria NHS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C425">
            <v>300360</v>
          </cell>
          <cell r="D425" t="str">
            <v>Sto. Domingo National High School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1</v>
          </cell>
          <cell r="J425">
            <v>0</v>
          </cell>
          <cell r="K425">
            <v>0</v>
          </cell>
          <cell r="L425">
            <v>0</v>
          </cell>
        </row>
        <row r="426">
          <cell r="C426">
            <v>300361</v>
          </cell>
          <cell r="D426" t="str">
            <v>Sto. Tomas NHS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</row>
        <row r="427">
          <cell r="C427">
            <v>300362</v>
          </cell>
          <cell r="D427" t="str">
            <v>Sumabnit National High School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</row>
        <row r="428">
          <cell r="C428">
            <v>300363</v>
          </cell>
          <cell r="D428" t="str">
            <v>Tayug NHS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</row>
        <row r="429">
          <cell r="C429">
            <v>300364</v>
          </cell>
          <cell r="D429" t="str">
            <v>Toboy NHS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</row>
        <row r="430">
          <cell r="C430">
            <v>300365</v>
          </cell>
          <cell r="D430" t="str">
            <v>Umingan Central National High School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</row>
        <row r="431">
          <cell r="C431">
            <v>300366</v>
          </cell>
          <cell r="D431" t="str">
            <v>Unzad NHS</v>
          </cell>
          <cell r="E431">
            <v>0</v>
          </cell>
          <cell r="F431">
            <v>1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</row>
        <row r="432">
          <cell r="C432">
            <v>321203</v>
          </cell>
          <cell r="D432" t="str">
            <v>San Antonio NHS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</row>
        <row r="433">
          <cell r="C433">
            <v>321208</v>
          </cell>
          <cell r="D433" t="str">
            <v>Don Robert B. Estrella, Sr. NHS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</row>
        <row r="434">
          <cell r="C434">
            <v>500003</v>
          </cell>
          <cell r="D434" t="str">
            <v>Bugayong IS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1</v>
          </cell>
          <cell r="J434">
            <v>2</v>
          </cell>
          <cell r="K434">
            <v>1</v>
          </cell>
          <cell r="L434">
            <v>2</v>
          </cell>
        </row>
        <row r="435">
          <cell r="C435">
            <v>500004</v>
          </cell>
          <cell r="D435" t="str">
            <v>Esperanza Integrated School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</row>
        <row r="436">
          <cell r="C436">
            <v>500005</v>
          </cell>
          <cell r="D436" t="str">
            <v>Flores Integ. Sch.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</row>
        <row r="437">
          <cell r="C437">
            <v>500006</v>
          </cell>
          <cell r="D437" t="str">
            <v>San Fabian IS SPED CENTER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4</v>
          </cell>
          <cell r="J437">
            <v>4</v>
          </cell>
          <cell r="K437">
            <v>4</v>
          </cell>
          <cell r="L437">
            <v>4</v>
          </cell>
        </row>
        <row r="438">
          <cell r="C438">
            <v>500375</v>
          </cell>
          <cell r="D438" t="str">
            <v>Sison Central IS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C439">
            <v>500376</v>
          </cell>
          <cell r="D439" t="str">
            <v>Macayo IS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</row>
        <row r="440">
          <cell r="C440">
            <v>500377</v>
          </cell>
          <cell r="D440" t="str">
            <v>Bantay Insik Integrated School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</row>
        <row r="441">
          <cell r="C441">
            <v>500378</v>
          </cell>
          <cell r="D441" t="str">
            <v>Don Valentin Torres Integrated School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</row>
        <row r="442">
          <cell r="C442">
            <v>500379</v>
          </cell>
          <cell r="D442" t="str">
            <v>San Felipe Integrated School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</row>
        <row r="443">
          <cell r="C443">
            <v>500380</v>
          </cell>
          <cell r="D443" t="str">
            <v>Dilan Integrated School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3</v>
          </cell>
          <cell r="J443">
            <v>3</v>
          </cell>
          <cell r="K443">
            <v>0</v>
          </cell>
          <cell r="L443">
            <v>0</v>
          </cell>
        </row>
        <row r="444">
          <cell r="C444">
            <v>500383</v>
          </cell>
          <cell r="D444" t="str">
            <v>Mangaldan IS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</row>
        <row r="445">
          <cell r="C445">
            <v>500384</v>
          </cell>
          <cell r="D445" t="str">
            <v>Sta. Cruz IS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2</v>
          </cell>
          <cell r="J445">
            <v>2</v>
          </cell>
          <cell r="K445">
            <v>0</v>
          </cell>
          <cell r="L445">
            <v>0</v>
          </cell>
        </row>
        <row r="446">
          <cell r="C446">
            <v>500385</v>
          </cell>
          <cell r="D446" t="str">
            <v>Dungon IS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1</v>
          </cell>
          <cell r="J446">
            <v>1</v>
          </cell>
          <cell r="K446">
            <v>0</v>
          </cell>
          <cell r="L446">
            <v>0</v>
          </cell>
        </row>
        <row r="447">
          <cell r="C447">
            <v>500386</v>
          </cell>
          <cell r="D447" t="str">
            <v>Lumayao Integrated School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</row>
        <row r="448">
          <cell r="C448">
            <v>500387</v>
          </cell>
          <cell r="D448" t="str">
            <v>San Vicente West IS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</row>
        <row r="449">
          <cell r="C449">
            <v>500388</v>
          </cell>
          <cell r="D449" t="str">
            <v>Gueguesangen IS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</row>
        <row r="450">
          <cell r="C450">
            <v>500623</v>
          </cell>
          <cell r="D450" t="str">
            <v>Sta. Maria East Integrated School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</row>
        <row r="451">
          <cell r="C451">
            <v>500624</v>
          </cell>
          <cell r="D451" t="str">
            <v>Tombod Integrated School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1</v>
          </cell>
          <cell r="J451">
            <v>1</v>
          </cell>
          <cell r="K451">
            <v>0</v>
          </cell>
          <cell r="L451">
            <v>0</v>
          </cell>
        </row>
        <row r="452">
          <cell r="C452">
            <v>501118</v>
          </cell>
          <cell r="D452" t="str">
            <v>Amagbagan Integrated School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C453">
            <v>300367</v>
          </cell>
          <cell r="D453" t="str">
            <v>Bonuan Buquig NHS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</row>
        <row r="454">
          <cell r="C454">
            <v>300368</v>
          </cell>
          <cell r="D454" t="str">
            <v>Dagupan City NHS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</row>
        <row r="455">
          <cell r="C455">
            <v>300369</v>
          </cell>
          <cell r="D455" t="str">
            <v>Carael National HS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</row>
        <row r="456">
          <cell r="C456">
            <v>300370</v>
          </cell>
          <cell r="D456" t="str">
            <v>Salapingao National High School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</row>
        <row r="457">
          <cell r="C457">
            <v>300371</v>
          </cell>
          <cell r="D457" t="str">
            <v>Judge Jose de Venecia, Sr. Technical-Vocational Secondary School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</row>
        <row r="458">
          <cell r="C458">
            <v>500053</v>
          </cell>
          <cell r="D458" t="str">
            <v>East Central IS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</row>
        <row r="459">
          <cell r="C459">
            <v>500054</v>
          </cell>
          <cell r="D459" t="str">
            <v>Federico N. Ceralde IS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5</v>
          </cell>
          <cell r="J459">
            <v>5</v>
          </cell>
          <cell r="K459">
            <v>0</v>
          </cell>
          <cell r="L459">
            <v>1</v>
          </cell>
        </row>
        <row r="460">
          <cell r="C460">
            <v>500055</v>
          </cell>
          <cell r="D460" t="str">
            <v>Pugaro IS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</row>
        <row r="461">
          <cell r="C461">
            <v>300372</v>
          </cell>
          <cell r="D461" t="str">
            <v>Gabu NHS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</row>
        <row r="462">
          <cell r="C462">
            <v>300373</v>
          </cell>
          <cell r="D462" t="str">
            <v>Ilocos Norte College of Arts &amp; Trades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</row>
        <row r="463">
          <cell r="C463">
            <v>300374</v>
          </cell>
          <cell r="D463" t="str">
            <v>Ilocos Norte National High School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</row>
        <row r="464">
          <cell r="C464">
            <v>300375</v>
          </cell>
          <cell r="D464" t="str">
            <v>Ilocos Norte Regional School of Fisheries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</row>
        <row r="465">
          <cell r="C465">
            <v>305601</v>
          </cell>
          <cell r="D465" t="str">
            <v>Caaoacan High School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2</v>
          </cell>
          <cell r="J465">
            <v>2</v>
          </cell>
          <cell r="K465">
            <v>2</v>
          </cell>
          <cell r="L465">
            <v>2</v>
          </cell>
        </row>
        <row r="466">
          <cell r="C466">
            <v>500056</v>
          </cell>
          <cell r="D466" t="str">
            <v>Balatong Integrated School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C467">
            <v>300376</v>
          </cell>
          <cell r="D467" t="str">
            <v>Abanon NHS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</row>
        <row r="468">
          <cell r="C468">
            <v>300377</v>
          </cell>
          <cell r="D468" t="str">
            <v>Bacnar National High School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</row>
        <row r="469">
          <cell r="C469">
            <v>300378</v>
          </cell>
          <cell r="D469" t="str">
            <v>Bolingit National High School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</row>
        <row r="470">
          <cell r="C470">
            <v>300379</v>
          </cell>
          <cell r="D470" t="str">
            <v>Cobol National High School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</row>
        <row r="471">
          <cell r="C471">
            <v>300380</v>
          </cell>
          <cell r="D471" t="str">
            <v>Coliling National High School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</row>
        <row r="472">
          <cell r="C472">
            <v>300381</v>
          </cell>
          <cell r="D472" t="str">
            <v>Doyong National High School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</row>
        <row r="473">
          <cell r="C473">
            <v>300382</v>
          </cell>
          <cell r="D473" t="str">
            <v>Libas NHS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C474">
            <v>300383</v>
          </cell>
          <cell r="D474" t="str">
            <v>Lilimasan National High School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</row>
        <row r="475">
          <cell r="C475">
            <v>300384</v>
          </cell>
          <cell r="D475" t="str">
            <v>Mabalbalino NHS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</row>
        <row r="476">
          <cell r="C476">
            <v>300385</v>
          </cell>
          <cell r="D476" t="str">
            <v>Malacañang National High School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</row>
        <row r="477">
          <cell r="C477">
            <v>300386</v>
          </cell>
          <cell r="D477" t="str">
            <v>Pangalangan NHS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</row>
        <row r="478">
          <cell r="C478">
            <v>300387</v>
          </cell>
          <cell r="D478" t="str">
            <v>Salinap NHS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</row>
        <row r="479">
          <cell r="C479">
            <v>300388</v>
          </cell>
          <cell r="D479" t="str">
            <v>Speaker Eugenio Perez Nat;l. Agr'l. Sch.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</row>
        <row r="480">
          <cell r="C480">
            <v>300389</v>
          </cell>
          <cell r="D480" t="str">
            <v>Tamayo National High School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</row>
        <row r="481">
          <cell r="C481">
            <v>300390</v>
          </cell>
          <cell r="D481" t="str">
            <v>Tandoc NHS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</row>
        <row r="482">
          <cell r="C482">
            <v>300391</v>
          </cell>
          <cell r="D482" t="str">
            <v>Turac NHS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</row>
        <row r="483">
          <cell r="C483">
            <v>500057</v>
          </cell>
          <cell r="D483" t="str">
            <v>Tarece Integrated School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</row>
        <row r="484">
          <cell r="C484">
            <v>500058</v>
          </cell>
          <cell r="D484" t="str">
            <v>Guelew Integrated School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</row>
        <row r="485">
          <cell r="C485">
            <v>500059</v>
          </cell>
          <cell r="D485" t="str">
            <v>Agdao Integrated School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</row>
        <row r="486">
          <cell r="C486">
            <v>300392</v>
          </cell>
          <cell r="D486" t="str">
            <v>Anonas NHS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</row>
        <row r="487">
          <cell r="C487">
            <v>300393</v>
          </cell>
          <cell r="D487" t="str">
            <v>Bactad East NHS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C488">
            <v>300394</v>
          </cell>
          <cell r="D488" t="str">
            <v>Badipa NHS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</row>
        <row r="489">
          <cell r="C489">
            <v>300395</v>
          </cell>
          <cell r="D489" t="str">
            <v>Cabaruan NHS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</row>
        <row r="490">
          <cell r="C490">
            <v>300396</v>
          </cell>
          <cell r="D490" t="str">
            <v>Cabuloan NHS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</row>
        <row r="491">
          <cell r="C491">
            <v>300397</v>
          </cell>
          <cell r="D491" t="str">
            <v>Camabu NHS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</row>
        <row r="492">
          <cell r="C492">
            <v>300398</v>
          </cell>
          <cell r="D492" t="str">
            <v>Camantiles NHS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</row>
        <row r="493">
          <cell r="C493">
            <v>300399</v>
          </cell>
          <cell r="D493" t="str">
            <v>Casabula NHS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</row>
        <row r="494">
          <cell r="C494">
            <v>300401</v>
          </cell>
          <cell r="D494" t="str">
            <v>Cayambanan NHS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C495">
            <v>300402</v>
          </cell>
          <cell r="D495" t="str">
            <v>Don Antonio Bongolan MHS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2</v>
          </cell>
          <cell r="J495">
            <v>2</v>
          </cell>
          <cell r="K495">
            <v>2</v>
          </cell>
          <cell r="L495">
            <v>2</v>
          </cell>
        </row>
        <row r="496">
          <cell r="C496">
            <v>300403</v>
          </cell>
          <cell r="D496" t="str">
            <v>Mariano Q. Umipig NHS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</row>
        <row r="497">
          <cell r="C497">
            <v>300404</v>
          </cell>
          <cell r="D497" t="str">
            <v>Labit NHS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</row>
        <row r="498">
          <cell r="C498">
            <v>300405</v>
          </cell>
          <cell r="D498" t="str">
            <v>Lananpin NHS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4</v>
          </cell>
          <cell r="J498">
            <v>6</v>
          </cell>
          <cell r="K498">
            <v>0</v>
          </cell>
          <cell r="L498">
            <v>0</v>
          </cell>
        </row>
        <row r="499">
          <cell r="C499">
            <v>300406</v>
          </cell>
          <cell r="D499" t="str">
            <v>Nancalobasaan NHS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</row>
        <row r="500">
          <cell r="C500">
            <v>300407</v>
          </cell>
          <cell r="D500" t="str">
            <v>Palina East NHS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</row>
        <row r="501">
          <cell r="C501">
            <v>300408</v>
          </cell>
          <cell r="D501" t="str">
            <v>Palina West NHS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C502">
            <v>300409</v>
          </cell>
          <cell r="D502" t="str">
            <v>Pedro T. Orata NHS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</row>
        <row r="503">
          <cell r="C503">
            <v>300410</v>
          </cell>
          <cell r="D503" t="str">
            <v>Urdaneta City NHS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</row>
        <row r="504">
          <cell r="C504">
            <v>500007</v>
          </cell>
          <cell r="D504" t="str">
            <v>Catablan IS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</row>
        <row r="505">
          <cell r="C505">
            <v>500060</v>
          </cell>
          <cell r="D505" t="str">
            <v>San Jose Leet IS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2</v>
          </cell>
          <cell r="J505">
            <v>1</v>
          </cell>
          <cell r="K505">
            <v>2</v>
          </cell>
          <cell r="L505">
            <v>1</v>
          </cell>
        </row>
        <row r="506">
          <cell r="C506">
            <v>500061</v>
          </cell>
          <cell r="D506" t="str">
            <v>Don Alipio Fernandez, Sr. IS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1</v>
          </cell>
          <cell r="J506">
            <v>0</v>
          </cell>
          <cell r="K506">
            <v>1</v>
          </cell>
          <cell r="L506">
            <v>1</v>
          </cell>
        </row>
        <row r="507">
          <cell r="C507">
            <v>300044</v>
          </cell>
          <cell r="D507" t="str">
            <v>Candon National High School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</row>
        <row r="508">
          <cell r="C508">
            <v>300047</v>
          </cell>
          <cell r="D508" t="str">
            <v>Candon City High School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</row>
        <row r="509">
          <cell r="C509">
            <v>300051</v>
          </cell>
          <cell r="D509" t="str">
            <v>Dr. Ricardo Gacula Memorial National High School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</row>
        <row r="510">
          <cell r="C510">
            <v>300083</v>
          </cell>
          <cell r="D510" t="str">
            <v>Sto. Tomas National High School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</row>
        <row r="511">
          <cell r="C511">
            <v>322601</v>
          </cell>
          <cell r="D511" t="str">
            <v>Candon City Information Technology NHS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</row>
        <row r="512">
          <cell r="C512">
            <v>300155</v>
          </cell>
          <cell r="D512" t="str">
            <v>Alaminos City NHS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</row>
        <row r="513">
          <cell r="C513">
            <v>300157</v>
          </cell>
          <cell r="D513" t="str">
            <v>Alos NHS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</row>
        <row r="514">
          <cell r="C514">
            <v>300190</v>
          </cell>
          <cell r="D514" t="str">
            <v>Cayucay NHS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</row>
        <row r="515">
          <cell r="C515">
            <v>300208</v>
          </cell>
          <cell r="D515" t="str">
            <v>Inerangan NHS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C516">
            <v>300240</v>
          </cell>
          <cell r="D516" t="str">
            <v>Polo NHS, Alaminos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</row>
        <row r="517">
          <cell r="C517">
            <v>300253</v>
          </cell>
          <cell r="D517" t="str">
            <v>San Vicente NHS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</row>
        <row r="518">
          <cell r="C518">
            <v>300260</v>
          </cell>
          <cell r="D518" t="str">
            <v>Telbang NHS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</row>
        <row r="519">
          <cell r="C519">
            <v>322701</v>
          </cell>
          <cell r="D519" t="str">
            <v>Ildefonso Quimson Community HS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</row>
        <row r="520">
          <cell r="C520">
            <v>500564</v>
          </cell>
          <cell r="D520" t="str">
            <v>Pangapisan IS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</row>
        <row r="521">
          <cell r="C521">
            <v>300052</v>
          </cell>
          <cell r="D521" t="str">
            <v>Ilocos Sur National High School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</row>
        <row r="522">
          <cell r="C522">
            <v>300088</v>
          </cell>
          <cell r="D522" t="str">
            <v>Vigan National High School East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C523">
            <v>300089</v>
          </cell>
          <cell r="D523" t="str">
            <v>Vigan West NHS (Vigan NHS West)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</row>
        <row r="524">
          <cell r="C524">
            <v>300099</v>
          </cell>
          <cell r="D524" t="str">
            <v>Bangbangolan NHS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</row>
        <row r="525">
          <cell r="C525">
            <v>300116</v>
          </cell>
          <cell r="D525" t="str">
            <v>Dr. Quintin Balcita Sr. NHS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</row>
        <row r="526">
          <cell r="C526">
            <v>300118</v>
          </cell>
          <cell r="D526" t="str">
            <v>La Union NHS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</row>
        <row r="527">
          <cell r="C527">
            <v>300126</v>
          </cell>
          <cell r="D527" t="str">
            <v>Pao National High School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</row>
        <row r="528">
          <cell r="C528">
            <v>321001</v>
          </cell>
          <cell r="D528" t="str">
            <v>La Union NHS - Sacyud Annex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</row>
        <row r="529">
          <cell r="C529">
            <v>500530</v>
          </cell>
          <cell r="D529" t="str">
            <v>Nagyubuyuban IS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C530">
            <v>500602</v>
          </cell>
          <cell r="D530" t="str">
            <v>SAN FERNANDO SOUTH CENTRAL INTEGRATED SCHOOL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</row>
        <row r="531">
          <cell r="C531">
            <v>500983</v>
          </cell>
          <cell r="D531" t="str">
            <v>San Fernando City SPED Integrated School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</row>
        <row r="532">
          <cell r="C532">
            <v>300005</v>
          </cell>
          <cell r="D532" t="str">
            <v>Batac National High School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</row>
        <row r="533">
          <cell r="C533">
            <v>300012</v>
          </cell>
          <cell r="D533" t="str">
            <v>Crispina Marcos Valdez NHS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</row>
        <row r="534">
          <cell r="C534">
            <v>320803</v>
          </cell>
          <cell r="D534" t="str">
            <v>City of Batac National high school Payao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</row>
        <row r="535">
          <cell r="C535">
            <v>340747</v>
          </cell>
          <cell r="D535" t="str">
            <v>Gen. Artemio Ricarte SHS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</row>
        <row r="536">
          <cell r="C536">
            <v>340748</v>
          </cell>
          <cell r="D536" t="str">
            <v>Ferdinand E. Marcos SHS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4</v>
          </cell>
          <cell r="J536">
            <v>8</v>
          </cell>
          <cell r="K536">
            <v>4</v>
          </cell>
          <cell r="L536">
            <v>8</v>
          </cell>
        </row>
        <row r="537">
          <cell r="C537">
            <v>300411</v>
          </cell>
          <cell r="D537" t="str">
            <v>Batanes Nat"l Science High School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</row>
        <row r="538">
          <cell r="C538">
            <v>300413</v>
          </cell>
          <cell r="D538" t="str">
            <v>Batanes Gen. Comp. HS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</row>
        <row r="539">
          <cell r="C539">
            <v>300414</v>
          </cell>
          <cell r="D539" t="str">
            <v>Itbayat National Agricultural HS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</row>
        <row r="540">
          <cell r="C540">
            <v>300415</v>
          </cell>
          <cell r="D540" t="str">
            <v>Ivana NHS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</row>
        <row r="541">
          <cell r="C541">
            <v>300416</v>
          </cell>
          <cell r="D541" t="str">
            <v>Mahatao NHS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</row>
        <row r="542">
          <cell r="C542">
            <v>300417</v>
          </cell>
          <cell r="D542" t="str">
            <v>Sabtang National School of Fisheries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</row>
        <row r="543">
          <cell r="C543">
            <v>500062</v>
          </cell>
          <cell r="D543" t="str">
            <v>Itbud Integrated School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C544">
            <v>500063</v>
          </cell>
          <cell r="D544" t="str">
            <v>Raele Integrated School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</row>
        <row r="545">
          <cell r="C545">
            <v>300418</v>
          </cell>
          <cell r="D545" t="str">
            <v>Abulug National Rural and Vocational High School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1</v>
          </cell>
          <cell r="J545">
            <v>3</v>
          </cell>
          <cell r="K545">
            <v>1</v>
          </cell>
          <cell r="L545">
            <v>3</v>
          </cell>
        </row>
        <row r="546">
          <cell r="C546">
            <v>300419</v>
          </cell>
          <cell r="D546" t="str">
            <v>Abulug SOF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</row>
        <row r="547">
          <cell r="C547">
            <v>300420</v>
          </cell>
          <cell r="D547" t="str">
            <v>Afusing NHS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4</v>
          </cell>
          <cell r="J547">
            <v>5</v>
          </cell>
          <cell r="K547">
            <v>4</v>
          </cell>
          <cell r="L547">
            <v>5</v>
          </cell>
        </row>
        <row r="548">
          <cell r="C548">
            <v>300421</v>
          </cell>
          <cell r="D548" t="str">
            <v>Alcala Rural School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</row>
        <row r="549">
          <cell r="C549">
            <v>300422</v>
          </cell>
          <cell r="D549" t="str">
            <v>BAYBAYOG NATIONAL HIGH SCHOOL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1</v>
          </cell>
          <cell r="J549">
            <v>0</v>
          </cell>
          <cell r="K549">
            <v>0</v>
          </cell>
          <cell r="L549">
            <v>0</v>
          </cell>
        </row>
        <row r="550">
          <cell r="C550">
            <v>300423</v>
          </cell>
          <cell r="D550" t="str">
            <v>Alig Valley National High School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4</v>
          </cell>
          <cell r="K550">
            <v>0</v>
          </cell>
          <cell r="L550">
            <v>4</v>
          </cell>
        </row>
        <row r="551">
          <cell r="C551">
            <v>300424</v>
          </cell>
          <cell r="D551" t="str">
            <v>Allacapan Vocational High School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6</v>
          </cell>
          <cell r="J551">
            <v>16</v>
          </cell>
          <cell r="K551">
            <v>6</v>
          </cell>
          <cell r="L551">
            <v>16</v>
          </cell>
        </row>
        <row r="552">
          <cell r="C552">
            <v>300425</v>
          </cell>
          <cell r="D552" t="str">
            <v>AMULUNG NATIONAL HIGH SCHOOL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</row>
        <row r="553">
          <cell r="C553">
            <v>300426</v>
          </cell>
          <cell r="D553" t="str">
            <v>Andarayan NHS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</row>
        <row r="554">
          <cell r="C554">
            <v>300427</v>
          </cell>
          <cell r="D554" t="str">
            <v>Dassun NHS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</row>
        <row r="555">
          <cell r="C555">
            <v>300428</v>
          </cell>
          <cell r="D555" t="str">
            <v>Aparri School of Arts and Trades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</row>
        <row r="556">
          <cell r="C556">
            <v>300429</v>
          </cell>
          <cell r="D556" t="str">
            <v>Baggao National Agricultural School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</row>
        <row r="557">
          <cell r="C557">
            <v>300430</v>
          </cell>
          <cell r="D557" t="str">
            <v>Baggao National School of Arts &amp; Trades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5</v>
          </cell>
          <cell r="J557">
            <v>8</v>
          </cell>
          <cell r="K557">
            <v>0</v>
          </cell>
          <cell r="L557">
            <v>0</v>
          </cell>
        </row>
        <row r="558">
          <cell r="C558">
            <v>300431</v>
          </cell>
          <cell r="D558" t="str">
            <v>Baggao NHS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</row>
        <row r="559">
          <cell r="C559">
            <v>300432</v>
          </cell>
          <cell r="D559" t="str">
            <v>Hacienda Intal NHS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</row>
        <row r="560">
          <cell r="C560">
            <v>300433</v>
          </cell>
          <cell r="D560" t="str">
            <v>Imurung NHS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</row>
        <row r="561">
          <cell r="C561">
            <v>300434</v>
          </cell>
          <cell r="D561" t="str">
            <v>Ballesteros NHS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</row>
        <row r="562">
          <cell r="C562">
            <v>300435</v>
          </cell>
          <cell r="D562" t="str">
            <v>Baua HS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</row>
        <row r="563">
          <cell r="C563">
            <v>300436</v>
          </cell>
          <cell r="D563" t="str">
            <v>Bidduang National High School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</row>
        <row r="564">
          <cell r="C564">
            <v>300437</v>
          </cell>
          <cell r="D564" t="str">
            <v>Bukig National Agricultural and Technical School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7</v>
          </cell>
          <cell r="J564">
            <v>4</v>
          </cell>
          <cell r="K564">
            <v>7</v>
          </cell>
          <cell r="L564">
            <v>4</v>
          </cell>
        </row>
        <row r="565">
          <cell r="C565">
            <v>300438</v>
          </cell>
          <cell r="D565" t="str">
            <v>Cabatacan National High School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</row>
        <row r="566">
          <cell r="C566">
            <v>300439</v>
          </cell>
          <cell r="D566" t="str">
            <v>Nabannagan National High School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</row>
        <row r="567">
          <cell r="C567">
            <v>300440</v>
          </cell>
          <cell r="D567" t="str">
            <v>Calaoagan Dackel National High School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</row>
        <row r="568">
          <cell r="C568">
            <v>300441</v>
          </cell>
          <cell r="D568" t="str">
            <v>Calayan HS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</row>
        <row r="569">
          <cell r="C569">
            <v>300443</v>
          </cell>
          <cell r="D569" t="str">
            <v>Callao National High School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</row>
        <row r="570">
          <cell r="C570">
            <v>300444</v>
          </cell>
          <cell r="D570" t="str">
            <v>Camalaniugan NHS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</row>
        <row r="571">
          <cell r="C571">
            <v>300445</v>
          </cell>
          <cell r="D571" t="str">
            <v>Penablanca National High School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C572">
            <v>300446</v>
          </cell>
          <cell r="D572" t="str">
            <v>Cabbo NHS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</row>
        <row r="573">
          <cell r="C573">
            <v>300447</v>
          </cell>
          <cell r="D573" t="str">
            <v>Casambalangan NHS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</row>
        <row r="574">
          <cell r="C574">
            <v>300449</v>
          </cell>
          <cell r="D574" t="str">
            <v>Claveria NHS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</row>
        <row r="575">
          <cell r="C575">
            <v>300450</v>
          </cell>
          <cell r="D575" t="str">
            <v>Claveria RVS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</row>
        <row r="576">
          <cell r="C576">
            <v>300451</v>
          </cell>
          <cell r="D576" t="str">
            <v>Claveria SAT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7</v>
          </cell>
          <cell r="J576">
            <v>9</v>
          </cell>
          <cell r="K576">
            <v>7</v>
          </cell>
          <cell r="L576">
            <v>9</v>
          </cell>
        </row>
        <row r="577">
          <cell r="C577">
            <v>300452</v>
          </cell>
          <cell r="D577" t="str">
            <v>Cordova National High Sschool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</row>
        <row r="578">
          <cell r="C578">
            <v>300453</v>
          </cell>
          <cell r="D578" t="str">
            <v>Bayabat NHS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C579">
            <v>300454</v>
          </cell>
          <cell r="D579" t="str">
            <v>David M. Puzon MNHS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</row>
        <row r="580">
          <cell r="C580">
            <v>300455</v>
          </cell>
          <cell r="D580" t="str">
            <v>Don Mariano Marcos NHS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</row>
        <row r="581">
          <cell r="C581">
            <v>300456</v>
          </cell>
          <cell r="D581" t="str">
            <v>Don Severino Pagalilauan National High School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3</v>
          </cell>
          <cell r="J581">
            <v>6</v>
          </cell>
          <cell r="K581">
            <v>1</v>
          </cell>
          <cell r="L581">
            <v>0</v>
          </cell>
        </row>
        <row r="582">
          <cell r="C582">
            <v>300457</v>
          </cell>
          <cell r="D582" t="str">
            <v>Penablanca East NHS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2</v>
          </cell>
          <cell r="J582">
            <v>4</v>
          </cell>
          <cell r="K582">
            <v>1</v>
          </cell>
          <cell r="L582">
            <v>1</v>
          </cell>
        </row>
        <row r="583">
          <cell r="C583">
            <v>300458</v>
          </cell>
          <cell r="D583" t="str">
            <v>Enrile Vocational High School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</row>
        <row r="584">
          <cell r="C584">
            <v>300459</v>
          </cell>
          <cell r="D584" t="str">
            <v>Western Enrile Vocational High School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</row>
        <row r="585">
          <cell r="C585">
            <v>300460</v>
          </cell>
          <cell r="D585" t="str">
            <v>Felipe Tuzon Agr'l. School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1</v>
          </cell>
          <cell r="J585">
            <v>1</v>
          </cell>
          <cell r="K585">
            <v>0</v>
          </cell>
          <cell r="L585">
            <v>0</v>
          </cell>
        </row>
        <row r="586">
          <cell r="C586">
            <v>300461</v>
          </cell>
          <cell r="D586" t="str">
            <v>Gadu National High School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</row>
        <row r="587">
          <cell r="C587">
            <v>300462</v>
          </cell>
          <cell r="D587" t="str">
            <v>Gattaran National Trade School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</row>
        <row r="588">
          <cell r="C588">
            <v>300463</v>
          </cell>
          <cell r="D588" t="str">
            <v>Vicente D. Trinidad High School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</row>
        <row r="589">
          <cell r="C589">
            <v>300464</v>
          </cell>
          <cell r="D589" t="str">
            <v>Illuru NHS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</row>
        <row r="590">
          <cell r="C590">
            <v>300465</v>
          </cell>
          <cell r="D590" t="str">
            <v>Ipil National High School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</row>
        <row r="591">
          <cell r="C591">
            <v>300466</v>
          </cell>
          <cell r="D591" t="str">
            <v>Itawes Nat'l. Agr'l. &amp; Tech'l. School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</row>
        <row r="592">
          <cell r="C592">
            <v>300467</v>
          </cell>
          <cell r="D592" t="str">
            <v>Itawes National High School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</row>
        <row r="593">
          <cell r="C593">
            <v>300468</v>
          </cell>
          <cell r="D593" t="str">
            <v>Itawes Nat'l.l Agr'l. &amp; Tech'l. School - Bagumbayan Annex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</row>
        <row r="594">
          <cell r="C594">
            <v>300469</v>
          </cell>
          <cell r="D594" t="str">
            <v>LAL-LO NATIONAL HIGH SCHOOL</v>
          </cell>
          <cell r="E594">
            <v>0</v>
          </cell>
          <cell r="F594">
            <v>2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</row>
        <row r="595">
          <cell r="C595">
            <v>300470</v>
          </cell>
          <cell r="D595" t="str">
            <v>Aparri West National High School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</row>
        <row r="596">
          <cell r="C596">
            <v>300471</v>
          </cell>
          <cell r="D596" t="str">
            <v>Aparri East National High School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</row>
        <row r="597">
          <cell r="C597">
            <v>300472</v>
          </cell>
          <cell r="D597" t="str">
            <v>Lemu NHS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</row>
        <row r="598">
          <cell r="C598">
            <v>300473</v>
          </cell>
          <cell r="D598" t="str">
            <v>Libertad National High School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</row>
        <row r="599">
          <cell r="C599">
            <v>300474</v>
          </cell>
          <cell r="D599" t="str">
            <v>Licerio Antiporda Sr. NHS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</row>
        <row r="600">
          <cell r="C600">
            <v>300475</v>
          </cell>
          <cell r="D600" t="str">
            <v>Logac National High School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</row>
        <row r="601">
          <cell r="C601">
            <v>300476</v>
          </cell>
          <cell r="D601" t="str">
            <v>Magalalag National High School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</row>
        <row r="602">
          <cell r="C602">
            <v>300477</v>
          </cell>
          <cell r="D602" t="str">
            <v>Matucay National High School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</row>
        <row r="603">
          <cell r="C603">
            <v>300478</v>
          </cell>
          <cell r="D603" t="str">
            <v>Mauanan NHS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</row>
        <row r="604">
          <cell r="C604">
            <v>300479</v>
          </cell>
          <cell r="D604" t="str">
            <v>Pamplona National School of Fisheries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3</v>
          </cell>
          <cell r="J604">
            <v>3</v>
          </cell>
          <cell r="K604">
            <v>1</v>
          </cell>
          <cell r="L604">
            <v>2</v>
          </cell>
        </row>
        <row r="605">
          <cell r="C605">
            <v>300480</v>
          </cell>
          <cell r="D605" t="str">
            <v>Pattao NHS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</row>
        <row r="606">
          <cell r="C606">
            <v>300481</v>
          </cell>
          <cell r="D606" t="str">
            <v>Piat National HS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1</v>
          </cell>
          <cell r="J606">
            <v>10</v>
          </cell>
          <cell r="K606">
            <v>1</v>
          </cell>
          <cell r="L606">
            <v>11</v>
          </cell>
        </row>
        <row r="607">
          <cell r="C607">
            <v>300482</v>
          </cell>
          <cell r="D607" t="str">
            <v>Rebecca NHS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</row>
        <row r="608">
          <cell r="C608">
            <v>300483</v>
          </cell>
          <cell r="D608" t="str">
            <v>Gonzaga National High School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</row>
        <row r="609">
          <cell r="C609">
            <v>300485</v>
          </cell>
          <cell r="D609" t="str">
            <v>Sanchez Mira NHS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</row>
        <row r="610">
          <cell r="C610">
            <v>300486</v>
          </cell>
          <cell r="D610" t="str">
            <v>Sanchez Mira SAT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</row>
        <row r="611">
          <cell r="C611">
            <v>300487</v>
          </cell>
          <cell r="D611" t="str">
            <v>Solana Fresh Water Fishery School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</row>
        <row r="612">
          <cell r="C612">
            <v>300488</v>
          </cell>
          <cell r="D612" t="str">
            <v>Sta. Ana Fishery National High School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</row>
        <row r="613">
          <cell r="C613">
            <v>300489</v>
          </cell>
          <cell r="D613" t="str">
            <v>Sta. Praxedes High School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</row>
        <row r="614">
          <cell r="C614">
            <v>300490</v>
          </cell>
          <cell r="D614" t="str">
            <v>Sta. Teresita National High School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</row>
        <row r="615">
          <cell r="C615">
            <v>300491</v>
          </cell>
          <cell r="D615" t="str">
            <v>Sto. Nino NHS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1</v>
          </cell>
          <cell r="J615">
            <v>0</v>
          </cell>
          <cell r="K615">
            <v>0</v>
          </cell>
          <cell r="L615">
            <v>0</v>
          </cell>
        </row>
        <row r="616">
          <cell r="C616">
            <v>300492</v>
          </cell>
          <cell r="D616" t="str">
            <v>TUAO VOCATIONAL AND TECHNICAL SCHOOL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</row>
        <row r="617">
          <cell r="C617">
            <v>300493</v>
          </cell>
          <cell r="D617" t="str">
            <v>Tuao Voc'l. and Tech'l. School - Culung Annex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</row>
        <row r="618">
          <cell r="C618">
            <v>300494</v>
          </cell>
          <cell r="D618" t="str">
            <v>Tuao Voc'l. and Tech'l. School - Pata Annex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</row>
        <row r="619">
          <cell r="C619">
            <v>300497</v>
          </cell>
          <cell r="D619" t="str">
            <v>Western Cagayan SAT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7</v>
          </cell>
          <cell r="J619">
            <v>8</v>
          </cell>
          <cell r="K619">
            <v>2</v>
          </cell>
          <cell r="L619">
            <v>1</v>
          </cell>
        </row>
        <row r="620">
          <cell r="C620">
            <v>306001</v>
          </cell>
          <cell r="D620" t="str">
            <v>Gammad National High School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</row>
        <row r="621">
          <cell r="C621">
            <v>306002</v>
          </cell>
          <cell r="D621" t="str">
            <v>Baggao NAS - Sta. Margarita Annex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</row>
        <row r="622">
          <cell r="C622">
            <v>306003</v>
          </cell>
          <cell r="D622" t="str">
            <v>Lal-lo NHS - Cabayabasan Annex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</row>
        <row r="623">
          <cell r="C623">
            <v>306004</v>
          </cell>
          <cell r="D623" t="str">
            <v>Magapit NHS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</row>
        <row r="624">
          <cell r="C624">
            <v>306005</v>
          </cell>
          <cell r="D624" t="str">
            <v>Licerio Antiporda Sr. NHS - Sta. Isabel Ext.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</row>
        <row r="625">
          <cell r="C625">
            <v>306006</v>
          </cell>
          <cell r="D625" t="str">
            <v>Abariongan National High School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</row>
        <row r="626">
          <cell r="C626">
            <v>306008</v>
          </cell>
          <cell r="D626" t="str">
            <v>Amulung NHS - Baculud Ext.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</row>
        <row r="627">
          <cell r="C627">
            <v>306009</v>
          </cell>
          <cell r="D627" t="str">
            <v>Bayabat NHS - La Suerte Ext.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5</v>
          </cell>
          <cell r="K627">
            <v>0</v>
          </cell>
          <cell r="L627">
            <v>5</v>
          </cell>
        </row>
        <row r="628">
          <cell r="C628">
            <v>306010</v>
          </cell>
          <cell r="D628" t="str">
            <v>PACAC GRANDE NAT'L. HIGH SCHOOL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</row>
        <row r="629">
          <cell r="C629">
            <v>306011</v>
          </cell>
          <cell r="D629" t="str">
            <v>Licerio Antiporda Sr. NHS - Dalaya Ext.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</row>
        <row r="630">
          <cell r="C630">
            <v>306012</v>
          </cell>
          <cell r="D630" t="str">
            <v>Pattao NHS - Maddalero Ext.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</row>
        <row r="631">
          <cell r="C631">
            <v>306013</v>
          </cell>
          <cell r="D631" t="str">
            <v>Luga National High School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</row>
        <row r="632">
          <cell r="C632">
            <v>306014</v>
          </cell>
          <cell r="D632" t="str">
            <v>LUBO NATIONAL HIGH SCHOOL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</row>
        <row r="633">
          <cell r="C633">
            <v>306017</v>
          </cell>
          <cell r="D633" t="str">
            <v>Dadda National High School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</row>
        <row r="634">
          <cell r="C634">
            <v>306019</v>
          </cell>
          <cell r="D634" t="str">
            <v>Tuao Voc'l. and Tech'l. School  Malummin Annex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C635">
            <v>306020</v>
          </cell>
          <cell r="D635" t="str">
            <v>AGAMAN NATIONAL HIGH SCHOOL</v>
          </cell>
          <cell r="E635">
            <v>0</v>
          </cell>
          <cell r="F635">
            <v>0</v>
          </cell>
          <cell r="G635">
            <v>1</v>
          </cell>
          <cell r="H635">
            <v>0</v>
          </cell>
          <cell r="I635">
            <v>1</v>
          </cell>
          <cell r="J635">
            <v>0</v>
          </cell>
          <cell r="K635">
            <v>0</v>
          </cell>
          <cell r="L635">
            <v>0</v>
          </cell>
        </row>
        <row r="636">
          <cell r="C636">
            <v>306421</v>
          </cell>
          <cell r="D636" t="str">
            <v>Caridad B. Trinidad National High School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</row>
        <row r="637">
          <cell r="C637">
            <v>306422</v>
          </cell>
          <cell r="D637" t="str">
            <v>Calaoagan Dackel National High School-Capissayan Annex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</row>
        <row r="638">
          <cell r="C638">
            <v>306423</v>
          </cell>
          <cell r="D638" t="str">
            <v>Cabiraoan National High School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</row>
        <row r="639">
          <cell r="C639">
            <v>306424</v>
          </cell>
          <cell r="D639" t="str">
            <v>Gadu NHS- Nangalisan Extension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</row>
        <row r="640">
          <cell r="C640">
            <v>306428</v>
          </cell>
          <cell r="D640" t="str">
            <v>CFPJ (Carlito F. Pentecostes Jr.) National High School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</row>
        <row r="641">
          <cell r="C641">
            <v>500008</v>
          </cell>
          <cell r="D641" t="str">
            <v>CATARATAN INTEGRATED SCHOOL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</row>
        <row r="642">
          <cell r="C642">
            <v>500009</v>
          </cell>
          <cell r="D642" t="str">
            <v>Utan IS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</row>
        <row r="643">
          <cell r="C643">
            <v>500064</v>
          </cell>
          <cell r="D643" t="str">
            <v>Babuyan Claro IS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</row>
        <row r="644">
          <cell r="C644">
            <v>500066</v>
          </cell>
          <cell r="D644" t="str">
            <v>Sicalao IS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1</v>
          </cell>
          <cell r="J644">
            <v>0</v>
          </cell>
          <cell r="K644">
            <v>1</v>
          </cell>
          <cell r="L644">
            <v>0</v>
          </cell>
        </row>
        <row r="645">
          <cell r="C645">
            <v>500625</v>
          </cell>
          <cell r="D645" t="str">
            <v>Namuccayan Integrated School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</row>
        <row r="646">
          <cell r="C646">
            <v>300498</v>
          </cell>
          <cell r="D646" t="str">
            <v>Addalam Region HS - Main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</row>
        <row r="647">
          <cell r="C647">
            <v>300499</v>
          </cell>
          <cell r="D647" t="str">
            <v>Alicia Vocational School</v>
          </cell>
          <cell r="E647">
            <v>1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1</v>
          </cell>
          <cell r="L647">
            <v>0</v>
          </cell>
        </row>
        <row r="648">
          <cell r="C648">
            <v>300500</v>
          </cell>
          <cell r="D648" t="str">
            <v>Alicia National High School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</row>
        <row r="649">
          <cell r="C649">
            <v>300501</v>
          </cell>
          <cell r="D649" t="str">
            <v>Angadanan High School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</row>
        <row r="650">
          <cell r="C650">
            <v>300502</v>
          </cell>
          <cell r="D650" t="str">
            <v>Villa Domingo National High School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</row>
        <row r="651">
          <cell r="C651">
            <v>300503</v>
          </cell>
          <cell r="D651" t="str">
            <v>Benito Soliven National High School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6</v>
          </cell>
          <cell r="J651">
            <v>5</v>
          </cell>
          <cell r="K651">
            <v>0</v>
          </cell>
          <cell r="L651">
            <v>0</v>
          </cell>
        </row>
        <row r="652">
          <cell r="C652">
            <v>300504</v>
          </cell>
          <cell r="D652" t="str">
            <v>Cabatuan National High School</v>
          </cell>
          <cell r="E652">
            <v>0</v>
          </cell>
          <cell r="F652">
            <v>0</v>
          </cell>
          <cell r="G652">
            <v>1</v>
          </cell>
          <cell r="H652">
            <v>0</v>
          </cell>
          <cell r="I652">
            <v>0</v>
          </cell>
          <cell r="J652">
            <v>0</v>
          </cell>
          <cell r="K652">
            <v>1</v>
          </cell>
          <cell r="L652">
            <v>0</v>
          </cell>
        </row>
        <row r="653">
          <cell r="C653">
            <v>300506</v>
          </cell>
          <cell r="D653" t="str">
            <v>Cadaloria High School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3</v>
          </cell>
          <cell r="J653">
            <v>4</v>
          </cell>
          <cell r="K653">
            <v>0</v>
          </cell>
          <cell r="L653">
            <v>0</v>
          </cell>
        </row>
        <row r="654">
          <cell r="C654">
            <v>300508</v>
          </cell>
          <cell r="D654" t="str">
            <v>Cagasat National High School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</row>
        <row r="655">
          <cell r="C655">
            <v>300509</v>
          </cell>
          <cell r="D655" t="str">
            <v>Burgos National High School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</row>
        <row r="656">
          <cell r="C656">
            <v>300510</v>
          </cell>
          <cell r="D656" t="str">
            <v>Bacnor National High School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</row>
        <row r="657">
          <cell r="C657">
            <v>300511</v>
          </cell>
          <cell r="D657" t="str">
            <v>San Antonino National High School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</row>
        <row r="658">
          <cell r="C658">
            <v>300512</v>
          </cell>
          <cell r="D658" t="str">
            <v>Callang National High School - Main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</row>
        <row r="659">
          <cell r="C659">
            <v>300513</v>
          </cell>
          <cell r="D659" t="str">
            <v>Malalinta National High School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</row>
        <row r="660">
          <cell r="C660">
            <v>300514</v>
          </cell>
          <cell r="D660" t="str">
            <v>Sandiat National High School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</row>
        <row r="661">
          <cell r="C661">
            <v>300518</v>
          </cell>
          <cell r="D661" t="str">
            <v>Dabubu High School - Main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</row>
        <row r="662">
          <cell r="C662">
            <v>300520</v>
          </cell>
          <cell r="D662" t="str">
            <v>Delfin Albano High School-Main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</row>
        <row r="663">
          <cell r="C663">
            <v>300521</v>
          </cell>
          <cell r="D663" t="str">
            <v>Alfreda Albano National High School - Magassi, Cabagan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</row>
        <row r="664">
          <cell r="C664">
            <v>300522</v>
          </cell>
          <cell r="D664" t="str">
            <v>Delfin Albano High School - San Juan Annex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</row>
        <row r="665">
          <cell r="C665">
            <v>300523</v>
          </cell>
          <cell r="D665" t="str">
            <v>Diadi Region High School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</row>
        <row r="666">
          <cell r="C666">
            <v>300524</v>
          </cell>
          <cell r="D666" t="str">
            <v>Dibuluan National High School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3</v>
          </cell>
          <cell r="J666">
            <v>2</v>
          </cell>
          <cell r="K666">
            <v>3</v>
          </cell>
          <cell r="L666">
            <v>2</v>
          </cell>
        </row>
        <row r="667">
          <cell r="C667">
            <v>300526</v>
          </cell>
          <cell r="D667" t="str">
            <v>Dinapigue National High School</v>
          </cell>
          <cell r="E667">
            <v>0</v>
          </cell>
          <cell r="F667">
            <v>0</v>
          </cell>
          <cell r="G667">
            <v>2</v>
          </cell>
          <cell r="H667">
            <v>0</v>
          </cell>
          <cell r="I667">
            <v>0</v>
          </cell>
          <cell r="J667">
            <v>2</v>
          </cell>
          <cell r="K667">
            <v>0</v>
          </cell>
          <cell r="L667">
            <v>0</v>
          </cell>
        </row>
        <row r="668">
          <cell r="C668">
            <v>300529</v>
          </cell>
          <cell r="D668" t="str">
            <v>Don Mariano Marcos National High School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4</v>
          </cell>
          <cell r="J668">
            <v>7</v>
          </cell>
          <cell r="K668">
            <v>0</v>
          </cell>
          <cell r="L668">
            <v>0</v>
          </cell>
        </row>
        <row r="669">
          <cell r="C669">
            <v>300532</v>
          </cell>
          <cell r="D669" t="str">
            <v>Dona Josefa E. Marcos High School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</row>
        <row r="670">
          <cell r="C670">
            <v>300533</v>
          </cell>
          <cell r="D670" t="str">
            <v>Dona Magdalena H. Gaffud HIgh School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</row>
        <row r="671">
          <cell r="C671">
            <v>300534</v>
          </cell>
          <cell r="D671" t="str">
            <v>Dorganda High School</v>
          </cell>
          <cell r="E671">
            <v>0</v>
          </cell>
          <cell r="F671">
            <v>0</v>
          </cell>
          <cell r="G671">
            <v>0</v>
          </cell>
          <cell r="H671">
            <v>3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</row>
        <row r="672">
          <cell r="C672">
            <v>300537</v>
          </cell>
          <cell r="D672" t="str">
            <v>Gamu Rural School-Main</v>
          </cell>
          <cell r="E672">
            <v>0</v>
          </cell>
          <cell r="F672">
            <v>0</v>
          </cell>
          <cell r="G672">
            <v>0</v>
          </cell>
          <cell r="H672">
            <v>1</v>
          </cell>
          <cell r="I672">
            <v>0</v>
          </cell>
          <cell r="J672">
            <v>1</v>
          </cell>
          <cell r="K672">
            <v>0</v>
          </cell>
          <cell r="L672">
            <v>0</v>
          </cell>
        </row>
        <row r="673">
          <cell r="C673">
            <v>300539</v>
          </cell>
          <cell r="D673" t="str">
            <v>Highway Region National High School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</row>
        <row r="674">
          <cell r="C674">
            <v>300541</v>
          </cell>
          <cell r="D674" t="str">
            <v>Imelda R. Marcos High School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</row>
        <row r="675">
          <cell r="C675">
            <v>300546</v>
          </cell>
          <cell r="D675" t="str">
            <v>Andabuen National High School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</row>
        <row r="676">
          <cell r="C676">
            <v>300547</v>
          </cell>
          <cell r="D676" t="str">
            <v>Antagan National High School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1</v>
          </cell>
          <cell r="J676">
            <v>4</v>
          </cell>
          <cell r="K676">
            <v>0</v>
          </cell>
          <cell r="L676">
            <v>0</v>
          </cell>
        </row>
        <row r="677">
          <cell r="C677">
            <v>300549</v>
          </cell>
          <cell r="D677" t="str">
            <v>Divilacan National High School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6</v>
          </cell>
          <cell r="K677">
            <v>0</v>
          </cell>
          <cell r="L677">
            <v>6</v>
          </cell>
        </row>
        <row r="678">
          <cell r="C678">
            <v>300551</v>
          </cell>
          <cell r="D678" t="str">
            <v>Lanna National High School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</row>
        <row r="679">
          <cell r="C679">
            <v>300554</v>
          </cell>
          <cell r="D679" t="str">
            <v>Isabela School of Fisheries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</row>
        <row r="680">
          <cell r="C680">
            <v>300555</v>
          </cell>
          <cell r="D680" t="str">
            <v>Jones Rural School - Main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</row>
        <row r="681">
          <cell r="C681">
            <v>300556</v>
          </cell>
          <cell r="D681" t="str">
            <v>Lalauanan National High School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</row>
        <row r="682">
          <cell r="C682">
            <v>300558</v>
          </cell>
          <cell r="D682" t="str">
            <v>Luna National High School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</row>
        <row r="683">
          <cell r="C683">
            <v>300559</v>
          </cell>
          <cell r="D683" t="str">
            <v>Mabini National High School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</row>
        <row r="684">
          <cell r="C684">
            <v>300560</v>
          </cell>
          <cell r="D684" t="str">
            <v>Maconacon National High School</v>
          </cell>
          <cell r="E684">
            <v>0</v>
          </cell>
          <cell r="F684">
            <v>0</v>
          </cell>
          <cell r="G684">
            <v>1</v>
          </cell>
          <cell r="H684">
            <v>0</v>
          </cell>
          <cell r="I684">
            <v>0</v>
          </cell>
          <cell r="J684">
            <v>1</v>
          </cell>
          <cell r="K684">
            <v>0</v>
          </cell>
          <cell r="L684">
            <v>0</v>
          </cell>
        </row>
        <row r="685">
          <cell r="C685">
            <v>300561</v>
          </cell>
          <cell r="D685" t="str">
            <v>Mallig National High School-Main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</row>
        <row r="686">
          <cell r="C686">
            <v>300562</v>
          </cell>
          <cell r="D686" t="str">
            <v>Munoz High School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</row>
        <row r="687">
          <cell r="C687">
            <v>300563</v>
          </cell>
          <cell r="D687" t="str">
            <v>Naguillian National High School</v>
          </cell>
          <cell r="E687">
            <v>0</v>
          </cell>
          <cell r="F687">
            <v>0</v>
          </cell>
          <cell r="G687">
            <v>1</v>
          </cell>
          <cell r="H687">
            <v>3</v>
          </cell>
          <cell r="I687">
            <v>5</v>
          </cell>
          <cell r="J687">
            <v>12</v>
          </cell>
          <cell r="K687">
            <v>5</v>
          </cell>
          <cell r="L687">
            <v>12</v>
          </cell>
        </row>
        <row r="688">
          <cell r="C688">
            <v>300564</v>
          </cell>
          <cell r="D688" t="str">
            <v>Palanan National High School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</row>
        <row r="689">
          <cell r="C689">
            <v>300565</v>
          </cell>
          <cell r="D689" t="str">
            <v>Palayan Region High School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</row>
        <row r="690">
          <cell r="C690">
            <v>300566</v>
          </cell>
          <cell r="D690" t="str">
            <v>Pangal Sur High School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</row>
        <row r="691">
          <cell r="C691">
            <v>300568</v>
          </cell>
          <cell r="D691" t="str">
            <v>Quezon National High School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</row>
        <row r="692">
          <cell r="C692">
            <v>300569</v>
          </cell>
          <cell r="D692" t="str">
            <v>Quirino National High School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</row>
        <row r="693">
          <cell r="C693">
            <v>300571</v>
          </cell>
          <cell r="D693" t="str">
            <v>Ramon National High School</v>
          </cell>
          <cell r="E693">
            <v>0</v>
          </cell>
          <cell r="F693">
            <v>0</v>
          </cell>
          <cell r="G693">
            <v>1</v>
          </cell>
          <cell r="H693">
            <v>0</v>
          </cell>
          <cell r="I693">
            <v>0</v>
          </cell>
          <cell r="J693">
            <v>1</v>
          </cell>
          <cell r="K693">
            <v>0</v>
          </cell>
          <cell r="L693">
            <v>0</v>
          </cell>
        </row>
        <row r="694">
          <cell r="C694">
            <v>300572</v>
          </cell>
          <cell r="D694" t="str">
            <v>General Emilio Aguinaldo National High School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4</v>
          </cell>
          <cell r="J694">
            <v>3</v>
          </cell>
          <cell r="K694">
            <v>4</v>
          </cell>
          <cell r="L694">
            <v>3</v>
          </cell>
        </row>
        <row r="695">
          <cell r="C695">
            <v>300574</v>
          </cell>
          <cell r="D695" t="str">
            <v>Raniag HIgh School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</row>
        <row r="696">
          <cell r="C696">
            <v>300575</v>
          </cell>
          <cell r="D696" t="str">
            <v>Reina Mercedes Vocational and Industrial School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</row>
        <row r="697">
          <cell r="C697">
            <v>300576</v>
          </cell>
          <cell r="D697" t="str">
            <v>Rizal Region National High School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</row>
        <row r="698">
          <cell r="C698">
            <v>300579</v>
          </cell>
          <cell r="D698" t="str">
            <v>Roxas National High School</v>
          </cell>
          <cell r="E698">
            <v>0</v>
          </cell>
          <cell r="F698">
            <v>0</v>
          </cell>
          <cell r="G698">
            <v>2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</row>
        <row r="699">
          <cell r="C699">
            <v>300580</v>
          </cell>
          <cell r="D699" t="str">
            <v>Lanting Region National High School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</row>
        <row r="700">
          <cell r="C700">
            <v>300581</v>
          </cell>
          <cell r="D700" t="str">
            <v>Salinungan National High School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</row>
        <row r="701">
          <cell r="C701">
            <v>300582</v>
          </cell>
          <cell r="D701" t="str">
            <v>San Agustin National High School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</row>
        <row r="702">
          <cell r="C702">
            <v>300585</v>
          </cell>
          <cell r="D702" t="str">
            <v>San Antonio National High School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</row>
        <row r="703">
          <cell r="C703">
            <v>300586</v>
          </cell>
          <cell r="D703" t="str">
            <v>Josefina Albano National High School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</row>
        <row r="704">
          <cell r="C704">
            <v>300587</v>
          </cell>
          <cell r="D704" t="str">
            <v>Ragan Sur National High School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4</v>
          </cell>
          <cell r="J704">
            <v>5</v>
          </cell>
          <cell r="K704">
            <v>4</v>
          </cell>
          <cell r="L704">
            <v>6</v>
          </cell>
        </row>
        <row r="705">
          <cell r="C705">
            <v>300590</v>
          </cell>
          <cell r="D705" t="str">
            <v>San Guillermo Vocational &amp; Industrial High School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</row>
        <row r="706">
          <cell r="C706">
            <v>300591</v>
          </cell>
          <cell r="D706" t="str">
            <v>San Isidro National High School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</row>
        <row r="707">
          <cell r="C707">
            <v>300592</v>
          </cell>
          <cell r="D707" t="str">
            <v>San Mariano National High School - Main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</row>
        <row r="708">
          <cell r="C708">
            <v>300593</v>
          </cell>
          <cell r="D708" t="str">
            <v>Alibadabad National High School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</row>
        <row r="709">
          <cell r="C709">
            <v>300595</v>
          </cell>
          <cell r="D709" t="str">
            <v>Ueg National High School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</row>
        <row r="710">
          <cell r="C710">
            <v>300596</v>
          </cell>
          <cell r="D710" t="str">
            <v>San Mateo Vocational and Industrial High School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</row>
        <row r="711">
          <cell r="C711">
            <v>300597</v>
          </cell>
          <cell r="D711" t="str">
            <v>San Pablo National High School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</row>
        <row r="712">
          <cell r="C712">
            <v>300600</v>
          </cell>
          <cell r="D712" t="str">
            <v>Sgt. Prospero Bello HS - Main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</row>
        <row r="713">
          <cell r="C713">
            <v>300601</v>
          </cell>
          <cell r="D713" t="str">
            <v>St. Paul Vocational &amp; Industrial High School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</row>
        <row r="714">
          <cell r="C714">
            <v>300603</v>
          </cell>
          <cell r="D714" t="str">
            <v>Santa Maria High School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7</v>
          </cell>
          <cell r="J714">
            <v>12</v>
          </cell>
          <cell r="K714">
            <v>0</v>
          </cell>
          <cell r="L714">
            <v>0</v>
          </cell>
        </row>
        <row r="715">
          <cell r="C715">
            <v>300604</v>
          </cell>
          <cell r="D715" t="str">
            <v>Naganacan-Villabuena National High School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</row>
        <row r="716">
          <cell r="C716">
            <v>300605</v>
          </cell>
          <cell r="D716" t="str">
            <v>Buenaventura G. Masigan National High School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</row>
        <row r="717">
          <cell r="C717">
            <v>300606</v>
          </cell>
          <cell r="D717" t="str">
            <v>Santo Tomas National High School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6</v>
          </cell>
          <cell r="J717">
            <v>14</v>
          </cell>
          <cell r="K717">
            <v>0</v>
          </cell>
          <cell r="L717">
            <v>0</v>
          </cell>
        </row>
        <row r="718">
          <cell r="C718">
            <v>300609</v>
          </cell>
          <cell r="D718" t="str">
            <v>Tumauini National High School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2</v>
          </cell>
          <cell r="K718">
            <v>0</v>
          </cell>
          <cell r="L718">
            <v>2</v>
          </cell>
        </row>
        <row r="719">
          <cell r="C719">
            <v>300610</v>
          </cell>
          <cell r="D719" t="str">
            <v>Regional Science High School for Region II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</row>
        <row r="720">
          <cell r="C720">
            <v>300611</v>
          </cell>
          <cell r="D720" t="str">
            <v>Ugad High School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</row>
        <row r="721">
          <cell r="C721">
            <v>300612</v>
          </cell>
          <cell r="D721" t="str">
            <v>Echague National High School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</row>
        <row r="722">
          <cell r="C722">
            <v>305731</v>
          </cell>
          <cell r="D722" t="str">
            <v>Delfin Albano (Magsaysay) Stand Alone Senior High School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</row>
        <row r="723">
          <cell r="C723">
            <v>306101</v>
          </cell>
          <cell r="D723" t="str">
            <v>Calanigan National High School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</row>
        <row r="724">
          <cell r="C724">
            <v>306109</v>
          </cell>
          <cell r="D724" t="str">
            <v>Fermeldy National High School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1</v>
          </cell>
          <cell r="K724">
            <v>0</v>
          </cell>
          <cell r="L724">
            <v>0</v>
          </cell>
        </row>
        <row r="725">
          <cell r="C725">
            <v>306110</v>
          </cell>
          <cell r="D725" t="str">
            <v>San Jose National High School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</row>
        <row r="726">
          <cell r="C726">
            <v>306111</v>
          </cell>
          <cell r="D726" t="str">
            <v>Monico Rarama National High School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</row>
        <row r="727">
          <cell r="C727">
            <v>306112</v>
          </cell>
          <cell r="D727" t="str">
            <v>Barucboc National High School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</row>
        <row r="728">
          <cell r="C728">
            <v>306114</v>
          </cell>
          <cell r="D728" t="str">
            <v>La Paz National High School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</row>
        <row r="729">
          <cell r="C729">
            <v>306115</v>
          </cell>
          <cell r="D729" t="str">
            <v>Luis-Fe Gomez Diamantina National High School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</row>
        <row r="730">
          <cell r="C730">
            <v>306116</v>
          </cell>
          <cell r="D730" t="str">
            <v>Reina Mercedes National High School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2</v>
          </cell>
          <cell r="J730">
            <v>2</v>
          </cell>
          <cell r="K730">
            <v>4</v>
          </cell>
          <cell r="L730">
            <v>2</v>
          </cell>
        </row>
        <row r="731">
          <cell r="C731">
            <v>306117</v>
          </cell>
          <cell r="D731" t="str">
            <v>San Mateo General Comprehensive High School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</row>
        <row r="732">
          <cell r="C732">
            <v>306123</v>
          </cell>
          <cell r="D732" t="str">
            <v>Manuel L. Quezon National High School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</row>
        <row r="733">
          <cell r="C733">
            <v>306127</v>
          </cell>
          <cell r="D733" t="str">
            <v>San Mateo National High School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</row>
        <row r="734">
          <cell r="C734">
            <v>306132</v>
          </cell>
          <cell r="D734" t="str">
            <v>Simanu National High School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1</v>
          </cell>
          <cell r="J734">
            <v>5</v>
          </cell>
          <cell r="K734">
            <v>0</v>
          </cell>
          <cell r="L734">
            <v>0</v>
          </cell>
        </row>
        <row r="735">
          <cell r="C735">
            <v>306135</v>
          </cell>
          <cell r="D735" t="str">
            <v>Matusalem National High School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</row>
        <row r="736">
          <cell r="C736">
            <v>306137</v>
          </cell>
          <cell r="D736" t="str">
            <v>Daragutan East National High School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</row>
        <row r="737">
          <cell r="C737">
            <v>306143</v>
          </cell>
          <cell r="D737" t="str">
            <v>Cagasat HS-Magsaysay Annex</v>
          </cell>
          <cell r="E737">
            <v>0</v>
          </cell>
          <cell r="F737">
            <v>0</v>
          </cell>
          <cell r="G737">
            <v>1</v>
          </cell>
          <cell r="H737">
            <v>0</v>
          </cell>
          <cell r="I737">
            <v>1</v>
          </cell>
          <cell r="J737">
            <v>0</v>
          </cell>
          <cell r="K737">
            <v>0</v>
          </cell>
          <cell r="L737">
            <v>0</v>
          </cell>
        </row>
        <row r="738">
          <cell r="C738">
            <v>306150</v>
          </cell>
          <cell r="D738" t="str">
            <v>Luna General Comprehensive High School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</row>
        <row r="739">
          <cell r="C739">
            <v>306157</v>
          </cell>
          <cell r="D739" t="str">
            <v>Cabaruan Integrated School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</row>
        <row r="740">
          <cell r="C740">
            <v>306166</v>
          </cell>
          <cell r="D740" t="str">
            <v>Mallig Plains National High School</v>
          </cell>
          <cell r="E740">
            <v>0</v>
          </cell>
          <cell r="F740">
            <v>0</v>
          </cell>
          <cell r="G740">
            <v>3</v>
          </cell>
          <cell r="H740">
            <v>0</v>
          </cell>
          <cell r="I740">
            <v>2</v>
          </cell>
          <cell r="J740">
            <v>2</v>
          </cell>
          <cell r="K740">
            <v>0</v>
          </cell>
          <cell r="L740">
            <v>0</v>
          </cell>
        </row>
        <row r="741">
          <cell r="C741">
            <v>342077</v>
          </cell>
          <cell r="D741" t="str">
            <v>Aurora Senior High School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</row>
        <row r="742">
          <cell r="C742">
            <v>342078</v>
          </cell>
          <cell r="D742" t="str">
            <v>Isabela Sports Senior High School</v>
          </cell>
          <cell r="E742">
            <v>1</v>
          </cell>
          <cell r="F742">
            <v>0</v>
          </cell>
          <cell r="G742">
            <v>0</v>
          </cell>
          <cell r="H742">
            <v>0</v>
          </cell>
          <cell r="I742">
            <v>1</v>
          </cell>
          <cell r="J742">
            <v>0</v>
          </cell>
          <cell r="K742">
            <v>0</v>
          </cell>
          <cell r="L742">
            <v>0</v>
          </cell>
        </row>
        <row r="743">
          <cell r="C743">
            <v>500014</v>
          </cell>
          <cell r="D743" t="str">
            <v>Del Pilar Integrated School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</row>
        <row r="744">
          <cell r="C744">
            <v>500022</v>
          </cell>
          <cell r="D744" t="str">
            <v>Rizal Integrated School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</row>
        <row r="745">
          <cell r="C745">
            <v>500023</v>
          </cell>
          <cell r="D745" t="str">
            <v>Sto. Niño Integrated School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</row>
        <row r="746">
          <cell r="C746">
            <v>500068</v>
          </cell>
          <cell r="D746" t="str">
            <v>Villa Cacho Integrated School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</row>
        <row r="747">
          <cell r="C747">
            <v>500070</v>
          </cell>
          <cell r="D747" t="str">
            <v>San Jose Integrated School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</row>
        <row r="748">
          <cell r="C748">
            <v>500073</v>
          </cell>
          <cell r="D748" t="str">
            <v>Wigan Integrated School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</row>
        <row r="749">
          <cell r="C749">
            <v>500076</v>
          </cell>
          <cell r="D749" t="str">
            <v>Turod Integrated School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</row>
        <row r="750">
          <cell r="C750">
            <v>500077</v>
          </cell>
          <cell r="D750" t="str">
            <v>Bimonton Integrated School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1</v>
          </cell>
          <cell r="J750">
            <v>1</v>
          </cell>
          <cell r="K750">
            <v>0</v>
          </cell>
          <cell r="L750">
            <v>0</v>
          </cell>
        </row>
        <row r="751">
          <cell r="C751">
            <v>500081</v>
          </cell>
          <cell r="D751" t="str">
            <v>San Sebastian Integrated School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</row>
        <row r="752">
          <cell r="C752">
            <v>500082</v>
          </cell>
          <cell r="D752" t="str">
            <v>Sto. Domingo Integrated School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</row>
        <row r="753">
          <cell r="C753">
            <v>500086</v>
          </cell>
          <cell r="D753" t="str">
            <v>Dicamay Integrated School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</row>
        <row r="754">
          <cell r="C754">
            <v>500088</v>
          </cell>
          <cell r="D754" t="str">
            <v>Cumabao Integrated School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</row>
        <row r="755">
          <cell r="C755">
            <v>500091</v>
          </cell>
          <cell r="D755" t="str">
            <v>Cebu Integrated School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</row>
        <row r="756">
          <cell r="C756">
            <v>500092</v>
          </cell>
          <cell r="D756" t="str">
            <v>San Miguel Integrated School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</row>
        <row r="757">
          <cell r="C757">
            <v>500094</v>
          </cell>
          <cell r="D757" t="str">
            <v>Simimbaan Integrated School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</row>
        <row r="758">
          <cell r="C758">
            <v>501202</v>
          </cell>
          <cell r="D758" t="str">
            <v>Cabaruan Integrated School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</row>
        <row r="759">
          <cell r="C759">
            <v>300615</v>
          </cell>
          <cell r="D759" t="str">
            <v>Alfonso CastaÃ±eda NHS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</row>
        <row r="760">
          <cell r="C760">
            <v>300616</v>
          </cell>
          <cell r="D760" t="str">
            <v>Casecnan National High School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</row>
        <row r="761">
          <cell r="C761">
            <v>300617</v>
          </cell>
          <cell r="D761" t="str">
            <v>Ambaguio High School</v>
          </cell>
          <cell r="E761">
            <v>0</v>
          </cell>
          <cell r="F761">
            <v>0</v>
          </cell>
          <cell r="G761">
            <v>0</v>
          </cell>
          <cell r="H761">
            <v>1</v>
          </cell>
          <cell r="I761">
            <v>0</v>
          </cell>
          <cell r="J761">
            <v>1</v>
          </cell>
          <cell r="K761">
            <v>0</v>
          </cell>
          <cell r="L761">
            <v>0</v>
          </cell>
        </row>
        <row r="762">
          <cell r="C762">
            <v>300618</v>
          </cell>
          <cell r="D762" t="str">
            <v>Aritao National High School</v>
          </cell>
          <cell r="E762">
            <v>3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3</v>
          </cell>
          <cell r="K762">
            <v>0</v>
          </cell>
          <cell r="L762">
            <v>0</v>
          </cell>
        </row>
        <row r="763">
          <cell r="C763">
            <v>300619</v>
          </cell>
          <cell r="D763" t="str">
            <v>Bagabag NHS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</row>
        <row r="764">
          <cell r="C764">
            <v>300620</v>
          </cell>
          <cell r="D764" t="str">
            <v>Bambang NHS</v>
          </cell>
          <cell r="E764">
            <v>5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4</v>
          </cell>
          <cell r="K764">
            <v>0</v>
          </cell>
          <cell r="L764">
            <v>1</v>
          </cell>
        </row>
        <row r="765">
          <cell r="C765">
            <v>300621</v>
          </cell>
          <cell r="D765" t="str">
            <v>Bascaran NHS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</row>
        <row r="766">
          <cell r="C766">
            <v>300622</v>
          </cell>
          <cell r="D766" t="str">
            <v>Belance HS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</row>
        <row r="767">
          <cell r="C767">
            <v>300623</v>
          </cell>
          <cell r="D767" t="str">
            <v>Bintawan NHS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5</v>
          </cell>
          <cell r="J767">
            <v>7</v>
          </cell>
          <cell r="K767">
            <v>5</v>
          </cell>
          <cell r="L767">
            <v>7</v>
          </cell>
        </row>
        <row r="768">
          <cell r="C768">
            <v>300624</v>
          </cell>
          <cell r="D768" t="str">
            <v>Bugkalot High School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</row>
        <row r="769">
          <cell r="C769">
            <v>300625</v>
          </cell>
          <cell r="D769" t="str">
            <v>Carolotan High School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3</v>
          </cell>
          <cell r="J769">
            <v>1</v>
          </cell>
          <cell r="K769">
            <v>0</v>
          </cell>
          <cell r="L769">
            <v>0</v>
          </cell>
        </row>
        <row r="770">
          <cell r="C770">
            <v>300626</v>
          </cell>
          <cell r="D770" t="str">
            <v>Casat NHS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</row>
        <row r="771">
          <cell r="C771">
            <v>300627</v>
          </cell>
          <cell r="D771" t="str">
            <v>Diadi NHS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</row>
        <row r="772">
          <cell r="C772">
            <v>300628</v>
          </cell>
          <cell r="D772" t="str">
            <v>Dupax del Sur NHS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3</v>
          </cell>
          <cell r="J772">
            <v>7</v>
          </cell>
          <cell r="K772">
            <v>0</v>
          </cell>
          <cell r="L772">
            <v>0</v>
          </cell>
        </row>
        <row r="773">
          <cell r="C773">
            <v>300629</v>
          </cell>
          <cell r="D773" t="str">
            <v>Ganao National HS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</row>
        <row r="774">
          <cell r="C774">
            <v>300630</v>
          </cell>
          <cell r="D774" t="str">
            <v>Kakiduguen NHS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</row>
        <row r="775">
          <cell r="C775">
            <v>300631</v>
          </cell>
          <cell r="D775" t="str">
            <v>Kasibu National Agricultural School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</row>
        <row r="776">
          <cell r="C776">
            <v>300632</v>
          </cell>
          <cell r="D776" t="str">
            <v>Kayapa HS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1</v>
          </cell>
          <cell r="K776">
            <v>0</v>
          </cell>
          <cell r="L776">
            <v>0</v>
          </cell>
        </row>
        <row r="777">
          <cell r="C777">
            <v>300633</v>
          </cell>
          <cell r="D777" t="str">
            <v>Martinez Cuyangan National High School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2</v>
          </cell>
          <cell r="J777">
            <v>3</v>
          </cell>
          <cell r="K777">
            <v>2</v>
          </cell>
          <cell r="L777">
            <v>3</v>
          </cell>
        </row>
        <row r="778">
          <cell r="C778">
            <v>300634</v>
          </cell>
          <cell r="D778" t="str">
            <v>Kongkong Valley NHS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1</v>
          </cell>
          <cell r="K778">
            <v>0</v>
          </cell>
          <cell r="L778">
            <v>0</v>
          </cell>
        </row>
        <row r="779">
          <cell r="C779">
            <v>300635</v>
          </cell>
          <cell r="D779" t="str">
            <v>LAMO NATIONAL HIGH SCHOOL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2</v>
          </cell>
          <cell r="K779">
            <v>0</v>
          </cell>
          <cell r="L779">
            <v>2</v>
          </cell>
        </row>
        <row r="780">
          <cell r="C780">
            <v>300636</v>
          </cell>
          <cell r="D780" t="str">
            <v>Malabing Valley NHS-INTEGRATED SENIOR HIGH SCHOOL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3</v>
          </cell>
          <cell r="J780">
            <v>2</v>
          </cell>
          <cell r="K780">
            <v>3</v>
          </cell>
          <cell r="L780">
            <v>2</v>
          </cell>
        </row>
        <row r="781">
          <cell r="C781">
            <v>300637</v>
          </cell>
          <cell r="D781" t="str">
            <v>Munguia NHS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</row>
        <row r="782">
          <cell r="C782">
            <v>300638</v>
          </cell>
          <cell r="D782" t="str">
            <v>Murong NHS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</row>
        <row r="783">
          <cell r="C783">
            <v>300639</v>
          </cell>
          <cell r="D783" t="str">
            <v>Nansiakan NHS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</row>
        <row r="784">
          <cell r="C784">
            <v>300641</v>
          </cell>
          <cell r="D784" t="str">
            <v>Nueva Vizcaya Gen. CHS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</row>
        <row r="785">
          <cell r="C785">
            <v>300642</v>
          </cell>
          <cell r="D785" t="str">
            <v>PAIMA NATIONAL HIGH SCHOOL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</row>
        <row r="786">
          <cell r="C786">
            <v>300643</v>
          </cell>
          <cell r="D786" t="str">
            <v>Paniki High School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</row>
        <row r="787">
          <cell r="C787">
            <v>300644</v>
          </cell>
          <cell r="D787" t="str">
            <v>Quezon NHS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</row>
        <row r="788">
          <cell r="C788">
            <v>300645</v>
          </cell>
          <cell r="D788" t="str">
            <v>Salinas High School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2</v>
          </cell>
          <cell r="J788">
            <v>2</v>
          </cell>
          <cell r="K788">
            <v>0</v>
          </cell>
          <cell r="L788">
            <v>0</v>
          </cell>
        </row>
        <row r="789">
          <cell r="C789">
            <v>300646</v>
          </cell>
          <cell r="D789" t="str">
            <v>Solano High School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</row>
        <row r="790">
          <cell r="C790">
            <v>300647</v>
          </cell>
          <cell r="D790" t="str">
            <v>Sta. Clara HS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</row>
        <row r="791">
          <cell r="C791">
            <v>300648</v>
          </cell>
          <cell r="D791" t="str">
            <v>Sta. Cruz Pingkian High School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1</v>
          </cell>
          <cell r="K791">
            <v>0</v>
          </cell>
          <cell r="L791">
            <v>0</v>
          </cell>
        </row>
        <row r="792">
          <cell r="C792">
            <v>300649</v>
          </cell>
          <cell r="D792" t="str">
            <v>Santa Fe National High School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</row>
        <row r="793">
          <cell r="C793">
            <v>300650</v>
          </cell>
          <cell r="D793" t="str">
            <v>Tuao HS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</row>
        <row r="794">
          <cell r="C794">
            <v>300651</v>
          </cell>
          <cell r="D794" t="str">
            <v>Uddiawan National High School</v>
          </cell>
          <cell r="E794">
            <v>1</v>
          </cell>
          <cell r="F794">
            <v>1</v>
          </cell>
          <cell r="G794">
            <v>0</v>
          </cell>
          <cell r="H794">
            <v>0</v>
          </cell>
          <cell r="I794">
            <v>1</v>
          </cell>
          <cell r="J794">
            <v>1</v>
          </cell>
          <cell r="K794">
            <v>0</v>
          </cell>
          <cell r="L794">
            <v>0</v>
          </cell>
        </row>
        <row r="795">
          <cell r="C795">
            <v>304684</v>
          </cell>
          <cell r="D795" t="str">
            <v>Philippine Science High School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</row>
        <row r="796">
          <cell r="C796">
            <v>306202</v>
          </cell>
          <cell r="D796" t="str">
            <v>Bonfal National High School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10</v>
          </cell>
          <cell r="J796">
            <v>23</v>
          </cell>
          <cell r="K796">
            <v>10</v>
          </cell>
          <cell r="L796">
            <v>23</v>
          </cell>
        </row>
        <row r="797">
          <cell r="C797">
            <v>306204</v>
          </cell>
          <cell r="D797" t="str">
            <v>Runruno National High School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</row>
        <row r="798">
          <cell r="C798">
            <v>306205</v>
          </cell>
          <cell r="D798" t="str">
            <v>Canabuan National High School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</row>
        <row r="799">
          <cell r="C799">
            <v>306206</v>
          </cell>
          <cell r="D799" t="str">
            <v>DUPAX DEL NORTE NATIONAL HIGH SCHOOL</v>
          </cell>
          <cell r="E799">
            <v>1</v>
          </cell>
          <cell r="F799">
            <v>1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</row>
        <row r="800">
          <cell r="C800">
            <v>306207</v>
          </cell>
          <cell r="D800" t="str">
            <v>Abuyo National High School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4</v>
          </cell>
          <cell r="K800">
            <v>0</v>
          </cell>
          <cell r="L800">
            <v>4</v>
          </cell>
        </row>
        <row r="801">
          <cell r="C801">
            <v>306208</v>
          </cell>
          <cell r="D801" t="str">
            <v>Eastern Nueva Vizcaya National High School</v>
          </cell>
          <cell r="E801">
            <v>0</v>
          </cell>
          <cell r="F801">
            <v>1</v>
          </cell>
          <cell r="G801">
            <v>0</v>
          </cell>
          <cell r="H801">
            <v>0</v>
          </cell>
          <cell r="I801">
            <v>0</v>
          </cell>
          <cell r="J801">
            <v>1</v>
          </cell>
          <cell r="K801">
            <v>0</v>
          </cell>
          <cell r="L801">
            <v>0</v>
          </cell>
        </row>
        <row r="802">
          <cell r="C802">
            <v>500895</v>
          </cell>
          <cell r="D802" t="str">
            <v>Binalian ES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</row>
        <row r="803">
          <cell r="C803">
            <v>300652</v>
          </cell>
          <cell r="D803" t="str">
            <v>Aglipay NHS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</row>
        <row r="804">
          <cell r="C804">
            <v>300653</v>
          </cell>
          <cell r="D804" t="str">
            <v>Victoria High School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</row>
        <row r="805">
          <cell r="C805">
            <v>300654</v>
          </cell>
          <cell r="D805" t="str">
            <v>Balligui HS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5</v>
          </cell>
          <cell r="J805">
            <v>2</v>
          </cell>
          <cell r="K805">
            <v>3</v>
          </cell>
          <cell r="L805">
            <v>2</v>
          </cell>
        </row>
        <row r="806">
          <cell r="C806">
            <v>300655</v>
          </cell>
          <cell r="D806" t="str">
            <v>Burgos NHS</v>
          </cell>
          <cell r="E806">
            <v>3</v>
          </cell>
          <cell r="F806">
            <v>1</v>
          </cell>
          <cell r="G806">
            <v>1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</row>
        <row r="807">
          <cell r="C807">
            <v>300656</v>
          </cell>
          <cell r="D807" t="str">
            <v>Cabarroguis NSAT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</row>
        <row r="808">
          <cell r="C808">
            <v>300657</v>
          </cell>
          <cell r="D808" t="str">
            <v>Diffun National High School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11</v>
          </cell>
          <cell r="J808">
            <v>13</v>
          </cell>
          <cell r="K808">
            <v>0</v>
          </cell>
          <cell r="L808">
            <v>0</v>
          </cell>
        </row>
        <row r="809">
          <cell r="C809">
            <v>300659</v>
          </cell>
          <cell r="D809" t="str">
            <v>Dipintin HS</v>
          </cell>
          <cell r="E809">
            <v>0</v>
          </cell>
          <cell r="F809">
            <v>0</v>
          </cell>
          <cell r="G809">
            <v>1</v>
          </cell>
          <cell r="H809">
            <v>0</v>
          </cell>
          <cell r="I809">
            <v>1</v>
          </cell>
          <cell r="J809">
            <v>0</v>
          </cell>
          <cell r="K809">
            <v>0</v>
          </cell>
          <cell r="L809">
            <v>0</v>
          </cell>
        </row>
        <row r="810">
          <cell r="C810">
            <v>300660</v>
          </cell>
          <cell r="D810" t="str">
            <v>Maddela CHS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</row>
        <row r="811">
          <cell r="C811">
            <v>300661</v>
          </cell>
          <cell r="D811" t="str">
            <v>Magsaysay National High School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</row>
        <row r="812">
          <cell r="C812">
            <v>300662</v>
          </cell>
          <cell r="D812" t="str">
            <v>Nagtipunan National High School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4</v>
          </cell>
          <cell r="J812">
            <v>4</v>
          </cell>
          <cell r="K812">
            <v>0</v>
          </cell>
          <cell r="L812">
            <v>0</v>
          </cell>
        </row>
        <row r="813">
          <cell r="C813">
            <v>300663</v>
          </cell>
          <cell r="D813" t="str">
            <v>Pinaripad National High School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</row>
        <row r="814">
          <cell r="C814">
            <v>300664</v>
          </cell>
          <cell r="D814" t="str">
            <v>Quirino General HS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</row>
        <row r="815">
          <cell r="C815">
            <v>300665</v>
          </cell>
          <cell r="D815" t="str">
            <v>Saguday NHS</v>
          </cell>
          <cell r="E815">
            <v>0</v>
          </cell>
          <cell r="F815">
            <v>1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</row>
        <row r="816">
          <cell r="C816">
            <v>300666</v>
          </cell>
          <cell r="D816" t="str">
            <v>Tucod HS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</row>
        <row r="817">
          <cell r="C817">
            <v>500099</v>
          </cell>
          <cell r="D817" t="str">
            <v>Bannawag IS</v>
          </cell>
          <cell r="E817">
            <v>1</v>
          </cell>
          <cell r="F817">
            <v>2</v>
          </cell>
          <cell r="G817">
            <v>0</v>
          </cell>
          <cell r="H817">
            <v>0</v>
          </cell>
          <cell r="I817">
            <v>1</v>
          </cell>
          <cell r="J817">
            <v>2</v>
          </cell>
          <cell r="K817">
            <v>0</v>
          </cell>
          <cell r="L817">
            <v>0</v>
          </cell>
        </row>
        <row r="818">
          <cell r="C818">
            <v>500100</v>
          </cell>
          <cell r="D818" t="str">
            <v>Sangbay IS</v>
          </cell>
          <cell r="E818">
            <v>0</v>
          </cell>
          <cell r="F818">
            <v>0</v>
          </cell>
          <cell r="G818">
            <v>1</v>
          </cell>
          <cell r="H818">
            <v>0</v>
          </cell>
          <cell r="I818">
            <v>1</v>
          </cell>
          <cell r="J818">
            <v>0</v>
          </cell>
          <cell r="K818">
            <v>1</v>
          </cell>
          <cell r="L818">
            <v>0</v>
          </cell>
        </row>
        <row r="819">
          <cell r="C819">
            <v>500104</v>
          </cell>
          <cell r="D819" t="str">
            <v>San Antonio Integrated School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</row>
        <row r="820">
          <cell r="C820">
            <v>500105</v>
          </cell>
          <cell r="D820" t="str">
            <v>San Martin IS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</row>
        <row r="821">
          <cell r="C821">
            <v>500106</v>
          </cell>
          <cell r="D821" t="str">
            <v>Giayan IS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</row>
        <row r="822">
          <cell r="C822">
            <v>500109</v>
          </cell>
          <cell r="D822" t="str">
            <v>Ifugao Village IS</v>
          </cell>
          <cell r="E822">
            <v>1</v>
          </cell>
          <cell r="F822">
            <v>2</v>
          </cell>
          <cell r="G822">
            <v>0</v>
          </cell>
          <cell r="H822">
            <v>0</v>
          </cell>
          <cell r="I822">
            <v>0</v>
          </cell>
          <cell r="J822">
            <v>3</v>
          </cell>
          <cell r="K822">
            <v>0</v>
          </cell>
          <cell r="L822">
            <v>0</v>
          </cell>
        </row>
        <row r="823">
          <cell r="C823">
            <v>500111</v>
          </cell>
          <cell r="D823" t="str">
            <v>Scala Integrated School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</row>
        <row r="824">
          <cell r="C824">
            <v>500112</v>
          </cell>
          <cell r="D824" t="str">
            <v>Maddela Integrated School of Arts &amp; Trades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</row>
        <row r="825">
          <cell r="C825">
            <v>500115</v>
          </cell>
          <cell r="D825" t="str">
            <v>Alicia Integrated School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2</v>
          </cell>
          <cell r="K825">
            <v>0</v>
          </cell>
          <cell r="L825">
            <v>0</v>
          </cell>
        </row>
        <row r="826">
          <cell r="C826">
            <v>300668</v>
          </cell>
          <cell r="D826" t="str">
            <v>Cagayan National High Sschool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</row>
        <row r="827">
          <cell r="C827">
            <v>300669</v>
          </cell>
          <cell r="D827" t="str">
            <v>Cataggaman National High School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</row>
        <row r="828">
          <cell r="C828">
            <v>300670</v>
          </cell>
          <cell r="D828" t="str">
            <v>Linao National High School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</row>
        <row r="829">
          <cell r="C829">
            <v>300671</v>
          </cell>
          <cell r="D829" t="str">
            <v>Gosi National High School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</row>
        <row r="830">
          <cell r="C830">
            <v>306401</v>
          </cell>
          <cell r="D830" t="str">
            <v>Tuguegarao City Science High School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</row>
        <row r="831">
          <cell r="C831">
            <v>300516</v>
          </cell>
          <cell r="D831" t="str">
            <v>Cauayan City NHS</v>
          </cell>
          <cell r="E831">
            <v>0</v>
          </cell>
          <cell r="F831">
            <v>0</v>
          </cell>
          <cell r="G831">
            <v>0</v>
          </cell>
          <cell r="H831">
            <v>8</v>
          </cell>
          <cell r="I831">
            <v>5</v>
          </cell>
          <cell r="J831">
            <v>9</v>
          </cell>
          <cell r="K831">
            <v>0</v>
          </cell>
          <cell r="L831">
            <v>0</v>
          </cell>
        </row>
        <row r="832">
          <cell r="C832">
            <v>300538</v>
          </cell>
          <cell r="D832" t="str">
            <v>Gappal NHS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</row>
        <row r="833">
          <cell r="C833">
            <v>300552</v>
          </cell>
          <cell r="D833" t="str">
            <v>Linglingay NHS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</row>
        <row r="834">
          <cell r="C834">
            <v>300567</v>
          </cell>
          <cell r="D834" t="str">
            <v>Pinoma NHS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</row>
        <row r="835">
          <cell r="C835">
            <v>300589</v>
          </cell>
          <cell r="D835" t="str">
            <v>San Antonio National High School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3</v>
          </cell>
          <cell r="J835">
            <v>3</v>
          </cell>
          <cell r="K835">
            <v>0</v>
          </cell>
          <cell r="L835">
            <v>0</v>
          </cell>
        </row>
        <row r="836">
          <cell r="C836">
            <v>300613</v>
          </cell>
          <cell r="D836" t="str">
            <v>Villa Concepcion National High School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</row>
        <row r="837">
          <cell r="C837">
            <v>300614</v>
          </cell>
          <cell r="D837" t="str">
            <v>Villaluna NHS</v>
          </cell>
          <cell r="E837">
            <v>0</v>
          </cell>
          <cell r="F837">
            <v>3</v>
          </cell>
          <cell r="G837">
            <v>0</v>
          </cell>
          <cell r="H837">
            <v>1</v>
          </cell>
          <cell r="I837">
            <v>4</v>
          </cell>
          <cell r="J837">
            <v>2</v>
          </cell>
          <cell r="K837">
            <v>0</v>
          </cell>
          <cell r="L837">
            <v>0</v>
          </cell>
        </row>
        <row r="838">
          <cell r="C838">
            <v>306107</v>
          </cell>
          <cell r="D838" t="str">
            <v>WEST TABACAL REGION NATIONAL HIGH SCHOOL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</row>
        <row r="839">
          <cell r="C839">
            <v>306118</v>
          </cell>
          <cell r="D839" t="str">
            <v>Sillawit National High School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</row>
        <row r="840">
          <cell r="C840">
            <v>323901</v>
          </cell>
          <cell r="D840" t="str">
            <v>Cauayan City NHS - Research Annex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</row>
        <row r="841">
          <cell r="C841">
            <v>323902</v>
          </cell>
          <cell r="D841" t="str">
            <v>Cauayan City NHS - Cabaruan Ext.</v>
          </cell>
          <cell r="E841">
            <v>0</v>
          </cell>
          <cell r="F841">
            <v>0</v>
          </cell>
          <cell r="G841">
            <v>2</v>
          </cell>
          <cell r="H841">
            <v>0</v>
          </cell>
          <cell r="I841">
            <v>0</v>
          </cell>
          <cell r="J841">
            <v>2</v>
          </cell>
          <cell r="K841">
            <v>0</v>
          </cell>
          <cell r="L841">
            <v>0</v>
          </cell>
        </row>
        <row r="842">
          <cell r="C842">
            <v>323903</v>
          </cell>
          <cell r="D842" t="str">
            <v>Villa Concepcion HS - Rogus Ext.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2</v>
          </cell>
          <cell r="J842">
            <v>1</v>
          </cell>
          <cell r="K842">
            <v>0</v>
          </cell>
          <cell r="L842">
            <v>0</v>
          </cell>
        </row>
        <row r="843">
          <cell r="C843">
            <v>323905</v>
          </cell>
          <cell r="D843" t="str">
            <v>Cauayan National High School- Marabulig Extension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3</v>
          </cell>
          <cell r="K843">
            <v>0</v>
          </cell>
          <cell r="L843">
            <v>0</v>
          </cell>
        </row>
        <row r="844">
          <cell r="C844">
            <v>300505</v>
          </cell>
          <cell r="D844" t="str">
            <v>Cabulay High School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</row>
        <row r="845">
          <cell r="C845">
            <v>300528</v>
          </cell>
          <cell r="D845" t="str">
            <v>Divisoria High School</v>
          </cell>
          <cell r="E845">
            <v>0</v>
          </cell>
          <cell r="F845">
            <v>0</v>
          </cell>
          <cell r="G845">
            <v>2</v>
          </cell>
          <cell r="H845">
            <v>0</v>
          </cell>
          <cell r="I845">
            <v>0</v>
          </cell>
          <cell r="J845">
            <v>1</v>
          </cell>
          <cell r="K845">
            <v>1</v>
          </cell>
          <cell r="L845">
            <v>1</v>
          </cell>
        </row>
        <row r="846">
          <cell r="C846">
            <v>300578</v>
          </cell>
          <cell r="D846" t="str">
            <v>Rizal National High School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</row>
        <row r="847">
          <cell r="C847">
            <v>300599</v>
          </cell>
          <cell r="D847" t="str">
            <v>Santiago City National High School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</row>
        <row r="848">
          <cell r="C848">
            <v>306124</v>
          </cell>
          <cell r="D848" t="str">
            <v>Patul National High School</v>
          </cell>
          <cell r="E848">
            <v>0</v>
          </cell>
          <cell r="F848">
            <v>1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</row>
        <row r="849">
          <cell r="C849">
            <v>325201</v>
          </cell>
          <cell r="D849" t="str">
            <v>Santiago City National High School - Sinsayon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</row>
        <row r="850">
          <cell r="C850">
            <v>325202</v>
          </cell>
          <cell r="D850" t="str">
            <v>Santiago City National High School - Sagana</v>
          </cell>
          <cell r="E850">
            <v>0</v>
          </cell>
          <cell r="F850">
            <v>0</v>
          </cell>
          <cell r="G850">
            <v>3</v>
          </cell>
          <cell r="H850">
            <v>0</v>
          </cell>
          <cell r="I850">
            <v>0</v>
          </cell>
          <cell r="J850">
            <v>3</v>
          </cell>
          <cell r="K850">
            <v>0</v>
          </cell>
          <cell r="L850">
            <v>3</v>
          </cell>
        </row>
        <row r="851">
          <cell r="C851">
            <v>325203</v>
          </cell>
          <cell r="D851" t="str">
            <v>Santiago City National High School - Rosario Extension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</row>
        <row r="852">
          <cell r="C852">
            <v>300540</v>
          </cell>
          <cell r="D852" t="str">
            <v>Ilagan West NHS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</row>
        <row r="853">
          <cell r="C853">
            <v>300542</v>
          </cell>
          <cell r="D853" t="str">
            <v>Isabela NHS - Main</v>
          </cell>
          <cell r="E853">
            <v>0</v>
          </cell>
          <cell r="F853">
            <v>0</v>
          </cell>
          <cell r="G853">
            <v>5</v>
          </cell>
          <cell r="H853">
            <v>0</v>
          </cell>
          <cell r="I853">
            <v>1</v>
          </cell>
          <cell r="J853">
            <v>4</v>
          </cell>
          <cell r="K853">
            <v>0</v>
          </cell>
          <cell r="L853">
            <v>0</v>
          </cell>
        </row>
        <row r="854">
          <cell r="C854">
            <v>300543</v>
          </cell>
          <cell r="D854" t="str">
            <v>Rang-ayan NHS (Isabela NHS - Rang-ayan Annex)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</row>
        <row r="855">
          <cell r="C855">
            <v>300583</v>
          </cell>
          <cell r="D855" t="str">
            <v>San Antonio Nat'l. Agro-Ind'l. &amp; Voc'l. HS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</row>
        <row r="856">
          <cell r="C856">
            <v>300584</v>
          </cell>
          <cell r="D856" t="str">
            <v>San Rafael Nat'l &amp; Voc'l HS (San Antonio NAIVHS-San Rafael Annex)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</row>
        <row r="857">
          <cell r="C857">
            <v>300602</v>
          </cell>
          <cell r="D857" t="str">
            <v>Sta. Isabel National High School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</row>
        <row r="858">
          <cell r="C858">
            <v>306105</v>
          </cell>
          <cell r="D858" t="str">
            <v>ISAT-Main</v>
          </cell>
          <cell r="E858">
            <v>0</v>
          </cell>
          <cell r="F858">
            <v>0</v>
          </cell>
          <cell r="G858">
            <v>4</v>
          </cell>
          <cell r="H858">
            <v>0</v>
          </cell>
          <cell r="I858">
            <v>15</v>
          </cell>
          <cell r="J858">
            <v>28</v>
          </cell>
          <cell r="K858">
            <v>15</v>
          </cell>
          <cell r="L858">
            <v>28</v>
          </cell>
        </row>
        <row r="859">
          <cell r="C859">
            <v>306149</v>
          </cell>
          <cell r="D859" t="str">
            <v>ISAT-Cabannungan Annex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</row>
        <row r="860">
          <cell r="C860">
            <v>500018</v>
          </cell>
          <cell r="D860" t="str">
            <v>SAN LORENZO INTEGRATED SCHOOL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2</v>
          </cell>
          <cell r="J860">
            <v>3</v>
          </cell>
          <cell r="K860">
            <v>2</v>
          </cell>
          <cell r="L860">
            <v>3</v>
          </cell>
        </row>
        <row r="861">
          <cell r="C861">
            <v>500078</v>
          </cell>
          <cell r="D861" t="str">
            <v>Manaring IS (Bangag-Manaring-Capo ES)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</row>
        <row r="862">
          <cell r="C862">
            <v>500080</v>
          </cell>
          <cell r="D862" t="str">
            <v>Lupigue Integrated School (formerly Lupigue ES)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</row>
        <row r="863">
          <cell r="C863">
            <v>500087</v>
          </cell>
          <cell r="D863" t="str">
            <v>Gayong-Gayong Sur Integrated School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</row>
        <row r="864">
          <cell r="C864">
            <v>500731</v>
          </cell>
          <cell r="D864" t="str">
            <v>Sindun Bayabo IS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</row>
        <row r="865">
          <cell r="C865">
            <v>501548</v>
          </cell>
          <cell r="D865" t="str">
            <v>Dappat Integrated School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</row>
        <row r="866">
          <cell r="C866">
            <v>300800</v>
          </cell>
          <cell r="D866" t="str">
            <v>San Jose City National High School (formerly Constancio Padilla National High School)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</row>
        <row r="867">
          <cell r="C867">
            <v>300833</v>
          </cell>
          <cell r="D867" t="str">
            <v>Porais National High School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</row>
        <row r="868">
          <cell r="C868">
            <v>300868</v>
          </cell>
          <cell r="D868" t="str">
            <v>Tondod National High School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</row>
        <row r="869">
          <cell r="C869">
            <v>306805</v>
          </cell>
          <cell r="D869" t="str">
            <v>Sto. Nino 3rd National High School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</row>
        <row r="870">
          <cell r="C870">
            <v>306817</v>
          </cell>
          <cell r="D870" t="str">
            <v>Caanawan National High School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2</v>
          </cell>
          <cell r="J870">
            <v>6</v>
          </cell>
          <cell r="K870">
            <v>0</v>
          </cell>
          <cell r="L870">
            <v>0</v>
          </cell>
        </row>
        <row r="871">
          <cell r="C871">
            <v>300672</v>
          </cell>
          <cell r="D871" t="str">
            <v>Aurora National Science HS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</row>
        <row r="872">
          <cell r="C872">
            <v>300673</v>
          </cell>
          <cell r="D872" t="str">
            <v>Aurora NHS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</row>
        <row r="873">
          <cell r="C873">
            <v>300679</v>
          </cell>
          <cell r="D873" t="str">
            <v>Canili Area NHS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</row>
        <row r="874">
          <cell r="C874">
            <v>300680</v>
          </cell>
          <cell r="D874" t="str">
            <v>Casiguran NHS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</row>
        <row r="875">
          <cell r="C875">
            <v>300681</v>
          </cell>
          <cell r="D875" t="str">
            <v>Dikapinisan NHS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</row>
        <row r="876">
          <cell r="C876">
            <v>300682</v>
          </cell>
          <cell r="D876" t="str">
            <v>Dilasag NHS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</row>
        <row r="877">
          <cell r="C877">
            <v>300684</v>
          </cell>
          <cell r="D877" t="str">
            <v>Dinadiawan NHS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</row>
        <row r="878">
          <cell r="C878">
            <v>300685</v>
          </cell>
          <cell r="D878" t="str">
            <v>Dingalan NHS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</row>
        <row r="879">
          <cell r="C879">
            <v>300686</v>
          </cell>
          <cell r="D879" t="str">
            <v>Ditumabo NHS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</row>
        <row r="880">
          <cell r="C880">
            <v>300687</v>
          </cell>
          <cell r="D880" t="str">
            <v>Eliseo C. Ronquillo Sr.  Memorial NHS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</row>
        <row r="881">
          <cell r="C881">
            <v>300688</v>
          </cell>
          <cell r="D881" t="str">
            <v>Ibona NHS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</row>
        <row r="882">
          <cell r="C882">
            <v>300689</v>
          </cell>
          <cell r="D882" t="str">
            <v>Juan C. Angara Memorial NHS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</row>
        <row r="883">
          <cell r="C883">
            <v>300690</v>
          </cell>
          <cell r="D883" t="str">
            <v>Lual NHS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</row>
        <row r="884">
          <cell r="C884">
            <v>300691</v>
          </cell>
          <cell r="D884" t="str">
            <v>Maria Aurora NHS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</row>
        <row r="885">
          <cell r="C885">
            <v>300692</v>
          </cell>
          <cell r="D885" t="str">
            <v>Manggitahan NHS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</row>
        <row r="886">
          <cell r="C886">
            <v>300693</v>
          </cell>
          <cell r="D886" t="str">
            <v>Dipaculao NHS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</row>
        <row r="887">
          <cell r="C887">
            <v>305191</v>
          </cell>
          <cell r="D887" t="str">
            <v>Baler Stand Alone Senior High School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</row>
        <row r="888">
          <cell r="C888">
            <v>306501</v>
          </cell>
          <cell r="D888" t="str">
            <v>Mariano D. Marquez Memorial NHS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</row>
        <row r="889">
          <cell r="C889">
            <v>306504</v>
          </cell>
          <cell r="D889" t="str">
            <v>Diagyan NHS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</row>
        <row r="890">
          <cell r="C890">
            <v>306508</v>
          </cell>
          <cell r="D890" t="str">
            <v>Rosauro R. Tangson, Sr. NHS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4</v>
          </cell>
          <cell r="J890">
            <v>2</v>
          </cell>
          <cell r="K890">
            <v>4</v>
          </cell>
          <cell r="L890">
            <v>2</v>
          </cell>
        </row>
        <row r="891">
          <cell r="C891">
            <v>300697</v>
          </cell>
          <cell r="D891" t="str">
            <v>B. Camacho NHS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</row>
        <row r="892">
          <cell r="C892">
            <v>300698</v>
          </cell>
          <cell r="D892" t="str">
            <v>Bagac NHS-Parang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</row>
        <row r="893">
          <cell r="C893">
            <v>300699</v>
          </cell>
          <cell r="D893" t="str">
            <v>E. C. Bernabe National High School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</row>
        <row r="894">
          <cell r="C894">
            <v>300700</v>
          </cell>
          <cell r="D894" t="str">
            <v>Saysain NHS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</row>
        <row r="895">
          <cell r="C895">
            <v>300701</v>
          </cell>
          <cell r="D895" t="str">
            <v>Balsik NHS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1</v>
          </cell>
          <cell r="J895">
            <v>1</v>
          </cell>
          <cell r="K895">
            <v>1</v>
          </cell>
          <cell r="L895">
            <v>1</v>
          </cell>
        </row>
        <row r="896">
          <cell r="C896">
            <v>300703</v>
          </cell>
          <cell r="D896" t="str">
            <v>Bataan School of Fisheries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</row>
        <row r="897">
          <cell r="C897">
            <v>300704</v>
          </cell>
          <cell r="D897" t="str">
            <v>Jose C. Payumo Jr. MHS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1</v>
          </cell>
          <cell r="J897">
            <v>15</v>
          </cell>
          <cell r="K897">
            <v>0</v>
          </cell>
          <cell r="L897">
            <v>0</v>
          </cell>
        </row>
        <row r="898">
          <cell r="C898">
            <v>300705</v>
          </cell>
          <cell r="D898" t="str">
            <v>Hermosa NHS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9</v>
          </cell>
          <cell r="J898">
            <v>18</v>
          </cell>
          <cell r="K898">
            <v>2</v>
          </cell>
          <cell r="L898">
            <v>1</v>
          </cell>
        </row>
        <row r="899">
          <cell r="C899">
            <v>300706</v>
          </cell>
          <cell r="D899" t="str">
            <v>Lamao NHS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</row>
        <row r="900">
          <cell r="C900">
            <v>300707</v>
          </cell>
          <cell r="D900" t="str">
            <v>Limay NHS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</row>
        <row r="901">
          <cell r="C901">
            <v>300708</v>
          </cell>
          <cell r="D901" t="str">
            <v>Luakan NHS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</row>
        <row r="902">
          <cell r="C902">
            <v>300709</v>
          </cell>
          <cell r="D902" t="str">
            <v>Mabatang NHS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</row>
        <row r="903">
          <cell r="C903">
            <v>300712</v>
          </cell>
          <cell r="D903" t="str">
            <v>Mariveles NHS Malaya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</row>
        <row r="904">
          <cell r="C904">
            <v>300713</v>
          </cell>
          <cell r="D904" t="str">
            <v>Morong NHS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</row>
        <row r="905">
          <cell r="C905">
            <v>300714</v>
          </cell>
          <cell r="D905" t="str">
            <v>Nagbalayong NHS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</row>
        <row r="906">
          <cell r="C906">
            <v>300715</v>
          </cell>
          <cell r="D906" t="str">
            <v>Orani NHS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</row>
        <row r="907">
          <cell r="C907">
            <v>300716</v>
          </cell>
          <cell r="D907" t="str">
            <v>P. Roman NHS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11</v>
          </cell>
          <cell r="J907">
            <v>23</v>
          </cell>
          <cell r="K907">
            <v>6</v>
          </cell>
          <cell r="L907">
            <v>9</v>
          </cell>
        </row>
        <row r="908">
          <cell r="C908">
            <v>300717</v>
          </cell>
          <cell r="D908" t="str">
            <v>Dr. Victoria B. Roman MHS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</row>
        <row r="909">
          <cell r="C909">
            <v>300718</v>
          </cell>
          <cell r="D909" t="str">
            <v>Pagalanggang NHS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</row>
        <row r="910">
          <cell r="C910">
            <v>300719</v>
          </cell>
          <cell r="D910" t="str">
            <v>Samal NHS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</row>
        <row r="911">
          <cell r="C911">
            <v>306601</v>
          </cell>
          <cell r="D911" t="str">
            <v>Justice E.A.Gancayco MHS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</row>
        <row r="912">
          <cell r="C912">
            <v>306602</v>
          </cell>
          <cell r="D912" t="str">
            <v>Morong NHS-Annex (Mabayo)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1</v>
          </cell>
          <cell r="K912">
            <v>0</v>
          </cell>
          <cell r="L912">
            <v>0</v>
          </cell>
        </row>
        <row r="913">
          <cell r="C913">
            <v>306603</v>
          </cell>
          <cell r="D913" t="str">
            <v>Sta. Lucia HS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</row>
        <row r="914">
          <cell r="C914">
            <v>306604</v>
          </cell>
          <cell r="D914" t="str">
            <v>Magsaysay NHS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</row>
        <row r="915">
          <cell r="C915">
            <v>306606</v>
          </cell>
          <cell r="D915" t="str">
            <v>Orani NHS - Parang-Parang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</row>
        <row r="916">
          <cell r="C916">
            <v>306607</v>
          </cell>
          <cell r="D916" t="str">
            <v>Mariveles NHS Cab. Annex- New Alion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</row>
        <row r="917">
          <cell r="C917">
            <v>306608</v>
          </cell>
          <cell r="D917" t="str">
            <v>Orani NHS - Pagasa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</row>
        <row r="918">
          <cell r="C918">
            <v>306610</v>
          </cell>
          <cell r="D918" t="str">
            <v>Mariveles NHS Cab.-Annex-Batangas II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</row>
        <row r="919">
          <cell r="C919">
            <v>306611</v>
          </cell>
          <cell r="D919" t="str">
            <v>Luakan NHS - Annex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</row>
        <row r="920">
          <cell r="C920">
            <v>306612</v>
          </cell>
          <cell r="D920" t="str">
            <v>Roosevelt National High School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</row>
        <row r="921">
          <cell r="C921">
            <v>306614</v>
          </cell>
          <cell r="D921" t="str">
            <v>Kanawan IS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</row>
        <row r="922">
          <cell r="C922">
            <v>306616</v>
          </cell>
          <cell r="D922" t="str">
            <v>St. Francis NHS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</row>
        <row r="923">
          <cell r="C923">
            <v>306618</v>
          </cell>
          <cell r="D923" t="str">
            <v>Mariveles NHS - Camaya Campus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</row>
        <row r="924">
          <cell r="C924">
            <v>361011</v>
          </cell>
          <cell r="D924" t="str">
            <v>Mariveles SHS - Sitio Mabuhay</v>
          </cell>
          <cell r="E924">
            <v>0</v>
          </cell>
          <cell r="F924">
            <v>0</v>
          </cell>
          <cell r="G924">
            <v>9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</row>
        <row r="925">
          <cell r="C925">
            <v>500119</v>
          </cell>
          <cell r="D925" t="str">
            <v>Biaan Aeta IS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</row>
        <row r="926">
          <cell r="C926">
            <v>300720</v>
          </cell>
          <cell r="D926" t="str">
            <v>Alexis G. Santos National High School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5</v>
          </cell>
          <cell r="J926">
            <v>8</v>
          </cell>
          <cell r="K926">
            <v>6</v>
          </cell>
          <cell r="L926">
            <v>8</v>
          </cell>
        </row>
        <row r="927">
          <cell r="C927">
            <v>300721</v>
          </cell>
          <cell r="D927" t="str">
            <v>Balagtas National Agricultural HS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</row>
        <row r="928">
          <cell r="C928">
            <v>300722</v>
          </cell>
          <cell r="D928" t="str">
            <v>Binagbag NHS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</row>
        <row r="929">
          <cell r="C929">
            <v>300723</v>
          </cell>
          <cell r="D929" t="str">
            <v>DoÃ±a Remedios Trinidad High School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</row>
        <row r="930">
          <cell r="C930">
            <v>300724</v>
          </cell>
          <cell r="D930" t="str">
            <v>Sapang Bulac High School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1</v>
          </cell>
          <cell r="J930">
            <v>2</v>
          </cell>
          <cell r="K930">
            <v>0</v>
          </cell>
          <cell r="L930">
            <v>0</v>
          </cell>
        </row>
        <row r="931">
          <cell r="C931">
            <v>300725</v>
          </cell>
          <cell r="D931" t="str">
            <v>Talbak High School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</row>
        <row r="932">
          <cell r="C932">
            <v>300726</v>
          </cell>
          <cell r="D932" t="str">
            <v>Bintog HS (Jose J. Mariano MHS)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4</v>
          </cell>
          <cell r="J932">
            <v>6</v>
          </cell>
          <cell r="K932">
            <v>0</v>
          </cell>
          <cell r="L932">
            <v>0</v>
          </cell>
        </row>
        <row r="933">
          <cell r="C933">
            <v>300728</v>
          </cell>
          <cell r="D933" t="str">
            <v>Bunsuran NHS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</row>
        <row r="934">
          <cell r="C934">
            <v>300729</v>
          </cell>
          <cell r="D934" t="str">
            <v>Masagana HS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1</v>
          </cell>
          <cell r="J934">
            <v>4</v>
          </cell>
          <cell r="K934">
            <v>0</v>
          </cell>
          <cell r="L934">
            <v>0</v>
          </cell>
        </row>
        <row r="935">
          <cell r="C935">
            <v>300730</v>
          </cell>
          <cell r="D935" t="str">
            <v>Calawitan NHS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</row>
        <row r="936">
          <cell r="C936">
            <v>300731</v>
          </cell>
          <cell r="D936" t="str">
            <v>Akle HS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</row>
        <row r="937">
          <cell r="C937">
            <v>300732</v>
          </cell>
          <cell r="D937" t="str">
            <v>San Ildefonso National High School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8</v>
          </cell>
          <cell r="J937">
            <v>24</v>
          </cell>
          <cell r="K937">
            <v>0</v>
          </cell>
          <cell r="L937">
            <v>0</v>
          </cell>
        </row>
        <row r="938">
          <cell r="C938">
            <v>300733</v>
          </cell>
          <cell r="D938" t="str">
            <v>Cambaog NHS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3</v>
          </cell>
          <cell r="J938">
            <v>5</v>
          </cell>
          <cell r="K938">
            <v>1</v>
          </cell>
          <cell r="L938">
            <v>2</v>
          </cell>
        </row>
        <row r="939">
          <cell r="C939">
            <v>300734</v>
          </cell>
          <cell r="D939" t="str">
            <v>Dampol 1st National High School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3</v>
          </cell>
          <cell r="J939">
            <v>7</v>
          </cell>
          <cell r="K939">
            <v>3</v>
          </cell>
          <cell r="L939">
            <v>7</v>
          </cell>
        </row>
        <row r="940">
          <cell r="C940">
            <v>300735</v>
          </cell>
          <cell r="D940" t="str">
            <v>DAMPOL 2ND NATIONAL HIGH SCHOOL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3</v>
          </cell>
          <cell r="J940">
            <v>10</v>
          </cell>
          <cell r="K940">
            <v>4</v>
          </cell>
          <cell r="L940">
            <v>11</v>
          </cell>
        </row>
        <row r="941">
          <cell r="C941">
            <v>300736</v>
          </cell>
          <cell r="D941" t="str">
            <v>Sta. Lucia National High School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</row>
        <row r="942">
          <cell r="C942">
            <v>300737</v>
          </cell>
          <cell r="D942" t="str">
            <v>Sta. Peregrina HS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</row>
        <row r="943">
          <cell r="C943">
            <v>300738</v>
          </cell>
          <cell r="D943" t="str">
            <v>Doña Candelaria Meneses Duque National High School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5</v>
          </cell>
          <cell r="J943">
            <v>5</v>
          </cell>
          <cell r="K943">
            <v>5</v>
          </cell>
          <cell r="L943">
            <v>5</v>
          </cell>
        </row>
        <row r="944">
          <cell r="C944">
            <v>300739</v>
          </cell>
          <cell r="D944" t="str">
            <v>F. F. Halili Nat'l. Agr'l. School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8</v>
          </cell>
          <cell r="J944">
            <v>17</v>
          </cell>
          <cell r="K944">
            <v>3</v>
          </cell>
          <cell r="L944">
            <v>0</v>
          </cell>
        </row>
        <row r="945">
          <cell r="C945">
            <v>300740</v>
          </cell>
          <cell r="D945" t="str">
            <v>ASSEMBLYWOMAN FELICITA G. BERNARDINO MEMORIAL TRADE SCHOOL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</row>
        <row r="946">
          <cell r="C946">
            <v>300741</v>
          </cell>
          <cell r="D946" t="str">
            <v>Felizardo C. Lipana NHS (Sta. Rita HS)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</row>
        <row r="947">
          <cell r="C947">
            <v>300742</v>
          </cell>
          <cell r="D947" t="str">
            <v>Guiguinto Nat'l Voc'l. High School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</row>
        <row r="948">
          <cell r="C948">
            <v>300743</v>
          </cell>
          <cell r="D948" t="str">
            <v>Iba National High School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</row>
        <row r="949">
          <cell r="C949">
            <v>300744</v>
          </cell>
          <cell r="D949" t="str">
            <v>Kapitangan National High School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</row>
        <row r="950">
          <cell r="C950">
            <v>300745</v>
          </cell>
          <cell r="D950" t="str">
            <v>San Roque National HS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</row>
        <row r="951">
          <cell r="C951">
            <v>300746</v>
          </cell>
          <cell r="D951" t="str">
            <v>Lolomboy National NHS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</row>
        <row r="952">
          <cell r="C952">
            <v>300747</v>
          </cell>
          <cell r="D952" t="str">
            <v>Taal High School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</row>
        <row r="953">
          <cell r="C953">
            <v>300748</v>
          </cell>
          <cell r="D953" t="str">
            <v>Carlos F. Gonzales HS (Maguinao Cruz na Daan NHS)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</row>
        <row r="954">
          <cell r="C954">
            <v>300749</v>
          </cell>
          <cell r="D954" t="str">
            <v>Salapungan NHS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</row>
        <row r="955">
          <cell r="C955">
            <v>300754</v>
          </cell>
          <cell r="D955" t="str">
            <v>Ramona S. Trillana HS (Mayor Ramon Trillana Mem. HS (Iba NHS))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</row>
        <row r="956">
          <cell r="C956">
            <v>300755</v>
          </cell>
          <cell r="D956" t="str">
            <v>San Pedro National High School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</row>
        <row r="957">
          <cell r="C957">
            <v>300756</v>
          </cell>
          <cell r="D957" t="str">
            <v>Sta. Monica National High School</v>
          </cell>
          <cell r="E957">
            <v>2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</row>
        <row r="958">
          <cell r="C958">
            <v>300758</v>
          </cell>
          <cell r="D958" t="str">
            <v>MINUYAN NATIONAL HIGH SCHOOL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</row>
        <row r="959">
          <cell r="C959">
            <v>300760</v>
          </cell>
          <cell r="D959" t="str">
            <v>Norzagaray National High School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</row>
        <row r="960">
          <cell r="C960">
            <v>300764</v>
          </cell>
          <cell r="D960" t="str">
            <v>Obando School of Fisheries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3</v>
          </cell>
          <cell r="K960">
            <v>0</v>
          </cell>
          <cell r="L960">
            <v>0</v>
          </cell>
        </row>
        <row r="961">
          <cell r="C961">
            <v>300765</v>
          </cell>
          <cell r="D961" t="str">
            <v>Parada NHS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</row>
        <row r="962">
          <cell r="C962">
            <v>300766</v>
          </cell>
          <cell r="D962" t="str">
            <v>Prenza NHS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</row>
        <row r="963">
          <cell r="C963">
            <v>300767</v>
          </cell>
          <cell r="D963" t="str">
            <v>Pulong Buhangin NHS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</row>
        <row r="964">
          <cell r="C964">
            <v>300768</v>
          </cell>
          <cell r="D964" t="str">
            <v>Calumpit NHS (San Marcos NHS)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</row>
        <row r="965">
          <cell r="C965">
            <v>300769</v>
          </cell>
          <cell r="D965" t="str">
            <v>Caniogan High School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</row>
        <row r="966">
          <cell r="C966">
            <v>300770</v>
          </cell>
          <cell r="D966" t="str">
            <v>Frances National High School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3</v>
          </cell>
          <cell r="L966">
            <v>2</v>
          </cell>
        </row>
        <row r="967">
          <cell r="C967">
            <v>300771</v>
          </cell>
          <cell r="D967" t="str">
            <v>San Miguel NHS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</row>
        <row r="968">
          <cell r="C968">
            <v>300772</v>
          </cell>
          <cell r="D968" t="str">
            <v>Partida HS (San Miguel NHS - Partida HS)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</row>
        <row r="969">
          <cell r="C969">
            <v>300773</v>
          </cell>
          <cell r="D969" t="str">
            <v>San Rafael Nat'l Trade School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</row>
        <row r="970">
          <cell r="C970">
            <v>300774</v>
          </cell>
          <cell r="D970" t="str">
            <v>John J. Russell MHS (Sibul NHS)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</row>
        <row r="971">
          <cell r="C971">
            <v>300776</v>
          </cell>
          <cell r="D971" t="str">
            <v>Sta. Cruz NHS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</row>
        <row r="972">
          <cell r="C972">
            <v>300777</v>
          </cell>
          <cell r="D972" t="str">
            <v>Sta. Maria National High School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</row>
        <row r="973">
          <cell r="C973">
            <v>300778</v>
          </cell>
          <cell r="D973" t="str">
            <v>Sulivan National High School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3</v>
          </cell>
          <cell r="J973">
            <v>8</v>
          </cell>
          <cell r="K973">
            <v>1</v>
          </cell>
          <cell r="L973">
            <v>0</v>
          </cell>
        </row>
        <row r="974">
          <cell r="C974">
            <v>300779</v>
          </cell>
          <cell r="D974" t="str">
            <v>Taliptip National High Sschool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</row>
        <row r="975">
          <cell r="C975">
            <v>300780</v>
          </cell>
          <cell r="D975" t="str">
            <v>Tiaong NHS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</row>
        <row r="976">
          <cell r="C976">
            <v>300781</v>
          </cell>
          <cell r="D976" t="str">
            <v>Tibagan National High School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</row>
        <row r="977">
          <cell r="C977">
            <v>306701</v>
          </cell>
          <cell r="D977" t="str">
            <v>Jaime J. Vistan High School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</row>
        <row r="978">
          <cell r="C978">
            <v>306702</v>
          </cell>
          <cell r="D978" t="str">
            <v>Angat HS (Binagbag NHS - Taboc NHS)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</row>
        <row r="979">
          <cell r="C979">
            <v>306703</v>
          </cell>
          <cell r="D979" t="str">
            <v>Julian B. Sumbillo High School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</row>
        <row r="980">
          <cell r="C980">
            <v>306704</v>
          </cell>
          <cell r="D980" t="str">
            <v>Vedasto R. Santiago HS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</row>
        <row r="981">
          <cell r="C981">
            <v>306706</v>
          </cell>
          <cell r="D981" t="str">
            <v>Pres. Diosdado Macapagal MHS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</row>
        <row r="982">
          <cell r="C982">
            <v>306707</v>
          </cell>
          <cell r="D982" t="str">
            <v>Angel M. del Rosario HS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</row>
        <row r="983">
          <cell r="C983">
            <v>306708</v>
          </cell>
          <cell r="D983" t="str">
            <v>Maronquillo National High School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4</v>
          </cell>
          <cell r="K983">
            <v>0</v>
          </cell>
          <cell r="L983">
            <v>0</v>
          </cell>
        </row>
        <row r="984">
          <cell r="C984">
            <v>306709</v>
          </cell>
          <cell r="D984" t="str">
            <v>Engr. Virgilio V. Dionisio MHS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</row>
        <row r="985">
          <cell r="C985">
            <v>306711</v>
          </cell>
          <cell r="D985" t="str">
            <v>San Francisco Xavier High School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</row>
        <row r="986">
          <cell r="C986">
            <v>306712</v>
          </cell>
          <cell r="D986" t="str">
            <v>Sto. Nino High School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1</v>
          </cell>
          <cell r="J986">
            <v>4</v>
          </cell>
          <cell r="K986">
            <v>1</v>
          </cell>
          <cell r="L986">
            <v>2</v>
          </cell>
        </row>
        <row r="987">
          <cell r="C987">
            <v>306713</v>
          </cell>
          <cell r="D987" t="str">
            <v>Bajet-Castillo High School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</row>
        <row r="988">
          <cell r="C988">
            <v>306714</v>
          </cell>
          <cell r="D988" t="str">
            <v>Catmon National High School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</row>
        <row r="989">
          <cell r="C989">
            <v>306715</v>
          </cell>
          <cell r="D989" t="str">
            <v>Iluminada Mendoza-Roxas Memorial High School (Bambang NHS)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</row>
        <row r="990">
          <cell r="C990">
            <v>306718</v>
          </cell>
          <cell r="D990" t="str">
            <v>Lydia D. Villangca Trade School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</row>
        <row r="991">
          <cell r="C991">
            <v>306720</v>
          </cell>
          <cell r="D991" t="str">
            <v>Esteban Paulino HS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1</v>
          </cell>
          <cell r="K991">
            <v>0</v>
          </cell>
          <cell r="L991">
            <v>2</v>
          </cell>
        </row>
        <row r="992">
          <cell r="C992">
            <v>306721</v>
          </cell>
          <cell r="D992" t="str">
            <v>EMILIA PEREZ LIGON HIGH SCHOOL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</row>
        <row r="993">
          <cell r="C993">
            <v>306723</v>
          </cell>
          <cell r="D993" t="str">
            <v>San Miguel-Meysulao High School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</row>
        <row r="994">
          <cell r="C994">
            <v>306726</v>
          </cell>
          <cell r="D994" t="str">
            <v>Sta. Cruz  High School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</row>
        <row r="995">
          <cell r="C995">
            <v>306727</v>
          </cell>
          <cell r="D995" t="str">
            <v>Dr. Pablito V. Mendoza, Sr. High Schoo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2</v>
          </cell>
          <cell r="J995">
            <v>4</v>
          </cell>
          <cell r="K995">
            <v>0</v>
          </cell>
          <cell r="L995">
            <v>0</v>
          </cell>
        </row>
        <row r="996">
          <cell r="C996">
            <v>306728</v>
          </cell>
          <cell r="D996" t="str">
            <v>Sta. Catalina Bata National High School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</row>
        <row r="997">
          <cell r="C997">
            <v>306730</v>
          </cell>
          <cell r="D997" t="str">
            <v>Banga High School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</row>
        <row r="998">
          <cell r="C998">
            <v>345180</v>
          </cell>
          <cell r="D998" t="str">
            <v>SHS within Luis Gravador Elementary School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</row>
        <row r="999">
          <cell r="C999">
            <v>345213</v>
          </cell>
          <cell r="D999" t="str">
            <v>SHS within V Delas Flores ES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</row>
        <row r="1000">
          <cell r="C1000">
            <v>345214</v>
          </cell>
          <cell r="D1000" t="str">
            <v>SHS in Obando, Bulacan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</row>
        <row r="1001">
          <cell r="C1001">
            <v>300517</v>
          </cell>
          <cell r="D1001" t="str">
            <v>GREGORIO T. CRESPO MEMORIAL HIGH SCHOOL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</row>
        <row r="1002">
          <cell r="C1002">
            <v>300782</v>
          </cell>
          <cell r="D1002" t="str">
            <v>Agbannawag National High School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</row>
        <row r="1003">
          <cell r="C1003">
            <v>300783</v>
          </cell>
          <cell r="D1003" t="str">
            <v>Aliaga National High School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9</v>
          </cell>
          <cell r="J1003">
            <v>12</v>
          </cell>
          <cell r="K1003">
            <v>3</v>
          </cell>
          <cell r="L1003">
            <v>4</v>
          </cell>
        </row>
        <row r="1004">
          <cell r="C1004">
            <v>300784</v>
          </cell>
          <cell r="D1004" t="str">
            <v>Andres Bonifacio NHS</v>
          </cell>
          <cell r="E1004">
            <v>0</v>
          </cell>
          <cell r="F1004">
            <v>1</v>
          </cell>
          <cell r="G1004">
            <v>0</v>
          </cell>
          <cell r="H1004">
            <v>0</v>
          </cell>
          <cell r="I1004">
            <v>0</v>
          </cell>
          <cell r="J1004">
            <v>1</v>
          </cell>
          <cell r="K1004">
            <v>0</v>
          </cell>
          <cell r="L1004">
            <v>0</v>
          </cell>
        </row>
        <row r="1005">
          <cell r="C1005">
            <v>300785</v>
          </cell>
          <cell r="D1005" t="str">
            <v>Lino P. Bernardo NHS</v>
          </cell>
          <cell r="E1005">
            <v>0</v>
          </cell>
          <cell r="F1005">
            <v>1</v>
          </cell>
          <cell r="G1005">
            <v>0</v>
          </cell>
          <cell r="H1005">
            <v>0</v>
          </cell>
          <cell r="I1005">
            <v>2</v>
          </cell>
          <cell r="J1005">
            <v>6</v>
          </cell>
          <cell r="K1005">
            <v>0</v>
          </cell>
          <cell r="L1005">
            <v>0</v>
          </cell>
        </row>
        <row r="1006">
          <cell r="C1006">
            <v>300786</v>
          </cell>
          <cell r="D1006" t="str">
            <v>Baloy HS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1</v>
          </cell>
          <cell r="J1006">
            <v>3</v>
          </cell>
          <cell r="K1006">
            <v>1</v>
          </cell>
          <cell r="L1006">
            <v>3</v>
          </cell>
        </row>
        <row r="1007">
          <cell r="C1007">
            <v>300787</v>
          </cell>
          <cell r="D1007" t="str">
            <v>Fort Magsaysay NHS (formerly Barangay Militar HS)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</row>
        <row r="1008">
          <cell r="C1008">
            <v>300788</v>
          </cell>
          <cell r="D1008" t="str">
            <v>Batitang National High School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6</v>
          </cell>
          <cell r="K1008">
            <v>0</v>
          </cell>
          <cell r="L1008">
            <v>6</v>
          </cell>
        </row>
        <row r="1009">
          <cell r="C1009">
            <v>300789</v>
          </cell>
          <cell r="D1009" t="str">
            <v>BICOS NATIONAL HIGH SCHOOL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</row>
        <row r="1010">
          <cell r="C1010">
            <v>300790</v>
          </cell>
          <cell r="D1010" t="str">
            <v>Bongabon NHS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</row>
        <row r="1011">
          <cell r="C1011">
            <v>300791</v>
          </cell>
          <cell r="D1011" t="str">
            <v>Bulac NHS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</row>
        <row r="1012">
          <cell r="C1012">
            <v>300792</v>
          </cell>
          <cell r="D1012" t="str">
            <v>Cabiao National High School</v>
          </cell>
          <cell r="E1012">
            <v>0</v>
          </cell>
          <cell r="F1012">
            <v>0</v>
          </cell>
          <cell r="G1012">
            <v>0</v>
          </cell>
          <cell r="H1012">
            <v>1</v>
          </cell>
          <cell r="I1012">
            <v>0</v>
          </cell>
          <cell r="J1012">
            <v>0</v>
          </cell>
          <cell r="K1012">
            <v>1</v>
          </cell>
          <cell r="L1012">
            <v>0</v>
          </cell>
        </row>
        <row r="1013">
          <cell r="C1013">
            <v>300793</v>
          </cell>
          <cell r="D1013" t="str">
            <v>Cabucbucan NHS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5</v>
          </cell>
          <cell r="K1013">
            <v>1</v>
          </cell>
          <cell r="L1013">
            <v>0</v>
          </cell>
        </row>
        <row r="1014">
          <cell r="C1014">
            <v>300794</v>
          </cell>
          <cell r="D1014" t="str">
            <v>Calaba National High School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</row>
        <row r="1015">
          <cell r="C1015">
            <v>300795</v>
          </cell>
          <cell r="D1015" t="str">
            <v>Canaan East NHS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</row>
        <row r="1016">
          <cell r="C1016">
            <v>300796</v>
          </cell>
          <cell r="D1016" t="str">
            <v>Carmen NHS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8</v>
          </cell>
          <cell r="K1016">
            <v>1</v>
          </cell>
          <cell r="L1016">
            <v>0</v>
          </cell>
        </row>
        <row r="1017">
          <cell r="C1017">
            <v>300797</v>
          </cell>
          <cell r="D1017" t="str">
            <v>Carranglan NHS</v>
          </cell>
          <cell r="E1017">
            <v>1</v>
          </cell>
          <cell r="F1017">
            <v>0</v>
          </cell>
          <cell r="G1017">
            <v>3</v>
          </cell>
          <cell r="H1017">
            <v>0</v>
          </cell>
          <cell r="I1017">
            <v>0</v>
          </cell>
          <cell r="J1017">
            <v>3</v>
          </cell>
          <cell r="K1017">
            <v>0</v>
          </cell>
          <cell r="L1017">
            <v>3</v>
          </cell>
        </row>
        <row r="1018">
          <cell r="C1018">
            <v>300798</v>
          </cell>
          <cell r="D1018" t="str">
            <v>Capintalan HS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</row>
        <row r="1019">
          <cell r="C1019">
            <v>300799</v>
          </cell>
          <cell r="D1019" t="str">
            <v>Digdig HS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</row>
        <row r="1020">
          <cell r="C1020">
            <v>300801</v>
          </cell>
          <cell r="D1020" t="str">
            <v>Cuyapo National High School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</row>
        <row r="1021">
          <cell r="C1021">
            <v>300802</v>
          </cell>
          <cell r="D1021" t="str">
            <v>Doña Juana Chioco National High School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</row>
        <row r="1022">
          <cell r="C1022">
            <v>300803</v>
          </cell>
          <cell r="D1022" t="str">
            <v>Dr. Ramon de Santos NHS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3</v>
          </cell>
          <cell r="J1022">
            <v>17</v>
          </cell>
          <cell r="K1022">
            <v>0</v>
          </cell>
          <cell r="L1022">
            <v>0</v>
          </cell>
        </row>
        <row r="1023">
          <cell r="C1023">
            <v>300804</v>
          </cell>
          <cell r="D1023" t="str">
            <v>Eduardo L. Joson Mem. HS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</row>
        <row r="1024">
          <cell r="C1024">
            <v>300805</v>
          </cell>
          <cell r="D1024" t="str">
            <v>Gabaldon Voc'l. Agric. HS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</row>
        <row r="1025">
          <cell r="C1025">
            <v>300806</v>
          </cell>
          <cell r="D1025" t="str">
            <v>Galvan National High School</v>
          </cell>
          <cell r="E1025">
            <v>0</v>
          </cell>
          <cell r="F1025">
            <v>11</v>
          </cell>
          <cell r="G1025">
            <v>0</v>
          </cell>
          <cell r="H1025">
            <v>0</v>
          </cell>
          <cell r="I1025">
            <v>1</v>
          </cell>
          <cell r="J1025">
            <v>10</v>
          </cell>
          <cell r="K1025">
            <v>1</v>
          </cell>
          <cell r="L1025">
            <v>10</v>
          </cell>
        </row>
        <row r="1026">
          <cell r="C1026">
            <v>300807</v>
          </cell>
          <cell r="D1026" t="str">
            <v>General Luna NHS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</row>
        <row r="1027">
          <cell r="C1027">
            <v>300808</v>
          </cell>
          <cell r="D1027" t="str">
            <v>General Tinio NHS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</row>
        <row r="1028">
          <cell r="C1028">
            <v>300809</v>
          </cell>
          <cell r="D1028" t="str">
            <v>Bartolome R Sangalang National High School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</row>
        <row r="1029">
          <cell r="C1029">
            <v>300810</v>
          </cell>
          <cell r="D1029" t="str">
            <v>Hilario E. Hermosa Mem. HS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</row>
        <row r="1030">
          <cell r="C1030">
            <v>300811</v>
          </cell>
          <cell r="D1030" t="str">
            <v>Jorge M. Padilla NHS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4</v>
          </cell>
          <cell r="K1030">
            <v>0</v>
          </cell>
          <cell r="L1030">
            <v>2</v>
          </cell>
        </row>
        <row r="1031">
          <cell r="C1031">
            <v>300814</v>
          </cell>
          <cell r="D1031" t="str">
            <v>Julia Ortiz Luiz NHS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</row>
        <row r="1032">
          <cell r="C1032">
            <v>300816</v>
          </cell>
          <cell r="D1032" t="str">
            <v>Macabaclay National High School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</row>
        <row r="1033">
          <cell r="C1033">
            <v>300817</v>
          </cell>
          <cell r="D1033" t="str">
            <v>Magpapalayok NHS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2</v>
          </cell>
          <cell r="J1033">
            <v>4</v>
          </cell>
          <cell r="K1033">
            <v>2</v>
          </cell>
          <cell r="L1033">
            <v>4</v>
          </cell>
        </row>
        <row r="1034">
          <cell r="C1034">
            <v>300818</v>
          </cell>
          <cell r="D1034" t="str">
            <v>MalacaÃ±ang NHS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</row>
        <row r="1035">
          <cell r="C1035">
            <v>300819</v>
          </cell>
          <cell r="D1035" t="str">
            <v>Maligaya National High School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</row>
        <row r="1036">
          <cell r="C1036">
            <v>300820</v>
          </cell>
          <cell r="D1036" t="str">
            <v>MALLORCA NATIONAL HIGH SCHOOL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3</v>
          </cell>
          <cell r="J1036">
            <v>8</v>
          </cell>
          <cell r="K1036">
            <v>0</v>
          </cell>
          <cell r="L1036">
            <v>2</v>
          </cell>
        </row>
        <row r="1037">
          <cell r="C1037">
            <v>300821</v>
          </cell>
          <cell r="D1037" t="str">
            <v>Mambangnan NHS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</row>
        <row r="1038">
          <cell r="C1038">
            <v>300823</v>
          </cell>
          <cell r="D1038" t="str">
            <v>Mataas Na Kahoy National High School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</row>
        <row r="1039">
          <cell r="C1039">
            <v>300825</v>
          </cell>
          <cell r="D1039" t="str">
            <v>Nagpandayan NHS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2</v>
          </cell>
          <cell r="J1039">
            <v>4</v>
          </cell>
          <cell r="K1039">
            <v>2</v>
          </cell>
          <cell r="L1039">
            <v>4</v>
          </cell>
        </row>
        <row r="1040">
          <cell r="C1040">
            <v>300826</v>
          </cell>
          <cell r="D1040" t="str">
            <v>Nueva Ecija NHS</v>
          </cell>
          <cell r="E1040">
            <v>2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1</v>
          </cell>
        </row>
        <row r="1041">
          <cell r="C1041">
            <v>300827</v>
          </cell>
          <cell r="D1041" t="str">
            <v>Paitan Sur NHS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2</v>
          </cell>
          <cell r="J1041">
            <v>5</v>
          </cell>
          <cell r="K1041">
            <v>0</v>
          </cell>
          <cell r="L1041">
            <v>0</v>
          </cell>
        </row>
        <row r="1042">
          <cell r="C1042">
            <v>300828</v>
          </cell>
          <cell r="D1042" t="str">
            <v>Palayan City National High School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</row>
        <row r="1043">
          <cell r="C1043">
            <v>300830</v>
          </cell>
          <cell r="D1043" t="str">
            <v>Pantabangan NHS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</row>
        <row r="1044">
          <cell r="C1044">
            <v>300831</v>
          </cell>
          <cell r="D1044" t="str">
            <v>Pantabangan NHS - Annex, Cadaclan IS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</row>
        <row r="1045">
          <cell r="C1045">
            <v>300832</v>
          </cell>
          <cell r="D1045" t="str">
            <v>Peñaranda National High School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</row>
        <row r="1046">
          <cell r="C1046">
            <v>300834</v>
          </cell>
          <cell r="D1046" t="str">
            <v>Pulo NHS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2</v>
          </cell>
          <cell r="J1046">
            <v>3</v>
          </cell>
          <cell r="K1046">
            <v>0</v>
          </cell>
          <cell r="L1046">
            <v>0</v>
          </cell>
        </row>
        <row r="1047">
          <cell r="C1047">
            <v>300835</v>
          </cell>
          <cell r="D1047" t="str">
            <v>Putlod-San Jose NHS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</row>
        <row r="1048">
          <cell r="C1048">
            <v>300836</v>
          </cell>
          <cell r="D1048" t="str">
            <v>Lambakin National High School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</row>
        <row r="1049">
          <cell r="C1049">
            <v>300837</v>
          </cell>
          <cell r="D1049" t="str">
            <v>Recuerdo NHS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</row>
        <row r="1050">
          <cell r="C1050">
            <v>300838</v>
          </cell>
          <cell r="D1050" t="str">
            <v>Nampicuan NHS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</row>
        <row r="1051">
          <cell r="C1051">
            <v>300839</v>
          </cell>
          <cell r="D1051" t="str">
            <v>Restituto B. Peria HS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</row>
        <row r="1052">
          <cell r="C1052">
            <v>300840</v>
          </cell>
          <cell r="D1052" t="str">
            <v>Rio Chico National High School</v>
          </cell>
          <cell r="E1052">
            <v>0</v>
          </cell>
          <cell r="F1052">
            <v>1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1</v>
          </cell>
          <cell r="L1052">
            <v>0</v>
          </cell>
        </row>
        <row r="1053">
          <cell r="C1053">
            <v>300841</v>
          </cell>
          <cell r="D1053" t="str">
            <v>Rizal NHS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</row>
        <row r="1054">
          <cell r="C1054">
            <v>300842</v>
          </cell>
          <cell r="D1054" t="str">
            <v>Salagusog National High School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</row>
        <row r="1055">
          <cell r="C1055">
            <v>300843</v>
          </cell>
          <cell r="D1055" t="str">
            <v>San Andres HS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</row>
        <row r="1056">
          <cell r="C1056">
            <v>300844</v>
          </cell>
          <cell r="D1056" t="str">
            <v>San Anton NHS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</row>
        <row r="1057">
          <cell r="C1057">
            <v>300845</v>
          </cell>
          <cell r="D1057" t="str">
            <v>Exequiel R. Lina National High School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</row>
        <row r="1058">
          <cell r="C1058">
            <v>300846</v>
          </cell>
          <cell r="D1058" t="str">
            <v>San Francisco NHS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1</v>
          </cell>
          <cell r="L1058">
            <v>0</v>
          </cell>
        </row>
        <row r="1059">
          <cell r="C1059">
            <v>300847</v>
          </cell>
          <cell r="D1059" t="str">
            <v>San Isidro NHS</v>
          </cell>
          <cell r="E1059">
            <v>0</v>
          </cell>
          <cell r="F1059">
            <v>0</v>
          </cell>
          <cell r="G1059">
            <v>4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</row>
        <row r="1060">
          <cell r="C1060">
            <v>300848</v>
          </cell>
          <cell r="D1060" t="str">
            <v>San Mariano National High School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</row>
        <row r="1061">
          <cell r="C1061">
            <v>300850</v>
          </cell>
          <cell r="D1061" t="str">
            <v>San Ricardo NHS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4</v>
          </cell>
          <cell r="K1061">
            <v>2</v>
          </cell>
          <cell r="L1061">
            <v>6</v>
          </cell>
        </row>
        <row r="1062">
          <cell r="C1062">
            <v>300852</v>
          </cell>
          <cell r="D1062" t="str">
            <v>Sibul National High School</v>
          </cell>
          <cell r="E1062">
            <v>0</v>
          </cell>
          <cell r="F1062">
            <v>0</v>
          </cell>
          <cell r="G1062">
            <v>1</v>
          </cell>
          <cell r="H1062">
            <v>0</v>
          </cell>
          <cell r="I1062">
            <v>3</v>
          </cell>
          <cell r="J1062">
            <v>7</v>
          </cell>
          <cell r="K1062">
            <v>2</v>
          </cell>
          <cell r="L1062">
            <v>7</v>
          </cell>
        </row>
        <row r="1063">
          <cell r="C1063">
            <v>300853</v>
          </cell>
          <cell r="D1063" t="str">
            <v>STA. BARBARA NATIONAL HS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</row>
        <row r="1064">
          <cell r="C1064">
            <v>300854</v>
          </cell>
          <cell r="D1064" t="str">
            <v>Zacarias C. Aquilizan HS (Sta. Barbara NHS Annex)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</row>
        <row r="1065">
          <cell r="C1065">
            <v>300855</v>
          </cell>
          <cell r="D1065" t="str">
            <v>Sta. Maria NHS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</row>
        <row r="1066">
          <cell r="C1066">
            <v>300856</v>
          </cell>
          <cell r="D1066" t="str">
            <v>Sta. Rita NHS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1</v>
          </cell>
          <cell r="J1066">
            <v>4</v>
          </cell>
          <cell r="K1066">
            <v>1</v>
          </cell>
          <cell r="L1066">
            <v>4</v>
          </cell>
        </row>
        <row r="1067">
          <cell r="C1067">
            <v>300857</v>
          </cell>
          <cell r="D1067" t="str">
            <v>Sto. Domingo NTS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</row>
        <row r="1068">
          <cell r="C1068">
            <v>300858</v>
          </cell>
          <cell r="D1068" t="str">
            <v>Sto. Rosario NHS , Sta. Rosa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2</v>
          </cell>
          <cell r="J1068">
            <v>3</v>
          </cell>
          <cell r="K1068">
            <v>0</v>
          </cell>
          <cell r="L1068">
            <v>0</v>
          </cell>
        </row>
        <row r="1069">
          <cell r="C1069">
            <v>300859</v>
          </cell>
          <cell r="D1069" t="str">
            <v>Sto. Rosario NHS, Sto. Domingo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</row>
        <row r="1070">
          <cell r="C1070">
            <v>300860</v>
          </cell>
          <cell r="D1070" t="str">
            <v>Vicente R. Bumanlag, Sr. National HS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1</v>
          </cell>
          <cell r="J1070">
            <v>6</v>
          </cell>
          <cell r="K1070">
            <v>1</v>
          </cell>
          <cell r="L1070">
            <v>0</v>
          </cell>
        </row>
        <row r="1071">
          <cell r="C1071">
            <v>300861</v>
          </cell>
          <cell r="D1071" t="str">
            <v>Talabutab Norte National High School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2</v>
          </cell>
          <cell r="J1071">
            <v>3</v>
          </cell>
          <cell r="K1071">
            <v>0</v>
          </cell>
          <cell r="L1071">
            <v>0</v>
          </cell>
        </row>
        <row r="1072">
          <cell r="C1072">
            <v>300862</v>
          </cell>
          <cell r="D1072" t="str">
            <v>Gen. Mamerto Natividad National HS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</row>
        <row r="1073">
          <cell r="C1073">
            <v>300863</v>
          </cell>
          <cell r="D1073" t="str">
            <v>Eduardo L. Joson Memorial HS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</row>
        <row r="1074">
          <cell r="C1074">
            <v>300864</v>
          </cell>
          <cell r="D1074" t="str">
            <v>TALAVERA NATIONAL HIGH SCHOOL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14</v>
          </cell>
          <cell r="J1074">
            <v>23</v>
          </cell>
          <cell r="K1074">
            <v>14</v>
          </cell>
          <cell r="L1074">
            <v>23</v>
          </cell>
        </row>
        <row r="1075">
          <cell r="C1075">
            <v>300865</v>
          </cell>
          <cell r="D1075" t="str">
            <v>Tabacao National High School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2</v>
          </cell>
          <cell r="J1075">
            <v>5</v>
          </cell>
          <cell r="K1075">
            <v>2</v>
          </cell>
          <cell r="L1075">
            <v>5</v>
          </cell>
        </row>
        <row r="1076">
          <cell r="C1076">
            <v>300866</v>
          </cell>
          <cell r="D1076" t="str">
            <v>Talugtug NHS</v>
          </cell>
          <cell r="E1076">
            <v>0</v>
          </cell>
          <cell r="F1076">
            <v>1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</v>
          </cell>
        </row>
        <row r="1077">
          <cell r="C1077">
            <v>300867</v>
          </cell>
          <cell r="D1077" t="str">
            <v>Teodoro A. Dionisio NHS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</row>
        <row r="1078">
          <cell r="C1078">
            <v>300869</v>
          </cell>
          <cell r="D1078" t="str">
            <v>Triala NHS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</row>
        <row r="1079">
          <cell r="C1079">
            <v>300870</v>
          </cell>
          <cell r="D1079" t="str">
            <v>Llanera National HIgh School</v>
          </cell>
          <cell r="E1079">
            <v>0</v>
          </cell>
          <cell r="F1079">
            <v>0</v>
          </cell>
          <cell r="G1079">
            <v>1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</row>
        <row r="1080">
          <cell r="C1080">
            <v>300871</v>
          </cell>
          <cell r="D1080" t="str">
            <v>ZARAGOZA NATIONAL HIGH SCHOOL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</row>
        <row r="1081">
          <cell r="C1081">
            <v>306287</v>
          </cell>
          <cell r="D1081" t="str">
            <v>F. Buencamino Sr. Integrated School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</row>
        <row r="1082">
          <cell r="C1082">
            <v>306801</v>
          </cell>
          <cell r="D1082" t="str">
            <v>SANTA ROSA NATIONAL HIGH SCHOOL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7</v>
          </cell>
          <cell r="J1082">
            <v>7</v>
          </cell>
          <cell r="K1082">
            <v>7</v>
          </cell>
          <cell r="L1082">
            <v>7</v>
          </cell>
        </row>
        <row r="1083">
          <cell r="C1083">
            <v>306802</v>
          </cell>
          <cell r="D1083" t="str">
            <v>San Felipe Integrated High School</v>
          </cell>
          <cell r="E1083">
            <v>0</v>
          </cell>
          <cell r="F1083">
            <v>1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</row>
        <row r="1084">
          <cell r="C1084">
            <v>306803</v>
          </cell>
          <cell r="D1084" t="str">
            <v>Buklod-Palad NHS (former Maligaya NHS Annex - DoÃ±a Josefa)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</row>
        <row r="1085">
          <cell r="C1085">
            <v>306804</v>
          </cell>
          <cell r="D1085" t="str">
            <v>BURGOS NATIONAL HIGH SCHOOL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</row>
        <row r="1086">
          <cell r="C1086">
            <v>306806</v>
          </cell>
          <cell r="D1086" t="str">
            <v>AGUPALO WESTE HIGH SCHOOL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</row>
        <row r="1087">
          <cell r="C1087">
            <v>306807</v>
          </cell>
          <cell r="D1087" t="str">
            <v>San Carlos High School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1</v>
          </cell>
          <cell r="J1087">
            <v>1</v>
          </cell>
          <cell r="K1087">
            <v>1</v>
          </cell>
          <cell r="L1087">
            <v>1</v>
          </cell>
        </row>
        <row r="1088">
          <cell r="C1088">
            <v>306808</v>
          </cell>
          <cell r="D1088" t="str">
            <v>Ganduz National High School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</row>
        <row r="1089">
          <cell r="C1089">
            <v>306809</v>
          </cell>
          <cell r="D1089" t="str">
            <v>LEONOR M. BAUTISTA HS (Pias Campus Annex)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</row>
        <row r="1090">
          <cell r="C1090">
            <v>306810</v>
          </cell>
          <cell r="D1090" t="str">
            <v>PACAC HIGH SCHOOL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</row>
        <row r="1091">
          <cell r="C1091">
            <v>306811</v>
          </cell>
          <cell r="D1091" t="str">
            <v>Umangan National High School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</row>
        <row r="1092">
          <cell r="C1092">
            <v>306812</v>
          </cell>
          <cell r="D1092" t="str">
            <v>Ricardo Dizon Canlas Agr'l. HS (Former Jorge M. Padilla NHS Annex)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</row>
        <row r="1093">
          <cell r="C1093">
            <v>306813</v>
          </cell>
          <cell r="D1093" t="str">
            <v>Bongabon NHS Annex (Vega HS)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3</v>
          </cell>
          <cell r="K1093">
            <v>0</v>
          </cell>
          <cell r="L1093">
            <v>0</v>
          </cell>
        </row>
        <row r="1094">
          <cell r="C1094">
            <v>306814</v>
          </cell>
          <cell r="D1094" t="str">
            <v>Ligaya National High School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3</v>
          </cell>
          <cell r="J1094">
            <v>2</v>
          </cell>
          <cell r="K1094">
            <v>3</v>
          </cell>
          <cell r="L1094">
            <v>2</v>
          </cell>
        </row>
        <row r="1095">
          <cell r="C1095">
            <v>306815</v>
          </cell>
          <cell r="D1095" t="str">
            <v>Manacsac HS (Former Nagpandayan HS Annex)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</row>
        <row r="1096">
          <cell r="C1096">
            <v>306816</v>
          </cell>
          <cell r="D1096" t="str">
            <v>Jaen NHS (former Putlod-San Jose NHS-Annex)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2</v>
          </cell>
          <cell r="J1096">
            <v>5</v>
          </cell>
          <cell r="K1096">
            <v>1</v>
          </cell>
          <cell r="L1096">
            <v>1</v>
          </cell>
        </row>
        <row r="1097">
          <cell r="C1097">
            <v>306821</v>
          </cell>
          <cell r="D1097" t="str">
            <v>Dr. Jose Lapuz Salonga HS (Former San Mariano NHS Annex)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</row>
        <row r="1098">
          <cell r="C1098">
            <v>306823</v>
          </cell>
          <cell r="D1098" t="str">
            <v>Sta. Isabel High School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</row>
        <row r="1099">
          <cell r="C1099">
            <v>306824</v>
          </cell>
          <cell r="D1099" t="str">
            <v>Cuyapo National High School Annex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</row>
        <row r="1100">
          <cell r="C1100">
            <v>306825</v>
          </cell>
          <cell r="D1100" t="str">
            <v>Marawa National High School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</row>
        <row r="1101">
          <cell r="C1101">
            <v>306826</v>
          </cell>
          <cell r="D1101" t="str">
            <v>Emilia Belmonte Acosta National High Shool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1</v>
          </cell>
          <cell r="J1101">
            <v>4</v>
          </cell>
          <cell r="K1101">
            <v>0</v>
          </cell>
          <cell r="L1101">
            <v>0</v>
          </cell>
        </row>
        <row r="1102">
          <cell r="C1102">
            <v>306828</v>
          </cell>
          <cell r="D1102" t="str">
            <v>Talugtug NHS Annex-Saverona</v>
          </cell>
          <cell r="E1102">
            <v>0</v>
          </cell>
          <cell r="F1102">
            <v>2</v>
          </cell>
          <cell r="G1102">
            <v>0</v>
          </cell>
          <cell r="H1102">
            <v>0</v>
          </cell>
          <cell r="I1102">
            <v>1</v>
          </cell>
          <cell r="J1102">
            <v>1</v>
          </cell>
          <cell r="K1102">
            <v>2</v>
          </cell>
          <cell r="L1102">
            <v>2</v>
          </cell>
        </row>
        <row r="1103">
          <cell r="C1103">
            <v>306829</v>
          </cell>
          <cell r="D1103" t="str">
            <v>Bartolome R Sangalang NHS Annex-Macatcatuit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</row>
        <row r="1104">
          <cell r="C1104">
            <v>306830</v>
          </cell>
          <cell r="D1104" t="str">
            <v>Cambitala NHS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</row>
        <row r="1105">
          <cell r="C1105">
            <v>306831</v>
          </cell>
          <cell r="D1105" t="str">
            <v>Jaen NHS Annex-San Pablo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</row>
        <row r="1106">
          <cell r="C1106">
            <v>306832</v>
          </cell>
          <cell r="D1106" t="str">
            <v>Conversion IS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</row>
        <row r="1107">
          <cell r="C1107">
            <v>306833</v>
          </cell>
          <cell r="D1107" t="str">
            <v>San Leonardo NHS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</row>
        <row r="1108">
          <cell r="C1108">
            <v>500120</v>
          </cell>
          <cell r="D1108" t="str">
            <v>Gen. Luna Integrated HS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</row>
        <row r="1109">
          <cell r="C1109">
            <v>500121</v>
          </cell>
          <cell r="D1109" t="str">
            <v>Bunga ES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</row>
        <row r="1110">
          <cell r="C1110">
            <v>500122</v>
          </cell>
          <cell r="D1110" t="str">
            <v>Sta. Barbara Integrated School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</row>
        <row r="1111">
          <cell r="C1111">
            <v>300872</v>
          </cell>
          <cell r="D1111" t="str">
            <v>Nicanor David Vergara HS (Anao NHS)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</row>
        <row r="1112">
          <cell r="C1112">
            <v>300873</v>
          </cell>
          <cell r="D1112" t="str">
            <v>Arayat National High School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</row>
        <row r="1113">
          <cell r="C1113">
            <v>300874</v>
          </cell>
          <cell r="D1113" t="str">
            <v>Bahay Pare NHS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</row>
        <row r="1114">
          <cell r="C1114">
            <v>300875</v>
          </cell>
          <cell r="D1114" t="str">
            <v>Balitucan National High School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</row>
        <row r="1115">
          <cell r="C1115">
            <v>300876</v>
          </cell>
          <cell r="D1115" t="str">
            <v>Andres M. Luciano HS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4</v>
          </cell>
          <cell r="K1115">
            <v>0</v>
          </cell>
          <cell r="L1115">
            <v>0</v>
          </cell>
        </row>
        <row r="1116">
          <cell r="C1116">
            <v>300877</v>
          </cell>
          <cell r="D1116" t="str">
            <v>Balucuc High School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</row>
        <row r="1117">
          <cell r="C1117">
            <v>300879</v>
          </cell>
          <cell r="D1117" t="str">
            <v>Basa Air Base High School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</row>
        <row r="1118">
          <cell r="C1118">
            <v>300880</v>
          </cell>
          <cell r="D1118" t="str">
            <v>Becuran National High School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</row>
        <row r="1119">
          <cell r="C1119">
            <v>300881</v>
          </cell>
          <cell r="D1119" t="str">
            <v>San Basilio HS (Becuran NHS Annex)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</row>
        <row r="1120">
          <cell r="C1120">
            <v>300882</v>
          </cell>
          <cell r="D1120" t="str">
            <v>Betis NHS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</row>
        <row r="1121">
          <cell r="C1121">
            <v>300883</v>
          </cell>
          <cell r="D1121" t="str">
            <v>Caduang Tete HS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</row>
        <row r="1122">
          <cell r="C1122">
            <v>300884</v>
          </cell>
          <cell r="D1122" t="str">
            <v>Camba NHS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</row>
        <row r="1123">
          <cell r="C1123">
            <v>300885</v>
          </cell>
          <cell r="D1123" t="str">
            <v>Cansinala NHS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</row>
        <row r="1124">
          <cell r="C1124">
            <v>300886</v>
          </cell>
          <cell r="D1124" t="str">
            <v>Del Carmen National High School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</row>
        <row r="1125">
          <cell r="C1125">
            <v>300887</v>
          </cell>
          <cell r="D1125" t="str">
            <v>Dela Paz Libutad NHS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</row>
        <row r="1126">
          <cell r="C1126">
            <v>300888</v>
          </cell>
          <cell r="D1126" t="str">
            <v>Dolores NHS, Magalang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1</v>
          </cell>
          <cell r="J1126">
            <v>1</v>
          </cell>
          <cell r="K1126">
            <v>0</v>
          </cell>
          <cell r="L1126">
            <v>0</v>
          </cell>
        </row>
        <row r="1127">
          <cell r="C1127">
            <v>300890</v>
          </cell>
          <cell r="D1127" t="str">
            <v>Floridablanca Nat'l. Agr'l. School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</row>
        <row r="1128">
          <cell r="C1128">
            <v>300891</v>
          </cell>
          <cell r="D1128" t="str">
            <v>Guillermo D. Mendoza NHS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</row>
        <row r="1129">
          <cell r="C1129">
            <v>300892</v>
          </cell>
          <cell r="D1129" t="str">
            <v>Gutad NHS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</row>
        <row r="1130">
          <cell r="C1130">
            <v>300893</v>
          </cell>
          <cell r="D1130" t="str">
            <v>DIOSDADO MACAPAGAL MEMORIAL HIGH SCHOOL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</row>
        <row r="1131">
          <cell r="C1131">
            <v>300894</v>
          </cell>
          <cell r="D1131" t="str">
            <v>Lubao NHS (Lubao Vocational School)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5</v>
          </cell>
          <cell r="J1131">
            <v>18</v>
          </cell>
          <cell r="K1131">
            <v>2</v>
          </cell>
          <cell r="L1131">
            <v>0</v>
          </cell>
        </row>
        <row r="1132">
          <cell r="C1132">
            <v>300896</v>
          </cell>
          <cell r="D1132" t="str">
            <v>Malino NHS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2</v>
          </cell>
          <cell r="J1132">
            <v>3</v>
          </cell>
          <cell r="K1132">
            <v>0</v>
          </cell>
          <cell r="L1132">
            <v>0</v>
          </cell>
        </row>
        <row r="1133">
          <cell r="C1133">
            <v>300897</v>
          </cell>
          <cell r="D1133" t="str">
            <v>Malusac NHS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</row>
        <row r="1134">
          <cell r="C1134">
            <v>300898</v>
          </cell>
          <cell r="D1134" t="str">
            <v>Justino Sevilla High School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12</v>
          </cell>
          <cell r="J1134">
            <v>16</v>
          </cell>
          <cell r="K1134">
            <v>13</v>
          </cell>
          <cell r="L1134">
            <v>20</v>
          </cell>
        </row>
        <row r="1135">
          <cell r="C1135">
            <v>300899</v>
          </cell>
          <cell r="D1135" t="str">
            <v>Mapaniqui NHS</v>
          </cell>
          <cell r="E1135">
            <v>0</v>
          </cell>
          <cell r="F1135">
            <v>1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</row>
        <row r="1136">
          <cell r="C1136">
            <v>300901</v>
          </cell>
          <cell r="D1136" t="str">
            <v>Mexico National High School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1</v>
          </cell>
          <cell r="J1136">
            <v>7</v>
          </cell>
          <cell r="K1136">
            <v>0</v>
          </cell>
          <cell r="L1136">
            <v>0</v>
          </cell>
        </row>
        <row r="1137">
          <cell r="C1137">
            <v>300902</v>
          </cell>
          <cell r="D1137" t="str">
            <v>Natividad NHS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</row>
        <row r="1138">
          <cell r="C1138">
            <v>300903</v>
          </cell>
          <cell r="D1138" t="str">
            <v>Pulungmasle NHS (Natividad NHS - PulungMasle HS Annex)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</row>
        <row r="1139">
          <cell r="C1139">
            <v>300904</v>
          </cell>
          <cell r="D1139" t="str">
            <v>Pagyuruan NHS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</row>
        <row r="1140">
          <cell r="C1140">
            <v>300905</v>
          </cell>
          <cell r="D1140" t="str">
            <v>Don Jesus Gonzales High School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</row>
        <row r="1141">
          <cell r="C1141">
            <v>300906</v>
          </cell>
          <cell r="D1141" t="str">
            <v>Pasig NHS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</row>
        <row r="1142">
          <cell r="C1142">
            <v>300907</v>
          </cell>
          <cell r="D1142" t="str">
            <v>Porac Model Comm. HS (Resettlement School)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</row>
        <row r="1143">
          <cell r="C1143">
            <v>300908</v>
          </cell>
          <cell r="D1143" t="str">
            <v>Villa Maria IS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</row>
        <row r="1144">
          <cell r="C1144">
            <v>300909</v>
          </cell>
          <cell r="D1144" t="str">
            <v>Pulung Santol National High School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</row>
        <row r="1145">
          <cell r="C1145">
            <v>300910</v>
          </cell>
          <cell r="D1145" t="str">
            <v>Pulong Santol NHS - Annex 1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</row>
        <row r="1146">
          <cell r="C1146">
            <v>300911</v>
          </cell>
          <cell r="D1146" t="str">
            <v>Eastern Porac National High School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</row>
        <row r="1147">
          <cell r="C1147">
            <v>300912</v>
          </cell>
          <cell r="D1147" t="str">
            <v>Remedios NHS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</row>
        <row r="1148">
          <cell r="C1148">
            <v>300913</v>
          </cell>
          <cell r="D1148" t="str">
            <v>Salapungan NHS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</row>
        <row r="1149">
          <cell r="C1149">
            <v>300914</v>
          </cell>
          <cell r="D1149" t="str">
            <v>Salapungan NHS - Annex Mandili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</row>
        <row r="1150">
          <cell r="C1150">
            <v>300915</v>
          </cell>
          <cell r="D1150" t="str">
            <v>San Esteban NHS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</row>
        <row r="1151">
          <cell r="C1151">
            <v>300916</v>
          </cell>
          <cell r="D1151" t="str">
            <v>San Esteban NHS - Consuelo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1</v>
          </cell>
          <cell r="J1151">
            <v>3</v>
          </cell>
          <cell r="K1151">
            <v>0</v>
          </cell>
          <cell r="L1151">
            <v>0</v>
          </cell>
        </row>
        <row r="1152">
          <cell r="C1152">
            <v>300917</v>
          </cell>
          <cell r="D1152" t="str">
            <v>San Isidro NHS (Bacolor)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</row>
        <row r="1153">
          <cell r="C1153">
            <v>300918</v>
          </cell>
          <cell r="D1153" t="str">
            <v>San Isidro NHS (San Luis)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</row>
        <row r="1154">
          <cell r="C1154">
            <v>300919</v>
          </cell>
          <cell r="D1154" t="str">
            <v>San Isidro NHS (Sta. Ana)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2</v>
          </cell>
          <cell r="J1154">
            <v>2</v>
          </cell>
          <cell r="K1154">
            <v>0</v>
          </cell>
          <cell r="L1154">
            <v>0</v>
          </cell>
        </row>
        <row r="1155">
          <cell r="C1155">
            <v>300920</v>
          </cell>
          <cell r="D1155" t="str">
            <v>San Jose High School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</row>
        <row r="1156">
          <cell r="C1156">
            <v>300921</v>
          </cell>
          <cell r="D1156" t="str">
            <v>San Juan NHS, Mexico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</row>
        <row r="1157">
          <cell r="C1157">
            <v>300922</v>
          </cell>
          <cell r="D1157" t="str">
            <v>San Juan-San Luis NHS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</row>
        <row r="1158">
          <cell r="C1158">
            <v>300923</v>
          </cell>
          <cell r="D1158" t="str">
            <v>San Juan-San Luis National High School Annex (San Carlos)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</row>
        <row r="1159">
          <cell r="C1159">
            <v>300924</v>
          </cell>
          <cell r="D1159" t="str">
            <v>San Matias NHS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</row>
        <row r="1160">
          <cell r="C1160">
            <v>300925</v>
          </cell>
          <cell r="D1160" t="str">
            <v>San Pablo 2nd National High School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</row>
        <row r="1161">
          <cell r="C1161">
            <v>300926</v>
          </cell>
          <cell r="D1161" t="str">
            <v>San Pedro NHS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</row>
        <row r="1162">
          <cell r="C1162">
            <v>300928</v>
          </cell>
          <cell r="D1162" t="str">
            <v>San Roque Dau NHS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</row>
        <row r="1163">
          <cell r="C1163">
            <v>300929</v>
          </cell>
          <cell r="D1163" t="str">
            <v>San Vicente NHS, Lubao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</row>
        <row r="1164">
          <cell r="C1164">
            <v>300930</v>
          </cell>
          <cell r="D1164" t="str">
            <v>San Vicente-San Francisco NHS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</row>
        <row r="1165">
          <cell r="C1165">
            <v>300932</v>
          </cell>
          <cell r="D1165" t="str">
            <v>Sta. Ana NHS</v>
          </cell>
          <cell r="E1165">
            <v>0</v>
          </cell>
          <cell r="F1165">
            <v>0</v>
          </cell>
          <cell r="G1165">
            <v>9</v>
          </cell>
          <cell r="H1165">
            <v>0</v>
          </cell>
          <cell r="I1165">
            <v>1</v>
          </cell>
          <cell r="J1165">
            <v>6</v>
          </cell>
          <cell r="K1165">
            <v>0</v>
          </cell>
          <cell r="L1165">
            <v>2</v>
          </cell>
        </row>
        <row r="1166">
          <cell r="C1166">
            <v>300933</v>
          </cell>
          <cell r="D1166" t="str">
            <v>Masantol HS (Sta. Lucia NHS, Masantol)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</row>
        <row r="1167">
          <cell r="C1167">
            <v>300934</v>
          </cell>
          <cell r="D1167" t="str">
            <v>Sta. Maria NHS, Macabebe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</row>
        <row r="1168">
          <cell r="C1168">
            <v>300935</v>
          </cell>
          <cell r="D1168" t="str">
            <v>Sta. Maria NHS, Minalin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</row>
        <row r="1169">
          <cell r="C1169">
            <v>300936</v>
          </cell>
          <cell r="D1169" t="str">
            <v>Sto. Rosario NHS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4</v>
          </cell>
          <cell r="J1169">
            <v>7</v>
          </cell>
          <cell r="K1169">
            <v>3</v>
          </cell>
          <cell r="L1169">
            <v>1</v>
          </cell>
        </row>
        <row r="1170">
          <cell r="C1170">
            <v>300937</v>
          </cell>
          <cell r="D1170" t="str">
            <v>Sto. Tomas NHS, Sasmuan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3</v>
          </cell>
          <cell r="J1170">
            <v>4</v>
          </cell>
          <cell r="K1170">
            <v>0</v>
          </cell>
          <cell r="L1170">
            <v>0</v>
          </cell>
        </row>
        <row r="1171">
          <cell r="C1171">
            <v>300938</v>
          </cell>
          <cell r="D1171" t="str">
            <v>Sto. Tomas NHS, Sto. Tomas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2</v>
          </cell>
          <cell r="J1171">
            <v>5</v>
          </cell>
          <cell r="K1171">
            <v>2</v>
          </cell>
          <cell r="L1171">
            <v>5</v>
          </cell>
        </row>
        <row r="1172">
          <cell r="C1172">
            <v>300939</v>
          </cell>
          <cell r="D1172" t="str">
            <v>Tagulod High School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1</v>
          </cell>
          <cell r="J1172">
            <v>2</v>
          </cell>
          <cell r="K1172">
            <v>0</v>
          </cell>
          <cell r="L1172">
            <v>0</v>
          </cell>
        </row>
        <row r="1173">
          <cell r="C1173">
            <v>300941</v>
          </cell>
          <cell r="D1173" t="str">
            <v>Telacsan NHS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</row>
        <row r="1174">
          <cell r="C1174">
            <v>300943</v>
          </cell>
          <cell r="D1174" t="str">
            <v>Tinajero NHS - Sta. Lucia HS Annex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9</v>
          </cell>
          <cell r="J1174">
            <v>11</v>
          </cell>
          <cell r="K1174">
            <v>0</v>
          </cell>
          <cell r="L1174">
            <v>0</v>
          </cell>
        </row>
        <row r="1175">
          <cell r="C1175">
            <v>301065</v>
          </cell>
          <cell r="D1175" t="str">
            <v>Potrero NHS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</row>
        <row r="1176">
          <cell r="C1176">
            <v>306901</v>
          </cell>
          <cell r="D1176" t="str">
            <v>San Vicente Pilot School for Philippine Craftsmen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2</v>
          </cell>
          <cell r="J1176">
            <v>5</v>
          </cell>
          <cell r="K1176">
            <v>3</v>
          </cell>
          <cell r="L1176">
            <v>2</v>
          </cell>
        </row>
        <row r="1177">
          <cell r="C1177">
            <v>306902</v>
          </cell>
          <cell r="D1177" t="str">
            <v>San isidro National High School (San Jose Integrated)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</row>
        <row r="1178">
          <cell r="C1178">
            <v>306906</v>
          </cell>
          <cell r="D1178" t="str">
            <v>Tarik Suliman High School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</row>
        <row r="1179">
          <cell r="C1179">
            <v>306908</v>
          </cell>
          <cell r="D1179" t="str">
            <v>Diosdado Macapagal HS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3</v>
          </cell>
          <cell r="J1179">
            <v>7</v>
          </cell>
          <cell r="K1179">
            <v>1</v>
          </cell>
          <cell r="L1179">
            <v>2</v>
          </cell>
        </row>
        <row r="1180">
          <cell r="C1180">
            <v>306911</v>
          </cell>
          <cell r="D1180" t="str">
            <v>AMBROCIO S.SIMPAO EDUCATIONAL AND TRADET CENTER OF LEARNING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</row>
        <row r="1181">
          <cell r="C1181">
            <v>306912</v>
          </cell>
          <cell r="D1181" t="str">
            <v>Sta. Cruz High Integrated School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</row>
        <row r="1182">
          <cell r="C1182">
            <v>306913</v>
          </cell>
          <cell r="D1182" t="str">
            <v>Camias High School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</row>
        <row r="1183">
          <cell r="C1183">
            <v>306915</v>
          </cell>
          <cell r="D1183" t="str">
            <v>Apalit HS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</row>
        <row r="1184">
          <cell r="C1184">
            <v>306917</v>
          </cell>
          <cell r="D1184" t="str">
            <v>Sta. Monica High School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2</v>
          </cell>
          <cell r="K1184">
            <v>0</v>
          </cell>
          <cell r="L1184">
            <v>0</v>
          </cell>
        </row>
        <row r="1185">
          <cell r="C1185">
            <v>306918</v>
          </cell>
          <cell r="D1185" t="str">
            <v>San Simon High School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9</v>
          </cell>
          <cell r="K1185">
            <v>1</v>
          </cell>
          <cell r="L1185">
            <v>6</v>
          </cell>
        </row>
        <row r="1186">
          <cell r="C1186">
            <v>306919</v>
          </cell>
          <cell r="D1186" t="str">
            <v>Sampaga High School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</row>
        <row r="1187">
          <cell r="C1187">
            <v>306920</v>
          </cell>
          <cell r="D1187" t="str">
            <v>Macabebe High School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</row>
        <row r="1188">
          <cell r="C1188">
            <v>306923</v>
          </cell>
          <cell r="D1188" t="str">
            <v>Sapang Kawayan High School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</row>
        <row r="1189">
          <cell r="C1189">
            <v>306924</v>
          </cell>
          <cell r="D1189" t="str">
            <v>Gerry Rodriguez HS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2</v>
          </cell>
          <cell r="K1189">
            <v>0</v>
          </cell>
          <cell r="L1189">
            <v>0</v>
          </cell>
        </row>
        <row r="1190">
          <cell r="C1190">
            <v>306925</v>
          </cell>
          <cell r="D1190" t="str">
            <v>Don Antonio Lee Chi Uan IS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</row>
        <row r="1191">
          <cell r="C1191">
            <v>306926</v>
          </cell>
          <cell r="D1191" t="str">
            <v>Malauli High School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</row>
        <row r="1192">
          <cell r="C1192">
            <v>306933</v>
          </cell>
          <cell r="D1192" t="str">
            <v>Planas High School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3</v>
          </cell>
          <cell r="K1192">
            <v>0</v>
          </cell>
          <cell r="L1192">
            <v>3</v>
          </cell>
        </row>
        <row r="1193">
          <cell r="C1193">
            <v>306934</v>
          </cell>
          <cell r="D1193" t="str">
            <v>Emigdio A. Bondoc High School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</row>
        <row r="1194">
          <cell r="C1194">
            <v>306935</v>
          </cell>
          <cell r="D1194" t="str">
            <v>Bacolor HS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</row>
        <row r="1195">
          <cell r="C1195">
            <v>306936</v>
          </cell>
          <cell r="D1195" t="str">
            <v>Sucad National High School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</row>
        <row r="1196">
          <cell r="C1196">
            <v>306937</v>
          </cell>
          <cell r="D1196" t="str">
            <v>Dalayap High School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</row>
        <row r="1197">
          <cell r="C1197">
            <v>306938</v>
          </cell>
          <cell r="D1197" t="str">
            <v>AYALA HIGH SCHOOL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</row>
        <row r="1198">
          <cell r="C1198">
            <v>306939</v>
          </cell>
          <cell r="D1198" t="str">
            <v>BULAC HIGH SCHOOL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</row>
        <row r="1199">
          <cell r="C1199">
            <v>306944</v>
          </cell>
          <cell r="D1199" t="str">
            <v>San Luis NHS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</row>
        <row r="1200">
          <cell r="C1200">
            <v>306945</v>
          </cell>
          <cell r="D1200" t="str">
            <v>Telesforo Natividad NHS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</row>
        <row r="1201">
          <cell r="C1201">
            <v>306948</v>
          </cell>
          <cell r="D1201" t="str">
            <v>Sebitanan NHS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1</v>
          </cell>
          <cell r="J1201">
            <v>2</v>
          </cell>
          <cell r="K1201">
            <v>1</v>
          </cell>
          <cell r="L1201">
            <v>2</v>
          </cell>
        </row>
        <row r="1202">
          <cell r="C1202">
            <v>306953</v>
          </cell>
          <cell r="D1202" t="str">
            <v>San Roque Arbol High School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</row>
        <row r="1203">
          <cell r="C1203">
            <v>306955</v>
          </cell>
          <cell r="D1203" t="str">
            <v>Mangga High School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</row>
        <row r="1204">
          <cell r="C1204">
            <v>345530</v>
          </cell>
          <cell r="D1204" t="str">
            <v>SHS in Apalit, Pampanga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</row>
        <row r="1205">
          <cell r="C1205">
            <v>345531</v>
          </cell>
          <cell r="D1205" t="str">
            <v>SHS in Magalang, Pampanga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</row>
        <row r="1206">
          <cell r="C1206">
            <v>500026</v>
          </cell>
          <cell r="D1206" t="str">
            <v>CONCEPCION INTEGRATED SCHOOL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</row>
        <row r="1207">
          <cell r="C1207">
            <v>300946</v>
          </cell>
          <cell r="D1207" t="str">
            <v>Anao NHS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</row>
        <row r="1208">
          <cell r="C1208">
            <v>300947</v>
          </cell>
          <cell r="D1208" t="str">
            <v>Aringin NHS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</row>
        <row r="1209">
          <cell r="C1209">
            <v>300948</v>
          </cell>
          <cell r="D1209" t="str">
            <v>Balaoang NHS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</row>
        <row r="1210">
          <cell r="C1210">
            <v>300949</v>
          </cell>
          <cell r="D1210" t="str">
            <v>Anastacio G. Yumul High School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</row>
        <row r="1211">
          <cell r="C1211">
            <v>300950</v>
          </cell>
          <cell r="D1211" t="str">
            <v>Bamban NHS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</row>
        <row r="1212">
          <cell r="C1212">
            <v>300951</v>
          </cell>
          <cell r="D1212" t="str">
            <v>Benigno S. Aquino National High School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</row>
        <row r="1213">
          <cell r="C1213">
            <v>300952</v>
          </cell>
          <cell r="D1213" t="str">
            <v>Bilad High School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</row>
        <row r="1214">
          <cell r="C1214">
            <v>300953</v>
          </cell>
          <cell r="D1214" t="str">
            <v>Buenavista High School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</row>
        <row r="1215">
          <cell r="C1215">
            <v>300954</v>
          </cell>
          <cell r="D1215" t="str">
            <v>Buenlag NHS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</row>
        <row r="1216">
          <cell r="C1216">
            <v>300955</v>
          </cell>
          <cell r="D1216" t="str">
            <v>Caanamongan High School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</row>
        <row r="1217">
          <cell r="C1217">
            <v>300956</v>
          </cell>
          <cell r="D1217" t="str">
            <v>Calangitan HS (Resettlement School)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</row>
        <row r="1218">
          <cell r="C1218">
            <v>300957</v>
          </cell>
          <cell r="D1218" t="str">
            <v>Caluluan HS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</row>
        <row r="1219">
          <cell r="C1219">
            <v>300958</v>
          </cell>
          <cell r="D1219" t="str">
            <v>Camiling School of Home Industries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</row>
        <row r="1220">
          <cell r="C1220">
            <v>300959</v>
          </cell>
          <cell r="D1220" t="str">
            <v>Cardona NHS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</row>
        <row r="1221">
          <cell r="C1221">
            <v>300961</v>
          </cell>
          <cell r="D1221" t="str">
            <v>Comillas High School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</row>
        <row r="1222">
          <cell r="C1222">
            <v>300962</v>
          </cell>
          <cell r="D1222" t="str">
            <v>Dapdap HS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</row>
        <row r="1223">
          <cell r="C1223">
            <v>300963</v>
          </cell>
          <cell r="D1223" t="str">
            <v>Dueg High School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</row>
        <row r="1224">
          <cell r="C1224">
            <v>300964</v>
          </cell>
          <cell r="D1224" t="str">
            <v>Estipona NHS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</row>
        <row r="1225">
          <cell r="C1225">
            <v>300965</v>
          </cell>
          <cell r="D1225" t="str">
            <v>Gerona Western National  High School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</row>
        <row r="1226">
          <cell r="C1226">
            <v>300966</v>
          </cell>
          <cell r="D1226" t="str">
            <v>Guevara NHS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</row>
        <row r="1227">
          <cell r="C1227">
            <v>300967</v>
          </cell>
          <cell r="D1227" t="str">
            <v>La Paz NHS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</row>
        <row r="1228">
          <cell r="C1228">
            <v>300968</v>
          </cell>
          <cell r="D1228" t="str">
            <v>Lawy NHS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</row>
        <row r="1229">
          <cell r="C1229">
            <v>300969</v>
          </cell>
          <cell r="D1229" t="str">
            <v>Mababanaba High School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</row>
        <row r="1230">
          <cell r="C1230">
            <v>300972</v>
          </cell>
          <cell r="D1230" t="str">
            <v>Marawi National High School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</row>
        <row r="1231">
          <cell r="C1231">
            <v>300973</v>
          </cell>
          <cell r="D1231" t="str">
            <v>Birbira High School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</row>
        <row r="1232">
          <cell r="C1232">
            <v>300974</v>
          </cell>
          <cell r="D1232" t="str">
            <v>Maungib NHS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</row>
        <row r="1233">
          <cell r="C1233">
            <v>300975</v>
          </cell>
          <cell r="D1233" t="str">
            <v>Nambalan NHS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</row>
        <row r="1234">
          <cell r="C1234">
            <v>300976</v>
          </cell>
          <cell r="D1234" t="str">
            <v>Cristo Rey HS (ORES)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</row>
        <row r="1235">
          <cell r="C1235">
            <v>300977</v>
          </cell>
          <cell r="D1235" t="str">
            <v>O'Donnell High School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</row>
        <row r="1236">
          <cell r="C1236">
            <v>300978</v>
          </cell>
          <cell r="D1236" t="str">
            <v>Padapada NHS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</row>
        <row r="1237">
          <cell r="C1237">
            <v>300979</v>
          </cell>
          <cell r="D1237" t="str">
            <v>Pilpila High School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</row>
        <row r="1238">
          <cell r="C1238">
            <v>300980</v>
          </cell>
          <cell r="D1238" t="str">
            <v>Pitombayog NHS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</row>
        <row r="1239">
          <cell r="C1239">
            <v>300981</v>
          </cell>
          <cell r="D1239" t="str">
            <v>Quezon NHS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</row>
        <row r="1240">
          <cell r="C1240">
            <v>300982</v>
          </cell>
          <cell r="D1240" t="str">
            <v>Ramos National High School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6</v>
          </cell>
          <cell r="J1240">
            <v>7</v>
          </cell>
          <cell r="K1240">
            <v>8</v>
          </cell>
          <cell r="L1240">
            <v>9</v>
          </cell>
        </row>
        <row r="1241">
          <cell r="C1241">
            <v>300983</v>
          </cell>
          <cell r="D1241" t="str">
            <v>Sacata NHS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</row>
        <row r="1242">
          <cell r="C1242">
            <v>300984</v>
          </cell>
          <cell r="D1242" t="str">
            <v>San Bartolome NHS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2</v>
          </cell>
          <cell r="J1242">
            <v>3</v>
          </cell>
          <cell r="K1242">
            <v>0</v>
          </cell>
          <cell r="L1242">
            <v>0</v>
          </cell>
        </row>
        <row r="1243">
          <cell r="C1243">
            <v>300985</v>
          </cell>
          <cell r="D1243" t="str">
            <v>San Felipe HS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</row>
        <row r="1244">
          <cell r="C1244">
            <v>300986</v>
          </cell>
          <cell r="D1244" t="str">
            <v>San Jose NHS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</row>
        <row r="1245">
          <cell r="C1245">
            <v>300987</v>
          </cell>
          <cell r="D1245" t="str">
            <v>San Julian-Sta. Maria NHS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</row>
        <row r="1246">
          <cell r="C1246">
            <v>300989</v>
          </cell>
          <cell r="D1246" t="str">
            <v>San Pedro National High School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</row>
        <row r="1247">
          <cell r="C1247">
            <v>300990</v>
          </cell>
          <cell r="D1247" t="str">
            <v>San Roque NHS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</row>
        <row r="1248">
          <cell r="C1248">
            <v>300991</v>
          </cell>
          <cell r="D1248" t="str">
            <v>Sapang High School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</row>
        <row r="1249">
          <cell r="C1249">
            <v>300992</v>
          </cell>
          <cell r="D1249" t="str">
            <v>Sta. Ines NHS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</row>
        <row r="1250">
          <cell r="C1250">
            <v>300993</v>
          </cell>
          <cell r="D1250" t="str">
            <v>Sta. Lucia NHS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</row>
        <row r="1251">
          <cell r="C1251">
            <v>300994</v>
          </cell>
          <cell r="D1251" t="str">
            <v>Capas High School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</row>
        <row r="1252">
          <cell r="C1252">
            <v>300995</v>
          </cell>
          <cell r="D1252" t="str">
            <v>Tagumbao NHS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</row>
        <row r="1253">
          <cell r="C1253">
            <v>300996</v>
          </cell>
          <cell r="D1253" t="str">
            <v>Tarlac National High School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</row>
        <row r="1254">
          <cell r="C1254">
            <v>300997</v>
          </cell>
          <cell r="D1254" t="str">
            <v>Tarlac National High School - Annex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11</v>
          </cell>
          <cell r="J1254">
            <v>22</v>
          </cell>
          <cell r="K1254">
            <v>11</v>
          </cell>
          <cell r="L1254">
            <v>22</v>
          </cell>
        </row>
        <row r="1255">
          <cell r="C1255">
            <v>300998</v>
          </cell>
          <cell r="D1255" t="str">
            <v>Eduardo Cojuangco National Vocational High School</v>
          </cell>
          <cell r="E1255">
            <v>0</v>
          </cell>
          <cell r="F1255">
            <v>0</v>
          </cell>
          <cell r="G1255">
            <v>0</v>
          </cell>
          <cell r="H1255">
            <v>2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</row>
        <row r="1256">
          <cell r="C1256">
            <v>300999</v>
          </cell>
          <cell r="D1256" t="str">
            <v>Vargas High School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</row>
        <row r="1257">
          <cell r="C1257">
            <v>301000</v>
          </cell>
          <cell r="D1257" t="str">
            <v>Victoria National High School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</row>
        <row r="1258">
          <cell r="C1258">
            <v>301001</v>
          </cell>
          <cell r="D1258" t="str">
            <v>Villa Aglipay NHS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</row>
        <row r="1259">
          <cell r="C1259">
            <v>301002</v>
          </cell>
          <cell r="D1259" t="str">
            <v>Iba High School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</row>
        <row r="1260">
          <cell r="C1260">
            <v>307001</v>
          </cell>
          <cell r="D1260" t="str">
            <v>Moriones High School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</row>
        <row r="1261">
          <cell r="C1261">
            <v>307003</v>
          </cell>
          <cell r="D1261" t="str">
            <v>Pura Central High School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</row>
        <row r="1262">
          <cell r="C1262">
            <v>307004</v>
          </cell>
          <cell r="D1262" t="str">
            <v>Ventinilla HS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</row>
        <row r="1263">
          <cell r="C1263">
            <v>307005</v>
          </cell>
          <cell r="D1263" t="str">
            <v>Sta. Juliana High School (O'Donnell HS Annex)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</row>
        <row r="1264">
          <cell r="C1264">
            <v>307006</v>
          </cell>
          <cell r="D1264" t="str">
            <v>Malacampa NHS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</row>
        <row r="1265">
          <cell r="C1265">
            <v>307007</v>
          </cell>
          <cell r="D1265" t="str">
            <v>Corazon C. Aquino High School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</row>
        <row r="1266">
          <cell r="C1266">
            <v>307008</v>
          </cell>
          <cell r="D1266" t="str">
            <v>Carabaoan-Caocaoayan High School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</row>
        <row r="1267">
          <cell r="C1267">
            <v>307010</v>
          </cell>
          <cell r="D1267" t="str">
            <v>Calipayan NHS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</row>
        <row r="1268">
          <cell r="C1268">
            <v>307011</v>
          </cell>
          <cell r="D1268" t="str">
            <v>Moncada National High School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</row>
        <row r="1269">
          <cell r="C1269">
            <v>307014</v>
          </cell>
          <cell r="D1269" t="str">
            <v>Calibungan HS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</row>
        <row r="1270">
          <cell r="C1270">
            <v>307017</v>
          </cell>
          <cell r="D1270" t="str">
            <v>Caluluan High School Annex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</row>
        <row r="1271">
          <cell r="C1271">
            <v>307019</v>
          </cell>
          <cell r="D1271" t="str">
            <v>Josephine M. Cojuangco National TechnicalVocationalHigh School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</row>
        <row r="1272">
          <cell r="C1272">
            <v>307020</v>
          </cell>
          <cell r="D1272" t="str">
            <v>Sta. Rosa Integrated School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</row>
        <row r="1273">
          <cell r="C1273">
            <v>307021</v>
          </cell>
          <cell r="D1273" t="str">
            <v>Balayang HS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</row>
        <row r="1274">
          <cell r="C1274">
            <v>500124</v>
          </cell>
          <cell r="D1274" t="str">
            <v>Aranguren Integrated School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1</v>
          </cell>
          <cell r="J1274">
            <v>4</v>
          </cell>
          <cell r="K1274">
            <v>0</v>
          </cell>
          <cell r="L1274">
            <v>0</v>
          </cell>
        </row>
        <row r="1275">
          <cell r="C1275">
            <v>500125</v>
          </cell>
          <cell r="D1275" t="str">
            <v>San Juan de Valdez IS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</row>
        <row r="1276">
          <cell r="C1276">
            <v>301003</v>
          </cell>
          <cell r="D1276" t="str">
            <v>Acoje National High School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</row>
        <row r="1277">
          <cell r="C1277">
            <v>301004</v>
          </cell>
          <cell r="D1277" t="str">
            <v>Amungan National High School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3</v>
          </cell>
          <cell r="J1277">
            <v>5</v>
          </cell>
          <cell r="K1277">
            <v>1</v>
          </cell>
          <cell r="L1277">
            <v>0</v>
          </cell>
        </row>
        <row r="1278">
          <cell r="C1278">
            <v>301005</v>
          </cell>
          <cell r="D1278" t="str">
            <v>Bani National High School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</row>
        <row r="1279">
          <cell r="C1279">
            <v>301006</v>
          </cell>
          <cell r="D1279" t="str">
            <v>Taltal National High School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</row>
        <row r="1280">
          <cell r="C1280">
            <v>301007</v>
          </cell>
          <cell r="D1280" t="str">
            <v>Coto High School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</row>
        <row r="1281">
          <cell r="C1281">
            <v>301008</v>
          </cell>
          <cell r="D1281" t="str">
            <v>Baquilan Resettlement High School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1</v>
          </cell>
          <cell r="J1281">
            <v>3</v>
          </cell>
          <cell r="K1281">
            <v>1</v>
          </cell>
          <cell r="L1281">
            <v>3</v>
          </cell>
        </row>
        <row r="1282">
          <cell r="C1282">
            <v>301009</v>
          </cell>
          <cell r="D1282" t="str">
            <v>Beneg National High School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</row>
        <row r="1283">
          <cell r="C1283">
            <v>301010</v>
          </cell>
          <cell r="D1283" t="str">
            <v>Cabangan National High School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</row>
        <row r="1284">
          <cell r="C1284">
            <v>301011</v>
          </cell>
          <cell r="D1284" t="str">
            <v>Candelaria School of Fisheries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</row>
        <row r="1285">
          <cell r="C1285">
            <v>301012</v>
          </cell>
          <cell r="D1285" t="str">
            <v>Cawag High School (Resettlement School)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</row>
        <row r="1286">
          <cell r="C1286">
            <v>301013</v>
          </cell>
          <cell r="D1286" t="str">
            <v>Agusuhin High School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</row>
        <row r="1287">
          <cell r="C1287">
            <v>301014</v>
          </cell>
          <cell r="D1287" t="str">
            <v>Guisguis National High School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1</v>
          </cell>
          <cell r="J1287">
            <v>4</v>
          </cell>
          <cell r="K1287">
            <v>0</v>
          </cell>
          <cell r="L1287">
            <v>0</v>
          </cell>
        </row>
        <row r="1288">
          <cell r="C1288">
            <v>301015</v>
          </cell>
          <cell r="D1288" t="str">
            <v>Castillejos National High School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</row>
        <row r="1289">
          <cell r="C1289">
            <v>301017</v>
          </cell>
          <cell r="D1289" t="str">
            <v>La Paz National High School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</row>
        <row r="1290">
          <cell r="C1290">
            <v>301018</v>
          </cell>
          <cell r="D1290" t="str">
            <v>Paite-Balincaguing National High School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</row>
        <row r="1291">
          <cell r="C1291">
            <v>301019</v>
          </cell>
          <cell r="D1291" t="str">
            <v>Lauis National High School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3</v>
          </cell>
          <cell r="K1291">
            <v>0</v>
          </cell>
          <cell r="L1291">
            <v>0</v>
          </cell>
        </row>
        <row r="1292">
          <cell r="C1292">
            <v>301020</v>
          </cell>
          <cell r="D1292" t="str">
            <v>Loob Bunga High School  (Resettlement School)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</row>
        <row r="1293">
          <cell r="C1293">
            <v>301021</v>
          </cell>
          <cell r="D1293" t="str">
            <v>Gov. Manuel D. Barretto National High School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</row>
        <row r="1294">
          <cell r="C1294">
            <v>301022</v>
          </cell>
          <cell r="D1294" t="str">
            <v>Mena Mem. National High School  (Bolitoc NHS)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</row>
        <row r="1295">
          <cell r="C1295">
            <v>301024</v>
          </cell>
          <cell r="D1295" t="str">
            <v>Panan National High School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</row>
        <row r="1296">
          <cell r="C1296">
            <v>301025</v>
          </cell>
          <cell r="D1296" t="str">
            <v>Botolan National High School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</row>
        <row r="1297">
          <cell r="C1297">
            <v>301026</v>
          </cell>
          <cell r="D1297" t="str">
            <v>New Taugtog National High School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1</v>
          </cell>
          <cell r="J1297">
            <v>1</v>
          </cell>
          <cell r="K1297">
            <v>1</v>
          </cell>
          <cell r="L1297">
            <v>0</v>
          </cell>
        </row>
        <row r="1298">
          <cell r="C1298">
            <v>301027</v>
          </cell>
          <cell r="D1298" t="str">
            <v>Rofulo M. Landa HS (Salaza NHS)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</row>
        <row r="1299">
          <cell r="C1299">
            <v>301028</v>
          </cell>
          <cell r="D1299" t="str">
            <v>Locloc National High School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</row>
        <row r="1300">
          <cell r="C1300">
            <v>301029</v>
          </cell>
          <cell r="D1300" t="str">
            <v>San Guillermo National High School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</row>
        <row r="1301">
          <cell r="C1301">
            <v>301030</v>
          </cell>
          <cell r="D1301" t="str">
            <v>San Marcelino National HS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1</v>
          </cell>
          <cell r="J1301">
            <v>1</v>
          </cell>
          <cell r="K1301">
            <v>0</v>
          </cell>
          <cell r="L1301">
            <v>0</v>
          </cell>
        </row>
        <row r="1302">
          <cell r="C1302">
            <v>301031</v>
          </cell>
          <cell r="D1302" t="str">
            <v>Buhawen National High School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</row>
        <row r="1303">
          <cell r="C1303">
            <v>301032</v>
          </cell>
          <cell r="D1303" t="str">
            <v>San Miguel National High School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</row>
        <row r="1304">
          <cell r="C1304">
            <v>301033</v>
          </cell>
          <cell r="D1304" t="str">
            <v>Sta. Cruz National High School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2</v>
          </cell>
          <cell r="J1304">
            <v>3</v>
          </cell>
          <cell r="K1304">
            <v>0</v>
          </cell>
          <cell r="L1304">
            <v>1</v>
          </cell>
        </row>
        <row r="1305">
          <cell r="C1305">
            <v>301034</v>
          </cell>
          <cell r="D1305" t="str">
            <v>Lipay High School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</row>
        <row r="1306">
          <cell r="C1306">
            <v>301035</v>
          </cell>
          <cell r="D1306" t="str">
            <v>Sta. Fe NHS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</row>
        <row r="1307">
          <cell r="C1307">
            <v>301036</v>
          </cell>
          <cell r="D1307" t="str">
            <v>Subic National High School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</row>
        <row r="1308">
          <cell r="C1308">
            <v>301037</v>
          </cell>
          <cell r="D1308" t="str">
            <v>Zambales National High School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</row>
        <row r="1309">
          <cell r="C1309">
            <v>307101</v>
          </cell>
          <cell r="D1309" t="str">
            <v>Zambales NHS - Jesus F. Magsaysay HS Annex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</row>
        <row r="1310">
          <cell r="C1310">
            <v>307103</v>
          </cell>
          <cell r="D1310" t="str">
            <v>San Salvador High School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</row>
        <row r="1311">
          <cell r="C1311">
            <v>307104</v>
          </cell>
          <cell r="D1311" t="str">
            <v>San Rafael Technical Vocational High School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2</v>
          </cell>
          <cell r="J1311">
            <v>2</v>
          </cell>
          <cell r="K1311">
            <v>2</v>
          </cell>
          <cell r="L1311">
            <v>2</v>
          </cell>
        </row>
        <row r="1312">
          <cell r="C1312">
            <v>307106</v>
          </cell>
          <cell r="D1312" t="str">
            <v>Jesus F. Magsaysay Technical Vocational High School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</row>
        <row r="1313">
          <cell r="C1313">
            <v>307107</v>
          </cell>
          <cell r="D1313" t="str">
            <v>San Antonio National High School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5</v>
          </cell>
          <cell r="J1313">
            <v>2</v>
          </cell>
          <cell r="K1313">
            <v>0</v>
          </cell>
          <cell r="L1313">
            <v>0</v>
          </cell>
        </row>
        <row r="1314">
          <cell r="C1314">
            <v>307112</v>
          </cell>
          <cell r="D1314" t="str">
            <v>Nagyantok HS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</row>
        <row r="1315">
          <cell r="C1315">
            <v>307113</v>
          </cell>
          <cell r="D1315" t="str">
            <v>Sagpat High School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</row>
        <row r="1316">
          <cell r="C1316">
            <v>307114</v>
          </cell>
          <cell r="D1316" t="str">
            <v>Sta Cruz South High School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2</v>
          </cell>
          <cell r="K1316">
            <v>0</v>
          </cell>
          <cell r="L1316">
            <v>2</v>
          </cell>
        </row>
        <row r="1317">
          <cell r="C1317">
            <v>307116</v>
          </cell>
          <cell r="D1317" t="str">
            <v>Sta. Cruz NHS - Don Marcelo C. Marty High School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1</v>
          </cell>
          <cell r="J1317">
            <v>1</v>
          </cell>
          <cell r="K1317">
            <v>1</v>
          </cell>
          <cell r="L1317">
            <v>1</v>
          </cell>
        </row>
        <row r="1318">
          <cell r="C1318">
            <v>307117</v>
          </cell>
          <cell r="D1318" t="str">
            <v>Pundakit High School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</row>
        <row r="1319">
          <cell r="C1319">
            <v>307118</v>
          </cell>
          <cell r="D1319" t="str">
            <v>San Agustin High School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</row>
        <row r="1320">
          <cell r="C1320">
            <v>307124</v>
          </cell>
          <cell r="D1320" t="str">
            <v>Subic NHS Annex IV - San Isidro HS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</row>
        <row r="1321">
          <cell r="C1321">
            <v>307131</v>
          </cell>
          <cell r="D1321" t="str">
            <v>Lakas High School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</row>
        <row r="1322">
          <cell r="C1322">
            <v>500126</v>
          </cell>
          <cell r="D1322" t="str">
            <v>Batiawan-I Integrated School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</row>
        <row r="1323">
          <cell r="C1323">
            <v>500127</v>
          </cell>
          <cell r="D1323" t="str">
            <v>Pamibian Integrated School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</row>
        <row r="1324">
          <cell r="C1324">
            <v>500479</v>
          </cell>
          <cell r="D1324" t="str">
            <v>Maguisguis Integrated School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1</v>
          </cell>
          <cell r="J1324">
            <v>0</v>
          </cell>
          <cell r="K1324">
            <v>1</v>
          </cell>
          <cell r="L1324">
            <v>0</v>
          </cell>
        </row>
        <row r="1325">
          <cell r="C1325">
            <v>500508</v>
          </cell>
          <cell r="D1325" t="str">
            <v>Dojoc Balite IS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</row>
        <row r="1326">
          <cell r="C1326">
            <v>500509</v>
          </cell>
          <cell r="D1326" t="str">
            <v>Kinabuksan Integrated School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</row>
        <row r="1327">
          <cell r="C1327">
            <v>500510</v>
          </cell>
          <cell r="D1327" t="str">
            <v>Naugsol Integrated School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</row>
        <row r="1328">
          <cell r="C1328">
            <v>500513</v>
          </cell>
          <cell r="D1328" t="str">
            <v>Bancal Integrated School</v>
          </cell>
          <cell r="E1328">
            <v>0</v>
          </cell>
          <cell r="F1328">
            <v>0</v>
          </cell>
          <cell r="G1328">
            <v>1</v>
          </cell>
          <cell r="H1328">
            <v>0</v>
          </cell>
          <cell r="I1328">
            <v>1</v>
          </cell>
          <cell r="J1328">
            <v>0</v>
          </cell>
          <cell r="K1328">
            <v>1</v>
          </cell>
          <cell r="L1328">
            <v>0</v>
          </cell>
        </row>
        <row r="1329">
          <cell r="C1329">
            <v>500771</v>
          </cell>
          <cell r="D1329" t="str">
            <v>San Juan Integrated School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</row>
        <row r="1330">
          <cell r="C1330">
            <v>501226</v>
          </cell>
          <cell r="D1330" t="str">
            <v>Don Brigido Miraflor Integrated School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</row>
        <row r="1331">
          <cell r="C1331">
            <v>301038</v>
          </cell>
          <cell r="D1331" t="str">
            <v>Angeles City Nat'l. Trade School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</row>
        <row r="1332">
          <cell r="C1332">
            <v>301039</v>
          </cell>
          <cell r="D1332" t="str">
            <v>Angeles City NHS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</row>
        <row r="1333">
          <cell r="C1333">
            <v>301040</v>
          </cell>
          <cell r="D1333" t="str">
            <v>Francisco G. Nepomuceno Mem. HS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3</v>
          </cell>
          <cell r="J1333">
            <v>4</v>
          </cell>
          <cell r="K1333">
            <v>0</v>
          </cell>
          <cell r="L1333">
            <v>0</v>
          </cell>
        </row>
        <row r="1334">
          <cell r="C1334">
            <v>301042</v>
          </cell>
          <cell r="D1334" t="str">
            <v>Bonifacio V. Romero HS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</row>
        <row r="1335">
          <cell r="C1335">
            <v>301043</v>
          </cell>
          <cell r="D1335" t="str">
            <v>Sapang Bato National High School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3</v>
          </cell>
          <cell r="J1335">
            <v>5</v>
          </cell>
          <cell r="K1335">
            <v>3</v>
          </cell>
          <cell r="L1335">
            <v>6</v>
          </cell>
        </row>
        <row r="1336">
          <cell r="C1336">
            <v>307201</v>
          </cell>
          <cell r="D1336" t="str">
            <v>Rafael L. Lazatin Mem. HS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</row>
        <row r="1337">
          <cell r="C1337">
            <v>307202</v>
          </cell>
          <cell r="D1337" t="str">
            <v>Angeles City Science HS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</row>
        <row r="1338">
          <cell r="C1338">
            <v>345279</v>
          </cell>
          <cell r="D1338" t="str">
            <v>Angeles City Senior High School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6</v>
          </cell>
          <cell r="J1338">
            <v>20</v>
          </cell>
          <cell r="K1338">
            <v>6</v>
          </cell>
          <cell r="L1338">
            <v>20</v>
          </cell>
        </row>
        <row r="1339">
          <cell r="C1339">
            <v>500129</v>
          </cell>
          <cell r="D1339" t="str">
            <v>Gov. Rafael L. Lazatin IS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</row>
        <row r="1340">
          <cell r="C1340">
            <v>500130</v>
          </cell>
          <cell r="D1340" t="str">
            <v>Northville 15 IS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</row>
        <row r="1341">
          <cell r="C1341">
            <v>500131</v>
          </cell>
          <cell r="D1341" t="str">
            <v>Amsic IS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</row>
        <row r="1342">
          <cell r="C1342">
            <v>500132</v>
          </cell>
          <cell r="D1342" t="str">
            <v>Malabanias IS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</row>
        <row r="1343">
          <cell r="C1343">
            <v>500133</v>
          </cell>
          <cell r="D1343" t="str">
            <v>Sto. Domingo Integrated School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</row>
        <row r="1344">
          <cell r="C1344">
            <v>301045</v>
          </cell>
          <cell r="D1344" t="str">
            <v>Camp Tinio National High School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</row>
        <row r="1345">
          <cell r="C1345">
            <v>301046</v>
          </cell>
          <cell r="D1345" t="str">
            <v>Mayapyap National High School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</row>
        <row r="1346">
          <cell r="C1346">
            <v>301047</v>
          </cell>
          <cell r="D1346" t="str">
            <v>Marciano del Rosario Memorial  NHS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</row>
        <row r="1347">
          <cell r="C1347">
            <v>301048</v>
          </cell>
          <cell r="D1347" t="str">
            <v>San Josef National High School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</row>
        <row r="1348">
          <cell r="C1348">
            <v>301049</v>
          </cell>
          <cell r="D1348" t="str">
            <v>Eastern Cabu NHS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</row>
        <row r="1349">
          <cell r="C1349">
            <v>305633</v>
          </cell>
          <cell r="D1349" t="str">
            <v>Cabanatuan City Senior High School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4</v>
          </cell>
          <cell r="J1349">
            <v>3</v>
          </cell>
          <cell r="K1349">
            <v>0</v>
          </cell>
          <cell r="L1349">
            <v>0</v>
          </cell>
        </row>
        <row r="1350">
          <cell r="C1350">
            <v>307301</v>
          </cell>
          <cell r="D1350" t="str">
            <v>Cesar E. Vergara Memorial High School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3</v>
          </cell>
          <cell r="J1350">
            <v>5</v>
          </cell>
          <cell r="K1350">
            <v>1</v>
          </cell>
          <cell r="L1350">
            <v>0</v>
          </cell>
        </row>
        <row r="1351">
          <cell r="C1351">
            <v>301056</v>
          </cell>
          <cell r="D1351" t="str">
            <v>Kalalake NHS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7</v>
          </cell>
          <cell r="J1351">
            <v>8</v>
          </cell>
          <cell r="K1351">
            <v>7</v>
          </cell>
          <cell r="L1351">
            <v>8</v>
          </cell>
        </row>
        <row r="1352">
          <cell r="C1352">
            <v>301057</v>
          </cell>
          <cell r="D1352" t="str">
            <v>New Cabalan National High School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</row>
        <row r="1353">
          <cell r="C1353">
            <v>301058</v>
          </cell>
          <cell r="D1353" t="str">
            <v>Regional Science High School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</row>
        <row r="1354">
          <cell r="C1354">
            <v>345223</v>
          </cell>
          <cell r="D1354" t="str">
            <v>SHS within Barretto 1 ES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</row>
        <row r="1355">
          <cell r="C1355">
            <v>345224</v>
          </cell>
          <cell r="D1355" t="str">
            <v>Mabayuan Senior High School Stand Alone 2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</row>
        <row r="1356">
          <cell r="C1356">
            <v>361079</v>
          </cell>
          <cell r="D1356" t="str">
            <v>SHS within Tapinac ES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</row>
        <row r="1357">
          <cell r="C1357">
            <v>301059</v>
          </cell>
          <cell r="D1357" t="str">
            <v>Paradise Farms NHS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</row>
        <row r="1358">
          <cell r="C1358">
            <v>301060</v>
          </cell>
          <cell r="D1358" t="str">
            <v>San Jose del Monte National HS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</row>
        <row r="1359">
          <cell r="C1359">
            <v>301061</v>
          </cell>
          <cell r="D1359" t="str">
            <v>San Jose del Monte Nat'l. Trade School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</row>
        <row r="1360">
          <cell r="C1360">
            <v>301062</v>
          </cell>
          <cell r="D1360" t="str">
            <v>Sapang Palay National High School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12</v>
          </cell>
          <cell r="J1360">
            <v>25</v>
          </cell>
          <cell r="K1360">
            <v>12</v>
          </cell>
          <cell r="L1360">
            <v>25</v>
          </cell>
        </row>
        <row r="1361">
          <cell r="C1361">
            <v>307502</v>
          </cell>
          <cell r="D1361" t="str">
            <v>Kakawate National HS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</row>
        <row r="1362">
          <cell r="C1362">
            <v>307503</v>
          </cell>
          <cell r="D1362" t="str">
            <v>Towerville HS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1</v>
          </cell>
          <cell r="J1362">
            <v>1</v>
          </cell>
          <cell r="K1362">
            <v>0</v>
          </cell>
          <cell r="L1362">
            <v>0</v>
          </cell>
        </row>
        <row r="1363">
          <cell r="C1363">
            <v>307504</v>
          </cell>
          <cell r="D1363" t="str">
            <v>Graceville NHS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</row>
        <row r="1364">
          <cell r="C1364">
            <v>307505</v>
          </cell>
          <cell r="D1364" t="str">
            <v>Minuyan NHS (Golden Ville HS)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</row>
        <row r="1365">
          <cell r="C1365">
            <v>307506</v>
          </cell>
          <cell r="D1365" t="str">
            <v>City of San Jose del Monte National Science High School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</row>
        <row r="1366">
          <cell r="C1366">
            <v>307507</v>
          </cell>
          <cell r="D1366" t="str">
            <v>San Martin National HS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</row>
        <row r="1367">
          <cell r="C1367">
            <v>307508</v>
          </cell>
          <cell r="D1367" t="str">
            <v>Citrus National HS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3</v>
          </cell>
          <cell r="J1367">
            <v>6</v>
          </cell>
          <cell r="K1367">
            <v>0</v>
          </cell>
          <cell r="L1367">
            <v>0</v>
          </cell>
        </row>
        <row r="1368">
          <cell r="C1368">
            <v>307509</v>
          </cell>
          <cell r="D1368" t="str">
            <v>Sto. Cristo National HS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4</v>
          </cell>
          <cell r="J1368">
            <v>5</v>
          </cell>
          <cell r="K1368">
            <v>1</v>
          </cell>
          <cell r="L1368">
            <v>0</v>
          </cell>
        </row>
        <row r="1369">
          <cell r="C1369">
            <v>307510</v>
          </cell>
          <cell r="D1369" t="str">
            <v>Kaypian National High School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</row>
        <row r="1370">
          <cell r="C1370">
            <v>307511</v>
          </cell>
          <cell r="D1370" t="str">
            <v>Marangal National High School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</row>
        <row r="1371">
          <cell r="C1371">
            <v>307512</v>
          </cell>
          <cell r="D1371" t="str">
            <v>Muzon Harmony Hills High School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</row>
        <row r="1372">
          <cell r="C1372">
            <v>301064</v>
          </cell>
          <cell r="D1372" t="str">
            <v>Pampanga High School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</row>
        <row r="1373">
          <cell r="C1373">
            <v>301066</v>
          </cell>
          <cell r="D1373" t="str">
            <v>Sindalan NHS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</row>
        <row r="1374">
          <cell r="C1374">
            <v>305570</v>
          </cell>
          <cell r="D1374" t="str">
            <v>City of San Fernando Tech-Voc Senior High School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3</v>
          </cell>
          <cell r="K1374">
            <v>0</v>
          </cell>
          <cell r="L1374">
            <v>0</v>
          </cell>
        </row>
        <row r="1375">
          <cell r="C1375">
            <v>307601</v>
          </cell>
          <cell r="D1375" t="str">
            <v>Information and Communication Technology High School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3</v>
          </cell>
          <cell r="J1375">
            <v>8</v>
          </cell>
          <cell r="K1375">
            <v>3</v>
          </cell>
          <cell r="L1375">
            <v>8</v>
          </cell>
        </row>
        <row r="1376">
          <cell r="C1376">
            <v>307603</v>
          </cell>
          <cell r="D1376" t="str">
            <v>Panipuan High School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</row>
        <row r="1377">
          <cell r="C1377">
            <v>307611</v>
          </cell>
          <cell r="D1377" t="str">
            <v>Northville High School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</row>
        <row r="1378">
          <cell r="C1378">
            <v>345268</v>
          </cell>
          <cell r="D1378" t="str">
            <v>Dolores Stand Alone Senior High School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</row>
        <row r="1379">
          <cell r="C1379">
            <v>500137</v>
          </cell>
          <cell r="D1379" t="str">
            <v>Nuestra Senora Del Pilar IS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</row>
        <row r="1380">
          <cell r="C1380">
            <v>500138</v>
          </cell>
          <cell r="D1380" t="str">
            <v>City of San Fernando West IS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</row>
        <row r="1381">
          <cell r="C1381">
            <v>500139</v>
          </cell>
          <cell r="D1381" t="str">
            <v>St. Vincent of Quebiawan IS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</row>
        <row r="1382">
          <cell r="C1382">
            <v>500140</v>
          </cell>
          <cell r="D1382" t="str">
            <v>Baliti IS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</row>
        <row r="1383">
          <cell r="C1383">
            <v>500144</v>
          </cell>
          <cell r="D1383" t="str">
            <v>Telabastagan IS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</row>
        <row r="1384">
          <cell r="C1384">
            <v>500145</v>
          </cell>
          <cell r="D1384" t="str">
            <v>Maimpis Integrated High School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</row>
        <row r="1385">
          <cell r="C1385">
            <v>500146</v>
          </cell>
          <cell r="D1385" t="str">
            <v>Calulut IS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</row>
        <row r="1386">
          <cell r="C1386">
            <v>500147</v>
          </cell>
          <cell r="D1386" t="str">
            <v>Del Carmen Int. HS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</row>
        <row r="1387">
          <cell r="C1387">
            <v>500148</v>
          </cell>
          <cell r="D1387" t="str">
            <v>Magliman IS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</row>
        <row r="1388">
          <cell r="C1388">
            <v>500150</v>
          </cell>
          <cell r="D1388" t="str">
            <v>Sta. Lucia Integrated School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</row>
        <row r="1389">
          <cell r="C1389">
            <v>500979</v>
          </cell>
          <cell r="D1389" t="str">
            <v>Pandaras Integrated High School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</row>
        <row r="1390">
          <cell r="C1390">
            <v>300812</v>
          </cell>
          <cell r="D1390" t="str">
            <v>Juan R. Liwag Mem. NHS</v>
          </cell>
          <cell r="E1390">
            <v>0</v>
          </cell>
          <cell r="F1390">
            <v>3</v>
          </cell>
          <cell r="G1390">
            <v>0</v>
          </cell>
          <cell r="H1390">
            <v>0</v>
          </cell>
          <cell r="I1390">
            <v>0</v>
          </cell>
          <cell r="J1390">
            <v>3</v>
          </cell>
          <cell r="K1390">
            <v>0</v>
          </cell>
          <cell r="L1390">
            <v>0</v>
          </cell>
        </row>
        <row r="1391">
          <cell r="C1391">
            <v>300813</v>
          </cell>
          <cell r="D1391" t="str">
            <v>Sta. Cruz NHS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</row>
        <row r="1392">
          <cell r="C1392">
            <v>300815</v>
          </cell>
          <cell r="D1392" t="str">
            <v>Kapalangan NHS</v>
          </cell>
          <cell r="E1392">
            <v>0</v>
          </cell>
          <cell r="F1392">
            <v>1</v>
          </cell>
          <cell r="G1392">
            <v>0</v>
          </cell>
          <cell r="H1392">
            <v>0</v>
          </cell>
          <cell r="I1392">
            <v>0</v>
          </cell>
          <cell r="J1392">
            <v>1</v>
          </cell>
          <cell r="K1392">
            <v>0</v>
          </cell>
          <cell r="L1392">
            <v>0</v>
          </cell>
        </row>
        <row r="1393">
          <cell r="C1393">
            <v>300822</v>
          </cell>
          <cell r="D1393" t="str">
            <v>Maruhat NHS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</row>
        <row r="1394">
          <cell r="C1394">
            <v>300829</v>
          </cell>
          <cell r="D1394" t="str">
            <v>Pambuan National High School</v>
          </cell>
          <cell r="E1394">
            <v>0</v>
          </cell>
          <cell r="F1394">
            <v>2</v>
          </cell>
          <cell r="G1394">
            <v>0</v>
          </cell>
          <cell r="H1394">
            <v>0</v>
          </cell>
          <cell r="I1394">
            <v>1</v>
          </cell>
          <cell r="J1394">
            <v>0</v>
          </cell>
          <cell r="K1394">
            <v>0</v>
          </cell>
          <cell r="L1394">
            <v>1</v>
          </cell>
        </row>
        <row r="1395">
          <cell r="C1395">
            <v>300849</v>
          </cell>
          <cell r="D1395" t="str">
            <v>San Nicolas NHS</v>
          </cell>
          <cell r="E1395">
            <v>0</v>
          </cell>
          <cell r="F1395">
            <v>1</v>
          </cell>
          <cell r="G1395">
            <v>0</v>
          </cell>
          <cell r="H1395">
            <v>0</v>
          </cell>
          <cell r="I1395">
            <v>0</v>
          </cell>
          <cell r="J1395">
            <v>1</v>
          </cell>
          <cell r="K1395">
            <v>0</v>
          </cell>
          <cell r="L1395">
            <v>0</v>
          </cell>
        </row>
        <row r="1396">
          <cell r="C1396">
            <v>300851</v>
          </cell>
          <cell r="D1396" t="str">
            <v>San Roque NHS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</row>
        <row r="1397">
          <cell r="C1397">
            <v>321301</v>
          </cell>
          <cell r="D1397" t="str">
            <v>Herminio G. Nicolas High School</v>
          </cell>
          <cell r="E1397">
            <v>0</v>
          </cell>
          <cell r="F1397">
            <v>1</v>
          </cell>
          <cell r="G1397">
            <v>0</v>
          </cell>
          <cell r="H1397">
            <v>0</v>
          </cell>
          <cell r="I1397">
            <v>0</v>
          </cell>
          <cell r="J1397">
            <v>1</v>
          </cell>
          <cell r="K1397">
            <v>0</v>
          </cell>
          <cell r="L1397">
            <v>0</v>
          </cell>
        </row>
        <row r="1398">
          <cell r="C1398">
            <v>300944</v>
          </cell>
          <cell r="D1398" t="str">
            <v>Alvindia-Aguso High School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</row>
        <row r="1399">
          <cell r="C1399">
            <v>300945</v>
          </cell>
          <cell r="D1399" t="str">
            <v>Amucao NHS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</row>
        <row r="1400">
          <cell r="C1400">
            <v>300960</v>
          </cell>
          <cell r="D1400" t="str">
            <v>Central Azucarera de Tarlac NHS Main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</row>
        <row r="1401">
          <cell r="C1401">
            <v>300970</v>
          </cell>
          <cell r="D1401" t="str">
            <v>Maliwalo NHS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1</v>
          </cell>
          <cell r="J1401">
            <v>0</v>
          </cell>
          <cell r="K1401">
            <v>1</v>
          </cell>
          <cell r="L1401">
            <v>0</v>
          </cell>
        </row>
        <row r="1402">
          <cell r="C1402">
            <v>300971</v>
          </cell>
          <cell r="D1402" t="str">
            <v>Tibag HS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</row>
        <row r="1403">
          <cell r="C1403">
            <v>300988</v>
          </cell>
          <cell r="D1403" t="str">
            <v>San Manuel HS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</row>
        <row r="1404">
          <cell r="C1404">
            <v>321401</v>
          </cell>
          <cell r="D1404" t="str">
            <v>MATATALAIB HS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</row>
        <row r="1405">
          <cell r="C1405">
            <v>321402</v>
          </cell>
          <cell r="D1405" t="str">
            <v>Baras Baras HS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</row>
        <row r="1406">
          <cell r="C1406">
            <v>500389</v>
          </cell>
          <cell r="D1406" t="str">
            <v>Balibago Primero IS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</row>
        <row r="1407">
          <cell r="C1407">
            <v>500390</v>
          </cell>
          <cell r="D1407" t="str">
            <v>Armenia IS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</row>
        <row r="1408">
          <cell r="C1408">
            <v>500556</v>
          </cell>
          <cell r="D1408" t="str">
            <v>BUROT INTEGRATED SCHOOL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</row>
        <row r="1409">
          <cell r="C1409">
            <v>500557</v>
          </cell>
          <cell r="D1409" t="str">
            <v>Sto. Cristo IS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</row>
        <row r="1410">
          <cell r="C1410">
            <v>300824</v>
          </cell>
          <cell r="D1410" t="str">
            <v>Munoz National HS-Main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</row>
        <row r="1411">
          <cell r="C1411">
            <v>322801</v>
          </cell>
          <cell r="D1411" t="str">
            <v>Munoz National High School (Annex)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</row>
        <row r="1412">
          <cell r="C1412">
            <v>500398</v>
          </cell>
          <cell r="D1412" t="str">
            <v>Palusapis IS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2</v>
          </cell>
          <cell r="J1412">
            <v>6</v>
          </cell>
          <cell r="K1412">
            <v>0</v>
          </cell>
          <cell r="L1412">
            <v>0</v>
          </cell>
        </row>
        <row r="1413">
          <cell r="C1413">
            <v>500630</v>
          </cell>
          <cell r="D1413" t="str">
            <v>San Antonio Integrated School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6</v>
          </cell>
          <cell r="J1413">
            <v>5</v>
          </cell>
          <cell r="K1413">
            <v>6</v>
          </cell>
          <cell r="L1413">
            <v>5</v>
          </cell>
        </row>
        <row r="1414">
          <cell r="C1414">
            <v>300702</v>
          </cell>
          <cell r="D1414" t="str">
            <v>Bataan National High School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1</v>
          </cell>
          <cell r="J1414">
            <v>0</v>
          </cell>
          <cell r="K1414">
            <v>0</v>
          </cell>
          <cell r="L1414">
            <v>0</v>
          </cell>
        </row>
        <row r="1415">
          <cell r="C1415">
            <v>322901</v>
          </cell>
          <cell r="D1415" t="str">
            <v>City of Balanga National High School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</row>
        <row r="1416">
          <cell r="C1416">
            <v>300750</v>
          </cell>
          <cell r="D1416" t="str">
            <v>Malolos Marine Fishery School &amp; Laboratory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</row>
        <row r="1417">
          <cell r="C1417">
            <v>300751</v>
          </cell>
          <cell r="D1417" t="str">
            <v>Marcelo H. del Pilar National HS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32</v>
          </cell>
          <cell r="J1417">
            <v>34</v>
          </cell>
          <cell r="K1417">
            <v>32</v>
          </cell>
          <cell r="L1417">
            <v>34</v>
          </cell>
        </row>
        <row r="1418">
          <cell r="C1418">
            <v>300752</v>
          </cell>
          <cell r="D1418" t="str">
            <v>PAMARAWAN HIGH SCHOOL</v>
          </cell>
          <cell r="E1418">
            <v>0</v>
          </cell>
          <cell r="F1418">
            <v>0</v>
          </cell>
          <cell r="G1418">
            <v>1</v>
          </cell>
          <cell r="H1418">
            <v>0</v>
          </cell>
          <cell r="I1418">
            <v>0</v>
          </cell>
          <cell r="J1418">
            <v>2</v>
          </cell>
          <cell r="K1418">
            <v>0</v>
          </cell>
          <cell r="L1418">
            <v>0</v>
          </cell>
        </row>
        <row r="1419">
          <cell r="C1419">
            <v>323601</v>
          </cell>
          <cell r="D1419" t="str">
            <v>Bulihan NHS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2</v>
          </cell>
          <cell r="J1419">
            <v>4</v>
          </cell>
          <cell r="K1419">
            <v>0</v>
          </cell>
          <cell r="L1419">
            <v>0</v>
          </cell>
        </row>
        <row r="1420">
          <cell r="C1420">
            <v>345345</v>
          </cell>
          <cell r="D1420" t="str">
            <v>SHS in Malolos City</v>
          </cell>
          <cell r="E1420">
            <v>0</v>
          </cell>
          <cell r="F1420">
            <v>3</v>
          </cell>
          <cell r="G1420">
            <v>0</v>
          </cell>
          <cell r="H1420">
            <v>0</v>
          </cell>
          <cell r="I1420">
            <v>2</v>
          </cell>
          <cell r="J1420">
            <v>1</v>
          </cell>
          <cell r="K1420">
            <v>0</v>
          </cell>
          <cell r="L1420">
            <v>0</v>
          </cell>
        </row>
        <row r="1421">
          <cell r="C1421">
            <v>500404</v>
          </cell>
          <cell r="D1421" t="str">
            <v>CITY OF MALOLOS INTEGRATED SCHOOL - ATLAG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</row>
        <row r="1422">
          <cell r="C1422">
            <v>500636</v>
          </cell>
          <cell r="D1422" t="str">
            <v>City of Malolos Integrated School - Sto. Rosario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</row>
        <row r="1423">
          <cell r="C1423">
            <v>300757</v>
          </cell>
          <cell r="D1423" t="str">
            <v>Meycauayan NHS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</row>
        <row r="1424">
          <cell r="C1424">
            <v>306719</v>
          </cell>
          <cell r="D1424" t="str">
            <v>Ubihan High School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</row>
        <row r="1425">
          <cell r="C1425">
            <v>345349</v>
          </cell>
          <cell r="D1425" t="str">
            <v>City of Meycauayan Vocational Senior High School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</row>
        <row r="1426">
          <cell r="C1426">
            <v>345350</v>
          </cell>
          <cell r="D1426" t="str">
            <v>Academic Senior High School of the City of Meycauayan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3</v>
          </cell>
          <cell r="J1426">
            <v>6</v>
          </cell>
          <cell r="K1426">
            <v>0</v>
          </cell>
          <cell r="L1426">
            <v>1</v>
          </cell>
        </row>
        <row r="1427">
          <cell r="C1427">
            <v>300889</v>
          </cell>
          <cell r="D1427" t="str">
            <v>Madapdap Resettlement HS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</row>
        <row r="1428">
          <cell r="C1428">
            <v>300895</v>
          </cell>
          <cell r="D1428" t="str">
            <v>Mabalacat NHS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</row>
        <row r="1429">
          <cell r="C1429">
            <v>306909</v>
          </cell>
          <cell r="D1429" t="str">
            <v>Mabalacat Technical Vocational School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</row>
        <row r="1430">
          <cell r="C1430">
            <v>306942</v>
          </cell>
          <cell r="D1430" t="str">
            <v>Santos Ventura National High School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</row>
        <row r="1431">
          <cell r="C1431">
            <v>330513</v>
          </cell>
          <cell r="D1431" t="str">
            <v>Philippine Science High School - Central Luzon Campus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</row>
        <row r="1432">
          <cell r="C1432">
            <v>345342</v>
          </cell>
          <cell r="D1432" t="str">
            <v>SHS within Sapang Biabas Resettlement ES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</row>
        <row r="1433">
          <cell r="C1433">
            <v>301179</v>
          </cell>
          <cell r="D1433" t="str">
            <v>Congressional Integrated High School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</row>
        <row r="1434">
          <cell r="C1434">
            <v>301183</v>
          </cell>
          <cell r="D1434" t="str">
            <v>Dasmariñas East Integrated High School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</row>
        <row r="1435">
          <cell r="C1435">
            <v>301186</v>
          </cell>
          <cell r="D1435" t="str">
            <v>Dasmariñas Integrated High School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</row>
        <row r="1436">
          <cell r="C1436">
            <v>325902</v>
          </cell>
          <cell r="D1436" t="str">
            <v>Paliparan II Integrated High School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</row>
        <row r="1437">
          <cell r="C1437">
            <v>328201</v>
          </cell>
          <cell r="D1437" t="str">
            <v>Francisco E. Barzaga Integrated High School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</row>
        <row r="1438">
          <cell r="C1438">
            <v>342298</v>
          </cell>
          <cell r="D1438" t="str">
            <v>Paliparan III SHS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</row>
        <row r="1439">
          <cell r="C1439">
            <v>342299</v>
          </cell>
          <cell r="D1439" t="str">
            <v>New Era SHS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</row>
        <row r="1440">
          <cell r="C1440">
            <v>342300</v>
          </cell>
          <cell r="D1440" t="str">
            <v>Dr. Jose P. Rizal SHS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</row>
        <row r="1441">
          <cell r="C1441">
            <v>301069</v>
          </cell>
          <cell r="D1441" t="str">
            <v>Alupay NHS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</row>
        <row r="1442">
          <cell r="C1442">
            <v>301077</v>
          </cell>
          <cell r="D1442" t="str">
            <v>Batangas Province High School for Culture and Arts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</row>
        <row r="1443">
          <cell r="C1443">
            <v>301079</v>
          </cell>
          <cell r="D1443" t="str">
            <v>Bauan National Agricultural and Vocational High School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</row>
        <row r="1444">
          <cell r="C1444">
            <v>301080</v>
          </cell>
          <cell r="D1444" t="str">
            <v>Bauan Technical High School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</row>
        <row r="1445">
          <cell r="C1445">
            <v>301082</v>
          </cell>
          <cell r="D1445" t="str">
            <v>Baybayin NHS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</row>
        <row r="1446">
          <cell r="C1446">
            <v>301087</v>
          </cell>
          <cell r="D1446" t="str">
            <v>Bilogo Integrated National High School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</row>
        <row r="1447">
          <cell r="C1447">
            <v>301090</v>
          </cell>
          <cell r="D1447" t="str">
            <v>Buhaynasapa NHS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</row>
        <row r="1448">
          <cell r="C1448">
            <v>301092</v>
          </cell>
          <cell r="D1448" t="str">
            <v>Bulihan Integrated Senior High School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</row>
        <row r="1449">
          <cell r="C1449">
            <v>301098</v>
          </cell>
          <cell r="D1449" t="str">
            <v>Dagatan National High School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</row>
        <row r="1450">
          <cell r="C1450">
            <v>301105</v>
          </cell>
          <cell r="D1450" t="str">
            <v>Itlugan National High School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</row>
        <row r="1451">
          <cell r="C1451">
            <v>301106</v>
          </cell>
          <cell r="D1451" t="str">
            <v>Jaybanga Integrated National High School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</row>
        <row r="1452">
          <cell r="C1452">
            <v>301108</v>
          </cell>
          <cell r="D1452" t="str">
            <v>Laiya NHS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</row>
        <row r="1453">
          <cell r="C1453">
            <v>301115</v>
          </cell>
          <cell r="D1453" t="str">
            <v>Anselmo Sandoval MNHS (Mabini NHS)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</row>
        <row r="1454">
          <cell r="C1454">
            <v>301129</v>
          </cell>
          <cell r="D1454" t="str">
            <v>Padre Garcia NHS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</row>
        <row r="1455">
          <cell r="C1455">
            <v>301130</v>
          </cell>
          <cell r="D1455" t="str">
            <v>Palahanan NHS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8</v>
          </cell>
          <cell r="J1455">
            <v>24</v>
          </cell>
          <cell r="K1455">
            <v>0</v>
          </cell>
          <cell r="L1455">
            <v>1</v>
          </cell>
        </row>
        <row r="1456">
          <cell r="C1456">
            <v>301131</v>
          </cell>
          <cell r="D1456" t="str">
            <v>Palakpak Integrated National High School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</row>
        <row r="1457">
          <cell r="C1457">
            <v>301132</v>
          </cell>
          <cell r="D1457" t="str">
            <v>Pansol Integrated National High School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</row>
        <row r="1458">
          <cell r="C1458">
            <v>301137</v>
          </cell>
          <cell r="D1458" t="str">
            <v>Pinagbayanan Integrated National High School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</row>
        <row r="1459">
          <cell r="C1459">
            <v>301139</v>
          </cell>
          <cell r="D1459" t="str">
            <v>Rosario NHS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</row>
        <row r="1460">
          <cell r="C1460">
            <v>301147</v>
          </cell>
          <cell r="D1460" t="str">
            <v>Sta. Clara Senior High School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</row>
        <row r="1461">
          <cell r="C1461">
            <v>301149</v>
          </cell>
          <cell r="D1461" t="str">
            <v>Santa Teresita NHS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</row>
        <row r="1462">
          <cell r="C1462">
            <v>301153</v>
          </cell>
          <cell r="D1462" t="str">
            <v>Dr. Juan A. Pastor MNHS (Talaibon NHS)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</row>
        <row r="1463">
          <cell r="C1463">
            <v>301155</v>
          </cell>
          <cell r="D1463" t="str">
            <v>Taysan National High School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1</v>
          </cell>
          <cell r="J1463">
            <v>22</v>
          </cell>
          <cell r="K1463">
            <v>2</v>
          </cell>
          <cell r="L1463">
            <v>1</v>
          </cell>
        </row>
        <row r="1464">
          <cell r="C1464">
            <v>301160</v>
          </cell>
          <cell r="D1464" t="str">
            <v>Tipas National High School (Grade 7-12)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</row>
        <row r="1465">
          <cell r="C1465">
            <v>305472</v>
          </cell>
          <cell r="D1465" t="str">
            <v>Lumangbayan National High School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</row>
        <row r="1466">
          <cell r="C1466">
            <v>305473</v>
          </cell>
          <cell r="D1466" t="str">
            <v>Calubcub I Senior High School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</row>
        <row r="1467">
          <cell r="C1467">
            <v>305481</v>
          </cell>
          <cell r="D1467" t="str">
            <v>Lemery Senior High School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</row>
        <row r="1468">
          <cell r="C1468">
            <v>305485</v>
          </cell>
          <cell r="D1468" t="str">
            <v>MAYURO SENIOR HIGH SCHOOL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</row>
        <row r="1469">
          <cell r="C1469">
            <v>307707</v>
          </cell>
          <cell r="D1469" t="str">
            <v>Nagsaulay National High School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</row>
        <row r="1470">
          <cell r="C1470">
            <v>307708</v>
          </cell>
          <cell r="D1470" t="str">
            <v>Sico 1.0 National High School (Grade 7-12)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1</v>
          </cell>
          <cell r="K1470">
            <v>0</v>
          </cell>
          <cell r="L1470">
            <v>1</v>
          </cell>
        </row>
        <row r="1471">
          <cell r="C1471">
            <v>307712</v>
          </cell>
          <cell r="D1471" t="str">
            <v>Sampiro Integrated Senior High School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</row>
        <row r="1472">
          <cell r="C1472">
            <v>307713</v>
          </cell>
          <cell r="D1472" t="str">
            <v>San Nicolas National High School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</row>
        <row r="1473">
          <cell r="C1473">
            <v>307714</v>
          </cell>
          <cell r="D1473" t="str">
            <v>Dr. Bonifacio A. Masilungan National High School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2</v>
          </cell>
          <cell r="J1473">
            <v>3</v>
          </cell>
          <cell r="K1473">
            <v>2</v>
          </cell>
          <cell r="L1473">
            <v>0</v>
          </cell>
        </row>
        <row r="1474">
          <cell r="C1474">
            <v>307716</v>
          </cell>
          <cell r="D1474" t="str">
            <v>Maximo T. Hernandez Memorial Integrated High School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</row>
        <row r="1475">
          <cell r="C1475">
            <v>307728</v>
          </cell>
          <cell r="D1475" t="str">
            <v>Angeles Luistro Integrated Senior High School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</row>
        <row r="1476">
          <cell r="C1476">
            <v>342195</v>
          </cell>
          <cell r="D1476" t="str">
            <v>Taal Senior High School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1</v>
          </cell>
          <cell r="J1476">
            <v>4</v>
          </cell>
          <cell r="K1476">
            <v>1</v>
          </cell>
          <cell r="L1476">
            <v>4</v>
          </cell>
        </row>
        <row r="1477">
          <cell r="C1477">
            <v>342196</v>
          </cell>
          <cell r="D1477" t="str">
            <v>SHS within Pantalan Elementary School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</row>
        <row r="1478">
          <cell r="C1478">
            <v>342197</v>
          </cell>
          <cell r="D1478" t="str">
            <v>SHS within Tala Elementary School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</row>
        <row r="1479">
          <cell r="C1479">
            <v>342198</v>
          </cell>
          <cell r="D1479" t="str">
            <v>SHS within Nasugbu East Central School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</row>
        <row r="1480">
          <cell r="C1480">
            <v>342199</v>
          </cell>
          <cell r="D1480" t="str">
            <v>SHS within Tingloy Central School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</row>
        <row r="1481">
          <cell r="C1481">
            <v>342200</v>
          </cell>
          <cell r="D1481" t="str">
            <v>SHS within Alitagtag Central School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</row>
        <row r="1482">
          <cell r="C1482">
            <v>342201</v>
          </cell>
          <cell r="D1482" t="str">
            <v>Balete Senior High School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</row>
        <row r="1483">
          <cell r="C1483">
            <v>342202</v>
          </cell>
          <cell r="D1483" t="str">
            <v>SHS within Cuenca Central School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</row>
        <row r="1484">
          <cell r="C1484">
            <v>342203</v>
          </cell>
          <cell r="D1484" t="str">
            <v>Mataasnakahoy Senior High School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</row>
        <row r="1485">
          <cell r="C1485">
            <v>342204</v>
          </cell>
          <cell r="D1485" t="str">
            <v>SHS in Brgy. Bugaan East, Laurel, Batangas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</row>
        <row r="1486">
          <cell r="C1486">
            <v>342205</v>
          </cell>
          <cell r="D1486" t="str">
            <v>Calaca Senior High School</v>
          </cell>
          <cell r="E1486">
            <v>0</v>
          </cell>
          <cell r="F1486">
            <v>2</v>
          </cell>
          <cell r="G1486">
            <v>0</v>
          </cell>
          <cell r="H1486">
            <v>0</v>
          </cell>
          <cell r="I1486">
            <v>1</v>
          </cell>
          <cell r="J1486">
            <v>1</v>
          </cell>
          <cell r="K1486">
            <v>1</v>
          </cell>
          <cell r="L1486">
            <v>0</v>
          </cell>
        </row>
        <row r="1487">
          <cell r="C1487">
            <v>342206</v>
          </cell>
          <cell r="D1487" t="str">
            <v>SHS in Lian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</row>
        <row r="1488">
          <cell r="C1488">
            <v>342207</v>
          </cell>
          <cell r="D1488" t="str">
            <v>SHS in Tuy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5</v>
          </cell>
          <cell r="J1488">
            <v>23</v>
          </cell>
          <cell r="K1488">
            <v>5</v>
          </cell>
          <cell r="L1488">
            <v>0</v>
          </cell>
        </row>
        <row r="1489">
          <cell r="C1489">
            <v>342208</v>
          </cell>
          <cell r="D1489" t="str">
            <v>SHS within Canda ES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</row>
        <row r="1490">
          <cell r="C1490">
            <v>342209</v>
          </cell>
          <cell r="D1490" t="str">
            <v>SHS within Caloocan ES</v>
          </cell>
          <cell r="E1490">
            <v>0</v>
          </cell>
          <cell r="F1490">
            <v>0</v>
          </cell>
          <cell r="G1490">
            <v>2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</row>
        <row r="1491">
          <cell r="C1491">
            <v>342211</v>
          </cell>
          <cell r="D1491" t="str">
            <v>SHS in Calatagan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12</v>
          </cell>
          <cell r="J1491">
            <v>30</v>
          </cell>
          <cell r="K1491">
            <v>12</v>
          </cell>
          <cell r="L1491">
            <v>30</v>
          </cell>
        </row>
        <row r="1492">
          <cell r="C1492">
            <v>342212</v>
          </cell>
          <cell r="D1492" t="str">
            <v>SHS in Lobo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</row>
        <row r="1493">
          <cell r="C1493">
            <v>342213</v>
          </cell>
          <cell r="D1493" t="str">
            <v>SHS within Calumpang Elementary School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</row>
        <row r="1494">
          <cell r="C1494">
            <v>342214</v>
          </cell>
          <cell r="D1494" t="str">
            <v>SHS within San Antonio Elementary School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</row>
        <row r="1495">
          <cell r="C1495">
            <v>342215</v>
          </cell>
          <cell r="D1495" t="str">
            <v>San Pascual Senior High School 2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</row>
        <row r="1496">
          <cell r="C1496">
            <v>342216</v>
          </cell>
          <cell r="D1496" t="str">
            <v>Agoncillo Senior High School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</row>
        <row r="1497">
          <cell r="C1497">
            <v>342217</v>
          </cell>
          <cell r="D1497" t="str">
            <v>SHS in Malvar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</row>
        <row r="1498">
          <cell r="C1498">
            <v>342218</v>
          </cell>
          <cell r="D1498" t="str">
            <v>Talisay Senior High School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</row>
        <row r="1499">
          <cell r="C1499">
            <v>342219</v>
          </cell>
          <cell r="D1499" t="str">
            <v>SHS in Sto. Tomas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</row>
        <row r="1500">
          <cell r="C1500">
            <v>342221</v>
          </cell>
          <cell r="D1500" t="str">
            <v>SHS in Taysan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</row>
        <row r="1501">
          <cell r="C1501">
            <v>342222</v>
          </cell>
          <cell r="D1501" t="str">
            <v>SHS in Rosario, Batangas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</row>
        <row r="1502">
          <cell r="C1502">
            <v>361016</v>
          </cell>
          <cell r="D1502" t="str">
            <v>San Juan Senior High School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10</v>
          </cell>
          <cell r="J1502">
            <v>17</v>
          </cell>
          <cell r="K1502">
            <v>0</v>
          </cell>
          <cell r="L1502">
            <v>0</v>
          </cell>
        </row>
        <row r="1503">
          <cell r="C1503">
            <v>301165</v>
          </cell>
          <cell r="D1503" t="str">
            <v>Alfonso National High School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</row>
        <row r="1504">
          <cell r="C1504">
            <v>301166</v>
          </cell>
          <cell r="D1504" t="str">
            <v>Amadeo National High School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6</v>
          </cell>
          <cell r="J1504">
            <v>19</v>
          </cell>
          <cell r="K1504">
            <v>6</v>
          </cell>
          <cell r="L1504">
            <v>18</v>
          </cell>
        </row>
        <row r="1505">
          <cell r="C1505">
            <v>301167</v>
          </cell>
          <cell r="D1505" t="str">
            <v>Amaya School of Home Industries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</row>
        <row r="1506">
          <cell r="C1506">
            <v>301168</v>
          </cell>
          <cell r="D1506" t="str">
            <v>Anuling National High School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</row>
        <row r="1507">
          <cell r="C1507">
            <v>301172</v>
          </cell>
          <cell r="D1507" t="str">
            <v>Bagbag National High School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5</v>
          </cell>
          <cell r="J1507">
            <v>7</v>
          </cell>
          <cell r="K1507">
            <v>0</v>
          </cell>
          <cell r="L1507">
            <v>0</v>
          </cell>
        </row>
        <row r="1508">
          <cell r="C1508">
            <v>301173</v>
          </cell>
          <cell r="D1508" t="str">
            <v>Bendita National High School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3</v>
          </cell>
          <cell r="J1508">
            <v>6</v>
          </cell>
          <cell r="K1508">
            <v>0</v>
          </cell>
          <cell r="L1508">
            <v>0</v>
          </cell>
        </row>
        <row r="1509">
          <cell r="C1509">
            <v>301175</v>
          </cell>
          <cell r="D1509" t="str">
            <v>Bucal National High School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</row>
        <row r="1510">
          <cell r="C1510">
            <v>301178</v>
          </cell>
          <cell r="D1510" t="str">
            <v>Cavite National Science High School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</row>
        <row r="1511">
          <cell r="C1511">
            <v>301180</v>
          </cell>
          <cell r="D1511" t="str">
            <v>Bulihan National High School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</row>
        <row r="1512">
          <cell r="C1512">
            <v>301189</v>
          </cell>
          <cell r="D1512" t="str">
            <v>Emiliano T. Tirona Memorial National High School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</row>
        <row r="1513">
          <cell r="C1513">
            <v>301191</v>
          </cell>
          <cell r="D1513" t="str">
            <v>Gen. Emilio Aguinaldo National High School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</row>
        <row r="1514">
          <cell r="C1514">
            <v>301192</v>
          </cell>
          <cell r="D1514" t="str">
            <v>Gen. Mariano Alvarez Technology High School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</row>
        <row r="1515">
          <cell r="C1515">
            <v>301193</v>
          </cell>
          <cell r="D1515" t="str">
            <v>Gen. Vito Belarmino National High School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</row>
        <row r="1516">
          <cell r="C1516">
            <v>301195</v>
          </cell>
          <cell r="D1516" t="str">
            <v>Halang Banaybanay National High School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</row>
        <row r="1517">
          <cell r="C1517">
            <v>301198</v>
          </cell>
          <cell r="D1517" t="str">
            <v>Kaytitinga National High School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</row>
        <row r="1518">
          <cell r="C1518">
            <v>301199</v>
          </cell>
          <cell r="D1518" t="str">
            <v>Lucsuhin National High School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</row>
        <row r="1519">
          <cell r="C1519">
            <v>301200</v>
          </cell>
          <cell r="D1519" t="str">
            <v>Lumampong National High School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1</v>
          </cell>
          <cell r="J1519">
            <v>5</v>
          </cell>
          <cell r="K1519">
            <v>1</v>
          </cell>
          <cell r="L1519">
            <v>5</v>
          </cell>
        </row>
        <row r="1520">
          <cell r="C1520">
            <v>301201</v>
          </cell>
          <cell r="D1520" t="str">
            <v>Indang National High School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4</v>
          </cell>
          <cell r="J1520">
            <v>12</v>
          </cell>
          <cell r="K1520">
            <v>0</v>
          </cell>
          <cell r="L1520">
            <v>4</v>
          </cell>
        </row>
        <row r="1521">
          <cell r="C1521">
            <v>301202</v>
          </cell>
          <cell r="D1521" t="str">
            <v>Lumil National High School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</row>
        <row r="1522">
          <cell r="C1522">
            <v>301205</v>
          </cell>
          <cell r="D1522" t="str">
            <v>Munting Ilog National High School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5</v>
          </cell>
          <cell r="J1522">
            <v>11</v>
          </cell>
          <cell r="K1522">
            <v>0</v>
          </cell>
          <cell r="L1522">
            <v>0</v>
          </cell>
        </row>
        <row r="1523">
          <cell r="C1523">
            <v>301207</v>
          </cell>
          <cell r="D1523" t="str">
            <v>Naic National High School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9</v>
          </cell>
          <cell r="J1523">
            <v>21</v>
          </cell>
          <cell r="K1523">
            <v>9</v>
          </cell>
          <cell r="L1523">
            <v>21</v>
          </cell>
        </row>
        <row r="1524">
          <cell r="C1524">
            <v>301211</v>
          </cell>
          <cell r="D1524" t="str">
            <v>Pulo ni Sara National High School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1</v>
          </cell>
          <cell r="J1524">
            <v>4</v>
          </cell>
          <cell r="K1524">
            <v>0</v>
          </cell>
          <cell r="L1524">
            <v>0</v>
          </cell>
        </row>
        <row r="1525">
          <cell r="C1525">
            <v>301213</v>
          </cell>
          <cell r="D1525" t="str">
            <v>San Jose Community High School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</row>
        <row r="1526">
          <cell r="C1526">
            <v>301215</v>
          </cell>
          <cell r="D1526" t="str">
            <v>Tagaytay City Science National High School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9</v>
          </cell>
          <cell r="J1526">
            <v>28</v>
          </cell>
          <cell r="K1526">
            <v>3</v>
          </cell>
          <cell r="L1526">
            <v>7</v>
          </cell>
        </row>
        <row r="1527">
          <cell r="C1527">
            <v>301216</v>
          </cell>
          <cell r="D1527" t="str">
            <v>Tagaytay City National High School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</row>
        <row r="1528">
          <cell r="C1528">
            <v>301217</v>
          </cell>
          <cell r="D1528" t="str">
            <v>Talon National High School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</row>
        <row r="1529">
          <cell r="C1529">
            <v>301218</v>
          </cell>
          <cell r="D1529" t="str">
            <v>Tanza National Comprehensive High School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13</v>
          </cell>
          <cell r="J1529">
            <v>28</v>
          </cell>
          <cell r="K1529">
            <v>2</v>
          </cell>
          <cell r="L1529">
            <v>0</v>
          </cell>
        </row>
        <row r="1530">
          <cell r="C1530">
            <v>301219</v>
          </cell>
          <cell r="D1530" t="str">
            <v>Tanza National Trade School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</row>
        <row r="1531">
          <cell r="C1531">
            <v>301221</v>
          </cell>
          <cell r="D1531" t="str">
            <v>Ternate National High School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</row>
        <row r="1532">
          <cell r="C1532">
            <v>307806</v>
          </cell>
          <cell r="D1532" t="str">
            <v>Francisco P. Tolentino Integrated High School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</row>
        <row r="1533">
          <cell r="C1533">
            <v>307807</v>
          </cell>
          <cell r="D1533" t="str">
            <v>Ternate West National High School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</row>
        <row r="1534">
          <cell r="C1534">
            <v>307808</v>
          </cell>
          <cell r="D1534" t="str">
            <v>Francisco Osorio National High School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</row>
        <row r="1535">
          <cell r="C1535">
            <v>342284</v>
          </cell>
          <cell r="D1535" t="str">
            <v>Senior High School in Carmona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</row>
        <row r="1536">
          <cell r="C1536">
            <v>342286</v>
          </cell>
          <cell r="D1536" t="str">
            <v>Pedro Alegre Aure Senior High School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</row>
        <row r="1537">
          <cell r="C1537">
            <v>342287</v>
          </cell>
          <cell r="D1537" t="str">
            <v>Noveleta Senior High School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</row>
        <row r="1538">
          <cell r="C1538">
            <v>342288</v>
          </cell>
          <cell r="D1538" t="str">
            <v>Escuela Secondaria Senor de Salinas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</row>
        <row r="1539">
          <cell r="C1539">
            <v>342292</v>
          </cell>
          <cell r="D1539" t="str">
            <v>Trece Martires City Senior High School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</row>
        <row r="1540">
          <cell r="C1540">
            <v>301226</v>
          </cell>
          <cell r="D1540" t="str">
            <v>Balian NHS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</row>
        <row r="1541">
          <cell r="C1541">
            <v>301228</v>
          </cell>
          <cell r="D1541" t="str">
            <v>Banca-Banca Integrated National High School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</row>
        <row r="1542">
          <cell r="C1542">
            <v>301231</v>
          </cell>
          <cell r="D1542" t="str">
            <v>Bitin NHS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</row>
        <row r="1543">
          <cell r="C1543">
            <v>301232</v>
          </cell>
          <cell r="D1543" t="str">
            <v>Buenavista NHS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</row>
        <row r="1544">
          <cell r="C1544">
            <v>301237</v>
          </cell>
          <cell r="D1544" t="str">
            <v>Lowland Integrated National High School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</row>
        <row r="1545">
          <cell r="C1545">
            <v>301240</v>
          </cell>
          <cell r="D1545" t="str">
            <v>Famy National Integrated High School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4</v>
          </cell>
          <cell r="J1545">
            <v>10</v>
          </cell>
          <cell r="K1545">
            <v>0</v>
          </cell>
          <cell r="L1545">
            <v>0</v>
          </cell>
        </row>
        <row r="1546">
          <cell r="C1546">
            <v>301242</v>
          </cell>
          <cell r="D1546" t="str">
            <v>Ibayiw Integrated National High School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</row>
        <row r="1547">
          <cell r="C1547">
            <v>301243</v>
          </cell>
          <cell r="D1547" t="str">
            <v>Kabulusan Integrated National High School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</row>
        <row r="1548">
          <cell r="C1548">
            <v>301249</v>
          </cell>
          <cell r="D1548" t="str">
            <v>Mabitac NHS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</row>
        <row r="1549">
          <cell r="C1549">
            <v>301250</v>
          </cell>
          <cell r="D1549" t="str">
            <v>Masapang NHS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</row>
        <row r="1550">
          <cell r="C1550">
            <v>301253</v>
          </cell>
          <cell r="D1550" t="str">
            <v>Pagsanjan National High School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</row>
        <row r="1551">
          <cell r="C1551">
            <v>301255</v>
          </cell>
          <cell r="D1551" t="str">
            <v>Paagahan Integrated National High School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</row>
        <row r="1552">
          <cell r="C1552">
            <v>301258</v>
          </cell>
          <cell r="D1552" t="str">
            <v>Plaridel Integrated National High School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</row>
        <row r="1553">
          <cell r="C1553">
            <v>301262</v>
          </cell>
          <cell r="D1553" t="str">
            <v>Nicolas L. Galvez Memorial National High School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</row>
        <row r="1554">
          <cell r="C1554">
            <v>301263</v>
          </cell>
          <cell r="D1554" t="str">
            <v>San Buenaventura NHS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</row>
        <row r="1555">
          <cell r="C1555">
            <v>301264</v>
          </cell>
          <cell r="D1555" t="str">
            <v>San Francisco Integrated NHS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</row>
        <row r="1556">
          <cell r="C1556">
            <v>301268</v>
          </cell>
          <cell r="D1556" t="str">
            <v>Sta. Catalina Integrated National High School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</row>
        <row r="1557">
          <cell r="C1557">
            <v>301269</v>
          </cell>
          <cell r="D1557" t="str">
            <v>Sta. Maria NHS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</row>
        <row r="1558">
          <cell r="C1558">
            <v>301270</v>
          </cell>
          <cell r="D1558" t="str">
            <v>Gaudencio Octavio National High School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</row>
        <row r="1559">
          <cell r="C1559">
            <v>301271</v>
          </cell>
          <cell r="D1559" t="str">
            <v>Santa Maria NHS - J. Santiago Annex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1</v>
          </cell>
          <cell r="J1559">
            <v>2</v>
          </cell>
          <cell r="K1559">
            <v>0</v>
          </cell>
          <cell r="L1559">
            <v>3</v>
          </cell>
        </row>
        <row r="1560">
          <cell r="C1560">
            <v>301273</v>
          </cell>
          <cell r="D1560" t="str">
            <v>Siniloan Integrated National High School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</row>
        <row r="1561">
          <cell r="C1561">
            <v>301274</v>
          </cell>
          <cell r="D1561" t="str">
            <v>GOV. FELICISIMO T. SAN LUIS NATIONAL AGRO-INDUSTRIAL HIGH SCHOOL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</row>
        <row r="1562">
          <cell r="C1562">
            <v>301278</v>
          </cell>
          <cell r="D1562" t="str">
            <v>Upland Integrated National High School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</row>
        <row r="1563">
          <cell r="C1563">
            <v>301279</v>
          </cell>
          <cell r="D1563" t="str">
            <v>Lumban National High School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</row>
        <row r="1564">
          <cell r="C1564">
            <v>302159</v>
          </cell>
          <cell r="D1564" t="str">
            <v>Lumban Senior High School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</row>
        <row r="1565">
          <cell r="C1565">
            <v>304846</v>
          </cell>
          <cell r="D1565" t="str">
            <v>Liliw Senior High School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</row>
        <row r="1566">
          <cell r="C1566">
            <v>307903</v>
          </cell>
          <cell r="D1566" t="str">
            <v>Cristobal S. Conducto Memorial National High School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7</v>
          </cell>
          <cell r="J1566">
            <v>7</v>
          </cell>
          <cell r="K1566">
            <v>7</v>
          </cell>
          <cell r="L1566">
            <v>7</v>
          </cell>
        </row>
        <row r="1567">
          <cell r="C1567">
            <v>307906</v>
          </cell>
          <cell r="D1567" t="str">
            <v>Gov. Felicisimo T. San Luis Memorial National High School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</row>
        <row r="1568">
          <cell r="C1568">
            <v>307907</v>
          </cell>
          <cell r="D1568" t="str">
            <v>San Pedro Relocation Center National High School, Main (Langgam) Campus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</row>
        <row r="1569">
          <cell r="C1569">
            <v>307908</v>
          </cell>
          <cell r="D1569" t="str">
            <v>Cuyab Integrated National High School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</row>
        <row r="1570">
          <cell r="C1570">
            <v>307911</v>
          </cell>
          <cell r="D1570" t="str">
            <v>Cavinti NHS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5</v>
          </cell>
          <cell r="J1570">
            <v>3</v>
          </cell>
          <cell r="K1570">
            <v>0</v>
          </cell>
          <cell r="L1570">
            <v>2</v>
          </cell>
        </row>
        <row r="1571">
          <cell r="C1571">
            <v>307914</v>
          </cell>
          <cell r="D1571" t="str">
            <v>San Pedro Relocation CNHS - Landayan Annex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</row>
        <row r="1572">
          <cell r="C1572">
            <v>307918</v>
          </cell>
          <cell r="D1572" t="str">
            <v>Balian NHS (Galalan Annex)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</row>
        <row r="1573">
          <cell r="C1573">
            <v>307920</v>
          </cell>
          <cell r="D1573" t="str">
            <v>San Antonio Integrated National High School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</row>
        <row r="1574">
          <cell r="C1574">
            <v>307924</v>
          </cell>
          <cell r="D1574" t="str">
            <v>Buenaventura E. Fandialan Memo. NHS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2</v>
          </cell>
          <cell r="J1574">
            <v>4</v>
          </cell>
          <cell r="K1574">
            <v>2</v>
          </cell>
          <cell r="L1574">
            <v>4</v>
          </cell>
        </row>
        <row r="1575">
          <cell r="C1575">
            <v>307926</v>
          </cell>
          <cell r="D1575" t="str">
            <v>Cavinti NHS (Calminue Ext.)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</row>
        <row r="1576">
          <cell r="C1576">
            <v>307927</v>
          </cell>
          <cell r="D1576" t="str">
            <v>Dayap National Integrated High School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6</v>
          </cell>
          <cell r="J1576">
            <v>11</v>
          </cell>
          <cell r="K1576">
            <v>6</v>
          </cell>
          <cell r="L1576">
            <v>11</v>
          </cell>
        </row>
        <row r="1577">
          <cell r="C1577">
            <v>307928</v>
          </cell>
          <cell r="D1577" t="str">
            <v>Matalatala Integrated National High School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</row>
        <row r="1578">
          <cell r="C1578">
            <v>307930</v>
          </cell>
          <cell r="D1578" t="str">
            <v>Laguna Science NHS (Masaya NHS Annex)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</row>
        <row r="1579">
          <cell r="C1579">
            <v>307933</v>
          </cell>
          <cell r="D1579" t="str">
            <v>Tuntungin-Putho NHS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</row>
        <row r="1580">
          <cell r="C1580">
            <v>307935</v>
          </cell>
          <cell r="D1580" t="str">
            <v>San Buenaventura NHS Annex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</row>
        <row r="1581">
          <cell r="C1581">
            <v>307937</v>
          </cell>
          <cell r="D1581" t="str">
            <v>Magdalena NHS (Buenavista Annex)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</row>
        <row r="1582">
          <cell r="C1582">
            <v>307941</v>
          </cell>
          <cell r="D1582" t="str">
            <v>PHILIPPINE HIGH SCHOOL FOR THE  ARTS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</row>
        <row r="1583">
          <cell r="C1583">
            <v>342343</v>
          </cell>
          <cell r="D1583" t="str">
            <v>Barangay Longos Senior High School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</row>
        <row r="1584">
          <cell r="C1584">
            <v>342344</v>
          </cell>
          <cell r="D1584" t="str">
            <v>PAKIL SENIOR HIGH SCHOOL (Stand Alone SHS No. 2 Pakil)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</row>
        <row r="1585">
          <cell r="C1585">
            <v>342345</v>
          </cell>
          <cell r="D1585" t="str">
            <v>Stand Alone SHS No. 3 Pagsanjan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</row>
        <row r="1586">
          <cell r="C1586">
            <v>342346</v>
          </cell>
          <cell r="D1586" t="str">
            <v>LAGUNA SENIOR HIGH SCHOOL</v>
          </cell>
          <cell r="E1586">
            <v>0</v>
          </cell>
          <cell r="F1586">
            <v>2</v>
          </cell>
          <cell r="G1586">
            <v>0</v>
          </cell>
          <cell r="H1586">
            <v>0</v>
          </cell>
          <cell r="I1586">
            <v>9</v>
          </cell>
          <cell r="J1586">
            <v>16</v>
          </cell>
          <cell r="K1586">
            <v>2</v>
          </cell>
          <cell r="L1586">
            <v>7</v>
          </cell>
        </row>
        <row r="1587">
          <cell r="C1587">
            <v>342347</v>
          </cell>
          <cell r="D1587" t="str">
            <v>Nagcarlan Senior High School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</row>
        <row r="1588">
          <cell r="C1588">
            <v>342348</v>
          </cell>
          <cell r="D1588" t="str">
            <v>Victoria Senior High School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6</v>
          </cell>
          <cell r="J1588">
            <v>5</v>
          </cell>
          <cell r="K1588">
            <v>6</v>
          </cell>
          <cell r="L1588">
            <v>5</v>
          </cell>
        </row>
        <row r="1589">
          <cell r="C1589">
            <v>342349</v>
          </cell>
          <cell r="D1589" t="str">
            <v>LOS BAÑOS SENIOR HIGH SCHOOL (SHS) STAND ALONE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</row>
        <row r="1590">
          <cell r="C1590">
            <v>342350</v>
          </cell>
          <cell r="D1590" t="str">
            <v>Stand Alone SHS No. 8 Bambang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</row>
        <row r="1591">
          <cell r="C1591">
            <v>342351</v>
          </cell>
          <cell r="D1591" t="str">
            <v>Stand Alone SHS No. 9 Lalakay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</row>
        <row r="1592">
          <cell r="C1592">
            <v>342352</v>
          </cell>
          <cell r="D1592" t="str">
            <v>Stand Alone SHS No. 10 Bayog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</row>
        <row r="1593">
          <cell r="C1593">
            <v>342353</v>
          </cell>
          <cell r="D1593" t="str">
            <v>B.N. Calara Integrated National High School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</row>
        <row r="1594">
          <cell r="C1594">
            <v>342356</v>
          </cell>
          <cell r="D1594" t="str">
            <v>Stand Alone SHS No. 14 Santa Maria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</row>
        <row r="1595">
          <cell r="C1595">
            <v>342357</v>
          </cell>
          <cell r="D1595" t="str">
            <v>LUIS C. OBIAL SENIOR HIGH SCHOOL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</row>
        <row r="1596">
          <cell r="C1596">
            <v>342358</v>
          </cell>
          <cell r="D1596" t="str">
            <v>Stand Alone SHS No. 16 Pila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</row>
        <row r="1597">
          <cell r="C1597">
            <v>342359</v>
          </cell>
          <cell r="D1597" t="str">
            <v>Sto. Tomas Integrated High School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6</v>
          </cell>
          <cell r="J1597">
            <v>5</v>
          </cell>
          <cell r="K1597">
            <v>6</v>
          </cell>
          <cell r="L1597">
            <v>5</v>
          </cell>
        </row>
        <row r="1598">
          <cell r="C1598">
            <v>342361</v>
          </cell>
          <cell r="D1598" t="str">
            <v>Stand Alone SHS No. 19 San Pedro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3</v>
          </cell>
          <cell r="J1598">
            <v>7</v>
          </cell>
          <cell r="K1598">
            <v>3</v>
          </cell>
          <cell r="L1598">
            <v>7</v>
          </cell>
        </row>
        <row r="1599">
          <cell r="C1599">
            <v>342362</v>
          </cell>
          <cell r="D1599" t="str">
            <v>SANTA CRUZ INTEGRATED NATIONAL HIGH SCHOOL (Stand Alone SHS No. 20 Santa Cruz)</v>
          </cell>
          <cell r="E1599">
            <v>0</v>
          </cell>
          <cell r="F1599">
            <v>3</v>
          </cell>
          <cell r="G1599">
            <v>3</v>
          </cell>
          <cell r="H1599">
            <v>0</v>
          </cell>
          <cell r="I1599">
            <v>0</v>
          </cell>
          <cell r="J1599">
            <v>3</v>
          </cell>
          <cell r="K1599">
            <v>0</v>
          </cell>
          <cell r="L1599">
            <v>3</v>
          </cell>
        </row>
        <row r="1600">
          <cell r="C1600">
            <v>342363</v>
          </cell>
          <cell r="D1600" t="str">
            <v>Stand Alone SHS No. 21 Papatahan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</row>
        <row r="1601">
          <cell r="C1601">
            <v>301280</v>
          </cell>
          <cell r="D1601" t="str">
            <v>Abuyon NHS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</row>
        <row r="1602">
          <cell r="C1602">
            <v>301283</v>
          </cell>
          <cell r="D1602" t="str">
            <v>Magsaysay NHS (Formerly Ajos NHS - Magsaysay Extension)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</row>
        <row r="1603">
          <cell r="C1603">
            <v>301284</v>
          </cell>
          <cell r="D1603" t="str">
            <v>Alabat Island National High School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</row>
        <row r="1604">
          <cell r="C1604">
            <v>301285</v>
          </cell>
          <cell r="D1604" t="str">
            <v>Amontay National High School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</row>
        <row r="1605">
          <cell r="C1605">
            <v>301286</v>
          </cell>
          <cell r="D1605" t="str">
            <v>Atimonan NCHS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10</v>
          </cell>
          <cell r="J1605">
            <v>14</v>
          </cell>
          <cell r="K1605">
            <v>10</v>
          </cell>
          <cell r="L1605">
            <v>24</v>
          </cell>
        </row>
        <row r="1606">
          <cell r="C1606">
            <v>301287</v>
          </cell>
          <cell r="D1606" t="str">
            <v>Bagong Silang NHS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</row>
        <row r="1607">
          <cell r="C1607">
            <v>301288</v>
          </cell>
          <cell r="D1607" t="str">
            <v>Bagupaye NHS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</row>
        <row r="1608">
          <cell r="C1608">
            <v>301289</v>
          </cell>
          <cell r="D1608" t="str">
            <v>Bamban National High School</v>
          </cell>
          <cell r="E1608">
            <v>0</v>
          </cell>
          <cell r="F1608">
            <v>0</v>
          </cell>
          <cell r="G1608">
            <v>0</v>
          </cell>
          <cell r="H1608">
            <v>1</v>
          </cell>
          <cell r="I1608">
            <v>0</v>
          </cell>
          <cell r="J1608">
            <v>1</v>
          </cell>
          <cell r="K1608">
            <v>0</v>
          </cell>
          <cell r="L1608">
            <v>0</v>
          </cell>
        </row>
        <row r="1609">
          <cell r="C1609">
            <v>301290</v>
          </cell>
          <cell r="D1609" t="str">
            <v>Bantad National High School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</row>
        <row r="1610">
          <cell r="C1610">
            <v>301291</v>
          </cell>
          <cell r="D1610" t="str">
            <v>Bantulinao Integrated School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</row>
        <row r="1611">
          <cell r="C1611">
            <v>301292</v>
          </cell>
          <cell r="D1611" t="str">
            <v>Batangan National High School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</row>
        <row r="1612">
          <cell r="C1612">
            <v>301295</v>
          </cell>
          <cell r="D1612" t="str">
            <v>Bondoc Peninsula Agri. HS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</row>
        <row r="1613">
          <cell r="C1613">
            <v>301296</v>
          </cell>
          <cell r="D1613" t="str">
            <v>Buenavista NHS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</row>
        <row r="1614">
          <cell r="C1614">
            <v>301297</v>
          </cell>
          <cell r="D1614" t="str">
            <v>Bukal Sur National High School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</row>
        <row r="1615">
          <cell r="C1615">
            <v>301298</v>
          </cell>
          <cell r="D1615" t="str">
            <v>Dr. Vivencio V. Marquez National High School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</row>
        <row r="1616">
          <cell r="C1616">
            <v>301299</v>
          </cell>
          <cell r="D1616" t="str">
            <v>Cabay NHS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</row>
        <row r="1617">
          <cell r="C1617">
            <v>301300</v>
          </cell>
          <cell r="D1617" t="str">
            <v>Cabulihan NHS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</row>
        <row r="1618">
          <cell r="C1618">
            <v>301301</v>
          </cell>
          <cell r="D1618" t="str">
            <v>Cagbalete Island National High School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</row>
        <row r="1619">
          <cell r="C1619">
            <v>301303</v>
          </cell>
          <cell r="D1619" t="str">
            <v>Calantas NHS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</row>
        <row r="1620">
          <cell r="C1620">
            <v>301304</v>
          </cell>
          <cell r="D1620" t="str">
            <v>Calauag NHS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4</v>
          </cell>
          <cell r="J1620">
            <v>8</v>
          </cell>
          <cell r="K1620">
            <v>1</v>
          </cell>
          <cell r="L1620">
            <v>3</v>
          </cell>
        </row>
        <row r="1621">
          <cell r="C1621">
            <v>301305</v>
          </cell>
          <cell r="D1621" t="str">
            <v>Callejon NHS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</row>
        <row r="1622">
          <cell r="C1622">
            <v>301306</v>
          </cell>
          <cell r="D1622" t="str">
            <v>Camflora NHS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1</v>
          </cell>
          <cell r="L1622">
            <v>0</v>
          </cell>
        </row>
        <row r="1623">
          <cell r="C1623">
            <v>301307</v>
          </cell>
          <cell r="D1623" t="str">
            <v>Camohaguin National High School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</row>
        <row r="1624">
          <cell r="C1624">
            <v>301308</v>
          </cell>
          <cell r="D1624" t="str">
            <v>Canda National High School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</row>
        <row r="1625">
          <cell r="C1625">
            <v>301309</v>
          </cell>
          <cell r="D1625" t="str">
            <v>Casay National High School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</row>
        <row r="1626">
          <cell r="C1626">
            <v>301310</v>
          </cell>
          <cell r="D1626" t="str">
            <v>Catanauan National High School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</row>
        <row r="1627">
          <cell r="C1627">
            <v>301311</v>
          </cell>
          <cell r="D1627" t="str">
            <v>Doongan Ilaya National High School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</row>
        <row r="1628">
          <cell r="C1628">
            <v>301312</v>
          </cell>
          <cell r="D1628" t="str">
            <v>Tagbacan NHS (Formerly Tagbacan Ilaya IS)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</row>
        <row r="1629">
          <cell r="C1629">
            <v>301313</v>
          </cell>
          <cell r="D1629" t="str">
            <v>Evaristo R. Macalintal MNHS (Formerly Cometa NHS)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</row>
        <row r="1630">
          <cell r="C1630">
            <v>301314</v>
          </cell>
          <cell r="D1630" t="str">
            <v>Cesar C. Tan Memorial National High School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</row>
        <row r="1631">
          <cell r="C1631">
            <v>301315</v>
          </cell>
          <cell r="D1631" t="str">
            <v>Pablo D. Maningas National High School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</row>
        <row r="1632">
          <cell r="C1632">
            <v>301316</v>
          </cell>
          <cell r="D1632" t="str">
            <v>Concepcion National High School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2</v>
          </cell>
          <cell r="J1632">
            <v>3</v>
          </cell>
          <cell r="K1632">
            <v>2</v>
          </cell>
          <cell r="L1632">
            <v>4</v>
          </cell>
        </row>
        <row r="1633">
          <cell r="C1633">
            <v>301317</v>
          </cell>
          <cell r="D1633" t="str">
            <v>Dagatan National High School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</row>
        <row r="1634">
          <cell r="C1634">
            <v>301318</v>
          </cell>
          <cell r="D1634" t="str">
            <v>Sta. Lucia NHS (Formerly Dagatan NHS Annex - Sta. Lucia)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</row>
        <row r="1635">
          <cell r="C1635">
            <v>301319</v>
          </cell>
          <cell r="D1635" t="str">
            <v>Dr. Maria D. Pastrana National  High School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</row>
        <row r="1636">
          <cell r="C1636">
            <v>301320</v>
          </cell>
          <cell r="D1636" t="str">
            <v>Dungawan NHS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</row>
        <row r="1637">
          <cell r="C1637">
            <v>301321</v>
          </cell>
          <cell r="D1637" t="str">
            <v>Elias A. Salvador NHS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</row>
        <row r="1638">
          <cell r="C1638">
            <v>301322</v>
          </cell>
          <cell r="D1638" t="str">
            <v>Gregorio Reyes NHS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</row>
        <row r="1639">
          <cell r="C1639">
            <v>301323</v>
          </cell>
          <cell r="D1639" t="str">
            <v>Guinayangan NHS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</row>
        <row r="1640">
          <cell r="C1640">
            <v>301324</v>
          </cell>
          <cell r="D1640" t="str">
            <v>STA. CRUZ NATIONAL HIGH SCHOOL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</row>
        <row r="1641">
          <cell r="C1641">
            <v>301325</v>
          </cell>
          <cell r="D1641" t="str">
            <v>Gumaca National High School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</row>
        <row r="1642">
          <cell r="C1642">
            <v>301326</v>
          </cell>
          <cell r="D1642" t="str">
            <v>Hinguiwin National High School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</row>
        <row r="1643">
          <cell r="C1643">
            <v>301327</v>
          </cell>
          <cell r="D1643" t="str">
            <v>Hondagua NHS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</row>
        <row r="1644">
          <cell r="C1644">
            <v>301328</v>
          </cell>
          <cell r="D1644" t="str">
            <v>Guites NHS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</row>
        <row r="1645">
          <cell r="C1645">
            <v>301329</v>
          </cell>
          <cell r="D1645" t="str">
            <v>Ilayang Yuni NHS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</row>
        <row r="1646">
          <cell r="C1646">
            <v>301330</v>
          </cell>
          <cell r="D1646" t="str">
            <v>PAKIING NATIONAL HIGH SCHOOL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</row>
        <row r="1647">
          <cell r="C1647">
            <v>301332</v>
          </cell>
          <cell r="D1647" t="str">
            <v>Infanta NHS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</row>
        <row r="1648">
          <cell r="C1648">
            <v>301333</v>
          </cell>
          <cell r="D1648" t="str">
            <v>Jomalig NHS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</row>
        <row r="1649">
          <cell r="C1649">
            <v>301334</v>
          </cell>
          <cell r="D1649" t="str">
            <v>Burdeos NHS (Judith NHS)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</row>
        <row r="1650">
          <cell r="C1650">
            <v>301335</v>
          </cell>
          <cell r="D1650" t="str">
            <v>Bonifacio National High School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</row>
        <row r="1651">
          <cell r="C1651">
            <v>301336</v>
          </cell>
          <cell r="D1651" t="str">
            <v>Katimo NHS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</row>
        <row r="1652">
          <cell r="C1652">
            <v>301337</v>
          </cell>
          <cell r="D1652" t="str">
            <v>Lina Gayeta-Lasquety NHS (Formerly Kinagunan Ibaba NHS)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</row>
        <row r="1653">
          <cell r="C1653">
            <v>301338</v>
          </cell>
          <cell r="D1653" t="str">
            <v>Kinatakutan NHS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</row>
        <row r="1654">
          <cell r="C1654">
            <v>301339</v>
          </cell>
          <cell r="D1654" t="str">
            <v>Lagay NHS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</row>
        <row r="1655">
          <cell r="C1655">
            <v>301340</v>
          </cell>
          <cell r="D1655" t="str">
            <v>Lamon Bay SOF - Main Gumaca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</row>
        <row r="1656">
          <cell r="C1656">
            <v>301341</v>
          </cell>
          <cell r="D1656" t="str">
            <v>Lamon Bay SOF Annex - Capaluhan, Calauag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</row>
        <row r="1657">
          <cell r="C1657">
            <v>301342</v>
          </cell>
          <cell r="D1657" t="str">
            <v>Aloneros NHS (Formerly LBS of Fisheries Ext. - Aloneros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</row>
        <row r="1658">
          <cell r="C1658">
            <v>301343</v>
          </cell>
          <cell r="D1658" t="str">
            <v>Langgas NHS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</row>
        <row r="1659">
          <cell r="C1659">
            <v>301344</v>
          </cell>
          <cell r="D1659" t="str">
            <v>Libo NHS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</row>
        <row r="1660">
          <cell r="C1660">
            <v>301345</v>
          </cell>
          <cell r="D1660" t="str">
            <v>Lopez National Comprehensive High School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</row>
        <row r="1661">
          <cell r="C1661">
            <v>301346</v>
          </cell>
          <cell r="D1661" t="str">
            <v>Cogorin Ibaba NHS (Formerly Lopez NCHSl - Cogorin Ibaba Extension)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</row>
        <row r="1662">
          <cell r="C1662">
            <v>301348</v>
          </cell>
          <cell r="D1662" t="str">
            <v>Lusacan National High School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</row>
        <row r="1663">
          <cell r="C1663">
            <v>301349</v>
          </cell>
          <cell r="D1663" t="str">
            <v>Lutucan Integrated National High School</v>
          </cell>
          <cell r="E1663">
            <v>0</v>
          </cell>
          <cell r="F1663">
            <v>0</v>
          </cell>
          <cell r="G1663">
            <v>1</v>
          </cell>
          <cell r="H1663">
            <v>0</v>
          </cell>
          <cell r="I1663">
            <v>1</v>
          </cell>
          <cell r="J1663">
            <v>0</v>
          </cell>
          <cell r="K1663">
            <v>1</v>
          </cell>
          <cell r="L1663">
            <v>0</v>
          </cell>
        </row>
        <row r="1664">
          <cell r="C1664">
            <v>301350</v>
          </cell>
          <cell r="D1664" t="str">
            <v>Manuel S. Enverga Memorial School of Arts and Trades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</row>
        <row r="1665">
          <cell r="C1665">
            <v>301351</v>
          </cell>
          <cell r="D1665" t="str">
            <v>Magallanes NHS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4</v>
          </cell>
          <cell r="J1665">
            <v>2</v>
          </cell>
          <cell r="K1665">
            <v>0</v>
          </cell>
          <cell r="L1665">
            <v>0</v>
          </cell>
        </row>
        <row r="1666">
          <cell r="C1666">
            <v>301352</v>
          </cell>
          <cell r="D1666" t="str">
            <v>Pisipis NHS (Formerly Magallanes NHS Pisipis Extension)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</row>
        <row r="1667">
          <cell r="C1667">
            <v>301353</v>
          </cell>
          <cell r="D1667" t="str">
            <v>Veronica NHS (Formerly Magallanes NHS Veronica Extension)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3</v>
          </cell>
          <cell r="K1667">
            <v>0</v>
          </cell>
          <cell r="L1667">
            <v>0</v>
          </cell>
        </row>
        <row r="1668">
          <cell r="C1668">
            <v>301354</v>
          </cell>
          <cell r="D1668" t="str">
            <v>Malaya NHS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</row>
        <row r="1669">
          <cell r="C1669">
            <v>301357</v>
          </cell>
          <cell r="D1669" t="str">
            <v>Malusak National High School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</row>
        <row r="1670">
          <cell r="C1670">
            <v>301359</v>
          </cell>
          <cell r="D1670" t="str">
            <v>Nabangka NHS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</row>
        <row r="1671">
          <cell r="C1671">
            <v>301360</v>
          </cell>
          <cell r="D1671" t="str">
            <v>Olongtao National High School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</row>
        <row r="1672">
          <cell r="C1672">
            <v>301361</v>
          </cell>
          <cell r="D1672" t="str">
            <v>Paaralang Sek. Ng Hen. Nakar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</row>
        <row r="1673">
          <cell r="C1673">
            <v>301362</v>
          </cell>
          <cell r="D1673" t="str">
            <v>Paaralang Sek. Ng Hen. Nakar - Maligaya Extension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</row>
        <row r="1674">
          <cell r="C1674">
            <v>301363</v>
          </cell>
          <cell r="D1674" t="str">
            <v>Paaralang Sekundarya ng Hen. Nakar-Umiray Ext.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</row>
        <row r="1675">
          <cell r="C1675">
            <v>301364</v>
          </cell>
          <cell r="D1675" t="str">
            <v>Paaralang Sek. Ng Lukban Integrated(formerly Paaralang Sekundarya ng Lucban)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</row>
        <row r="1676">
          <cell r="C1676">
            <v>301365</v>
          </cell>
          <cell r="D1676" t="str">
            <v>JOEL B. ARQUIZA NHS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</row>
        <row r="1677">
          <cell r="C1677">
            <v>301366</v>
          </cell>
          <cell r="D1677" t="str">
            <v>Nagsinamo NHS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</row>
        <row r="1678">
          <cell r="C1678">
            <v>301367</v>
          </cell>
          <cell r="D1678" t="str">
            <v>Pagbilao Grande Island NHS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</row>
        <row r="1679">
          <cell r="C1679">
            <v>301368</v>
          </cell>
          <cell r="D1679" t="str">
            <v>Renato Edaño Vicencio NHS (Formerly Pagsangahan NHS-Don Juan Vercelos Annex)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</row>
        <row r="1680">
          <cell r="C1680">
            <v>301369</v>
          </cell>
          <cell r="D1680" t="str">
            <v>Pagsangahan NHS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</row>
        <row r="1681">
          <cell r="C1681">
            <v>301370</v>
          </cell>
          <cell r="D1681" t="str">
            <v>Paiisa NHS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</row>
        <row r="1682">
          <cell r="C1682">
            <v>301371</v>
          </cell>
          <cell r="D1682" t="str">
            <v>Leonarda D. Vera Cruz NHS (Formerly Panaon NHS)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</row>
        <row r="1683">
          <cell r="C1683">
            <v>301372</v>
          </cell>
          <cell r="D1683" t="str">
            <v>Panikihan NHS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</row>
        <row r="1684">
          <cell r="C1684">
            <v>301373</v>
          </cell>
          <cell r="D1684" t="str">
            <v>Doña Francisca Alvarez Rejano Integrated School (Formerly Patabog NHS)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3</v>
          </cell>
          <cell r="K1684">
            <v>2</v>
          </cell>
          <cell r="L1684">
            <v>1</v>
          </cell>
        </row>
        <row r="1685">
          <cell r="C1685">
            <v>301374</v>
          </cell>
          <cell r="D1685" t="str">
            <v>Patnanungan NHS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</row>
        <row r="1686">
          <cell r="C1686">
            <v>301375</v>
          </cell>
          <cell r="D1686" t="str">
            <v>Perez National High School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</row>
        <row r="1687">
          <cell r="C1687">
            <v>301376</v>
          </cell>
          <cell r="D1687" t="str">
            <v>Pitogo Community High School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</row>
        <row r="1688">
          <cell r="C1688">
            <v>301377</v>
          </cell>
          <cell r="D1688" t="str">
            <v>Polillo National High School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</row>
        <row r="1689">
          <cell r="C1689">
            <v>301378</v>
          </cell>
          <cell r="D1689" t="str">
            <v>Balesin IS (Formerly Polillo NHS Extension)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1</v>
          </cell>
          <cell r="K1689">
            <v>0</v>
          </cell>
          <cell r="L1689">
            <v>0</v>
          </cell>
        </row>
        <row r="1690">
          <cell r="C1690">
            <v>301379</v>
          </cell>
          <cell r="D1690" t="str">
            <v>Pugon NHS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</row>
        <row r="1691">
          <cell r="C1691">
            <v>301380</v>
          </cell>
          <cell r="D1691" t="str">
            <v>Recto MNHS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</row>
        <row r="1692">
          <cell r="C1692">
            <v>301382</v>
          </cell>
          <cell r="D1692" t="str">
            <v>Sabang National High School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</row>
        <row r="1693">
          <cell r="C1693">
            <v>301384</v>
          </cell>
          <cell r="D1693" t="str">
            <v>Sampaloc NHS, Sampaloc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</row>
        <row r="1694">
          <cell r="C1694">
            <v>301385</v>
          </cell>
          <cell r="D1694" t="str">
            <v>San Antonio NHS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</row>
        <row r="1695">
          <cell r="C1695">
            <v>301386</v>
          </cell>
          <cell r="D1695" t="str">
            <v>San Francisco B NHS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</row>
        <row r="1696">
          <cell r="C1696">
            <v>301387</v>
          </cell>
          <cell r="D1696" t="str">
            <v>Ilayang Ilog-A NHS (Formerly San Francisco B NHS Ilayang Ilog A Ext.)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</row>
        <row r="1697">
          <cell r="C1697">
            <v>301388</v>
          </cell>
          <cell r="D1697" t="str">
            <v>Dao National High School (Formerly San Francisco B NHS - San Miguel Dao II Ext.)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</row>
        <row r="1698">
          <cell r="C1698">
            <v>301389</v>
          </cell>
          <cell r="D1698" t="str">
            <v>Sto. Nino Ilaya NHS (Formerly San Francisco B NHS Sto. NiÃ±o Ilaya Ext.)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</row>
        <row r="1699">
          <cell r="C1699">
            <v>301390</v>
          </cell>
          <cell r="D1699" t="str">
            <v>Marcial B. Villanueva NHS (Formerly San Francisco NHS, San Francisco)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</row>
        <row r="1700">
          <cell r="C1700">
            <v>301391</v>
          </cell>
          <cell r="D1700" t="str">
            <v>San Isidro National High School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</row>
        <row r="1701">
          <cell r="C1701">
            <v>301392</v>
          </cell>
          <cell r="D1701" t="str">
            <v>Tagabas Ibaba NHS (Formerly San Isidro NHS - Tagabas Ibaba Ext)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</row>
        <row r="1702">
          <cell r="C1702">
            <v>301393</v>
          </cell>
          <cell r="D1702" t="str">
            <v>San Isidro NHS, Gen. Luna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</row>
        <row r="1703">
          <cell r="C1703">
            <v>301394</v>
          </cell>
          <cell r="D1703" t="str">
            <v>SAN ISIDRO NATIONAL HIGH SCHOOL, PADRE BURGOS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</row>
        <row r="1704">
          <cell r="C1704">
            <v>301395</v>
          </cell>
          <cell r="D1704" t="str">
            <v>San Isidro NHS, Tagkawayan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</row>
        <row r="1705">
          <cell r="C1705">
            <v>301396</v>
          </cell>
          <cell r="D1705" t="str">
            <v>Panukulan NHS (Formerly San Juan NHS)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</row>
        <row r="1706">
          <cell r="C1706">
            <v>301397</v>
          </cell>
          <cell r="D1706" t="str">
            <v>Calasumanga NHS (Formerly San Juan NHS - Calasumanga Ext.)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</row>
        <row r="1707">
          <cell r="C1707">
            <v>301398</v>
          </cell>
          <cell r="D1707" t="str">
            <v>Sanmandelcar National High School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</row>
        <row r="1708">
          <cell r="C1708">
            <v>301399</v>
          </cell>
          <cell r="D1708" t="str">
            <v>Godofredo M. Tan Memorial Integrated School of Arts and Trades (Formerly San Narciso Voc. HS)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</row>
        <row r="1709">
          <cell r="C1709">
            <v>301401</v>
          </cell>
          <cell r="D1709" t="str">
            <v>San Roque NHS, Catanauan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</row>
        <row r="1710">
          <cell r="C1710">
            <v>301402</v>
          </cell>
          <cell r="D1710" t="str">
            <v>San Roque-Ilaya NHS, Calauag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</row>
        <row r="1711">
          <cell r="C1711">
            <v>301403</v>
          </cell>
          <cell r="D1711" t="str">
            <v>Sta. Catalina National High School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</row>
        <row r="1712">
          <cell r="C1712">
            <v>301404</v>
          </cell>
          <cell r="D1712" t="str">
            <v>Sto. Domingo NHS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</row>
        <row r="1713">
          <cell r="C1713">
            <v>301405</v>
          </cell>
          <cell r="D1713" t="str">
            <v>Tabason NHS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</row>
        <row r="1714">
          <cell r="C1714">
            <v>301406</v>
          </cell>
          <cell r="D1714" t="str">
            <v>Tagkawayan NHS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</row>
        <row r="1715">
          <cell r="C1715">
            <v>301407</v>
          </cell>
          <cell r="D1715" t="str">
            <v>Talipan National High School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</row>
        <row r="1716">
          <cell r="C1716">
            <v>301408</v>
          </cell>
          <cell r="D1716" t="str">
            <v>Taluong NHS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</row>
        <row r="1717">
          <cell r="C1717">
            <v>301409</v>
          </cell>
          <cell r="D1717" t="str">
            <v>Jacinto G. Esplana National High School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</row>
        <row r="1718">
          <cell r="C1718">
            <v>301410</v>
          </cell>
          <cell r="D1718" t="str">
            <v>Tongohin NHS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</row>
        <row r="1719">
          <cell r="C1719">
            <v>301412</v>
          </cell>
          <cell r="D1719" t="str">
            <v>Ungos  Integrated NHS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</row>
        <row r="1720">
          <cell r="C1720">
            <v>301413</v>
          </cell>
          <cell r="D1720" t="str">
            <v>Ungos National High School Extension - Llavac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</row>
        <row r="1721">
          <cell r="C1721">
            <v>301414</v>
          </cell>
          <cell r="D1721" t="str">
            <v>Unisan Integrated High School (Formerly Unisan NHS)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</row>
        <row r="1722">
          <cell r="C1722">
            <v>301415</v>
          </cell>
          <cell r="D1722" t="str">
            <v>Villa Perez NHS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</row>
        <row r="1723">
          <cell r="C1723">
            <v>301502</v>
          </cell>
          <cell r="D1723" t="str">
            <v>Quezon National High School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</row>
        <row r="1724">
          <cell r="C1724">
            <v>308001</v>
          </cell>
          <cell r="D1724" t="str">
            <v>Matandang Sabang National High School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</row>
        <row r="1725">
          <cell r="C1725">
            <v>308002</v>
          </cell>
          <cell r="D1725" t="str">
            <v>Mapulot National High School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</row>
        <row r="1726">
          <cell r="C1726">
            <v>308003</v>
          </cell>
          <cell r="D1726" t="str">
            <v>Sto. Niño National High School (Formerly Pagsangahan NHS Ext. Sto. Niño)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</row>
        <row r="1727">
          <cell r="C1727">
            <v>308004</v>
          </cell>
          <cell r="D1727" t="str">
            <v>Pagbilao NHS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</row>
        <row r="1728">
          <cell r="C1728">
            <v>308005</v>
          </cell>
          <cell r="D1728" t="str">
            <v>Cagsiay I National High School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</row>
        <row r="1729">
          <cell r="C1729">
            <v>308006</v>
          </cell>
          <cell r="D1729" t="str">
            <v>Hagonghong Integrated HS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</row>
        <row r="1730">
          <cell r="C1730">
            <v>308007</v>
          </cell>
          <cell r="D1730" t="str">
            <v>Liwayway National High School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</row>
        <row r="1731">
          <cell r="C1731">
            <v>308008</v>
          </cell>
          <cell r="D1731" t="str">
            <v>Maligaya NHS</v>
          </cell>
          <cell r="E1731">
            <v>0</v>
          </cell>
          <cell r="F1731">
            <v>1</v>
          </cell>
          <cell r="G1731">
            <v>1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1</v>
          </cell>
        </row>
        <row r="1732">
          <cell r="C1732">
            <v>308009</v>
          </cell>
          <cell r="D1732" t="str">
            <v>Pamampangin NHS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</row>
        <row r="1733">
          <cell r="C1733">
            <v>308010</v>
          </cell>
          <cell r="D1733" t="str">
            <v>San Vicente Kanluran NHS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</row>
        <row r="1734">
          <cell r="C1734">
            <v>308011</v>
          </cell>
          <cell r="D1734" t="str">
            <v>Sto. Angel National High School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</row>
        <row r="1735">
          <cell r="C1735">
            <v>308012</v>
          </cell>
          <cell r="D1735" t="str">
            <v>Gloria Umali Integrated NHS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</row>
        <row r="1736">
          <cell r="C1736">
            <v>308013</v>
          </cell>
          <cell r="D1736" t="str">
            <v>Villa San Isidro NHS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</row>
        <row r="1737">
          <cell r="C1737">
            <v>308014</v>
          </cell>
          <cell r="D1737" t="str">
            <v>Cabong NHS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</row>
        <row r="1738">
          <cell r="C1738">
            <v>308015</v>
          </cell>
          <cell r="D1738" t="str">
            <v>Cagsiay III NHS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</row>
        <row r="1739">
          <cell r="C1739">
            <v>308016</v>
          </cell>
          <cell r="D1739" t="str">
            <v>Dolores Macasaet National High School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</row>
        <row r="1740">
          <cell r="C1740">
            <v>308017</v>
          </cell>
          <cell r="D1740" t="str">
            <v>Apad NHS (Formerly Sto. Domingo NHS - Apad Ext. Classes)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</row>
        <row r="1741">
          <cell r="C1741">
            <v>308019</v>
          </cell>
          <cell r="D1741" t="str">
            <v>Dr. Panfilo Castro NHS (Formerly Bukal Sur NHS-Mangilag Annex)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</row>
        <row r="1742">
          <cell r="C1742">
            <v>308020</v>
          </cell>
          <cell r="D1742" t="str">
            <v>GOV. ANACLETO C. ALCALA NATIONAL HIGH SCHOOL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</row>
        <row r="1743">
          <cell r="C1743">
            <v>308021</v>
          </cell>
          <cell r="D1743" t="str">
            <v>Dr. Arsenio C. Nicolas Integrated National High School (Formerly Dr. Arsenio C. Nicolas NHS)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</row>
        <row r="1744">
          <cell r="C1744">
            <v>308022</v>
          </cell>
          <cell r="D1744" t="str">
            <v>Rufina P. Trinidad Mem. NHS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</row>
        <row r="1745">
          <cell r="C1745">
            <v>308023</v>
          </cell>
          <cell r="D1745" t="str">
            <v>Danlagan NHS (Formerly Kinagunan Ibaba NHS Ext. Classes)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</row>
        <row r="1746">
          <cell r="C1746">
            <v>308024</v>
          </cell>
          <cell r="D1746" t="str">
            <v>Camflora National High School (Annex)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</row>
        <row r="1747">
          <cell r="C1747">
            <v>308025</v>
          </cell>
          <cell r="D1747" t="str">
            <v>San Jose NHS (Formerly Tagbacan Ilaya Integ. Sec. Ext. Classes)</v>
          </cell>
          <cell r="E1747">
            <v>0</v>
          </cell>
          <cell r="F1747">
            <v>0</v>
          </cell>
          <cell r="G1747">
            <v>0</v>
          </cell>
          <cell r="H1747">
            <v>1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</row>
        <row r="1748">
          <cell r="C1748">
            <v>308026</v>
          </cell>
          <cell r="D1748" t="str">
            <v>Lubayat National High School (Formerly Ungos NHS - Lubayat Extension Class)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</row>
        <row r="1749">
          <cell r="C1749">
            <v>308027</v>
          </cell>
          <cell r="D1749" t="str">
            <v>Ananias A. Diamante Integrated National High School (Formerly Dr. Arsenio C. Nicolas NHS - Dominlog Ext.)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2</v>
          </cell>
          <cell r="K1749">
            <v>0</v>
          </cell>
          <cell r="L1749">
            <v>2</v>
          </cell>
        </row>
        <row r="1750">
          <cell r="C1750">
            <v>308028</v>
          </cell>
          <cell r="D1750" t="str">
            <v>Busdak NHS (Formerly Busdak NHS - Patnanungan NHS Annex)</v>
          </cell>
          <cell r="E1750">
            <v>0</v>
          </cell>
          <cell r="F1750">
            <v>0</v>
          </cell>
          <cell r="G1750">
            <v>1</v>
          </cell>
          <cell r="H1750">
            <v>0</v>
          </cell>
          <cell r="I1750">
            <v>0</v>
          </cell>
          <cell r="J1750">
            <v>0</v>
          </cell>
          <cell r="K1750">
            <v>1</v>
          </cell>
          <cell r="L1750">
            <v>0</v>
          </cell>
        </row>
        <row r="1751">
          <cell r="C1751">
            <v>308029</v>
          </cell>
          <cell r="D1751" t="str">
            <v>Bonbon National High School (Formerly Libo NHS-Bonbon Annex)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1</v>
          </cell>
          <cell r="J1751">
            <v>2</v>
          </cell>
          <cell r="K1751">
            <v>0</v>
          </cell>
          <cell r="L1751">
            <v>0</v>
          </cell>
        </row>
        <row r="1752">
          <cell r="C1752">
            <v>308030</v>
          </cell>
          <cell r="D1752" t="str">
            <v>Silangang Malicboy NHS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</row>
        <row r="1753">
          <cell r="C1753">
            <v>308031</v>
          </cell>
          <cell r="D1753" t="str">
            <v>White Cliff NHS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</row>
        <row r="1754">
          <cell r="C1754">
            <v>308032</v>
          </cell>
          <cell r="D1754" t="str">
            <v>Pili NHS (Formerly Lutucan NHS Pili Ext.)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</row>
        <row r="1755">
          <cell r="C1755">
            <v>308034</v>
          </cell>
          <cell r="D1755" t="str">
            <v>Butanguiad NHS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</row>
        <row r="1756">
          <cell r="C1756">
            <v>308036</v>
          </cell>
          <cell r="D1756" t="str">
            <v>Quezon Science High School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</row>
        <row r="1757">
          <cell r="C1757">
            <v>308038</v>
          </cell>
          <cell r="D1757" t="str">
            <v>Cabibihan National High School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</row>
        <row r="1758">
          <cell r="C1758">
            <v>308039</v>
          </cell>
          <cell r="D1758" t="str">
            <v>LUALHATI D. EDAÑO NHS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</row>
        <row r="1759">
          <cell r="C1759">
            <v>308040</v>
          </cell>
          <cell r="D1759" t="str">
            <v>Dr. Panfilo Castro NHS - Masalukot I Annex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</row>
        <row r="1760">
          <cell r="C1760">
            <v>308040</v>
          </cell>
          <cell r="D1760" t="str">
            <v>Dr. Panfilo Castro NHS - Masalukot I Annex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</row>
        <row r="1761">
          <cell r="C1761">
            <v>308041</v>
          </cell>
          <cell r="D1761" t="str">
            <v>Castañas NHS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4</v>
          </cell>
          <cell r="J1761">
            <v>6</v>
          </cell>
          <cell r="K1761">
            <v>4</v>
          </cell>
          <cell r="L1761">
            <v>6</v>
          </cell>
        </row>
        <row r="1762">
          <cell r="C1762">
            <v>308042</v>
          </cell>
          <cell r="D1762" t="str">
            <v>Jongo National High School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</row>
        <row r="1763">
          <cell r="C1763">
            <v>308043</v>
          </cell>
          <cell r="D1763" t="str">
            <v>Bignay National High School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</row>
        <row r="1764">
          <cell r="C1764">
            <v>308044</v>
          </cell>
          <cell r="D1764" t="str">
            <v>Huyon-Uyon National High School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</row>
        <row r="1765">
          <cell r="C1765">
            <v>308045</v>
          </cell>
          <cell r="D1765" t="str">
            <v>MANSILAY NHS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</row>
        <row r="1766">
          <cell r="C1766">
            <v>308048</v>
          </cell>
          <cell r="D1766" t="str">
            <v>Sta. Catalina National High School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</row>
        <row r="1767">
          <cell r="C1767">
            <v>500028</v>
          </cell>
          <cell r="D1767" t="str">
            <v>Binulasan IS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</row>
        <row r="1768">
          <cell r="C1768">
            <v>500444</v>
          </cell>
          <cell r="D1768" t="str">
            <v>Gumaca Integrated School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1</v>
          </cell>
          <cell r="J1768">
            <v>3</v>
          </cell>
          <cell r="K1768">
            <v>0</v>
          </cell>
          <cell r="L1768">
            <v>0</v>
          </cell>
        </row>
        <row r="1769">
          <cell r="C1769">
            <v>301417</v>
          </cell>
          <cell r="D1769" t="str">
            <v>Angono NHS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</row>
        <row r="1770">
          <cell r="C1770">
            <v>301428</v>
          </cell>
          <cell r="D1770" t="str">
            <v>Bagumbong NHS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</row>
        <row r="1771">
          <cell r="C1771">
            <v>301430</v>
          </cell>
          <cell r="D1771" t="str">
            <v>Bayugo NHS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</row>
        <row r="1772">
          <cell r="C1772">
            <v>301433</v>
          </cell>
          <cell r="D1772" t="str">
            <v>Carlos "Botong"  V. Francisco MNHS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</row>
        <row r="1773">
          <cell r="C1773">
            <v>301434</v>
          </cell>
          <cell r="D1773" t="str">
            <v>Catalino D. Salazar NHS-Senior High School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</row>
        <row r="1774">
          <cell r="C1774">
            <v>301435</v>
          </cell>
          <cell r="D1774" t="str">
            <v>Daraetan Integrated School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</row>
        <row r="1775">
          <cell r="C1775">
            <v>301436</v>
          </cell>
          <cell r="D1775" t="str">
            <v>Don Jose M. Ynares,Sr. Memorial National High School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</row>
        <row r="1776">
          <cell r="C1776">
            <v>301445</v>
          </cell>
          <cell r="D1776" t="str">
            <v>Janosa National High School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</row>
        <row r="1777">
          <cell r="C1777">
            <v>301447</v>
          </cell>
          <cell r="D1777" t="str">
            <v>Malaya NHS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</row>
        <row r="1778">
          <cell r="C1778">
            <v>301452</v>
          </cell>
          <cell r="D1778" t="str">
            <v>Morong National High School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</row>
        <row r="1779">
          <cell r="C1779">
            <v>301453</v>
          </cell>
          <cell r="D1779" t="str">
            <v>Pililla NHS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</row>
        <row r="1780">
          <cell r="C1780">
            <v>301454</v>
          </cell>
          <cell r="D1780" t="str">
            <v>Quisao NHS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</row>
        <row r="1781">
          <cell r="C1781">
            <v>301455</v>
          </cell>
          <cell r="D1781" t="str">
            <v>Rizal National Science HS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12</v>
          </cell>
          <cell r="J1781">
            <v>10</v>
          </cell>
          <cell r="K1781">
            <v>12</v>
          </cell>
          <cell r="L1781">
            <v>10</v>
          </cell>
        </row>
        <row r="1782">
          <cell r="C1782">
            <v>301456</v>
          </cell>
          <cell r="D1782" t="str">
            <v>Sampaloc NHS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</row>
        <row r="1783">
          <cell r="C1783">
            <v>301459</v>
          </cell>
          <cell r="D1783" t="str">
            <v>Pintong Bukawe National High School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</row>
        <row r="1784">
          <cell r="C1784">
            <v>301462</v>
          </cell>
          <cell r="D1784" t="str">
            <v>Silangan National High School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</row>
        <row r="1785">
          <cell r="C1785">
            <v>301463</v>
          </cell>
          <cell r="D1785" t="str">
            <v>Talim Point NHS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</row>
        <row r="1786">
          <cell r="C1786">
            <v>301467</v>
          </cell>
          <cell r="D1786" t="str">
            <v>Teresa National High School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8</v>
          </cell>
          <cell r="J1786">
            <v>14</v>
          </cell>
          <cell r="K1786">
            <v>7</v>
          </cell>
          <cell r="L1786">
            <v>12</v>
          </cell>
        </row>
        <row r="1787">
          <cell r="C1787">
            <v>301468</v>
          </cell>
          <cell r="D1787" t="str">
            <v>Tuna-Balibago NHS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</row>
        <row r="1788">
          <cell r="C1788">
            <v>301469</v>
          </cell>
          <cell r="D1788" t="str">
            <v>Vicente Madrigal NHS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16</v>
          </cell>
          <cell r="J1788">
            <v>49</v>
          </cell>
          <cell r="K1788">
            <v>0</v>
          </cell>
          <cell r="L1788">
            <v>0</v>
          </cell>
        </row>
        <row r="1789">
          <cell r="C1789">
            <v>305538</v>
          </cell>
          <cell r="D1789" t="str">
            <v>Cardona Senior High School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</row>
        <row r="1790">
          <cell r="C1790">
            <v>308103</v>
          </cell>
          <cell r="D1790" t="str">
            <v>Abuyod NHS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</row>
        <row r="1791">
          <cell r="C1791">
            <v>308104</v>
          </cell>
          <cell r="D1791" t="str">
            <v>Margarito A. Duavit MNHS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</row>
        <row r="1792">
          <cell r="C1792">
            <v>308108</v>
          </cell>
          <cell r="D1792" t="str">
            <v>Antonio C. Esguerra Mem. NHS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</row>
        <row r="1793">
          <cell r="C1793">
            <v>308113</v>
          </cell>
          <cell r="D1793" t="str">
            <v>Regional Lead School for the Arts in Angono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</row>
        <row r="1794">
          <cell r="C1794">
            <v>308115</v>
          </cell>
          <cell r="D1794" t="str">
            <v>San Guillermo NHS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</row>
        <row r="1795">
          <cell r="C1795">
            <v>308120</v>
          </cell>
          <cell r="D1795" t="str">
            <v>Jalajala NHS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2</v>
          </cell>
          <cell r="J1795">
            <v>5</v>
          </cell>
          <cell r="K1795">
            <v>2</v>
          </cell>
          <cell r="L1795">
            <v>5</v>
          </cell>
        </row>
        <row r="1796">
          <cell r="C1796">
            <v>308121</v>
          </cell>
          <cell r="D1796" t="str">
            <v>Hulo National High School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2</v>
          </cell>
          <cell r="J1796">
            <v>1</v>
          </cell>
          <cell r="K1796">
            <v>2</v>
          </cell>
          <cell r="L1796">
            <v>1</v>
          </cell>
        </row>
        <row r="1797">
          <cell r="C1797">
            <v>308123</v>
          </cell>
          <cell r="D1797" t="str">
            <v>Pantay NHS (Teresa NHS - Pantay Annex)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</row>
        <row r="1798">
          <cell r="C1798">
            <v>308124</v>
          </cell>
          <cell r="D1798" t="str">
            <v>Baras-Pinugay NHS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</row>
        <row r="1799">
          <cell r="C1799">
            <v>308128</v>
          </cell>
          <cell r="D1799" t="str">
            <v>TANAY EAST NATIONAL HIGH SCHOOL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1</v>
          </cell>
          <cell r="J1799">
            <v>2</v>
          </cell>
          <cell r="K1799">
            <v>0</v>
          </cell>
          <cell r="L1799">
            <v>2</v>
          </cell>
        </row>
        <row r="1800">
          <cell r="C1800">
            <v>308131</v>
          </cell>
          <cell r="D1800" t="str">
            <v>Dr. Vivencio B. Villamayor NHS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</row>
        <row r="1801">
          <cell r="C1801">
            <v>308132</v>
          </cell>
          <cell r="D1801" t="str">
            <v>Bugarin NHS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</row>
        <row r="1802">
          <cell r="C1802">
            <v>308133</v>
          </cell>
          <cell r="D1802" t="str">
            <v>Laiban National High School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</row>
        <row r="1803">
          <cell r="C1803">
            <v>308138</v>
          </cell>
          <cell r="D1803" t="str">
            <v>Tanay West NHS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</row>
        <row r="1804">
          <cell r="C1804">
            <v>342562</v>
          </cell>
          <cell r="D1804" t="str">
            <v>Kasiglahan Village Senior High School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</row>
        <row r="1805">
          <cell r="C1805">
            <v>342563</v>
          </cell>
          <cell r="D1805" t="str">
            <v>San Mateo SHS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5</v>
          </cell>
          <cell r="J1805">
            <v>24</v>
          </cell>
          <cell r="K1805">
            <v>5</v>
          </cell>
          <cell r="L1805">
            <v>18</v>
          </cell>
        </row>
        <row r="1806">
          <cell r="C1806">
            <v>342564</v>
          </cell>
          <cell r="D1806" t="str">
            <v>Cainta Senior High School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16</v>
          </cell>
          <cell r="J1806">
            <v>17</v>
          </cell>
          <cell r="K1806">
            <v>2</v>
          </cell>
          <cell r="L1806">
            <v>2</v>
          </cell>
        </row>
        <row r="1807">
          <cell r="C1807">
            <v>342565</v>
          </cell>
          <cell r="D1807" t="str">
            <v>Tanay Senior High School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</row>
        <row r="1808">
          <cell r="C1808">
            <v>342566</v>
          </cell>
          <cell r="D1808" t="str">
            <v>Stand alone SHS 5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</row>
        <row r="1809">
          <cell r="C1809">
            <v>342567</v>
          </cell>
          <cell r="D1809" t="str">
            <v>Southville 8B Senior High School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7</v>
          </cell>
          <cell r="J1809">
            <v>3</v>
          </cell>
          <cell r="K1809">
            <v>0</v>
          </cell>
          <cell r="L1809">
            <v>0</v>
          </cell>
        </row>
        <row r="1810">
          <cell r="C1810">
            <v>342568</v>
          </cell>
          <cell r="D1810" t="str">
            <v>Baras Senior High School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5</v>
          </cell>
          <cell r="J1810">
            <v>3</v>
          </cell>
          <cell r="K1810">
            <v>5</v>
          </cell>
          <cell r="L1810">
            <v>3</v>
          </cell>
        </row>
        <row r="1811">
          <cell r="C1811">
            <v>342569</v>
          </cell>
          <cell r="D1811" t="str">
            <v>Taytay Senior High School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</row>
        <row r="1812">
          <cell r="C1812">
            <v>342570</v>
          </cell>
          <cell r="D1812" t="str">
            <v>San Isidro Senior High School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</row>
        <row r="1813">
          <cell r="C1813">
            <v>342571</v>
          </cell>
          <cell r="D1813" t="str">
            <v>Rizal Sports Academy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</row>
        <row r="1814">
          <cell r="C1814">
            <v>501149</v>
          </cell>
          <cell r="D1814" t="str">
            <v>Sto. Niño Integrated School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</row>
        <row r="1815">
          <cell r="C1815">
            <v>301470</v>
          </cell>
          <cell r="D1815" t="str">
            <v>Balete Integrated School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</row>
        <row r="1816">
          <cell r="C1816">
            <v>301471</v>
          </cell>
          <cell r="D1816" t="str">
            <v>Banaba West Integrated School</v>
          </cell>
          <cell r="E1816">
            <v>0</v>
          </cell>
          <cell r="F1816">
            <v>4</v>
          </cell>
          <cell r="G1816">
            <v>0</v>
          </cell>
          <cell r="H1816">
            <v>0</v>
          </cell>
          <cell r="I1816">
            <v>0</v>
          </cell>
          <cell r="J1816">
            <v>4</v>
          </cell>
          <cell r="K1816">
            <v>0</v>
          </cell>
          <cell r="L1816">
            <v>0</v>
          </cell>
        </row>
        <row r="1817">
          <cell r="C1817">
            <v>301473</v>
          </cell>
          <cell r="D1817" t="str">
            <v>Conde Labac Integrated School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</row>
        <row r="1818">
          <cell r="C1818">
            <v>301474</v>
          </cell>
          <cell r="D1818" t="str">
            <v>Paharang Integrated School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</row>
        <row r="1819">
          <cell r="C1819">
            <v>301475</v>
          </cell>
          <cell r="D1819" t="str">
            <v>Pedro S. Tolentino MNHS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4</v>
          </cell>
          <cell r="J1819">
            <v>4</v>
          </cell>
          <cell r="K1819">
            <v>4</v>
          </cell>
          <cell r="L1819">
            <v>4</v>
          </cell>
        </row>
        <row r="1820">
          <cell r="C1820">
            <v>301476</v>
          </cell>
          <cell r="D1820" t="str">
            <v>Pinamukan Integrated School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</row>
        <row r="1821">
          <cell r="C1821">
            <v>301477</v>
          </cell>
          <cell r="D1821" t="str">
            <v>San Agapito NHS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</row>
        <row r="1822">
          <cell r="C1822">
            <v>301479</v>
          </cell>
          <cell r="D1822" t="str">
            <v>San Agustin Integrated School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2</v>
          </cell>
          <cell r="J1822">
            <v>4</v>
          </cell>
          <cell r="K1822">
            <v>0</v>
          </cell>
          <cell r="L1822">
            <v>0</v>
          </cell>
        </row>
        <row r="1823">
          <cell r="C1823">
            <v>301481</v>
          </cell>
          <cell r="D1823" t="str">
            <v>Tabangao Integrated School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3</v>
          </cell>
          <cell r="J1823">
            <v>7</v>
          </cell>
          <cell r="K1823">
            <v>0</v>
          </cell>
          <cell r="L1823">
            <v>0</v>
          </cell>
        </row>
        <row r="1824">
          <cell r="C1824">
            <v>301483</v>
          </cell>
          <cell r="D1824" t="str">
            <v>Talumpok Integrated School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</row>
        <row r="1825">
          <cell r="C1825">
            <v>305553</v>
          </cell>
          <cell r="D1825" t="str">
            <v>PHILIPPINE SCIENCE HIGH SCHOOL-CALABARZON Region Campus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</row>
        <row r="1826">
          <cell r="C1826">
            <v>305621</v>
          </cell>
          <cell r="D1826" t="str">
            <v>Mahabang Dahilig Senior High School - Stand Alone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</row>
        <row r="1827">
          <cell r="C1827">
            <v>308201</v>
          </cell>
          <cell r="D1827" t="str">
            <v>Natalia V. Ramos Memorial Integrated School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5</v>
          </cell>
          <cell r="J1827">
            <v>5</v>
          </cell>
          <cell r="K1827">
            <v>0</v>
          </cell>
          <cell r="L1827">
            <v>0</v>
          </cell>
        </row>
        <row r="1828">
          <cell r="C1828">
            <v>308202</v>
          </cell>
          <cell r="D1828" t="str">
            <v>Tinga Sorosoro  Integrated School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</row>
        <row r="1829">
          <cell r="C1829">
            <v>342234</v>
          </cell>
          <cell r="D1829" t="str">
            <v>Gulod Senior High School</v>
          </cell>
          <cell r="E1829">
            <v>0</v>
          </cell>
          <cell r="F1829">
            <v>2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1</v>
          </cell>
          <cell r="L1829">
            <v>1</v>
          </cell>
        </row>
        <row r="1830">
          <cell r="C1830">
            <v>342235</v>
          </cell>
          <cell r="D1830" t="str">
            <v>Alangilan Senior High School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18</v>
          </cell>
          <cell r="J1830">
            <v>20</v>
          </cell>
          <cell r="K1830">
            <v>16</v>
          </cell>
          <cell r="L1830">
            <v>20</v>
          </cell>
        </row>
        <row r="1831">
          <cell r="C1831">
            <v>301484</v>
          </cell>
          <cell r="D1831" t="str">
            <v>Cavite National High School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</row>
        <row r="1832">
          <cell r="C1832">
            <v>301485</v>
          </cell>
          <cell r="D1832" t="str">
            <v>Sangley Point NHS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</row>
        <row r="1833">
          <cell r="C1833">
            <v>301487</v>
          </cell>
          <cell r="D1833" t="str">
            <v>BOLBOK INTEGRATED NATIONAL HIGH SCHOOL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</row>
        <row r="1834">
          <cell r="C1834">
            <v>301488</v>
          </cell>
          <cell r="D1834" t="str">
            <v>Bugtongnapulo Integrated National High School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</row>
        <row r="1835">
          <cell r="C1835">
            <v>301489</v>
          </cell>
          <cell r="D1835" t="str">
            <v>Bulacnin Integrated NHS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</row>
        <row r="1836">
          <cell r="C1836">
            <v>301490</v>
          </cell>
          <cell r="D1836" t="str">
            <v>Fernando Air Base Integrated National High School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5</v>
          </cell>
          <cell r="J1836">
            <v>12</v>
          </cell>
          <cell r="K1836">
            <v>0</v>
          </cell>
          <cell r="L1836">
            <v>0</v>
          </cell>
        </row>
        <row r="1837">
          <cell r="C1837">
            <v>301491</v>
          </cell>
          <cell r="D1837" t="str">
            <v>Inosloban-Marawoy Integrated National High School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</row>
        <row r="1838">
          <cell r="C1838">
            <v>301492</v>
          </cell>
          <cell r="D1838" t="str">
            <v>Lipa City Science Integrated National High School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</row>
        <row r="1839">
          <cell r="C1839">
            <v>301494</v>
          </cell>
          <cell r="D1839" t="str">
            <v>Lodlod Integrated National High School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</row>
        <row r="1840">
          <cell r="C1840">
            <v>301495</v>
          </cell>
          <cell r="D1840" t="str">
            <v>Lumbang Integrated NHS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</row>
        <row r="1841">
          <cell r="C1841">
            <v>301496</v>
          </cell>
          <cell r="D1841" t="str">
            <v>Pinagkawitan Integrated National Hgh School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5</v>
          </cell>
          <cell r="J1841">
            <v>9</v>
          </cell>
          <cell r="K1841">
            <v>0</v>
          </cell>
          <cell r="L1841">
            <v>0</v>
          </cell>
        </row>
        <row r="1842">
          <cell r="C1842">
            <v>301497</v>
          </cell>
          <cell r="D1842" t="str">
            <v>Pinagtongulan Integrated National High School</v>
          </cell>
          <cell r="E1842">
            <v>0</v>
          </cell>
          <cell r="F1842">
            <v>0</v>
          </cell>
          <cell r="G1842">
            <v>0</v>
          </cell>
          <cell r="H1842">
            <v>15</v>
          </cell>
          <cell r="I1842">
            <v>3</v>
          </cell>
          <cell r="J1842">
            <v>12</v>
          </cell>
          <cell r="K1842">
            <v>0</v>
          </cell>
          <cell r="L1842">
            <v>0</v>
          </cell>
        </row>
        <row r="1843">
          <cell r="C1843">
            <v>301499</v>
          </cell>
          <cell r="D1843" t="str">
            <v>San Celestino Integrated National High School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</row>
        <row r="1844">
          <cell r="C1844">
            <v>301500</v>
          </cell>
          <cell r="D1844" t="str">
            <v>San Isidro Integrated National High School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</row>
        <row r="1845">
          <cell r="C1845">
            <v>303491</v>
          </cell>
          <cell r="D1845" t="str">
            <v>Lipa City Senior High School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8</v>
          </cell>
          <cell r="L1845">
            <v>16</v>
          </cell>
        </row>
        <row r="1846">
          <cell r="C1846">
            <v>342613</v>
          </cell>
          <cell r="D1846" t="str">
            <v>Lipa City Sports Academy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</row>
        <row r="1847">
          <cell r="C1847">
            <v>301501</v>
          </cell>
          <cell r="D1847" t="str">
            <v>Lucena City National High School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10</v>
          </cell>
          <cell r="J1847">
            <v>15</v>
          </cell>
          <cell r="K1847">
            <v>0</v>
          </cell>
          <cell r="L1847">
            <v>0</v>
          </cell>
        </row>
        <row r="1848">
          <cell r="C1848">
            <v>308501</v>
          </cell>
          <cell r="D1848" t="str">
            <v>Lucena Dalahican National High School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</row>
        <row r="1849">
          <cell r="C1849">
            <v>308502</v>
          </cell>
          <cell r="D1849" t="str">
            <v>Cotta National High School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</row>
        <row r="1850">
          <cell r="C1850">
            <v>308503</v>
          </cell>
          <cell r="D1850" t="str">
            <v>Gulang-gulang National High School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8</v>
          </cell>
          <cell r="J1850">
            <v>1</v>
          </cell>
          <cell r="K1850">
            <v>1</v>
          </cell>
          <cell r="L1850">
            <v>0</v>
          </cell>
        </row>
        <row r="1851">
          <cell r="C1851">
            <v>308504</v>
          </cell>
          <cell r="D1851" t="str">
            <v>Ibabang Talim Integrated High School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</row>
        <row r="1852">
          <cell r="C1852">
            <v>308505</v>
          </cell>
          <cell r="D1852" t="str">
            <v>Lucena City National High School -Mayao Parada Extension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</row>
        <row r="1853">
          <cell r="C1853">
            <v>301503</v>
          </cell>
          <cell r="D1853" t="str">
            <v>San Cristobal Integrated High School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</row>
        <row r="1854">
          <cell r="C1854">
            <v>301504</v>
          </cell>
          <cell r="D1854" t="str">
            <v>San Pablo City Integrated High School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</row>
        <row r="1855">
          <cell r="C1855">
            <v>301505</v>
          </cell>
          <cell r="D1855" t="str">
            <v>Col. Lauro D. Dizon Memorial Integrated High School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</row>
        <row r="1856">
          <cell r="C1856">
            <v>301508</v>
          </cell>
          <cell r="D1856" t="str">
            <v>San Bartolome Integrated High School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</row>
        <row r="1857">
          <cell r="C1857">
            <v>301509</v>
          </cell>
          <cell r="D1857" t="str">
            <v>Santisimo Rosario Integrated High School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</row>
        <row r="1858">
          <cell r="C1858">
            <v>305684</v>
          </cell>
          <cell r="D1858" t="str">
            <v>Felix Amante Senior High School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</row>
        <row r="1859">
          <cell r="C1859">
            <v>308601</v>
          </cell>
          <cell r="D1859" t="str">
            <v>San Vicente Integrated High School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</row>
        <row r="1860">
          <cell r="C1860">
            <v>308605</v>
          </cell>
          <cell r="D1860" t="str">
            <v>San Pablo City Science Integrated High School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</row>
        <row r="1861">
          <cell r="C1861">
            <v>342575</v>
          </cell>
          <cell r="D1861" t="str">
            <v>Crecencia Drucila Lopez Senior High School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8</v>
          </cell>
          <cell r="J1861">
            <v>16</v>
          </cell>
          <cell r="K1861">
            <v>3</v>
          </cell>
          <cell r="L1861">
            <v>0</v>
          </cell>
        </row>
        <row r="1862">
          <cell r="C1862">
            <v>301511</v>
          </cell>
          <cell r="D1862" t="str">
            <v>Bubuyan Integrated School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</row>
        <row r="1863">
          <cell r="C1863">
            <v>301512</v>
          </cell>
          <cell r="D1863" t="str">
            <v>Bunggo Integrated School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</row>
        <row r="1864">
          <cell r="C1864">
            <v>301514</v>
          </cell>
          <cell r="D1864" t="str">
            <v>Calamba Bayside  Integrated  School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</row>
        <row r="1865">
          <cell r="C1865">
            <v>301515</v>
          </cell>
          <cell r="D1865" t="str">
            <v>Calamba Integrated School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</row>
        <row r="1866">
          <cell r="C1866">
            <v>301516</v>
          </cell>
          <cell r="D1866" t="str">
            <v>Camp Vicente Lim Integrated School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</row>
        <row r="1867">
          <cell r="C1867">
            <v>301517</v>
          </cell>
          <cell r="D1867" t="str">
            <v>Canlubang Integrated School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</row>
        <row r="1868">
          <cell r="C1868">
            <v>301519</v>
          </cell>
          <cell r="D1868" t="str">
            <v>Looc  Integrated School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</row>
        <row r="1869">
          <cell r="C1869">
            <v>301521</v>
          </cell>
          <cell r="D1869" t="str">
            <v>Kapayapaan Integrated School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</row>
        <row r="1870">
          <cell r="C1870">
            <v>301522</v>
          </cell>
          <cell r="D1870" t="str">
            <v>Majada In Integrated School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</row>
        <row r="1871">
          <cell r="C1871">
            <v>301523</v>
          </cell>
          <cell r="D1871" t="str">
            <v>Makiling Integrated School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</row>
        <row r="1872">
          <cell r="C1872">
            <v>301524</v>
          </cell>
          <cell r="D1872" t="str">
            <v>Palo Alto Integrated School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</row>
        <row r="1873">
          <cell r="C1873">
            <v>301525</v>
          </cell>
          <cell r="D1873" t="str">
            <v>Punta Integrated School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</row>
        <row r="1874">
          <cell r="C1874">
            <v>305561</v>
          </cell>
          <cell r="D1874" t="str">
            <v>Calamba City School for the Arts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</row>
        <row r="1875">
          <cell r="C1875">
            <v>308701</v>
          </cell>
          <cell r="D1875" t="str">
            <v>Integrated School of Lawa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</row>
        <row r="1876">
          <cell r="C1876">
            <v>308704</v>
          </cell>
          <cell r="D1876" t="str">
            <v>Calamba City Science High School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</row>
        <row r="1877">
          <cell r="C1877">
            <v>342253</v>
          </cell>
          <cell r="D1877" t="str">
            <v>Calamba City Senior High School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</row>
        <row r="1878">
          <cell r="C1878">
            <v>301421</v>
          </cell>
          <cell r="D1878" t="str">
            <v>Kaysakat NHS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</row>
        <row r="1879">
          <cell r="C1879">
            <v>301422</v>
          </cell>
          <cell r="D1879" t="str">
            <v>Mayamot NHS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</row>
        <row r="1880">
          <cell r="C1880">
            <v>301423</v>
          </cell>
          <cell r="D1880" t="str">
            <v>Muntindilaw NHS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</row>
        <row r="1881">
          <cell r="C1881">
            <v>301425</v>
          </cell>
          <cell r="D1881" t="str">
            <v>San Roque NHS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</row>
        <row r="1882">
          <cell r="C1882">
            <v>301426</v>
          </cell>
          <cell r="D1882" t="str">
            <v>San Isidro NHS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</row>
        <row r="1883">
          <cell r="C1883">
            <v>301427</v>
          </cell>
          <cell r="D1883" t="str">
            <v>San Juan NHS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4</v>
          </cell>
          <cell r="J1883">
            <v>5</v>
          </cell>
          <cell r="K1883">
            <v>0</v>
          </cell>
          <cell r="L1883">
            <v>0</v>
          </cell>
        </row>
        <row r="1884">
          <cell r="C1884">
            <v>301431</v>
          </cell>
          <cell r="D1884" t="str">
            <v>Calawis NHS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</row>
        <row r="1885">
          <cell r="C1885">
            <v>301450</v>
          </cell>
          <cell r="D1885" t="str">
            <v>Maximo L. Gatlabayan Memorial NHS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</row>
        <row r="1886">
          <cell r="C1886">
            <v>301457</v>
          </cell>
          <cell r="D1886" t="str">
            <v>San Jose NHS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</row>
        <row r="1887">
          <cell r="C1887">
            <v>308101</v>
          </cell>
          <cell r="D1887" t="str">
            <v>Old Boso-boso NHS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</row>
        <row r="1888">
          <cell r="C1888">
            <v>321501</v>
          </cell>
          <cell r="D1888" t="str">
            <v>Marcelino M. Santos NHS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</row>
        <row r="1889">
          <cell r="C1889">
            <v>321502</v>
          </cell>
          <cell r="D1889" t="str">
            <v>Canumay NHS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</row>
        <row r="1890">
          <cell r="C1890">
            <v>321504</v>
          </cell>
          <cell r="D1890" t="str">
            <v>Rizza NHS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</row>
        <row r="1891">
          <cell r="C1891">
            <v>321505</v>
          </cell>
          <cell r="D1891" t="str">
            <v>Dela Paz NHS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</row>
        <row r="1892">
          <cell r="C1892">
            <v>321506</v>
          </cell>
          <cell r="D1892" t="str">
            <v>Dalig NHS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</row>
        <row r="1893">
          <cell r="C1893">
            <v>321507</v>
          </cell>
          <cell r="D1893" t="str">
            <v>Antipolo City National Science and Technology HS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</row>
        <row r="1894">
          <cell r="C1894">
            <v>342175</v>
          </cell>
          <cell r="D1894" t="str">
            <v>Antipolo City SHS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</row>
        <row r="1895">
          <cell r="C1895">
            <v>301133</v>
          </cell>
          <cell r="D1895" t="str">
            <v>Pantay Integrated HS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</row>
        <row r="1896">
          <cell r="C1896">
            <v>301154</v>
          </cell>
          <cell r="D1896" t="str">
            <v>Tanauan School of Fisheries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</row>
        <row r="1897">
          <cell r="C1897">
            <v>321601</v>
          </cell>
          <cell r="D1897" t="str">
            <v>Tanauan City Integrated High School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</row>
        <row r="1898">
          <cell r="C1898">
            <v>321602</v>
          </cell>
          <cell r="D1898" t="str">
            <v>Balele Integrated High School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</row>
        <row r="1899">
          <cell r="C1899">
            <v>301224</v>
          </cell>
          <cell r="D1899" t="str">
            <v>Aplaya NHS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</row>
        <row r="1900">
          <cell r="C1900">
            <v>301227</v>
          </cell>
          <cell r="D1900" t="str">
            <v>Balibago National High School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</row>
        <row r="1901">
          <cell r="C1901">
            <v>301239</v>
          </cell>
          <cell r="D1901" t="str">
            <v>Don Jose National High School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1</v>
          </cell>
          <cell r="J1901">
            <v>11</v>
          </cell>
          <cell r="K1901">
            <v>0</v>
          </cell>
          <cell r="L1901">
            <v>0</v>
          </cell>
        </row>
        <row r="1902">
          <cell r="C1902">
            <v>301272</v>
          </cell>
          <cell r="D1902" t="str">
            <v>Sto. Domingo Integrated School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</row>
        <row r="1903">
          <cell r="C1903">
            <v>307902</v>
          </cell>
          <cell r="D1903" t="str">
            <v>Santa Rosa Science and Technology High School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</row>
        <row r="1904">
          <cell r="C1904">
            <v>342596</v>
          </cell>
          <cell r="D1904" t="str">
            <v>LABAS SENIOR HIGH SCHOOL STAND ALONE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</row>
        <row r="1905">
          <cell r="C1905">
            <v>342597</v>
          </cell>
          <cell r="D1905" t="str">
            <v>Sinalhan Integrated High School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</row>
        <row r="1906">
          <cell r="C1906">
            <v>301347</v>
          </cell>
          <cell r="D1906" t="str">
            <v>Luis Palad Integrated High School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</row>
        <row r="1907">
          <cell r="C1907">
            <v>301416</v>
          </cell>
          <cell r="D1907" t="str">
            <v>West Palale National High School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</row>
        <row r="1908">
          <cell r="C1908">
            <v>342576</v>
          </cell>
          <cell r="D1908" t="str">
            <v>Tayabas City Division Stand Alone SHS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</row>
        <row r="1909">
          <cell r="C1909">
            <v>342598</v>
          </cell>
          <cell r="D1909" t="str">
            <v>Senior High School-Dulong Bayan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</row>
        <row r="1910">
          <cell r="C1910">
            <v>342599</v>
          </cell>
          <cell r="D1910" t="str">
            <v>SHS in Progressive, Bacoor City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</row>
        <row r="1911">
          <cell r="C1911">
            <v>342600</v>
          </cell>
          <cell r="D1911" t="str">
            <v>SHS in San Nicholas III, Bacoor City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1</v>
          </cell>
          <cell r="L1911">
            <v>0</v>
          </cell>
        </row>
        <row r="1912">
          <cell r="C1912">
            <v>342601</v>
          </cell>
          <cell r="D1912" t="str">
            <v>SHS within Sinenguelasan Elementary School</v>
          </cell>
          <cell r="E1912">
            <v>0</v>
          </cell>
          <cell r="F1912">
            <v>0</v>
          </cell>
          <cell r="G1912">
            <v>0</v>
          </cell>
          <cell r="H1912">
            <v>0</v>
          </cell>
          <cell r="I1912">
            <v>3</v>
          </cell>
          <cell r="J1912">
            <v>7</v>
          </cell>
          <cell r="K1912">
            <v>0</v>
          </cell>
          <cell r="L1912">
            <v>0</v>
          </cell>
        </row>
        <row r="1913">
          <cell r="C1913">
            <v>342602</v>
          </cell>
          <cell r="D1913" t="str">
            <v>SHS within Bacoor Elementary School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5</v>
          </cell>
          <cell r="J1913">
            <v>6</v>
          </cell>
          <cell r="K1913">
            <v>5</v>
          </cell>
          <cell r="L1913">
            <v>6</v>
          </cell>
        </row>
        <row r="1914">
          <cell r="C1914">
            <v>342587</v>
          </cell>
          <cell r="D1914" t="str">
            <v>GOV. JUANITO REYES REMULLA SHS (SHS in Toclong)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</row>
        <row r="1915">
          <cell r="C1915">
            <v>342588</v>
          </cell>
          <cell r="D1915" t="str">
            <v>GEN. FLAVIANO YENGKO SHS (SHS in Pasong Buaya)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</row>
        <row r="1916">
          <cell r="C1916">
            <v>342589</v>
          </cell>
          <cell r="D1916" t="str">
            <v>GEN. PANTALEON GARCIA SHS (SHS in Pedro Reyes)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</row>
        <row r="1917">
          <cell r="C1917">
            <v>342590</v>
          </cell>
          <cell r="D1917" t="str">
            <v>GEN. JUAN CASTAÑEDA SHS (SHS in Anabu)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</row>
        <row r="1918">
          <cell r="C1918">
            <v>301230</v>
          </cell>
          <cell r="D1918" t="str">
            <v>BiÃ±an National High School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</row>
        <row r="1919">
          <cell r="C1919">
            <v>307931</v>
          </cell>
          <cell r="D1919" t="str">
            <v>Saint Francis NHS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</row>
        <row r="1920">
          <cell r="C1920">
            <v>307934</v>
          </cell>
          <cell r="D1920" t="str">
            <v>SOUTHVILLE 5-A NATIONAL HIGH SCHOOL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</row>
        <row r="1921">
          <cell r="C1921">
            <v>342240</v>
          </cell>
          <cell r="D1921" t="str">
            <v>Stand Alone 2 (AFP-PNP)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</row>
        <row r="1922">
          <cell r="C1922">
            <v>342241</v>
          </cell>
          <cell r="D1922" t="str">
            <v>Stand Alone 3 (BSC)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C1923">
            <v>342242</v>
          </cell>
          <cell r="D1923" t="str">
            <v>Biñan City Senior High School-San Antonio Campus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</row>
        <row r="1924">
          <cell r="C1924">
            <v>301229</v>
          </cell>
          <cell r="D1924" t="str">
            <v>Bigaa Integrated National High School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</row>
        <row r="1925">
          <cell r="C1925">
            <v>301234</v>
          </cell>
          <cell r="D1925" t="str">
            <v>Cabuyao NHS</v>
          </cell>
          <cell r="E1925">
            <v>0</v>
          </cell>
          <cell r="F1925">
            <v>1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</row>
        <row r="1926">
          <cell r="C1926">
            <v>301235</v>
          </cell>
          <cell r="D1926" t="str">
            <v>Casile Integrated National High School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</row>
        <row r="1927">
          <cell r="C1927">
            <v>307923</v>
          </cell>
          <cell r="D1927" t="str">
            <v>Southville I Integrated National High School</v>
          </cell>
          <cell r="E1927">
            <v>0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</row>
        <row r="1928">
          <cell r="C1928">
            <v>342354</v>
          </cell>
          <cell r="D1928" t="str">
            <v>Stand Alone SHS No. 12 Pulo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</row>
        <row r="1929">
          <cell r="C1929">
            <v>342355</v>
          </cell>
          <cell r="D1929" t="str">
            <v>Mamatid Senior High School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C1930">
            <v>342285</v>
          </cell>
          <cell r="D1930" t="str">
            <v>Luis Y. Ferrer Jr. Senior High School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</row>
        <row r="1931">
          <cell r="C1931">
            <v>301530</v>
          </cell>
          <cell r="D1931" t="str">
            <v>Balanacan NHS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</row>
        <row r="1932">
          <cell r="C1932">
            <v>301531</v>
          </cell>
          <cell r="D1932" t="str">
            <v>Bangbang National High School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</row>
        <row r="1933">
          <cell r="C1933">
            <v>301532</v>
          </cell>
          <cell r="D1933" t="str">
            <v>Bognuyan NHS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1</v>
          </cell>
          <cell r="J1933">
            <v>8</v>
          </cell>
          <cell r="K1933">
            <v>0</v>
          </cell>
          <cell r="L1933">
            <v>0</v>
          </cell>
        </row>
        <row r="1934">
          <cell r="C1934">
            <v>301533</v>
          </cell>
          <cell r="D1934" t="str">
            <v>Bonliw National High School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</row>
        <row r="1935">
          <cell r="C1935">
            <v>301534</v>
          </cell>
          <cell r="D1935" t="str">
            <v>Botilao NHS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</row>
        <row r="1936">
          <cell r="C1936">
            <v>301535</v>
          </cell>
          <cell r="D1936" t="str">
            <v>Buenavista NHS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C1937">
            <v>301536</v>
          </cell>
          <cell r="D1937" t="str">
            <v>Buenavista NHS - Bagacay Annex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</row>
        <row r="1938">
          <cell r="C1938">
            <v>301538</v>
          </cell>
          <cell r="D1938" t="str">
            <v>Buenavista NHS - Lipata-Tungib Annex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</row>
        <row r="1939">
          <cell r="C1939">
            <v>301541</v>
          </cell>
          <cell r="D1939" t="str">
            <v>Cawit National Comprehensive High School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</row>
        <row r="1940">
          <cell r="C1940">
            <v>301542</v>
          </cell>
          <cell r="D1940" t="str">
            <v>Dolores NHS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</row>
        <row r="1941">
          <cell r="C1941">
            <v>301543</v>
          </cell>
          <cell r="D1941" t="str">
            <v>Hupi National High School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</row>
        <row r="1942">
          <cell r="C1942">
            <v>301544</v>
          </cell>
          <cell r="D1942" t="str">
            <v>Ilaya NHS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</row>
        <row r="1943">
          <cell r="C1943">
            <v>301545</v>
          </cell>
          <cell r="D1943" t="str">
            <v>Ipil National High School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</row>
        <row r="1944">
          <cell r="C1944">
            <v>301547</v>
          </cell>
          <cell r="D1944" t="str">
            <v>Kilo-Kilo National High School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</row>
        <row r="1945">
          <cell r="C1945">
            <v>301548</v>
          </cell>
          <cell r="D1945" t="str">
            <v>Landy National High School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</row>
        <row r="1946">
          <cell r="C1946">
            <v>301549</v>
          </cell>
          <cell r="D1946" t="str">
            <v>Makapuyat NHS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</row>
        <row r="1947">
          <cell r="C1947">
            <v>301550</v>
          </cell>
          <cell r="D1947" t="str">
            <v>Makapuyat NHS - Masaguisi Annex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1</v>
          </cell>
          <cell r="J1947">
            <v>3</v>
          </cell>
          <cell r="K1947">
            <v>1</v>
          </cell>
          <cell r="L1947">
            <v>3</v>
          </cell>
        </row>
        <row r="1948">
          <cell r="C1948">
            <v>301551</v>
          </cell>
          <cell r="D1948" t="str">
            <v>Malibago National High School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</row>
        <row r="1949">
          <cell r="C1949">
            <v>301552</v>
          </cell>
          <cell r="D1949" t="str">
            <v>Maniwaya National High School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</row>
        <row r="1950">
          <cell r="C1950">
            <v>301553</v>
          </cell>
          <cell r="D1950" t="str">
            <v>Maranlig National High School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2</v>
          </cell>
          <cell r="J1950">
            <v>4</v>
          </cell>
          <cell r="K1950">
            <v>2</v>
          </cell>
          <cell r="L1950">
            <v>5</v>
          </cell>
        </row>
        <row r="1951">
          <cell r="C1951">
            <v>301554</v>
          </cell>
          <cell r="D1951" t="str">
            <v>Marinduque NHS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</row>
        <row r="1952">
          <cell r="C1952">
            <v>301555</v>
          </cell>
          <cell r="D1952" t="str">
            <v>Matalaba NHS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4</v>
          </cell>
          <cell r="J1952">
            <v>6</v>
          </cell>
          <cell r="K1952">
            <v>4</v>
          </cell>
          <cell r="L1952">
            <v>6</v>
          </cell>
        </row>
        <row r="1953">
          <cell r="C1953">
            <v>301556</v>
          </cell>
          <cell r="D1953" t="str">
            <v>Matuyatuya National High School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</row>
        <row r="1954">
          <cell r="C1954">
            <v>301557</v>
          </cell>
          <cell r="D1954" t="str">
            <v>Mogpog National Comprehensive High School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</row>
        <row r="1955">
          <cell r="C1955">
            <v>301558</v>
          </cell>
          <cell r="D1955" t="str">
            <v>Mongpong NHS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</row>
        <row r="1956">
          <cell r="C1956">
            <v>301560</v>
          </cell>
          <cell r="D1956" t="str">
            <v>Punong NHS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</row>
        <row r="1957">
          <cell r="C1957">
            <v>301561</v>
          </cell>
          <cell r="D1957" t="str">
            <v>Sayao National High School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</row>
        <row r="1958">
          <cell r="C1958">
            <v>301562</v>
          </cell>
          <cell r="D1958" t="str">
            <v>Sibuyao NHS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2</v>
          </cell>
          <cell r="J1958">
            <v>3</v>
          </cell>
          <cell r="K1958">
            <v>1</v>
          </cell>
          <cell r="L1958">
            <v>1</v>
          </cell>
        </row>
        <row r="1959">
          <cell r="C1959">
            <v>301563</v>
          </cell>
          <cell r="D1959" t="str">
            <v>Tagum National High School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</row>
        <row r="1960">
          <cell r="C1960">
            <v>301565</v>
          </cell>
          <cell r="D1960" t="str">
            <v>Tapuyan NHS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1</v>
          </cell>
          <cell r="J1960">
            <v>3</v>
          </cell>
          <cell r="K1960">
            <v>1</v>
          </cell>
          <cell r="L1960">
            <v>3</v>
          </cell>
        </row>
        <row r="1961">
          <cell r="C1961">
            <v>301566</v>
          </cell>
          <cell r="D1961" t="str">
            <v>Tigwi NHS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</row>
        <row r="1962">
          <cell r="C1962">
            <v>301567</v>
          </cell>
          <cell r="D1962" t="str">
            <v>Tiguion National High School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</row>
        <row r="1963">
          <cell r="C1963">
            <v>301568</v>
          </cell>
          <cell r="D1963" t="str">
            <v>Yook NHS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</row>
        <row r="1964">
          <cell r="C1964">
            <v>308801</v>
          </cell>
          <cell r="D1964" t="str">
            <v>Poctoy NHS (Bonliw NHS-Poctoy Annex)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</row>
        <row r="1965">
          <cell r="C1965">
            <v>308804</v>
          </cell>
          <cell r="D1965" t="str">
            <v>Paciano A. Sena Mem. HS (Tabionan NHS)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</row>
        <row r="1966">
          <cell r="C1966">
            <v>342646</v>
          </cell>
          <cell r="D1966" t="str">
            <v>TORRIJOS SENIOR HIGH SCHOOL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</row>
        <row r="1967">
          <cell r="C1967">
            <v>301569</v>
          </cell>
          <cell r="D1967" t="str">
            <v>Abra de Ilog NHS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</row>
        <row r="1968">
          <cell r="C1968">
            <v>301573</v>
          </cell>
          <cell r="D1968" t="str">
            <v>Barahan NHS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</row>
        <row r="1969">
          <cell r="C1969">
            <v>301574</v>
          </cell>
          <cell r="D1969" t="str">
            <v>CALINTAAN NATIONAL HIGH SCHOOL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</row>
        <row r="1970">
          <cell r="C1970">
            <v>301577</v>
          </cell>
          <cell r="D1970" t="str">
            <v>Concepcion NHS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</row>
        <row r="1971">
          <cell r="C1971">
            <v>301578</v>
          </cell>
          <cell r="D1971" t="str">
            <v>Iling NHS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</row>
        <row r="1972">
          <cell r="C1972">
            <v>301580</v>
          </cell>
          <cell r="D1972" t="str">
            <v>Iriron NHS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</row>
        <row r="1973">
          <cell r="C1973">
            <v>301581</v>
          </cell>
          <cell r="D1973" t="str">
            <v>Ligaya NHS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</row>
        <row r="1974">
          <cell r="C1974">
            <v>301582</v>
          </cell>
          <cell r="D1974" t="str">
            <v>Paulino Legaspi, Sr. Memorial. NHS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</row>
        <row r="1975">
          <cell r="C1975">
            <v>301583</v>
          </cell>
          <cell r="D1975" t="str">
            <v>Looc National School Of Fisheries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</row>
        <row r="1976">
          <cell r="C1976">
            <v>301586</v>
          </cell>
          <cell r="D1976" t="str">
            <v>LUBANG VOCATIONAL HIGH SCHOOL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</row>
        <row r="1977">
          <cell r="C1977">
            <v>301588</v>
          </cell>
          <cell r="D1977" t="str">
            <v>Magsaysay National High School</v>
          </cell>
          <cell r="E1977">
            <v>0</v>
          </cell>
          <cell r="F1977">
            <v>0</v>
          </cell>
          <cell r="G1977">
            <v>2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</row>
        <row r="1978">
          <cell r="C1978">
            <v>301589</v>
          </cell>
          <cell r="D1978" t="str">
            <v>Mapaya National High School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3</v>
          </cell>
          <cell r="J1978">
            <v>3</v>
          </cell>
          <cell r="K1978">
            <v>3</v>
          </cell>
          <cell r="L1978">
            <v>3</v>
          </cell>
        </row>
        <row r="1979">
          <cell r="C1979">
            <v>301592</v>
          </cell>
          <cell r="D1979" t="str">
            <v>Pedro T. Mendiola Sr. Memorial National High School</v>
          </cell>
          <cell r="E1979">
            <v>0</v>
          </cell>
          <cell r="F1979">
            <v>5</v>
          </cell>
          <cell r="G1979">
            <v>0</v>
          </cell>
          <cell r="H1979">
            <v>0</v>
          </cell>
          <cell r="I1979">
            <v>1</v>
          </cell>
          <cell r="J1979">
            <v>4</v>
          </cell>
          <cell r="K1979">
            <v>0</v>
          </cell>
          <cell r="L1979">
            <v>0</v>
          </cell>
        </row>
        <row r="1980">
          <cell r="C1980">
            <v>301593</v>
          </cell>
          <cell r="D1980" t="str">
            <v>Occidental Mindoro NHS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</row>
        <row r="1981">
          <cell r="C1981">
            <v>301594</v>
          </cell>
          <cell r="D1981" t="str">
            <v>Paluan NHS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</row>
        <row r="1982">
          <cell r="C1982">
            <v>301595</v>
          </cell>
          <cell r="D1982" t="str">
            <v>RIZAL NATIONAL HIGH SCHOOL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</row>
        <row r="1983">
          <cell r="C1983">
            <v>301596</v>
          </cell>
          <cell r="D1983" t="str">
            <v>Sablayan NATIONAL COMPREHENSIVE HIGH SCHOOL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</row>
        <row r="1984">
          <cell r="C1984">
            <v>301597</v>
          </cell>
          <cell r="D1984" t="str">
            <v>Sablayan NCHS - Claudio Salgado Annex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</row>
        <row r="1985">
          <cell r="C1985">
            <v>301598</v>
          </cell>
          <cell r="D1985" t="str">
            <v>Prudencio L. Gadiano National High School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</row>
        <row r="1986">
          <cell r="C1986">
            <v>301599</v>
          </cell>
          <cell r="D1986" t="str">
            <v>San Jose NHS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</row>
        <row r="1987">
          <cell r="C1987">
            <v>301600</v>
          </cell>
          <cell r="D1987" t="str">
            <v>Central NHS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</row>
        <row r="1988">
          <cell r="C1988">
            <v>301601</v>
          </cell>
          <cell r="D1988" t="str">
            <v>San Vicente NHS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</row>
        <row r="1989">
          <cell r="C1989">
            <v>301602</v>
          </cell>
          <cell r="D1989" t="str">
            <v>San Vicente NHS - Yapang Annex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</row>
        <row r="1990">
          <cell r="C1990">
            <v>301603</v>
          </cell>
          <cell r="D1990" t="str">
            <v>Santa Cruz NHS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</row>
        <row r="1991">
          <cell r="C1991">
            <v>301604</v>
          </cell>
          <cell r="D1991" t="str">
            <v>Pinagturilan National High School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</row>
        <row r="1992">
          <cell r="C1992">
            <v>301605</v>
          </cell>
          <cell r="D1992" t="str">
            <v>Sta Teresa NHS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1</v>
          </cell>
          <cell r="J1992">
            <v>4</v>
          </cell>
          <cell r="K1992">
            <v>1</v>
          </cell>
          <cell r="L1992">
            <v>4</v>
          </cell>
        </row>
        <row r="1993">
          <cell r="C1993">
            <v>301606</v>
          </cell>
          <cell r="D1993" t="str">
            <v>Tanyag NHS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</row>
        <row r="1994">
          <cell r="C1994">
            <v>301609</v>
          </cell>
          <cell r="D1994" t="str">
            <v>Victoria NHS - Ilvita Annex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</row>
        <row r="1995">
          <cell r="C1995">
            <v>308901</v>
          </cell>
          <cell r="D1995" t="str">
            <v>San Jose National Agricultural and Industrial High School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</row>
        <row r="1996">
          <cell r="C1996">
            <v>308904</v>
          </cell>
          <cell r="D1996" t="str">
            <v>Manoot National High School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</row>
        <row r="1997">
          <cell r="C1997">
            <v>308908</v>
          </cell>
          <cell r="D1997" t="str">
            <v>Mangarin National Highschool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</row>
        <row r="1998">
          <cell r="C1998">
            <v>500029</v>
          </cell>
          <cell r="D1998" t="str">
            <v>Lubang IS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</row>
        <row r="1999">
          <cell r="C1999">
            <v>301610</v>
          </cell>
          <cell r="D1999" t="str">
            <v>Alcadesma NHS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</row>
        <row r="2000">
          <cell r="C2000">
            <v>301611</v>
          </cell>
          <cell r="D2000" t="str">
            <v>Apitong NHS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</row>
        <row r="2001">
          <cell r="C2001">
            <v>301612</v>
          </cell>
          <cell r="D2001" t="str">
            <v>Macatoc NHS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</row>
        <row r="2002">
          <cell r="C2002">
            <v>301613</v>
          </cell>
          <cell r="D2002" t="str">
            <v>Aurelio Arago MNHS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</row>
        <row r="2003">
          <cell r="C2003">
            <v>301614</v>
          </cell>
          <cell r="D2003" t="str">
            <v>Aurora NHS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</row>
        <row r="2004">
          <cell r="C2004">
            <v>301615</v>
          </cell>
          <cell r="D2004" t="str">
            <v>Evangelista NHS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</row>
        <row r="2005">
          <cell r="C2005">
            <v>301616</v>
          </cell>
          <cell r="D2005" t="str">
            <v>Baco NHS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</row>
        <row r="2006">
          <cell r="C2006">
            <v>301617</v>
          </cell>
          <cell r="D2006" t="str">
            <v>Balugo NHS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</row>
        <row r="2007">
          <cell r="C2007">
            <v>301618</v>
          </cell>
          <cell r="D2007" t="str">
            <v>Bansud NHS - Regional Science High School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</row>
        <row r="2008">
          <cell r="C2008">
            <v>301619</v>
          </cell>
          <cell r="D2008" t="str">
            <v>Bayuin NHS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</row>
        <row r="2009">
          <cell r="C2009">
            <v>301620</v>
          </cell>
          <cell r="D2009" t="str">
            <v>Bulalacao NHS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</row>
        <row r="2010">
          <cell r="C2010">
            <v>301621</v>
          </cell>
          <cell r="D2010" t="str">
            <v>Maujao NHS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</row>
        <row r="2011">
          <cell r="C2011">
            <v>301622</v>
          </cell>
          <cell r="D2011" t="str">
            <v>San Roque NHS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</row>
        <row r="2012">
          <cell r="C2012">
            <v>301623</v>
          </cell>
          <cell r="D2012" t="str">
            <v>Bulbugan NHS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</row>
        <row r="2013">
          <cell r="C2013">
            <v>301624</v>
          </cell>
          <cell r="D2013" t="str">
            <v>Cawayan NHS</v>
          </cell>
          <cell r="E2013">
            <v>0</v>
          </cell>
          <cell r="F2013">
            <v>0</v>
          </cell>
          <cell r="G2013">
            <v>0</v>
          </cell>
          <cell r="H2013">
            <v>1</v>
          </cell>
          <cell r="I2013">
            <v>1</v>
          </cell>
          <cell r="J2013">
            <v>0</v>
          </cell>
          <cell r="K2013">
            <v>1</v>
          </cell>
          <cell r="L2013">
            <v>0</v>
          </cell>
        </row>
        <row r="2014">
          <cell r="C2014">
            <v>301625</v>
          </cell>
          <cell r="D2014" t="str">
            <v>Dayhagan NHS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</row>
        <row r="2015">
          <cell r="C2015">
            <v>301627</v>
          </cell>
          <cell r="D2015" t="str">
            <v>Domingo Yu Chu NHS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</row>
        <row r="2016">
          <cell r="C2016">
            <v>301628</v>
          </cell>
          <cell r="D2016" t="str">
            <v>Araceli B. Pantilanan - Bacawan High  School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</row>
        <row r="2017">
          <cell r="C2017">
            <v>301629</v>
          </cell>
          <cell r="D2017" t="str">
            <v>Matulatula High School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</row>
        <row r="2018">
          <cell r="C2018">
            <v>301630</v>
          </cell>
          <cell r="D2018" t="str">
            <v>Doroteo S. Mendoza Sr. MNHS</v>
          </cell>
          <cell r="E2018">
            <v>0</v>
          </cell>
          <cell r="F2018">
            <v>0</v>
          </cell>
          <cell r="G2018">
            <v>0</v>
          </cell>
          <cell r="H2018">
            <v>1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</row>
        <row r="2019">
          <cell r="C2019">
            <v>301631</v>
          </cell>
          <cell r="D2019" t="str">
            <v>Fe del Mundo NHS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</row>
        <row r="2020">
          <cell r="C2020">
            <v>301632</v>
          </cell>
          <cell r="D2020" t="str">
            <v>Formon NHS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</row>
        <row r="2021">
          <cell r="C2021">
            <v>301633</v>
          </cell>
          <cell r="D2021" t="str">
            <v>Kaligtasan NHS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</row>
        <row r="2022">
          <cell r="C2022">
            <v>301634</v>
          </cell>
          <cell r="D2022" t="str">
            <v>Leuteboro NHS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</row>
        <row r="2023">
          <cell r="C2023">
            <v>301635</v>
          </cell>
          <cell r="D2023" t="str">
            <v>Fortuna NHS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</row>
        <row r="2024">
          <cell r="C2024">
            <v>301636</v>
          </cell>
          <cell r="D2024" t="str">
            <v>Malamig NHS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</row>
        <row r="2025">
          <cell r="C2025">
            <v>301638</v>
          </cell>
          <cell r="D2025" t="str">
            <v>Manaul National High School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</row>
        <row r="2026">
          <cell r="C2026">
            <v>301639</v>
          </cell>
          <cell r="D2026" t="str">
            <v>Marcelo I. Cabrera Vocational High School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</row>
        <row r="2027">
          <cell r="C2027">
            <v>301640</v>
          </cell>
          <cell r="D2027" t="str">
            <v>Dangay NHS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</row>
        <row r="2028">
          <cell r="C2028">
            <v>301641</v>
          </cell>
          <cell r="D2028" t="str">
            <v>Masaguisi NHS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</row>
        <row r="2029">
          <cell r="C2029">
            <v>301642</v>
          </cell>
          <cell r="D2029" t="str">
            <v>Melgar NHS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</row>
        <row r="2030">
          <cell r="C2030">
            <v>301643</v>
          </cell>
          <cell r="D2030" t="str">
            <v>Morente NHS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</row>
        <row r="2031">
          <cell r="C2031">
            <v>301644</v>
          </cell>
          <cell r="D2031" t="str">
            <v>Nabuslot NHS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</row>
        <row r="2032">
          <cell r="C2032">
            <v>301645</v>
          </cell>
          <cell r="D2032" t="str">
            <v>Naujan Municipal High School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</row>
        <row r="2033">
          <cell r="C2033">
            <v>301646</v>
          </cell>
          <cell r="D2033" t="str">
            <v>Pambisan NHS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</row>
        <row r="2034">
          <cell r="C2034">
            <v>301647</v>
          </cell>
          <cell r="D2034" t="str">
            <v>Pili NHS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</row>
        <row r="2035">
          <cell r="C2035">
            <v>301648</v>
          </cell>
          <cell r="D2035" t="str">
            <v>Porfirio Comia MNHS</v>
          </cell>
          <cell r="E2035">
            <v>0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</row>
        <row r="2036">
          <cell r="C2036">
            <v>301649</v>
          </cell>
          <cell r="D2036" t="str">
            <v>Quinabigan NHS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I2036">
            <v>4</v>
          </cell>
          <cell r="J2036">
            <v>6</v>
          </cell>
          <cell r="K2036">
            <v>4</v>
          </cell>
          <cell r="L2036">
            <v>6</v>
          </cell>
        </row>
        <row r="2037">
          <cell r="C2037">
            <v>301651</v>
          </cell>
          <cell r="D2037" t="str">
            <v>San Agustin NHS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</row>
        <row r="2038">
          <cell r="C2038">
            <v>301652</v>
          </cell>
          <cell r="D2038" t="str">
            <v>San Mariano NHS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</row>
        <row r="2039">
          <cell r="C2039">
            <v>301653</v>
          </cell>
          <cell r="D2039" t="str">
            <v>San Teodoro NHS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</row>
        <row r="2040">
          <cell r="C2040">
            <v>301654</v>
          </cell>
          <cell r="D2040" t="str">
            <v>Vicente B. Ylagan NHS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</row>
        <row r="2041">
          <cell r="C2041">
            <v>301655</v>
          </cell>
          <cell r="D2041" t="str">
            <v>Villapagasa NHS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</row>
        <row r="2042">
          <cell r="C2042">
            <v>309001</v>
          </cell>
          <cell r="D2042" t="str">
            <v>Inarawan NHS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</row>
        <row r="2043">
          <cell r="C2043">
            <v>309002</v>
          </cell>
          <cell r="D2043" t="str">
            <v>President Diosdado Macapagal MNHS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</row>
        <row r="2044">
          <cell r="C2044">
            <v>309004</v>
          </cell>
          <cell r="D2044" t="str">
            <v>Puerto Galera NHS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1</v>
          </cell>
          <cell r="J2044">
            <v>6</v>
          </cell>
          <cell r="K2044">
            <v>1</v>
          </cell>
          <cell r="L2044">
            <v>6</v>
          </cell>
        </row>
        <row r="2045">
          <cell r="C2045">
            <v>309005</v>
          </cell>
          <cell r="D2045" t="str">
            <v>Labasan National High School</v>
          </cell>
          <cell r="E2045">
            <v>0</v>
          </cell>
          <cell r="F2045">
            <v>0</v>
          </cell>
          <cell r="G2045">
            <v>0</v>
          </cell>
          <cell r="H2045">
            <v>1</v>
          </cell>
          <cell r="I2045">
            <v>0</v>
          </cell>
          <cell r="J2045">
            <v>1</v>
          </cell>
          <cell r="K2045">
            <v>0</v>
          </cell>
          <cell r="L2045">
            <v>0</v>
          </cell>
        </row>
        <row r="2046">
          <cell r="C2046">
            <v>309006</v>
          </cell>
          <cell r="D2046" t="str">
            <v>Carmundo NHS</v>
          </cell>
          <cell r="E2046">
            <v>0</v>
          </cell>
          <cell r="F2046">
            <v>1</v>
          </cell>
          <cell r="G2046">
            <v>0</v>
          </cell>
          <cell r="H2046">
            <v>2</v>
          </cell>
          <cell r="I2046">
            <v>0</v>
          </cell>
          <cell r="J2046">
            <v>3</v>
          </cell>
          <cell r="K2046">
            <v>0</v>
          </cell>
          <cell r="L2046">
            <v>0</v>
          </cell>
        </row>
        <row r="2047">
          <cell r="C2047">
            <v>309008</v>
          </cell>
          <cell r="D2047" t="str">
            <v>Anastacio Dela Chica High School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</row>
        <row r="2048">
          <cell r="C2048">
            <v>309009</v>
          </cell>
          <cell r="D2048" t="str">
            <v>Jose D. Udasco Mangangan I NHS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</row>
        <row r="2049">
          <cell r="C2049">
            <v>309011</v>
          </cell>
          <cell r="D2049" t="str">
            <v>Rufino Asi National High School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</row>
        <row r="2050">
          <cell r="C2050">
            <v>309013</v>
          </cell>
          <cell r="D2050" t="str">
            <v>Conrazon High School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</row>
        <row r="2051">
          <cell r="C2051">
            <v>309018</v>
          </cell>
          <cell r="D2051" t="str">
            <v>Sabang High School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</row>
        <row r="2052">
          <cell r="C2052">
            <v>309019</v>
          </cell>
          <cell r="D2052" t="str">
            <v>Pag-asa NHS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</row>
        <row r="2053">
          <cell r="C2053">
            <v>309020</v>
          </cell>
          <cell r="D2053" t="str">
            <v>Villapagasa NHS - Apnagan Ext.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</row>
        <row r="2054">
          <cell r="C2054">
            <v>309022</v>
          </cell>
          <cell r="D2054" t="str">
            <v>Benli NHS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</row>
        <row r="2055">
          <cell r="C2055">
            <v>309023</v>
          </cell>
          <cell r="D2055" t="str">
            <v>Guillermo Raymundo - Calima High School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</row>
        <row r="2056">
          <cell r="C2056">
            <v>309025</v>
          </cell>
          <cell r="D2056" t="str">
            <v>Leandro Panganiban Sr. - Tagumpay High School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</row>
        <row r="2057">
          <cell r="C2057">
            <v>309027</v>
          </cell>
          <cell r="D2057" t="str">
            <v>Felimon M. Salcedo Sr. MNHS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</row>
        <row r="2058">
          <cell r="C2058">
            <v>309033</v>
          </cell>
          <cell r="D2058" t="str">
            <v>Cabugao National High School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</row>
        <row r="2059">
          <cell r="C2059">
            <v>309035</v>
          </cell>
          <cell r="D2059" t="str">
            <v>Puerto Galera NHS - San Isidro Ext.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</row>
        <row r="2060">
          <cell r="C2060">
            <v>301657</v>
          </cell>
          <cell r="D2060" t="str">
            <v>Abo-Abo National High School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</row>
        <row r="2061">
          <cell r="C2061">
            <v>301659</v>
          </cell>
          <cell r="D2061" t="str">
            <v>Aborlan National High School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</row>
        <row r="2062">
          <cell r="C2062">
            <v>301660</v>
          </cell>
          <cell r="D2062" t="str">
            <v>Alimanguan National High School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</row>
        <row r="2063">
          <cell r="C2063">
            <v>301661</v>
          </cell>
          <cell r="D2063" t="str">
            <v>Apurawan National High School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</row>
        <row r="2064">
          <cell r="C2064">
            <v>301662</v>
          </cell>
          <cell r="D2064" t="str">
            <v>Araceli National High School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</row>
        <row r="2065">
          <cell r="C2065">
            <v>301663</v>
          </cell>
          <cell r="D2065" t="str">
            <v>Aramaywan National High School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</row>
        <row r="2066">
          <cell r="C2066">
            <v>301666</v>
          </cell>
          <cell r="D2066" t="str">
            <v>Balabac National High School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</row>
        <row r="2067">
          <cell r="C2067">
            <v>301667</v>
          </cell>
          <cell r="D2067" t="str">
            <v>Barotuan National High School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</row>
        <row r="2068">
          <cell r="C2068">
            <v>301668</v>
          </cell>
          <cell r="D2068" t="str">
            <v>Bataraza National High School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</row>
        <row r="2069">
          <cell r="C2069">
            <v>301669</v>
          </cell>
          <cell r="D2069" t="str">
            <v>Bato National High School</v>
          </cell>
          <cell r="E2069">
            <v>0</v>
          </cell>
          <cell r="F2069">
            <v>0</v>
          </cell>
          <cell r="G2069">
            <v>2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</row>
        <row r="2070">
          <cell r="C2070">
            <v>301671</v>
          </cell>
          <cell r="D2070" t="str">
            <v>Brooke's Point National High School - Pangobilian NHS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</row>
        <row r="2071">
          <cell r="C2071">
            <v>301674</v>
          </cell>
          <cell r="D2071" t="str">
            <v>Mangsee National High School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0</v>
          </cell>
        </row>
        <row r="2072">
          <cell r="C2072">
            <v>301677</v>
          </cell>
          <cell r="D2072" t="str">
            <v>Cagayancillo National High School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</row>
        <row r="2073">
          <cell r="C2073">
            <v>301678</v>
          </cell>
          <cell r="D2073" t="str">
            <v>Calandagan National High School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1</v>
          </cell>
          <cell r="K2073">
            <v>0</v>
          </cell>
          <cell r="L2073">
            <v>0</v>
          </cell>
        </row>
        <row r="2074">
          <cell r="C2074">
            <v>301680</v>
          </cell>
          <cell r="D2074" t="str">
            <v>Candawaga National High School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</row>
        <row r="2075">
          <cell r="C2075">
            <v>301681</v>
          </cell>
          <cell r="D2075" t="str">
            <v>Caruray National High School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</row>
        <row r="2076">
          <cell r="C2076">
            <v>301682</v>
          </cell>
          <cell r="D2076" t="str">
            <v>Casian National High School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</row>
        <row r="2077">
          <cell r="C2077">
            <v>301683</v>
          </cell>
          <cell r="D2077" t="str">
            <v>Sandoval National High School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</row>
        <row r="2078">
          <cell r="C2078">
            <v>301684</v>
          </cell>
          <cell r="D2078" t="str">
            <v>Coron School of Fisheries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</row>
        <row r="2079">
          <cell r="C2079">
            <v>301685</v>
          </cell>
          <cell r="D2079" t="str">
            <v>Borac National High School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</row>
        <row r="2080">
          <cell r="C2080">
            <v>301687</v>
          </cell>
          <cell r="D2080" t="str">
            <v>Culion Sanitarium Special National High School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</row>
        <row r="2081">
          <cell r="C2081">
            <v>301688</v>
          </cell>
          <cell r="D2081" t="str">
            <v>Cuyo National High School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</row>
        <row r="2082">
          <cell r="C2082">
            <v>301690</v>
          </cell>
          <cell r="D2082" t="str">
            <v>Dumangeña National High School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</row>
        <row r="2083">
          <cell r="C2083">
            <v>301691</v>
          </cell>
          <cell r="D2083" t="str">
            <v>Dumaran National High School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</row>
        <row r="2084">
          <cell r="C2084">
            <v>301692</v>
          </cell>
          <cell r="D2084" t="str">
            <v>Dumaran Mainland National High School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</row>
        <row r="2085">
          <cell r="C2085">
            <v>301693</v>
          </cell>
          <cell r="D2085" t="str">
            <v>El Nido National High School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</row>
        <row r="2086">
          <cell r="C2086">
            <v>301695</v>
          </cell>
          <cell r="D2086" t="str">
            <v>Gaudencio E. Abordo Mem. National High School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</row>
        <row r="2087">
          <cell r="C2087">
            <v>301699</v>
          </cell>
          <cell r="D2087" t="str">
            <v>Gov. Alfredo Abueg Sr. National Technology &amp; Vocational Memorial High School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</row>
        <row r="2088">
          <cell r="C2088">
            <v>301700</v>
          </cell>
          <cell r="D2088" t="str">
            <v>Ipilan National High School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</row>
        <row r="2089">
          <cell r="C2089">
            <v>301701</v>
          </cell>
          <cell r="D2089" t="str">
            <v>Isaub National High School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1</v>
          </cell>
          <cell r="J2089">
            <v>3</v>
          </cell>
          <cell r="K2089">
            <v>0</v>
          </cell>
          <cell r="L2089">
            <v>0</v>
          </cell>
        </row>
        <row r="2090">
          <cell r="C2090">
            <v>301702</v>
          </cell>
          <cell r="D2090" t="str">
            <v>Jose P. Rizal National High School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</row>
        <row r="2091">
          <cell r="C2091">
            <v>301703</v>
          </cell>
          <cell r="D2091" t="str">
            <v>Liminangcong National High School</v>
          </cell>
          <cell r="E2091">
            <v>0</v>
          </cell>
          <cell r="F2091">
            <v>0</v>
          </cell>
          <cell r="G2091">
            <v>0</v>
          </cell>
          <cell r="H2091">
            <v>1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</row>
        <row r="2092">
          <cell r="C2092">
            <v>301705</v>
          </cell>
          <cell r="D2092" t="str">
            <v>Magara School for Philippine Craftsmen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</row>
        <row r="2093">
          <cell r="C2093">
            <v>301708</v>
          </cell>
          <cell r="D2093" t="str">
            <v>Manamoc National High School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</row>
        <row r="2094">
          <cell r="C2094">
            <v>301710</v>
          </cell>
          <cell r="D2094" t="str">
            <v>Narra National High School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</row>
        <row r="2095">
          <cell r="C2095">
            <v>301711</v>
          </cell>
          <cell r="D2095" t="str">
            <v>New Busuanga National High School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</row>
        <row r="2096">
          <cell r="C2096">
            <v>301713</v>
          </cell>
          <cell r="D2096" t="str">
            <v>New Ibajay National High School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</row>
        <row r="2097">
          <cell r="C2097">
            <v>301719</v>
          </cell>
          <cell r="D2097" t="str">
            <v>Panitian National High School</v>
          </cell>
          <cell r="E2097">
            <v>0</v>
          </cell>
          <cell r="F2097">
            <v>0</v>
          </cell>
          <cell r="G2097">
            <v>1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1</v>
          </cell>
        </row>
        <row r="2098">
          <cell r="C2098">
            <v>301720</v>
          </cell>
          <cell r="D2098" t="str">
            <v>Panlaitan National High School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</row>
        <row r="2099">
          <cell r="C2099">
            <v>301722</v>
          </cell>
          <cell r="D2099" t="str">
            <v>Plaridel National High School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</row>
        <row r="2100">
          <cell r="C2100">
            <v>301723</v>
          </cell>
          <cell r="D2100" t="str">
            <v>Port Barton National High School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</row>
        <row r="2101">
          <cell r="C2101">
            <v>301724</v>
          </cell>
          <cell r="D2101" t="str">
            <v>Princess Urduja National High School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</row>
        <row r="2102">
          <cell r="C2102">
            <v>301725</v>
          </cell>
          <cell r="D2102" t="str">
            <v>Pulot National High School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</row>
        <row r="2103">
          <cell r="C2103">
            <v>301726</v>
          </cell>
          <cell r="D2103" t="str">
            <v>Quezon National High School</v>
          </cell>
          <cell r="E2103">
            <v>0</v>
          </cell>
          <cell r="F2103">
            <v>0</v>
          </cell>
          <cell r="G2103">
            <v>2</v>
          </cell>
          <cell r="H2103">
            <v>0</v>
          </cell>
          <cell r="I2103">
            <v>13</v>
          </cell>
          <cell r="J2103">
            <v>27</v>
          </cell>
          <cell r="K2103">
            <v>13</v>
          </cell>
          <cell r="L2103">
            <v>27</v>
          </cell>
        </row>
        <row r="2104">
          <cell r="C2104">
            <v>301727</v>
          </cell>
          <cell r="D2104" t="str">
            <v>Quezon-Aramaywan National High School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</row>
        <row r="2105">
          <cell r="C2105">
            <v>301728</v>
          </cell>
          <cell r="D2105" t="str">
            <v>Quezon-Panitian National High School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</row>
        <row r="2106">
          <cell r="C2106">
            <v>301729</v>
          </cell>
          <cell r="D2106" t="str">
            <v>Quinlogan National High School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</row>
        <row r="2107">
          <cell r="C2107">
            <v>301730</v>
          </cell>
          <cell r="D2107" t="str">
            <v>Rio Tuba National High School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</row>
        <row r="2108">
          <cell r="C2108">
            <v>301731</v>
          </cell>
          <cell r="D2108" t="str">
            <v>Roxas National Comprehensive High School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</row>
        <row r="2109">
          <cell r="C2109">
            <v>301732</v>
          </cell>
          <cell r="D2109" t="str">
            <v>San Jose (Roxas) National High School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</row>
        <row r="2110">
          <cell r="C2110">
            <v>301734</v>
          </cell>
          <cell r="D2110" t="str">
            <v>Salvacion National High School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</row>
        <row r="2111">
          <cell r="C2111">
            <v>301737</v>
          </cell>
          <cell r="D2111" t="str">
            <v>San Miguel National High School (Gaudencio Abordo NHS)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</row>
        <row r="2112">
          <cell r="C2112">
            <v>301738</v>
          </cell>
          <cell r="D2112" t="str">
            <v>San Vicente National High School</v>
          </cell>
          <cell r="E2112">
            <v>0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</row>
        <row r="2113">
          <cell r="C2113">
            <v>301739</v>
          </cell>
          <cell r="D2113" t="str">
            <v>Sandoval National High School</v>
          </cell>
          <cell r="E2113">
            <v>0</v>
          </cell>
          <cell r="F2113">
            <v>0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</row>
        <row r="2114">
          <cell r="C2114">
            <v>301740</v>
          </cell>
          <cell r="D2114" t="str">
            <v>Sta. Teresita National High School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</row>
        <row r="2115">
          <cell r="C2115">
            <v>301743</v>
          </cell>
          <cell r="D2115" t="str">
            <v>Tagusao National High School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</row>
        <row r="2116">
          <cell r="C2116">
            <v>301745</v>
          </cell>
          <cell r="D2116" t="str">
            <v>Tumarbong National High School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</row>
        <row r="2117">
          <cell r="C2117">
            <v>309107</v>
          </cell>
          <cell r="D2117" t="str">
            <v>Pancol National High School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</row>
        <row r="2118">
          <cell r="C2118">
            <v>309108</v>
          </cell>
          <cell r="D2118" t="str">
            <v>New Canipo National High School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</row>
        <row r="2119">
          <cell r="C2119">
            <v>309109</v>
          </cell>
          <cell r="D2119" t="str">
            <v>Bacao National High School (Dumaran NHS - Bacao NHS)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</row>
        <row r="2120">
          <cell r="C2120">
            <v>309113</v>
          </cell>
          <cell r="D2120" t="str">
            <v>Bancalaan National High School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</row>
        <row r="2121">
          <cell r="C2121">
            <v>309114</v>
          </cell>
          <cell r="D2121" t="str">
            <v>Berong BHS (Quezon-Aramaywan NHS - Berong Brgy. HS)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</row>
        <row r="2122">
          <cell r="C2122">
            <v>309115</v>
          </cell>
          <cell r="D2122" t="str">
            <v>Sumbiling National High School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</row>
        <row r="2123">
          <cell r="C2123">
            <v>309120</v>
          </cell>
          <cell r="D2123" t="str">
            <v>Concepcion National High School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</row>
        <row r="2124">
          <cell r="C2124">
            <v>309126</v>
          </cell>
          <cell r="D2124" t="str">
            <v>Tarusan National High School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</row>
        <row r="2125">
          <cell r="C2125">
            <v>309127</v>
          </cell>
          <cell r="D2125" t="str">
            <v>Sibaring National High School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</row>
        <row r="2126">
          <cell r="C2126">
            <v>309128</v>
          </cell>
          <cell r="D2126" t="str">
            <v>Bulawit National High School (Gaudencio Abordo NHS R.A.6992)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</row>
        <row r="2127">
          <cell r="C2127">
            <v>309129</v>
          </cell>
          <cell r="D2127" t="str">
            <v>Southern Bataraza National High School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2</v>
          </cell>
          <cell r="J2127">
            <v>3</v>
          </cell>
          <cell r="K2127">
            <v>0</v>
          </cell>
          <cell r="L2127">
            <v>0</v>
          </cell>
        </row>
        <row r="2128">
          <cell r="C2128">
            <v>309134</v>
          </cell>
          <cell r="D2128" t="str">
            <v>Cheey National High School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</row>
        <row r="2129">
          <cell r="C2129">
            <v>309136</v>
          </cell>
          <cell r="D2129" t="str">
            <v>Inil U. Taha National High School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1</v>
          </cell>
          <cell r="L2129">
            <v>1</v>
          </cell>
        </row>
        <row r="2130">
          <cell r="C2130">
            <v>309140</v>
          </cell>
          <cell r="D2130" t="str">
            <v>Caponayan National High School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</row>
        <row r="2131">
          <cell r="C2131">
            <v>309146</v>
          </cell>
          <cell r="D2131" t="str">
            <v>Panalingaan National High School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</row>
        <row r="2132">
          <cell r="C2132">
            <v>309149</v>
          </cell>
          <cell r="D2132" t="str">
            <v>Taburi National High School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</row>
        <row r="2133">
          <cell r="C2133">
            <v>309160</v>
          </cell>
          <cell r="D2133" t="str">
            <v>Canipaan National High School</v>
          </cell>
          <cell r="E2133">
            <v>0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</row>
        <row r="2134">
          <cell r="C2134">
            <v>309165</v>
          </cell>
          <cell r="D2134" t="str">
            <v>Nangalao National High School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</row>
        <row r="2135">
          <cell r="C2135">
            <v>309168</v>
          </cell>
          <cell r="D2135" t="str">
            <v>Decalachao National High School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</row>
        <row r="2136">
          <cell r="C2136">
            <v>342752</v>
          </cell>
          <cell r="D2136" t="str">
            <v>Central Taytay Senior High School</v>
          </cell>
          <cell r="E2136">
            <v>0</v>
          </cell>
          <cell r="F2136">
            <v>0</v>
          </cell>
          <cell r="G2136">
            <v>3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</row>
        <row r="2137">
          <cell r="C2137">
            <v>301746</v>
          </cell>
          <cell r="D2137" t="str">
            <v>Agnipa National High School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</row>
        <row r="2138">
          <cell r="C2138">
            <v>301747</v>
          </cell>
          <cell r="D2138" t="str">
            <v>Alcantara National High School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</row>
        <row r="2139">
          <cell r="C2139">
            <v>301749</v>
          </cell>
          <cell r="D2139" t="str">
            <v>Esteban Madrona National High School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</row>
        <row r="2140">
          <cell r="C2140">
            <v>301750</v>
          </cell>
          <cell r="D2140" t="str">
            <v>Banton NHS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</row>
        <row r="2141">
          <cell r="C2141">
            <v>301752</v>
          </cell>
          <cell r="D2141" t="str">
            <v>Cajidiocan National High School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</row>
        <row r="2142">
          <cell r="C2142">
            <v>301753</v>
          </cell>
          <cell r="D2142" t="str">
            <v>Lumbang East National High School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</row>
        <row r="2143">
          <cell r="C2143">
            <v>301755</v>
          </cell>
          <cell r="D2143" t="str">
            <v>Cambalo NHS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</row>
        <row r="2144">
          <cell r="C2144">
            <v>301756</v>
          </cell>
          <cell r="D2144" t="str">
            <v>Concepcion NHS (Main)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</row>
        <row r="2145">
          <cell r="C2145">
            <v>301757</v>
          </cell>
          <cell r="D2145" t="str">
            <v>Corcuera National High School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</row>
        <row r="2146">
          <cell r="C2146">
            <v>301759</v>
          </cell>
          <cell r="D2146" t="str">
            <v>Don Carlos M. Mejias Memorial NHS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</row>
        <row r="2147">
          <cell r="C2147">
            <v>301760</v>
          </cell>
          <cell r="D2147" t="str">
            <v>España National High School</v>
          </cell>
          <cell r="E2147">
            <v>0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</row>
        <row r="2148">
          <cell r="C2148">
            <v>301761</v>
          </cell>
          <cell r="D2148" t="str">
            <v>Ferrol National High School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</row>
        <row r="2149">
          <cell r="C2149">
            <v>301763</v>
          </cell>
          <cell r="D2149" t="str">
            <v>Sta. Fe NHS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</row>
        <row r="2150">
          <cell r="C2150">
            <v>301764</v>
          </cell>
          <cell r="D2150" t="str">
            <v>Libertad National High School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1</v>
          </cell>
          <cell r="J2150">
            <v>0</v>
          </cell>
          <cell r="K2150">
            <v>1</v>
          </cell>
          <cell r="L2150">
            <v>0</v>
          </cell>
        </row>
        <row r="2151">
          <cell r="C2151">
            <v>301765</v>
          </cell>
          <cell r="D2151" t="str">
            <v>LOOC NATIONAL HIGH SCHOOL</v>
          </cell>
          <cell r="E2151">
            <v>0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</row>
        <row r="2152">
          <cell r="C2152">
            <v>301766</v>
          </cell>
          <cell r="D2152" t="str">
            <v>Mabini NHS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</row>
        <row r="2153">
          <cell r="C2153">
            <v>301767</v>
          </cell>
          <cell r="D2153" t="str">
            <v>Macario Molina NHS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</row>
        <row r="2154">
          <cell r="C2154">
            <v>301768</v>
          </cell>
          <cell r="D2154" t="str">
            <v>Magdiwang NHS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</row>
        <row r="2155">
          <cell r="C2155">
            <v>301769</v>
          </cell>
          <cell r="D2155" t="str">
            <v>Odiongan National High School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</row>
        <row r="2156">
          <cell r="C2156">
            <v>301771</v>
          </cell>
          <cell r="D2156" t="str">
            <v>San Andres NHS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</row>
        <row r="2157">
          <cell r="C2157">
            <v>301772</v>
          </cell>
          <cell r="D2157" t="str">
            <v>San Jose Agricultural HS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</row>
        <row r="2158">
          <cell r="C2158">
            <v>301774</v>
          </cell>
          <cell r="D2158" t="str">
            <v>Santa Maria NHS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</row>
        <row r="2159">
          <cell r="C2159">
            <v>309201</v>
          </cell>
          <cell r="D2159" t="str">
            <v>Calatrava National High School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</row>
        <row r="2160">
          <cell r="C2160">
            <v>309205</v>
          </cell>
          <cell r="D2160" t="str">
            <v>Carmen NHS (Cabolutan NHS Ext.)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3</v>
          </cell>
          <cell r="J2160">
            <v>5</v>
          </cell>
          <cell r="K2160">
            <v>3</v>
          </cell>
          <cell r="L2160">
            <v>5</v>
          </cell>
        </row>
        <row r="2161">
          <cell r="C2161">
            <v>301779</v>
          </cell>
          <cell r="D2161" t="str">
            <v>Bacungan National High School</v>
          </cell>
          <cell r="E2161">
            <v>0</v>
          </cell>
          <cell r="F2161">
            <v>1</v>
          </cell>
          <cell r="G2161">
            <v>0</v>
          </cell>
          <cell r="H2161">
            <v>0</v>
          </cell>
          <cell r="I2161">
            <v>2</v>
          </cell>
          <cell r="J2161">
            <v>4</v>
          </cell>
          <cell r="K2161">
            <v>2</v>
          </cell>
          <cell r="L2161">
            <v>4</v>
          </cell>
        </row>
        <row r="2162">
          <cell r="C2162">
            <v>301780</v>
          </cell>
          <cell r="D2162" t="str">
            <v>Bahile NHS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</row>
        <row r="2163">
          <cell r="C2163">
            <v>301781</v>
          </cell>
          <cell r="D2163" t="str">
            <v>Cabayugan NHS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</row>
        <row r="2164">
          <cell r="C2164">
            <v>301782</v>
          </cell>
          <cell r="D2164" t="str">
            <v>Inagawan NHS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</row>
        <row r="2165">
          <cell r="C2165">
            <v>301783</v>
          </cell>
          <cell r="D2165" t="str">
            <v>Irawan NHS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</row>
        <row r="2166">
          <cell r="C2166">
            <v>301784</v>
          </cell>
          <cell r="D2166" t="str">
            <v>LANGOGAN NATIONAL HIGH SCHOOL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</row>
        <row r="2167">
          <cell r="C2167">
            <v>301785</v>
          </cell>
          <cell r="D2167" t="str">
            <v>Macarascas NHS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2</v>
          </cell>
          <cell r="K2167">
            <v>1</v>
          </cell>
          <cell r="L2167">
            <v>0</v>
          </cell>
        </row>
        <row r="2168">
          <cell r="C2168">
            <v>301786</v>
          </cell>
          <cell r="D2168" t="str">
            <v>Napsan National High School</v>
          </cell>
          <cell r="E2168">
            <v>0</v>
          </cell>
          <cell r="F2168">
            <v>2</v>
          </cell>
          <cell r="G2168">
            <v>0</v>
          </cell>
          <cell r="H2168">
            <v>0</v>
          </cell>
          <cell r="I2168">
            <v>1</v>
          </cell>
          <cell r="J2168">
            <v>1</v>
          </cell>
          <cell r="K2168">
            <v>1</v>
          </cell>
          <cell r="L2168">
            <v>1</v>
          </cell>
        </row>
        <row r="2169">
          <cell r="C2169">
            <v>301787</v>
          </cell>
          <cell r="D2169" t="str">
            <v>Babuyan NHS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</row>
        <row r="2170">
          <cell r="C2170">
            <v>301788</v>
          </cell>
          <cell r="D2170" t="str">
            <v>Luzviminda National High School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</row>
        <row r="2171">
          <cell r="C2171">
            <v>301789</v>
          </cell>
          <cell r="D2171" t="str">
            <v>Mangingisda NHS</v>
          </cell>
          <cell r="E2171">
            <v>0</v>
          </cell>
          <cell r="F2171">
            <v>0</v>
          </cell>
          <cell r="G2171">
            <v>1</v>
          </cell>
          <cell r="H2171">
            <v>0</v>
          </cell>
          <cell r="I2171">
            <v>0</v>
          </cell>
          <cell r="J2171">
            <v>1</v>
          </cell>
          <cell r="K2171">
            <v>0</v>
          </cell>
          <cell r="L2171">
            <v>0</v>
          </cell>
        </row>
        <row r="2172">
          <cell r="C2172">
            <v>301790</v>
          </cell>
          <cell r="D2172" t="str">
            <v>Sta. Lourdes NHS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</row>
        <row r="2173">
          <cell r="C2173">
            <v>301791</v>
          </cell>
          <cell r="D2173" t="str">
            <v>Pto. Princesa City Nat. Sci. HS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</row>
        <row r="2174">
          <cell r="C2174">
            <v>301792</v>
          </cell>
          <cell r="D2174" t="str">
            <v>Marcelino Abadiano Javarez National High School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</row>
        <row r="2175">
          <cell r="C2175">
            <v>301793</v>
          </cell>
          <cell r="D2175" t="str">
            <v>San Jose NHS</v>
          </cell>
          <cell r="E2175">
            <v>0</v>
          </cell>
          <cell r="F2175">
            <v>3</v>
          </cell>
          <cell r="G2175">
            <v>0</v>
          </cell>
          <cell r="H2175">
            <v>0</v>
          </cell>
          <cell r="I2175">
            <v>0</v>
          </cell>
          <cell r="J2175">
            <v>3</v>
          </cell>
          <cell r="K2175">
            <v>0</v>
          </cell>
          <cell r="L2175">
            <v>0</v>
          </cell>
        </row>
        <row r="2176">
          <cell r="C2176">
            <v>301795</v>
          </cell>
          <cell r="D2176" t="str">
            <v>San Rafael National High School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</row>
        <row r="2177">
          <cell r="C2177">
            <v>301796</v>
          </cell>
          <cell r="D2177" t="str">
            <v>Sicsican NHS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</row>
        <row r="2178">
          <cell r="C2178">
            <v>309301</v>
          </cell>
          <cell r="D2178" t="str">
            <v>PALAWAN NATIONAL SCHOOL</v>
          </cell>
          <cell r="E2178">
            <v>0</v>
          </cell>
          <cell r="F2178">
            <v>5</v>
          </cell>
          <cell r="G2178">
            <v>0</v>
          </cell>
          <cell r="H2178">
            <v>2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</row>
        <row r="2179">
          <cell r="C2179">
            <v>309302</v>
          </cell>
          <cell r="D2179" t="str">
            <v>Simpucan NHS (Napsan NHS - Simpucan Annex)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</row>
        <row r="2180">
          <cell r="C2180">
            <v>330506</v>
          </cell>
          <cell r="D2180" t="str">
            <v>Sta. Monica High School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</row>
        <row r="2181">
          <cell r="C2181">
            <v>342797</v>
          </cell>
          <cell r="D2181" t="str">
            <v>SHS in Puerto Princesa City</v>
          </cell>
          <cell r="E2181">
            <v>0</v>
          </cell>
          <cell r="F2181">
            <v>0</v>
          </cell>
          <cell r="G2181">
            <v>4</v>
          </cell>
          <cell r="H2181">
            <v>0</v>
          </cell>
          <cell r="I2181">
            <v>0</v>
          </cell>
          <cell r="J2181">
            <v>2</v>
          </cell>
          <cell r="K2181">
            <v>0</v>
          </cell>
          <cell r="L2181">
            <v>2</v>
          </cell>
        </row>
        <row r="2182">
          <cell r="C2182">
            <v>301797</v>
          </cell>
          <cell r="D2182" t="str">
            <v>Community Vocational High School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</row>
        <row r="2183">
          <cell r="C2183">
            <v>301798</v>
          </cell>
          <cell r="D2183" t="str">
            <v>Canubing National High School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</row>
        <row r="2184">
          <cell r="C2184">
            <v>301800</v>
          </cell>
          <cell r="D2184" t="str">
            <v>Oriental Mindoro National High School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</row>
        <row r="2185">
          <cell r="C2185">
            <v>301801</v>
          </cell>
          <cell r="D2185" t="str">
            <v>Ceriaco A. Abes Memorial National High School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1</v>
          </cell>
          <cell r="J2185">
            <v>1</v>
          </cell>
          <cell r="K2185">
            <v>1</v>
          </cell>
          <cell r="L2185">
            <v>1</v>
          </cell>
        </row>
        <row r="2186">
          <cell r="C2186">
            <v>301802</v>
          </cell>
          <cell r="D2186" t="str">
            <v>Nag-iba National High School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</row>
        <row r="2187">
          <cell r="C2187">
            <v>301803</v>
          </cell>
          <cell r="D2187" t="str">
            <v>Pedro V. Panaligan Memorial National High School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</row>
        <row r="2188">
          <cell r="C2188">
            <v>301804</v>
          </cell>
          <cell r="D2188" t="str">
            <v>Parang National High School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</row>
        <row r="2189">
          <cell r="C2189">
            <v>301805</v>
          </cell>
          <cell r="D2189" t="str">
            <v>Managpi National High School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</row>
        <row r="2190">
          <cell r="C2190">
            <v>309402</v>
          </cell>
          <cell r="D2190" t="str">
            <v>Bucayao National High School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</row>
        <row r="2191">
          <cell r="C2191">
            <v>301808</v>
          </cell>
          <cell r="D2191" t="str">
            <v>Anislag National High School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</row>
        <row r="2192">
          <cell r="C2192">
            <v>301809</v>
          </cell>
          <cell r="D2192" t="str">
            <v>San Vicente Grande High School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</row>
        <row r="2193">
          <cell r="C2193">
            <v>301810</v>
          </cell>
          <cell r="D2193" t="str">
            <v>Malinao National High School</v>
          </cell>
          <cell r="E2193">
            <v>0</v>
          </cell>
          <cell r="F2193">
            <v>0</v>
          </cell>
          <cell r="G2193">
            <v>1</v>
          </cell>
          <cell r="H2193">
            <v>0</v>
          </cell>
          <cell r="I2193">
            <v>0</v>
          </cell>
          <cell r="J2193">
            <v>1</v>
          </cell>
          <cell r="K2193">
            <v>0</v>
          </cell>
          <cell r="L2193">
            <v>0</v>
          </cell>
        </row>
        <row r="2194">
          <cell r="C2194">
            <v>301812</v>
          </cell>
          <cell r="D2194" t="str">
            <v>Bariw National High School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</row>
        <row r="2195">
          <cell r="C2195">
            <v>301813</v>
          </cell>
          <cell r="D2195" t="str">
            <v>Batan National High School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</row>
        <row r="2196">
          <cell r="C2196">
            <v>301815</v>
          </cell>
          <cell r="D2196" t="str">
            <v>Bical High School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</row>
        <row r="2197">
          <cell r="C2197">
            <v>301816</v>
          </cell>
          <cell r="D2197" t="str">
            <v>Bonga National High School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</row>
        <row r="2198">
          <cell r="C2198">
            <v>301818</v>
          </cell>
          <cell r="D2198" t="str">
            <v>Cabasan National High School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</row>
        <row r="2199">
          <cell r="C2199">
            <v>301819</v>
          </cell>
          <cell r="D2199" t="str">
            <v>Caguiba National High School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</row>
        <row r="2200">
          <cell r="C2200">
            <v>301821</v>
          </cell>
          <cell r="D2200" t="str">
            <v>Cawayan National High School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</row>
        <row r="2201">
          <cell r="C2201">
            <v>301822</v>
          </cell>
          <cell r="D2201" t="str">
            <v>Cotmon National High School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</row>
        <row r="2202">
          <cell r="C2202">
            <v>301823</v>
          </cell>
          <cell r="D2202" t="str">
            <v>Ilawod National High School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</row>
        <row r="2203">
          <cell r="C2203">
            <v>301824</v>
          </cell>
          <cell r="D2203" t="str">
            <v>Panoypoy High School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</row>
        <row r="2204">
          <cell r="C2204">
            <v>301825</v>
          </cell>
          <cell r="D2204" t="str">
            <v>Daraga National High School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</row>
        <row r="2205">
          <cell r="C2205">
            <v>301826</v>
          </cell>
          <cell r="D2205" t="str">
            <v>BaÃ±adero High School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</row>
        <row r="2206">
          <cell r="C2206">
            <v>301827</v>
          </cell>
          <cell r="D2206" t="str">
            <v>Estancia National High School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</row>
        <row r="2207">
          <cell r="C2207">
            <v>301828</v>
          </cell>
          <cell r="D2207" t="str">
            <v>Itaran National High School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</row>
        <row r="2208">
          <cell r="C2208">
            <v>301829</v>
          </cell>
          <cell r="D2208" t="str">
            <v>Maysua High School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</row>
        <row r="2209">
          <cell r="C2209">
            <v>301830</v>
          </cell>
          <cell r="D2209" t="str">
            <v>Jovellar National High School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</row>
        <row r="2210">
          <cell r="C2210">
            <v>301831</v>
          </cell>
          <cell r="D2210" t="str">
            <v>Labnig National High School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</row>
        <row r="2211">
          <cell r="C2211">
            <v>301832</v>
          </cell>
          <cell r="D2211" t="str">
            <v>Lacag National High School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</row>
        <row r="2212">
          <cell r="C2212">
            <v>301833</v>
          </cell>
          <cell r="D2212" t="str">
            <v>Libon Agro-Industrial High School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</row>
        <row r="2213">
          <cell r="C2213">
            <v>301834</v>
          </cell>
          <cell r="D2213" t="str">
            <v>Bonbon National High School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3</v>
          </cell>
          <cell r="K2213">
            <v>0</v>
          </cell>
          <cell r="L2213">
            <v>3</v>
          </cell>
        </row>
        <row r="2214">
          <cell r="C2214">
            <v>301835</v>
          </cell>
          <cell r="D2214" t="str">
            <v>Buga National High School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</row>
        <row r="2215">
          <cell r="C2215">
            <v>301836</v>
          </cell>
          <cell r="D2215" t="str">
            <v>San Pascual National High School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</row>
        <row r="2216">
          <cell r="C2216">
            <v>301839</v>
          </cell>
          <cell r="D2216" t="str">
            <v>Malapay High School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</row>
        <row r="2217">
          <cell r="C2217">
            <v>301840</v>
          </cell>
          <cell r="D2217" t="str">
            <v>Magpanambo NHS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</row>
        <row r="2218">
          <cell r="C2218">
            <v>301841</v>
          </cell>
          <cell r="D2218" t="str">
            <v>Malabog National High School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</row>
        <row r="2219">
          <cell r="C2219">
            <v>301842</v>
          </cell>
          <cell r="D2219" t="str">
            <v>Malipo National High School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</row>
        <row r="2220">
          <cell r="C2220">
            <v>301843</v>
          </cell>
          <cell r="D2220" t="str">
            <v>Batbat High School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</row>
        <row r="2221">
          <cell r="C2221">
            <v>301844</v>
          </cell>
          <cell r="D2221" t="str">
            <v>Mauraro High School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</row>
        <row r="2222">
          <cell r="C2222">
            <v>301845</v>
          </cell>
          <cell r="D2222" t="str">
            <v>Manito National High School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</row>
        <row r="2223">
          <cell r="C2223">
            <v>301846</v>
          </cell>
          <cell r="D2223" t="str">
            <v>Cawayan High School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</row>
        <row r="2224">
          <cell r="C2224">
            <v>301847</v>
          </cell>
          <cell r="D2224" t="str">
            <v>Nagotgot High School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</row>
        <row r="2225">
          <cell r="C2225">
            <v>301848</v>
          </cell>
          <cell r="D2225" t="str">
            <v>Maramba National High School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</row>
        <row r="2226">
          <cell r="C2226">
            <v>301849</v>
          </cell>
          <cell r="D2226" t="str">
            <v>Marcial O. RaÃ±ola Memorial School</v>
          </cell>
          <cell r="E2226">
            <v>0</v>
          </cell>
          <cell r="F2226">
            <v>0</v>
          </cell>
          <cell r="G2226">
            <v>2</v>
          </cell>
          <cell r="H2226">
            <v>0</v>
          </cell>
          <cell r="I2226">
            <v>1</v>
          </cell>
          <cell r="J2226">
            <v>2</v>
          </cell>
          <cell r="K2226">
            <v>1</v>
          </cell>
          <cell r="L2226">
            <v>1</v>
          </cell>
        </row>
        <row r="2227">
          <cell r="C2227">
            <v>301850</v>
          </cell>
          <cell r="D2227" t="str">
            <v>Lower Binogsacan National High School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</row>
        <row r="2228">
          <cell r="C2228">
            <v>301851</v>
          </cell>
          <cell r="D2228" t="str">
            <v>Masarawag National High School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</row>
        <row r="2229">
          <cell r="C2229">
            <v>301852</v>
          </cell>
          <cell r="D2229" t="str">
            <v>Matacon National High School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</row>
        <row r="2230">
          <cell r="C2230">
            <v>301853</v>
          </cell>
          <cell r="D2230" t="str">
            <v>Naga National High School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</row>
        <row r="2231">
          <cell r="C2231">
            <v>301854</v>
          </cell>
          <cell r="D2231" t="str">
            <v>Marigondon National High School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</row>
        <row r="2232">
          <cell r="C2232">
            <v>301855</v>
          </cell>
          <cell r="D2232" t="str">
            <v>Oas Polytechnic School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</row>
        <row r="2233">
          <cell r="C2233">
            <v>301856</v>
          </cell>
          <cell r="D2233" t="str">
            <v>San Juan High School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</row>
        <row r="2234">
          <cell r="C2234">
            <v>301857</v>
          </cell>
          <cell r="D2234" t="str">
            <v>Sabino Rebagay Memorial High School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</row>
        <row r="2235">
          <cell r="C2235">
            <v>301860</v>
          </cell>
          <cell r="D2235" t="str">
            <v>Pantao National High School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</row>
        <row r="2236">
          <cell r="C2236">
            <v>301861</v>
          </cell>
          <cell r="D2236" t="str">
            <v>Pariaan National High School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</row>
        <row r="2237">
          <cell r="C2237">
            <v>301863</v>
          </cell>
          <cell r="D2237" t="str">
            <v>Pili National High School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</row>
        <row r="2238">
          <cell r="C2238">
            <v>301864</v>
          </cell>
          <cell r="D2238" t="str">
            <v>Pio Duran National High School</v>
          </cell>
          <cell r="E2238">
            <v>0</v>
          </cell>
          <cell r="F2238">
            <v>0</v>
          </cell>
          <cell r="G2238">
            <v>3</v>
          </cell>
          <cell r="H2238">
            <v>0</v>
          </cell>
          <cell r="I2238">
            <v>2</v>
          </cell>
          <cell r="J2238">
            <v>1</v>
          </cell>
          <cell r="K2238">
            <v>2</v>
          </cell>
          <cell r="L2238">
            <v>1</v>
          </cell>
        </row>
        <row r="2239">
          <cell r="C2239">
            <v>301865</v>
          </cell>
          <cell r="D2239" t="str">
            <v>Polangui General Comprehensive High School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</row>
        <row r="2240">
          <cell r="C2240">
            <v>301866</v>
          </cell>
          <cell r="D2240" t="str">
            <v>Balogo National High School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</row>
        <row r="2241">
          <cell r="C2241">
            <v>301867</v>
          </cell>
          <cell r="D2241" t="str">
            <v>La Medalla High School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</row>
        <row r="2242">
          <cell r="C2242">
            <v>301868</v>
          </cell>
          <cell r="D2242" t="str">
            <v>Ponso National HS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</row>
        <row r="2243">
          <cell r="C2243">
            <v>301869</v>
          </cell>
          <cell r="D2243" t="str">
            <v>Rapu-Rapu National High School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</row>
        <row r="2244">
          <cell r="C2244">
            <v>301870</v>
          </cell>
          <cell r="D2244" t="str">
            <v>Saban National High School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</row>
        <row r="2245">
          <cell r="C2245">
            <v>301871</v>
          </cell>
          <cell r="D2245" t="str">
            <v>San Antonio National High School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</row>
        <row r="2246">
          <cell r="C2246">
            <v>301872</v>
          </cell>
          <cell r="D2246" t="str">
            <v>San Fernando National High School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</row>
        <row r="2247">
          <cell r="C2247">
            <v>301873</v>
          </cell>
          <cell r="D2247" t="str">
            <v>San Isidro National High School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</row>
        <row r="2248">
          <cell r="C2248">
            <v>301874</v>
          </cell>
          <cell r="D2248" t="str">
            <v>San Jose National High School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</row>
        <row r="2249">
          <cell r="C2249">
            <v>301875</v>
          </cell>
          <cell r="D2249" t="str">
            <v>San Jose National High School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</row>
        <row r="2250">
          <cell r="C2250">
            <v>301876</v>
          </cell>
          <cell r="D2250" t="str">
            <v>San Isidro National High School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</row>
        <row r="2251">
          <cell r="C2251">
            <v>301877</v>
          </cell>
          <cell r="D2251" t="str">
            <v>San Vicente National High School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</row>
        <row r="2252">
          <cell r="C2252">
            <v>301878</v>
          </cell>
          <cell r="D2252" t="str">
            <v>Sogod National High school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</row>
        <row r="2253">
          <cell r="C2253">
            <v>301879</v>
          </cell>
          <cell r="D2253" t="str">
            <v>Sto. Domingo National High School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</row>
        <row r="2254">
          <cell r="C2254">
            <v>301880</v>
          </cell>
          <cell r="D2254" t="str">
            <v>Tiwi Agro-Industrial School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3</v>
          </cell>
          <cell r="J2254">
            <v>13</v>
          </cell>
          <cell r="K2254">
            <v>0</v>
          </cell>
          <cell r="L2254">
            <v>0</v>
          </cell>
        </row>
        <row r="2255">
          <cell r="C2255">
            <v>301881</v>
          </cell>
          <cell r="D2255" t="str">
            <v>Joroan High School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</row>
        <row r="2256">
          <cell r="C2256">
            <v>301882</v>
          </cell>
          <cell r="D2256" t="str">
            <v>Villahermosa National High School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</row>
        <row r="2257">
          <cell r="C2257">
            <v>301883</v>
          </cell>
          <cell r="D2257" t="str">
            <v>Bogtong National High School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</row>
        <row r="2258">
          <cell r="C2258">
            <v>301884</v>
          </cell>
          <cell r="D2258" t="str">
            <v>Mancao National High School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</row>
        <row r="2259">
          <cell r="C2259">
            <v>301885</v>
          </cell>
          <cell r="D2259" t="str">
            <v>Vinisitahan National High School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</row>
        <row r="2260">
          <cell r="C2260">
            <v>309501</v>
          </cell>
          <cell r="D2260" t="str">
            <v>Tobog High School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</row>
        <row r="2261">
          <cell r="C2261">
            <v>309502</v>
          </cell>
          <cell r="D2261" t="str">
            <v>San Pablo High School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</row>
        <row r="2262">
          <cell r="C2262">
            <v>309503</v>
          </cell>
          <cell r="D2262" t="str">
            <v>Alabangpuro High School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</row>
        <row r="2263">
          <cell r="C2263">
            <v>309504</v>
          </cell>
          <cell r="D2263" t="str">
            <v>Rawis High School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</row>
        <row r="2264">
          <cell r="C2264">
            <v>309505</v>
          </cell>
          <cell r="D2264" t="str">
            <v>San Francisco National High School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</row>
        <row r="2265">
          <cell r="C2265">
            <v>309507</v>
          </cell>
          <cell r="D2265" t="str">
            <v>Manuel Andaya Bustamante High School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</row>
        <row r="2266">
          <cell r="C2266">
            <v>309508</v>
          </cell>
          <cell r="D2266" t="str">
            <v>Anislag NHS - Bascaran HS Ext.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</row>
        <row r="2267">
          <cell r="C2267">
            <v>309509</v>
          </cell>
          <cell r="D2267" t="str">
            <v>Bilbao National High School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</row>
        <row r="2268">
          <cell r="C2268">
            <v>309510</v>
          </cell>
          <cell r="D2268" t="str">
            <v>Mamlad High School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</row>
        <row r="2269">
          <cell r="C2269">
            <v>309512</v>
          </cell>
          <cell r="D2269" t="str">
            <v>San Miguel High School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</row>
        <row r="2270">
          <cell r="C2270">
            <v>309513</v>
          </cell>
          <cell r="D2270" t="str">
            <v>Lanigay High School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</row>
        <row r="2271">
          <cell r="C2271">
            <v>309514</v>
          </cell>
          <cell r="D2271" t="str">
            <v>Macabugos High School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</row>
        <row r="2272">
          <cell r="C2272">
            <v>309515</v>
          </cell>
          <cell r="D2272" t="str">
            <v>Malilipot National High School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</row>
        <row r="2273">
          <cell r="C2273">
            <v>309516</v>
          </cell>
          <cell r="D2273" t="str">
            <v>Malidong National High School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</row>
        <row r="2274">
          <cell r="C2274">
            <v>309517</v>
          </cell>
          <cell r="D2274" t="str">
            <v>Matara High School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</row>
        <row r="2275">
          <cell r="C2275">
            <v>309518</v>
          </cell>
          <cell r="D2275" t="str">
            <v>Kilicao High School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</row>
        <row r="2276">
          <cell r="C2276">
            <v>309519</v>
          </cell>
          <cell r="D2276" t="str">
            <v>Tinopan High School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</row>
        <row r="2277">
          <cell r="C2277">
            <v>309520</v>
          </cell>
          <cell r="D2277" t="str">
            <v>Malabiga High School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</row>
        <row r="2278">
          <cell r="C2278">
            <v>309521</v>
          </cell>
          <cell r="D2278" t="str">
            <v>San Ramon High School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</row>
        <row r="2279">
          <cell r="C2279">
            <v>500154</v>
          </cell>
          <cell r="D2279" t="str">
            <v>Alimsog Integrated School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</row>
        <row r="2280">
          <cell r="C2280">
            <v>500155</v>
          </cell>
          <cell r="D2280" t="str">
            <v>San Agustin Elementary School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</row>
        <row r="2281">
          <cell r="C2281">
            <v>301886</v>
          </cell>
          <cell r="D2281" t="str">
            <v>Bagong Silang I HS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</row>
        <row r="2282">
          <cell r="C2282">
            <v>301887</v>
          </cell>
          <cell r="D2282" t="str">
            <v>Bagong Silang II NHS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</row>
        <row r="2283">
          <cell r="C2283">
            <v>301888</v>
          </cell>
          <cell r="D2283" t="str">
            <v>E.P. Borja HS (Basiad NHS)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</row>
        <row r="2284">
          <cell r="C2284">
            <v>301889</v>
          </cell>
          <cell r="D2284" t="str">
            <v>Basud National High School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</row>
        <row r="2285">
          <cell r="C2285">
            <v>301890</v>
          </cell>
          <cell r="D2285" t="str">
            <v>Batobalani National High School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</row>
        <row r="2286">
          <cell r="C2286">
            <v>301891</v>
          </cell>
          <cell r="D2286" t="str">
            <v>Camarines Norte National HS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</row>
        <row r="2287">
          <cell r="C2287">
            <v>301892</v>
          </cell>
          <cell r="D2287" t="str">
            <v>D. Q. Liwag NHS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2</v>
          </cell>
          <cell r="J2287">
            <v>6</v>
          </cell>
          <cell r="K2287">
            <v>1</v>
          </cell>
          <cell r="L2287">
            <v>1</v>
          </cell>
        </row>
        <row r="2288">
          <cell r="C2288">
            <v>301893</v>
          </cell>
          <cell r="D2288" t="str">
            <v>Daguit NHS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2</v>
          </cell>
          <cell r="J2288">
            <v>5</v>
          </cell>
          <cell r="K2288">
            <v>2</v>
          </cell>
          <cell r="L2288">
            <v>5</v>
          </cell>
        </row>
        <row r="2289">
          <cell r="C2289">
            <v>301894</v>
          </cell>
          <cell r="D2289" t="str">
            <v>Labo Science and Tech. HS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</row>
        <row r="2290">
          <cell r="C2290">
            <v>301895</v>
          </cell>
          <cell r="D2290" t="str">
            <v>Gonzalez-Ascutia HS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</row>
        <row r="2291">
          <cell r="C2291">
            <v>301896</v>
          </cell>
          <cell r="D2291" t="str">
            <v>Gonzalo Aler NHS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</row>
        <row r="2292">
          <cell r="C2292">
            <v>301897</v>
          </cell>
          <cell r="D2292" t="str">
            <v>Delia Diezmo National High School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</row>
        <row r="2293">
          <cell r="C2293">
            <v>301898</v>
          </cell>
          <cell r="D2293" t="str">
            <v>Jose Panganiban NHS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</row>
        <row r="2294">
          <cell r="C2294">
            <v>301899</v>
          </cell>
          <cell r="D2294" t="str">
            <v>Labo National High School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2</v>
          </cell>
          <cell r="J2294">
            <v>4</v>
          </cell>
          <cell r="K2294">
            <v>0</v>
          </cell>
          <cell r="L2294">
            <v>0</v>
          </cell>
        </row>
        <row r="2295">
          <cell r="C2295">
            <v>301900</v>
          </cell>
          <cell r="D2295" t="str">
            <v>Lalawigan National High School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</row>
        <row r="2296">
          <cell r="C2296">
            <v>301901</v>
          </cell>
          <cell r="D2296" t="str">
            <v>Larap NHS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1</v>
          </cell>
          <cell r="J2296">
            <v>4</v>
          </cell>
          <cell r="K2296">
            <v>1</v>
          </cell>
          <cell r="L2296">
            <v>1</v>
          </cell>
        </row>
        <row r="2297">
          <cell r="C2297">
            <v>301902</v>
          </cell>
          <cell r="D2297" t="str">
            <v>Manguisoc NHS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</row>
        <row r="2298">
          <cell r="C2298">
            <v>301903</v>
          </cell>
          <cell r="D2298" t="str">
            <v>San Lorenzo Ruiz National High School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</row>
        <row r="2299">
          <cell r="C2299">
            <v>301904</v>
          </cell>
          <cell r="D2299" t="str">
            <v>MATANGO NATIONAL HIGH SCHOOL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</row>
        <row r="2300">
          <cell r="C2300">
            <v>301905</v>
          </cell>
          <cell r="D2300" t="str">
            <v>Mercedes HS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</row>
        <row r="2301">
          <cell r="C2301">
            <v>301907</v>
          </cell>
          <cell r="D2301" t="str">
            <v>Pablo S. Villafuerte HS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</row>
        <row r="2302">
          <cell r="C2302">
            <v>301908</v>
          </cell>
          <cell r="D2302" t="str">
            <v>Pag-Asa High School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</row>
        <row r="2303">
          <cell r="C2303">
            <v>301909</v>
          </cell>
          <cell r="D2303" t="str">
            <v>Pambuhan National High School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</row>
        <row r="2304">
          <cell r="C2304">
            <v>301910</v>
          </cell>
          <cell r="D2304" t="str">
            <v>PARACALE NATIONAL HIGH SCHOOL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</row>
        <row r="2305">
          <cell r="C2305">
            <v>301911</v>
          </cell>
          <cell r="D2305" t="str">
            <v>Gumaus NHS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</row>
        <row r="2306">
          <cell r="C2306">
            <v>301912</v>
          </cell>
          <cell r="D2306" t="str">
            <v>Tabas National High School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3</v>
          </cell>
          <cell r="J2306">
            <v>2</v>
          </cell>
          <cell r="K2306">
            <v>3</v>
          </cell>
          <cell r="L2306">
            <v>3</v>
          </cell>
        </row>
        <row r="2307">
          <cell r="C2307">
            <v>301913</v>
          </cell>
          <cell r="D2307" t="str">
            <v>Rizal NATIONAL HIGH SCHOOL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</row>
        <row r="2308">
          <cell r="C2308">
            <v>301914</v>
          </cell>
          <cell r="D2308" t="str">
            <v>Sabang NHS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</row>
        <row r="2309">
          <cell r="C2309">
            <v>301915</v>
          </cell>
          <cell r="D2309" t="str">
            <v>San Felipe NHS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2</v>
          </cell>
          <cell r="J2309">
            <v>9</v>
          </cell>
          <cell r="K2309">
            <v>2</v>
          </cell>
          <cell r="L2309">
            <v>9</v>
          </cell>
        </row>
        <row r="2310">
          <cell r="C2310">
            <v>301916</v>
          </cell>
          <cell r="D2310" t="str">
            <v>San Francisco National High School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</row>
        <row r="2311">
          <cell r="C2311">
            <v>301917</v>
          </cell>
          <cell r="D2311" t="str">
            <v>Leocadio Alejo Entienza HS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</row>
        <row r="2312">
          <cell r="C2312">
            <v>301918</v>
          </cell>
          <cell r="D2312" t="str">
            <v>San Roque National High School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</row>
        <row r="2313">
          <cell r="C2313">
            <v>301919</v>
          </cell>
          <cell r="D2313" t="str">
            <v>Froilan D. Lopez  HS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</row>
        <row r="2314">
          <cell r="C2314">
            <v>301920</v>
          </cell>
          <cell r="D2314" t="str">
            <v>Sta. Cruz NHS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2</v>
          </cell>
          <cell r="K2314">
            <v>1</v>
          </cell>
          <cell r="L2314">
            <v>0</v>
          </cell>
        </row>
        <row r="2315">
          <cell r="C2315">
            <v>301921</v>
          </cell>
          <cell r="D2315" t="str">
            <v>Tigbinan NHS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</row>
        <row r="2316">
          <cell r="C2316">
            <v>301922</v>
          </cell>
          <cell r="D2316" t="str">
            <v>Tulay Na Lupa National High School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</row>
        <row r="2317">
          <cell r="C2317">
            <v>301923</v>
          </cell>
          <cell r="D2317" t="str">
            <v>Talobatib HS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</row>
        <row r="2318">
          <cell r="C2318">
            <v>301924</v>
          </cell>
          <cell r="D2318" t="str">
            <v>Vicente L. Basit Memorial High School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</row>
        <row r="2319">
          <cell r="C2319">
            <v>301925</v>
          </cell>
          <cell r="D2319" t="str">
            <v>Vinzons Pilot High School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</row>
        <row r="2320">
          <cell r="C2320">
            <v>309602</v>
          </cell>
          <cell r="D2320" t="str">
            <v>Maulawin National High School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</row>
        <row r="2321">
          <cell r="C2321">
            <v>309603</v>
          </cell>
          <cell r="D2321" t="str">
            <v>Caringo High School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</row>
        <row r="2322">
          <cell r="C2322">
            <v>309604</v>
          </cell>
          <cell r="D2322" t="str">
            <v>Eugenia M. Quintela Memorial High School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</row>
        <row r="2323">
          <cell r="C2323">
            <v>309605</v>
          </cell>
          <cell r="D2323" t="str">
            <v>Fabrica HS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</row>
        <row r="2324">
          <cell r="C2324">
            <v>309606</v>
          </cell>
          <cell r="D2324" t="str">
            <v>San Isidro HS (Alcantara)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</row>
        <row r="2325">
          <cell r="C2325">
            <v>309607</v>
          </cell>
          <cell r="D2325" t="str">
            <v>Lazaro Cabezudo High School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</row>
        <row r="2326">
          <cell r="C2326">
            <v>309608</v>
          </cell>
          <cell r="D2326" t="str">
            <v>Tuaca HS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2</v>
          </cell>
          <cell r="J2326">
            <v>4</v>
          </cell>
          <cell r="K2326">
            <v>2</v>
          </cell>
          <cell r="L2326">
            <v>4</v>
          </cell>
        </row>
        <row r="2327">
          <cell r="C2327">
            <v>309610</v>
          </cell>
          <cell r="D2327" t="str">
            <v>Victoria J. Tuacar National HS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</row>
        <row r="2328">
          <cell r="C2328">
            <v>309611</v>
          </cell>
          <cell r="D2328" t="str">
            <v>Dominador Narido High School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</row>
        <row r="2329">
          <cell r="C2329">
            <v>309612</v>
          </cell>
          <cell r="D2329" t="str">
            <v>Porfirio R. Ponayo HS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</row>
        <row r="2330">
          <cell r="C2330">
            <v>309613</v>
          </cell>
          <cell r="D2330" t="str">
            <v>Alawihao National High School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</row>
        <row r="2331">
          <cell r="C2331">
            <v>309614</v>
          </cell>
          <cell r="D2331" t="str">
            <v>Magsaysay National High School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</row>
        <row r="2332">
          <cell r="C2332">
            <v>309616</v>
          </cell>
          <cell r="D2332" t="str">
            <v>Bulala HS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1</v>
          </cell>
          <cell r="J2332">
            <v>2</v>
          </cell>
          <cell r="K2332">
            <v>0</v>
          </cell>
          <cell r="L2332">
            <v>2</v>
          </cell>
        </row>
        <row r="2333">
          <cell r="C2333">
            <v>309618</v>
          </cell>
          <cell r="D2333" t="str">
            <v>San Pedro-Domingo Llarena HS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2</v>
          </cell>
          <cell r="J2333">
            <v>2</v>
          </cell>
          <cell r="K2333">
            <v>2</v>
          </cell>
          <cell r="L2333">
            <v>2</v>
          </cell>
        </row>
        <row r="2334">
          <cell r="C2334">
            <v>309619</v>
          </cell>
          <cell r="D2334" t="str">
            <v>Gawad Kalinga HS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</row>
        <row r="2335">
          <cell r="C2335">
            <v>309620</v>
          </cell>
          <cell r="D2335" t="str">
            <v>Sarah Jane Ferrer HS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</row>
        <row r="2336">
          <cell r="C2336">
            <v>309621</v>
          </cell>
          <cell r="D2336" t="str">
            <v>MAXIMO MANARANG HIGH SCHOOL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3</v>
          </cell>
          <cell r="K2336">
            <v>0</v>
          </cell>
          <cell r="L2336">
            <v>0</v>
          </cell>
        </row>
        <row r="2337">
          <cell r="C2337">
            <v>309622</v>
          </cell>
          <cell r="D2337" t="str">
            <v>Camarines Norte NHS-Annex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2</v>
          </cell>
          <cell r="J2337">
            <v>5</v>
          </cell>
          <cell r="K2337">
            <v>1</v>
          </cell>
          <cell r="L2337">
            <v>1</v>
          </cell>
        </row>
        <row r="2338">
          <cell r="C2338">
            <v>500030</v>
          </cell>
          <cell r="D2338" t="str">
            <v>Moreno Integrated School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</row>
        <row r="2339">
          <cell r="C2339">
            <v>500156</v>
          </cell>
          <cell r="D2339" t="str">
            <v>Dumagmang IS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3</v>
          </cell>
          <cell r="K2339">
            <v>0</v>
          </cell>
          <cell r="L2339">
            <v>3</v>
          </cell>
        </row>
        <row r="2340">
          <cell r="C2340">
            <v>300312</v>
          </cell>
          <cell r="D2340" t="str">
            <v>Calabnigan Green Meadows High School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</row>
        <row r="2341">
          <cell r="C2341">
            <v>301926</v>
          </cell>
          <cell r="D2341" t="str">
            <v>Agdangan National High School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</row>
        <row r="2342">
          <cell r="C2342">
            <v>301927</v>
          </cell>
          <cell r="D2342" t="str">
            <v>Anib National High School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</row>
        <row r="2343">
          <cell r="C2343">
            <v>301928</v>
          </cell>
          <cell r="D2343" t="str">
            <v>Antipolo  National High School, Tinambac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</row>
        <row r="2344">
          <cell r="C2344">
            <v>301929</v>
          </cell>
          <cell r="D2344" t="str">
            <v>Simeon Tycangco Memorial High School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</row>
        <row r="2345">
          <cell r="C2345">
            <v>301930</v>
          </cell>
          <cell r="D2345" t="str">
            <v>Sisa Feliciano MHS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</row>
        <row r="2346">
          <cell r="C2346">
            <v>301931</v>
          </cell>
          <cell r="D2346" t="str">
            <v>Baao National High School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</row>
        <row r="2347">
          <cell r="C2347">
            <v>301932</v>
          </cell>
          <cell r="D2347" t="str">
            <v>Nonito Paz Arroyo Memorial High School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</row>
        <row r="2348">
          <cell r="C2348">
            <v>301933</v>
          </cell>
          <cell r="D2348" t="str">
            <v>Eusebia Paz Arroyo Mem. NHS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</row>
        <row r="2349">
          <cell r="C2349">
            <v>301934</v>
          </cell>
          <cell r="D2349" t="str">
            <v>BAGACAY NATIONAL HIGH SCHOOL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</row>
        <row r="2350">
          <cell r="C2350">
            <v>301935</v>
          </cell>
          <cell r="D2350" t="str">
            <v>Bahao HS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</row>
        <row r="2351">
          <cell r="C2351">
            <v>301936</v>
          </cell>
          <cell r="D2351" t="str">
            <v>Homobono H. Gonzalez National High School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</row>
        <row r="2352">
          <cell r="C2352">
            <v>301937</v>
          </cell>
          <cell r="D2352" t="str">
            <v>Bahi National HS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</row>
        <row r="2353">
          <cell r="C2353">
            <v>301938</v>
          </cell>
          <cell r="D2353" t="str">
            <v>Balaogan National  High School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</row>
        <row r="2354">
          <cell r="C2354">
            <v>301939</v>
          </cell>
          <cell r="D2354" t="str">
            <v>Balaton National High School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</row>
        <row r="2355">
          <cell r="C2355">
            <v>301940</v>
          </cell>
          <cell r="D2355" t="str">
            <v>Himanag  National High School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</row>
        <row r="2356">
          <cell r="C2356">
            <v>301941</v>
          </cell>
          <cell r="D2356" t="str">
            <v>Banga HS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</row>
        <row r="2357">
          <cell r="C2357">
            <v>301942</v>
          </cell>
          <cell r="D2357" t="str">
            <v>Barcelonita Fisheries School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</row>
        <row r="2358">
          <cell r="C2358">
            <v>301943</v>
          </cell>
          <cell r="D2358" t="str">
            <v>Bikal Fisheries School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</row>
        <row r="2359">
          <cell r="C2359">
            <v>301944</v>
          </cell>
          <cell r="D2359" t="str">
            <v>Binagasbasan NHS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3</v>
          </cell>
          <cell r="K2359">
            <v>0</v>
          </cell>
          <cell r="L2359">
            <v>3</v>
          </cell>
        </row>
        <row r="2360">
          <cell r="C2360">
            <v>301945</v>
          </cell>
          <cell r="D2360" t="str">
            <v>Binagasbasan NHS - Denrica Annex HS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1</v>
          </cell>
          <cell r="J2360">
            <v>2</v>
          </cell>
          <cell r="K2360">
            <v>0</v>
          </cell>
          <cell r="L2360">
            <v>0</v>
          </cell>
        </row>
        <row r="2361">
          <cell r="C2361">
            <v>301946</v>
          </cell>
          <cell r="D2361" t="str">
            <v>Binanuaanan NHS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</row>
        <row r="2362">
          <cell r="C2362">
            <v>301947</v>
          </cell>
          <cell r="D2362" t="str">
            <v>Bula NHS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</row>
        <row r="2363">
          <cell r="C2363">
            <v>301948</v>
          </cell>
          <cell r="D2363" t="str">
            <v>Bula NHS - Caorasan Annex HS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</row>
        <row r="2364">
          <cell r="C2364">
            <v>301949</v>
          </cell>
          <cell r="D2364" t="str">
            <v>Burabod NHS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</row>
        <row r="2365">
          <cell r="C2365">
            <v>301950</v>
          </cell>
          <cell r="D2365" t="str">
            <v>Gregorio Ocampo Bercasio MHS (frmerly: Cagliliog HS)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</row>
        <row r="2366">
          <cell r="C2366">
            <v>301951</v>
          </cell>
          <cell r="D2366" t="str">
            <v>JAIME MACATANGAY SR. NHS (formerly: Caima NHS)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</row>
        <row r="2367">
          <cell r="C2367">
            <v>301952</v>
          </cell>
          <cell r="D2367" t="str">
            <v>Calabanga NHS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</row>
        <row r="2368">
          <cell r="C2368">
            <v>301953</v>
          </cell>
          <cell r="D2368" t="str">
            <v>Quipayo National High School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</row>
        <row r="2369">
          <cell r="C2369">
            <v>301954</v>
          </cell>
          <cell r="D2369" t="str">
            <v>Sabang National High School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</row>
        <row r="2370">
          <cell r="C2370">
            <v>301955</v>
          </cell>
          <cell r="D2370" t="str">
            <v>West Coast High School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</row>
        <row r="2371">
          <cell r="C2371">
            <v>301956</v>
          </cell>
          <cell r="D2371" t="str">
            <v>Caranday HS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</row>
        <row r="2372">
          <cell r="C2372">
            <v>301957</v>
          </cell>
          <cell r="D2372" t="str">
            <v>Doroteo Federis, Sr. NHS (frmerly: Carangcang HS)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</row>
        <row r="2373">
          <cell r="C2373">
            <v>301958</v>
          </cell>
          <cell r="D2373" t="str">
            <v>Casay National High School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</row>
        <row r="2374">
          <cell r="C2374">
            <v>301959</v>
          </cell>
          <cell r="D2374" t="str">
            <v>Casugad High School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</row>
        <row r="2375">
          <cell r="C2375">
            <v>301960</v>
          </cell>
          <cell r="D2375" t="str">
            <v>Coguit HS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</row>
        <row r="2376">
          <cell r="C2376">
            <v>301961</v>
          </cell>
          <cell r="D2376" t="str">
            <v>Colacling National High School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</row>
        <row r="2377">
          <cell r="C2377">
            <v>301962</v>
          </cell>
          <cell r="D2377" t="str">
            <v>Altamarino-Clasio High School (formerly Curry High School)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</row>
        <row r="2378">
          <cell r="C2378">
            <v>301963</v>
          </cell>
          <cell r="D2378" t="str">
            <v>Dahat National Vocational HS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</row>
        <row r="2379">
          <cell r="C2379">
            <v>301964</v>
          </cell>
          <cell r="D2379" t="str">
            <v>Dalupaon National High School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</row>
        <row r="2380">
          <cell r="C2380">
            <v>301965</v>
          </cell>
          <cell r="D2380" t="str">
            <v>Rolando R. Andaya Sr. Memorial High School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</row>
        <row r="2381">
          <cell r="C2381">
            <v>301966</v>
          </cell>
          <cell r="D2381" t="str">
            <v>Del Gallego National High School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</row>
        <row r="2382">
          <cell r="C2382">
            <v>301967</v>
          </cell>
          <cell r="D2382" t="str">
            <v>Don Mariano Gonzalvo MHS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1</v>
          </cell>
          <cell r="J2382">
            <v>0</v>
          </cell>
          <cell r="K2382">
            <v>0</v>
          </cell>
          <cell r="L2382">
            <v>0</v>
          </cell>
        </row>
        <row r="2383">
          <cell r="C2383">
            <v>301968</v>
          </cell>
          <cell r="D2383" t="str">
            <v>Don Mariano C. Veneracion NHS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</row>
        <row r="2384">
          <cell r="C2384">
            <v>301969</v>
          </cell>
          <cell r="D2384" t="str">
            <v>Don Servillano Platon Memorial NHS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</row>
        <row r="2385">
          <cell r="C2385">
            <v>301970</v>
          </cell>
          <cell r="D2385" t="str">
            <v>Don Teofilo H. Dilanco MHS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</row>
        <row r="2386">
          <cell r="C2386">
            <v>301971</v>
          </cell>
          <cell r="D2386" t="str">
            <v>Fabrica HS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</row>
        <row r="2387">
          <cell r="C2387">
            <v>301972</v>
          </cell>
          <cell r="D2387" t="str">
            <v>Siruma NHS - Fundado Annex High School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</row>
        <row r="2388">
          <cell r="C2388">
            <v>301973</v>
          </cell>
          <cell r="D2388" t="str">
            <v>Gainza National HS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</row>
        <row r="2389">
          <cell r="C2389">
            <v>301974</v>
          </cell>
          <cell r="D2389" t="str">
            <v>Gibgos National High School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</row>
        <row r="2390">
          <cell r="C2390">
            <v>301975</v>
          </cell>
          <cell r="D2390" t="str">
            <v>Goa National High School</v>
          </cell>
          <cell r="E2390">
            <v>0</v>
          </cell>
          <cell r="F2390">
            <v>0</v>
          </cell>
          <cell r="G2390">
            <v>5</v>
          </cell>
          <cell r="H2390">
            <v>0</v>
          </cell>
          <cell r="I2390">
            <v>3</v>
          </cell>
          <cell r="J2390">
            <v>3</v>
          </cell>
          <cell r="K2390">
            <v>0</v>
          </cell>
          <cell r="L2390">
            <v>0</v>
          </cell>
        </row>
        <row r="2391">
          <cell r="C2391">
            <v>301976</v>
          </cell>
          <cell r="D2391" t="str">
            <v>Pinaglabanan High School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</row>
        <row r="2392">
          <cell r="C2392">
            <v>301977</v>
          </cell>
          <cell r="D2392" t="str">
            <v>Godofredo Reyes Sr. National HS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</row>
        <row r="2393">
          <cell r="C2393">
            <v>301978</v>
          </cell>
          <cell r="D2393" t="str">
            <v>Guijalo National High School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</row>
        <row r="2394">
          <cell r="C2394">
            <v>301979</v>
          </cell>
          <cell r="D2394" t="str">
            <v>Haluban NHS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</row>
        <row r="2395">
          <cell r="C2395">
            <v>301980</v>
          </cell>
          <cell r="D2395" t="str">
            <v>San Jose (Alanao) HS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</row>
        <row r="2396">
          <cell r="C2396">
            <v>301981</v>
          </cell>
          <cell r="D2396" t="str">
            <v>Hobo National High School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</row>
        <row r="2397">
          <cell r="C2397">
            <v>301982</v>
          </cell>
          <cell r="D2397" t="str">
            <v>FELIPE P. PANTON HIGH SCHOOL(Formerly:Inoyonan National HS)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</row>
        <row r="2398">
          <cell r="C2398">
            <v>301983</v>
          </cell>
          <cell r="D2398" t="str">
            <v>Jose De Villa NHS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</row>
        <row r="2399">
          <cell r="C2399">
            <v>301984</v>
          </cell>
          <cell r="D2399" t="str">
            <v>Vivencio Obias - Kinalansan NHS (formerly: Kinalansan NHS)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</row>
        <row r="2400">
          <cell r="C2400">
            <v>301985</v>
          </cell>
          <cell r="D2400" t="str">
            <v>La Purisima National High School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</row>
        <row r="2401">
          <cell r="C2401">
            <v>301986</v>
          </cell>
          <cell r="D2401" t="str">
            <v>La Salvacion NHS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</row>
        <row r="2402">
          <cell r="C2402">
            <v>301987</v>
          </cell>
          <cell r="D2402" t="str">
            <v>Lupi National High School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</row>
        <row r="2403">
          <cell r="C2403">
            <v>301988</v>
          </cell>
          <cell r="D2403" t="str">
            <v>Lupi-Iligan National High School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</row>
        <row r="2404">
          <cell r="C2404">
            <v>301989</v>
          </cell>
          <cell r="D2404" t="str">
            <v>Federico P. Condat NHS (frmerly: Maangas HS )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</row>
        <row r="2405">
          <cell r="C2405">
            <v>301990</v>
          </cell>
          <cell r="D2405" t="str">
            <v>Malansad Nuevo High School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</row>
        <row r="2406">
          <cell r="C2406">
            <v>301991</v>
          </cell>
          <cell r="D2406" t="str">
            <v>Malawag National High School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</row>
        <row r="2407">
          <cell r="C2407">
            <v>301992</v>
          </cell>
          <cell r="D2407" t="str">
            <v>Tandaay Provincial HS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</row>
        <row r="2408">
          <cell r="C2408">
            <v>301993</v>
          </cell>
          <cell r="D2408" t="str">
            <v>Mambayawas HS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</row>
        <row r="2409">
          <cell r="C2409">
            <v>301994</v>
          </cell>
          <cell r="D2409" t="str">
            <v>Mambulo Nuevo High School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3</v>
          </cell>
          <cell r="J2409">
            <v>6</v>
          </cell>
          <cell r="K2409">
            <v>0</v>
          </cell>
          <cell r="L2409">
            <v>0</v>
          </cell>
        </row>
        <row r="2410">
          <cell r="C2410">
            <v>301995</v>
          </cell>
          <cell r="D2410" t="str">
            <v>Mangayawan High School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</row>
        <row r="2411">
          <cell r="C2411">
            <v>301996</v>
          </cell>
          <cell r="D2411" t="str">
            <v>Mansalaya National High School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</row>
        <row r="2412">
          <cell r="C2412">
            <v>301997</v>
          </cell>
          <cell r="D2412" t="str">
            <v>Masoli High School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</row>
        <row r="2413">
          <cell r="C2413">
            <v>301998</v>
          </cell>
          <cell r="D2413" t="str">
            <v>Medroso-Mendoza NHS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</row>
        <row r="2414">
          <cell r="C2414">
            <v>301999</v>
          </cell>
          <cell r="D2414" t="str">
            <v>Milaor National High School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</row>
        <row r="2415">
          <cell r="C2415">
            <v>302000</v>
          </cell>
          <cell r="D2415" t="str">
            <v>Minalabac NHS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</row>
        <row r="2416">
          <cell r="C2416">
            <v>302001</v>
          </cell>
          <cell r="D2416" t="str">
            <v>Nabua National High School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</row>
        <row r="2417">
          <cell r="C2417">
            <v>302002</v>
          </cell>
          <cell r="D2417" t="str">
            <v>Lourdes PHS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</row>
        <row r="2418">
          <cell r="C2418">
            <v>302003</v>
          </cell>
          <cell r="D2418" t="str">
            <v>Victor Bernal High School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</row>
        <row r="2419">
          <cell r="C2419">
            <v>302006</v>
          </cell>
          <cell r="D2419" t="str">
            <v>Ocampo NHS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</row>
        <row r="2420">
          <cell r="C2420">
            <v>302007</v>
          </cell>
          <cell r="D2420" t="str">
            <v>Ombao HS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</row>
        <row r="2421">
          <cell r="C2421">
            <v>302008</v>
          </cell>
          <cell r="D2421" t="str">
            <v>Oring National High School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</row>
        <row r="2422">
          <cell r="C2422">
            <v>302009</v>
          </cell>
          <cell r="D2422" t="str">
            <v>Palangon High School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</row>
        <row r="2423">
          <cell r="C2423">
            <v>302010</v>
          </cell>
          <cell r="D2423" t="str">
            <v>Palsong NHS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</row>
        <row r="2424">
          <cell r="C2424">
            <v>302011</v>
          </cell>
          <cell r="D2424" t="str">
            <v>Pambuhan National High School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</row>
        <row r="2425">
          <cell r="C2425">
            <v>302012</v>
          </cell>
          <cell r="D2425" t="str">
            <v>Pamplona NHS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</row>
        <row r="2426">
          <cell r="C2426">
            <v>302013</v>
          </cell>
          <cell r="D2426" t="str">
            <v>PAMUKID NATIONAL HIGH SCHOOL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</row>
        <row r="2427">
          <cell r="C2427">
            <v>302014</v>
          </cell>
          <cell r="D2427" t="str">
            <v>Pararao High School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</row>
        <row r="2428">
          <cell r="C2428">
            <v>302015</v>
          </cell>
          <cell r="D2428" t="str">
            <v>Partido Agro-Industrial NHS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</row>
        <row r="2429">
          <cell r="C2429">
            <v>302016</v>
          </cell>
          <cell r="D2429" t="str">
            <v>Pili NHS, Pili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</row>
        <row r="2430">
          <cell r="C2430">
            <v>302017</v>
          </cell>
          <cell r="D2430" t="str">
            <v>Pili NHS, Pili - Gov.Mariano E. Villafuerte Annex HS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</row>
        <row r="2431">
          <cell r="C2431">
            <v>302019</v>
          </cell>
          <cell r="D2431" t="str">
            <v>Presentacion NHS (formerly:Pili NHS)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</row>
        <row r="2432">
          <cell r="C2432">
            <v>302020</v>
          </cell>
          <cell r="D2432" t="str">
            <v>Ragay National Agricultural and Fisheries School (RNAFS)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</row>
        <row r="2433">
          <cell r="C2433">
            <v>302021</v>
          </cell>
          <cell r="D2433" t="str">
            <v>Ramon B. Felipe Sr. NHS (frmerly: San Vicente HS)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</row>
        <row r="2434">
          <cell r="C2434">
            <v>302022</v>
          </cell>
          <cell r="D2434" t="str">
            <v>Rodriguez NHS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</row>
        <row r="2435">
          <cell r="C2435">
            <v>302023</v>
          </cell>
          <cell r="D2435" t="str">
            <v>Sagrada NHS, Tinambac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2</v>
          </cell>
          <cell r="J2435">
            <v>1</v>
          </cell>
          <cell r="K2435">
            <v>2</v>
          </cell>
          <cell r="L2435">
            <v>1</v>
          </cell>
        </row>
        <row r="2436">
          <cell r="C2436">
            <v>302024</v>
          </cell>
          <cell r="D2436" t="str">
            <v>Magsaysay  National High School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</row>
        <row r="2437">
          <cell r="C2437">
            <v>302025</v>
          </cell>
          <cell r="D2437" t="str">
            <v>Sagrada Familia High School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</row>
        <row r="2438">
          <cell r="C2438">
            <v>302026</v>
          </cell>
          <cell r="D2438" t="str">
            <v>Salvacion HS, Bato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</row>
        <row r="2439">
          <cell r="C2439">
            <v>302027</v>
          </cell>
          <cell r="D2439" t="str">
            <v>San Roque High School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</row>
        <row r="2440">
          <cell r="C2440">
            <v>302028</v>
          </cell>
          <cell r="D2440" t="str">
            <v>Dr. Rodolfo V. Pamor, Jr. MNHS (frmer: Salvacion NHS, Tigaon)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</row>
        <row r="2441">
          <cell r="C2441">
            <v>302029</v>
          </cell>
          <cell r="D2441" t="str">
            <v>Tinawagan NHS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</row>
        <row r="2442">
          <cell r="C2442">
            <v>302030</v>
          </cell>
          <cell r="D2442" t="str">
            <v>San Antonio NHS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</row>
        <row r="2443">
          <cell r="C2443">
            <v>302031</v>
          </cell>
          <cell r="D2443" t="str">
            <v>San Fernando NHS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</row>
        <row r="2444">
          <cell r="C2444">
            <v>302032</v>
          </cell>
          <cell r="D2444" t="str">
            <v>Maura N. Sibulo National High School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</row>
        <row r="2445">
          <cell r="C2445">
            <v>302033</v>
          </cell>
          <cell r="D2445" t="str">
            <v>San Isidro National High School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</row>
        <row r="2446">
          <cell r="C2446">
            <v>302034</v>
          </cell>
          <cell r="D2446" t="str">
            <v>Magarao NHS (formerly: San Isidro NHS)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</row>
        <row r="2447">
          <cell r="C2447">
            <v>302035</v>
          </cell>
          <cell r="D2447" t="str">
            <v>Rangas-Ramos NHS (frmerly:Sn Jose Fish.Sch.)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</row>
        <row r="2448">
          <cell r="C2448">
            <v>302036</v>
          </cell>
          <cell r="D2448" t="str">
            <v>San Jose NHS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</row>
        <row r="2449">
          <cell r="C2449">
            <v>302037</v>
          </cell>
          <cell r="D2449" t="str">
            <v>San Juan National HS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</row>
        <row r="2450">
          <cell r="C2450">
            <v>302038</v>
          </cell>
          <cell r="D2450" t="str">
            <v>San Rafael National High School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</row>
        <row r="2451">
          <cell r="C2451">
            <v>302039</v>
          </cell>
          <cell r="D2451" t="str">
            <v>San Ramon Pilot NHS, Lagonoy (frmerly:Sn.Ramon Pilot HS)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</row>
        <row r="2452">
          <cell r="C2452">
            <v>302040</v>
          </cell>
          <cell r="D2452" t="str">
            <v>Panagan National High School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</row>
        <row r="2453">
          <cell r="C2453">
            <v>302041</v>
          </cell>
          <cell r="D2453" t="str">
            <v>San Ramon HS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2</v>
          </cell>
          <cell r="J2453">
            <v>3</v>
          </cell>
          <cell r="K2453">
            <v>2</v>
          </cell>
          <cell r="L2453">
            <v>3</v>
          </cell>
        </row>
        <row r="2454">
          <cell r="C2454">
            <v>302042</v>
          </cell>
          <cell r="D2454" t="str">
            <v>San Ramon Provincial High School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</row>
        <row r="2455">
          <cell r="C2455">
            <v>302043</v>
          </cell>
          <cell r="D2455" t="str">
            <v>San Vicente NHS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</row>
        <row r="2456">
          <cell r="C2456">
            <v>302044</v>
          </cell>
          <cell r="D2456" t="str">
            <v>Bato National High School</v>
          </cell>
          <cell r="E2456">
            <v>0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</row>
        <row r="2457">
          <cell r="C2457">
            <v>302045</v>
          </cell>
          <cell r="D2457" t="str">
            <v>Sibaguan Agro-Industrial HS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</row>
        <row r="2458">
          <cell r="C2458">
            <v>302046</v>
          </cell>
          <cell r="D2458" t="str">
            <v>Sinuknipan NHS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</row>
        <row r="2459">
          <cell r="C2459">
            <v>302047</v>
          </cell>
          <cell r="D2459" t="str">
            <v>Sipocot NHS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</row>
        <row r="2460">
          <cell r="C2460">
            <v>302048</v>
          </cell>
          <cell r="D2460" t="str">
            <v>Siruma NHS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</row>
        <row r="2461">
          <cell r="C2461">
            <v>302049</v>
          </cell>
          <cell r="D2461" t="str">
            <v>Sta. Cruz National High School</v>
          </cell>
          <cell r="E2461">
            <v>0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</row>
        <row r="2462">
          <cell r="C2462">
            <v>302050</v>
          </cell>
          <cell r="D2462" t="str">
            <v>Sta. Justina High School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</row>
        <row r="2463">
          <cell r="C2463">
            <v>302051</v>
          </cell>
          <cell r="D2463" t="str">
            <v>Sta. Lutgarda National High School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</row>
        <row r="2464">
          <cell r="C2464">
            <v>302052</v>
          </cell>
          <cell r="D2464" t="str">
            <v>Camaligan National High School (formerly: Santo Tomas NHS)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</row>
        <row r="2465">
          <cell r="C2465">
            <v>302053</v>
          </cell>
          <cell r="D2465" t="str">
            <v>Sulpicio A. Roco MHS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</row>
        <row r="2466">
          <cell r="C2466">
            <v>302054</v>
          </cell>
          <cell r="D2466" t="str">
            <v>Tabgon HS, Goa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</row>
        <row r="2467">
          <cell r="C2467">
            <v>302055</v>
          </cell>
          <cell r="D2467" t="str">
            <v>Tabgon NHS, Caramoan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</row>
        <row r="2468">
          <cell r="C2468">
            <v>302056</v>
          </cell>
          <cell r="D2468" t="str">
            <v>Tamban NHS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</row>
        <row r="2469">
          <cell r="C2469">
            <v>302057</v>
          </cell>
          <cell r="D2469" t="str">
            <v>Tambo National High School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</row>
        <row r="2470">
          <cell r="C2470">
            <v>302058</v>
          </cell>
          <cell r="D2470" t="str">
            <v>Tandoc HS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</row>
        <row r="2471">
          <cell r="C2471">
            <v>302059</v>
          </cell>
          <cell r="D2471" t="str">
            <v>Tapayas High School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</row>
        <row r="2472">
          <cell r="C2472">
            <v>302060</v>
          </cell>
          <cell r="D2472" t="str">
            <v>Bonifacio D. Borebor Sr. HS (formerly:Tawog NHS)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</row>
        <row r="2473">
          <cell r="C2473">
            <v>302061</v>
          </cell>
          <cell r="D2473" t="str">
            <v>Bonifacio D. Borebor Sr. HS  - Eastern Coast Annex HS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</row>
        <row r="2474">
          <cell r="C2474">
            <v>302062</v>
          </cell>
          <cell r="D2474" t="str">
            <v>Bonifacio D. Borebor Sr. HS - Northern Peninsula Annex HS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</row>
        <row r="2475">
          <cell r="C2475">
            <v>302063</v>
          </cell>
          <cell r="D2475" t="str">
            <v>Tierra Nevada HS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</row>
        <row r="2476">
          <cell r="C2476">
            <v>302064</v>
          </cell>
          <cell r="D2476" t="str">
            <v>Tomas A. Andaya, Sr. National High School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</row>
        <row r="2477">
          <cell r="C2477">
            <v>302065</v>
          </cell>
          <cell r="D2477" t="str">
            <v>Union National High School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</row>
        <row r="2478">
          <cell r="C2478">
            <v>302066</v>
          </cell>
          <cell r="D2478" t="str">
            <v>Villamayor HS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1</v>
          </cell>
          <cell r="J2478">
            <v>4</v>
          </cell>
          <cell r="K2478">
            <v>0</v>
          </cell>
          <cell r="L2478">
            <v>0</v>
          </cell>
        </row>
        <row r="2479">
          <cell r="C2479">
            <v>302067</v>
          </cell>
          <cell r="D2479" t="str">
            <v>Villamayor HS - Bagolatao Annex HS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</row>
        <row r="2480">
          <cell r="C2480">
            <v>302068</v>
          </cell>
          <cell r="D2480" t="str">
            <v>Villazar National High School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</row>
        <row r="2481">
          <cell r="C2481">
            <v>302069</v>
          </cell>
          <cell r="D2481" t="str">
            <v>Vito HS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1</v>
          </cell>
          <cell r="K2481">
            <v>0</v>
          </cell>
          <cell r="L2481">
            <v>0</v>
          </cell>
        </row>
        <row r="2482">
          <cell r="C2482">
            <v>305545</v>
          </cell>
          <cell r="D2482" t="str">
            <v>Goa Science High School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</row>
        <row r="2483">
          <cell r="C2483">
            <v>309702</v>
          </cell>
          <cell r="D2483" t="str">
            <v>Juan F. Trivino MHS (frmerly: Pasacao Sch. of Fisheries)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5</v>
          </cell>
          <cell r="J2483">
            <v>7</v>
          </cell>
          <cell r="K2483">
            <v>5</v>
          </cell>
          <cell r="L2483">
            <v>7</v>
          </cell>
        </row>
        <row r="2484">
          <cell r="C2484">
            <v>309703</v>
          </cell>
          <cell r="D2484" t="str">
            <v>Bitaogan National High School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</row>
        <row r="2485">
          <cell r="C2485">
            <v>309704</v>
          </cell>
          <cell r="D2485" t="str">
            <v>Hanawan  National HS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</row>
        <row r="2486">
          <cell r="C2486">
            <v>309705</v>
          </cell>
          <cell r="D2486" t="str">
            <v>Pinamasagan National High School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</row>
        <row r="2487">
          <cell r="C2487">
            <v>309707</v>
          </cell>
          <cell r="D2487" t="str">
            <v>Siembre High School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</row>
        <row r="2488">
          <cell r="C2488">
            <v>309708</v>
          </cell>
          <cell r="D2488" t="str">
            <v>Catalotoan HS</v>
          </cell>
          <cell r="E2488">
            <v>0</v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</row>
        <row r="2489">
          <cell r="C2489">
            <v>309709</v>
          </cell>
          <cell r="D2489" t="str">
            <v>Buhi SPED Integrated School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</row>
        <row r="2490">
          <cell r="C2490">
            <v>309711</v>
          </cell>
          <cell r="D2490" t="str">
            <v>Mantalisay HS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</row>
        <row r="2491">
          <cell r="C2491">
            <v>309713</v>
          </cell>
          <cell r="D2491" t="str">
            <v>Buenavista National High School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</row>
        <row r="2492">
          <cell r="C2492">
            <v>309714</v>
          </cell>
          <cell r="D2492" t="str">
            <v>SagÃ±ay Southeastern  HS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</row>
        <row r="2493">
          <cell r="C2493">
            <v>309715</v>
          </cell>
          <cell r="D2493" t="str">
            <v>Nato National High School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</row>
        <row r="2494">
          <cell r="C2494">
            <v>309716</v>
          </cell>
          <cell r="D2494" t="str">
            <v>San Jose Pili National High School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</row>
        <row r="2495">
          <cell r="C2495">
            <v>309717</v>
          </cell>
          <cell r="D2495" t="str">
            <v>San Vicente HS, Sipocot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</row>
        <row r="2496">
          <cell r="C2496">
            <v>309718</v>
          </cell>
          <cell r="D2496" t="str">
            <v>Dalupaon NHS - Tinalmud  PHS Annex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</row>
        <row r="2497">
          <cell r="C2497">
            <v>309719</v>
          </cell>
          <cell r="D2497" t="str">
            <v>Doña Basilia S. Quilon Memorial High School (formerly:Bagong Sirang HS)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</row>
        <row r="2498">
          <cell r="C2498">
            <v>309721</v>
          </cell>
          <cell r="D2498" t="str">
            <v>Huyonhuyon HS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</row>
        <row r="2499">
          <cell r="C2499">
            <v>309723</v>
          </cell>
          <cell r="D2499" t="str">
            <v>Del Rosario National HS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</row>
        <row r="2500">
          <cell r="C2500">
            <v>309724</v>
          </cell>
          <cell r="D2500" t="str">
            <v>Agay-ayan NHS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</row>
        <row r="2501">
          <cell r="C2501">
            <v>309725</v>
          </cell>
          <cell r="D2501" t="str">
            <v>Laganac  High School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</row>
        <row r="2502">
          <cell r="C2502">
            <v>309731</v>
          </cell>
          <cell r="D2502" t="str">
            <v>Antipolo HS, Minalabac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</row>
        <row r="2503">
          <cell r="C2503">
            <v>309732</v>
          </cell>
          <cell r="D2503" t="str">
            <v>Dr. Lorenzo P. Ziga Memorial High School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</row>
        <row r="2504">
          <cell r="C2504">
            <v>309734</v>
          </cell>
          <cell r="D2504" t="str">
            <v>Buenavista National HS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</row>
        <row r="2505">
          <cell r="C2505">
            <v>309735</v>
          </cell>
          <cell r="D2505" t="str">
            <v>Sta. Cruz HS - Northern Canaman Annex HS</v>
          </cell>
          <cell r="E2505">
            <v>0</v>
          </cell>
          <cell r="F2505">
            <v>0</v>
          </cell>
          <cell r="G2505">
            <v>1</v>
          </cell>
          <cell r="H2505">
            <v>0</v>
          </cell>
          <cell r="I2505">
            <v>0</v>
          </cell>
          <cell r="J2505">
            <v>1</v>
          </cell>
          <cell r="K2505">
            <v>0</v>
          </cell>
          <cell r="L2505">
            <v>1</v>
          </cell>
        </row>
        <row r="2506">
          <cell r="C2506">
            <v>309736</v>
          </cell>
          <cell r="D2506" t="str">
            <v>Dr. Nelson A. Mejia HS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</row>
        <row r="2507">
          <cell r="C2507">
            <v>309738</v>
          </cell>
          <cell r="D2507" t="str">
            <v>Payatan National High School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</row>
        <row r="2508">
          <cell r="C2508">
            <v>309739</v>
          </cell>
          <cell r="D2508" t="str">
            <v>Bantugan National High School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</row>
        <row r="2509">
          <cell r="C2509">
            <v>309740</v>
          </cell>
          <cell r="D2509" t="str">
            <v>Visita De Salog HS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</row>
        <row r="2510">
          <cell r="C2510">
            <v>309741</v>
          </cell>
          <cell r="D2510" t="str">
            <v>Juan L. Filipino Memorial High School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</row>
        <row r="2511">
          <cell r="C2511">
            <v>309742</v>
          </cell>
          <cell r="D2511" t="str">
            <v>Canayonan National High School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</row>
        <row r="2512">
          <cell r="C2512">
            <v>309743</v>
          </cell>
          <cell r="D2512" t="str">
            <v>Bolo Norte HS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</row>
        <row r="2513">
          <cell r="C2513">
            <v>309744</v>
          </cell>
          <cell r="D2513" t="str">
            <v>Don Mariano C. San Juan HS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</row>
        <row r="2514">
          <cell r="C2514">
            <v>309745</v>
          </cell>
          <cell r="D2514" t="str">
            <v>Northern Plain HS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</row>
        <row r="2515">
          <cell r="C2515">
            <v>309746</v>
          </cell>
          <cell r="D2515" t="str">
            <v>PAYAK HIGH SCHOOL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</row>
        <row r="2516">
          <cell r="C2516">
            <v>309747</v>
          </cell>
          <cell r="D2516" t="str">
            <v>Carmel National High School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</row>
        <row r="2517">
          <cell r="C2517">
            <v>309748</v>
          </cell>
          <cell r="D2517" t="str">
            <v>Milaor NHS - Dalipay Annex HS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</row>
        <row r="2518">
          <cell r="C2518">
            <v>309749</v>
          </cell>
          <cell r="D2518" t="str">
            <v>BINOBONG HIGH SCHOOL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</row>
        <row r="2519">
          <cell r="C2519">
            <v>309750</v>
          </cell>
          <cell r="D2519" t="str">
            <v>Cristobal D. Aquino Memorial High School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</row>
        <row r="2520">
          <cell r="C2520">
            <v>309751</v>
          </cell>
          <cell r="D2520" t="str">
            <v>Ragay Science and Math Oriented High School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</row>
        <row r="2521">
          <cell r="C2521">
            <v>309752</v>
          </cell>
          <cell r="D2521" t="str">
            <v>Tinorongan National High School (Formerly SagÃ±ay Western  HS)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1</v>
          </cell>
          <cell r="K2521">
            <v>0</v>
          </cell>
          <cell r="L2521">
            <v>0</v>
          </cell>
        </row>
        <row r="2522">
          <cell r="C2522">
            <v>309753</v>
          </cell>
          <cell r="D2522" t="str">
            <v>Salogon High School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</row>
        <row r="2523">
          <cell r="C2523">
            <v>309755</v>
          </cell>
          <cell r="D2523" t="str">
            <v>Sacred Heart High School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</row>
        <row r="2524">
          <cell r="C2524">
            <v>309757</v>
          </cell>
          <cell r="D2524" t="str">
            <v>Cagbibi  National  High School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</row>
        <row r="2525">
          <cell r="C2525">
            <v>309758</v>
          </cell>
          <cell r="D2525" t="str">
            <v>Eduardo V. Agomaa National High School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</row>
        <row r="2526">
          <cell r="C2526">
            <v>309759</v>
          </cell>
          <cell r="D2526" t="str">
            <v>Pulang Daga High School</v>
          </cell>
          <cell r="E2526">
            <v>1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</row>
        <row r="2527">
          <cell r="C2527">
            <v>309760</v>
          </cell>
          <cell r="D2527" t="str">
            <v>Fabrica HS - La Victoria Annex HS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</row>
        <row r="2528">
          <cell r="C2528">
            <v>309762</v>
          </cell>
          <cell r="D2528" t="str">
            <v>Binanuaanan NHS - Sagurong  Annex HS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</row>
        <row r="2529">
          <cell r="C2529">
            <v>309763</v>
          </cell>
          <cell r="D2529" t="str">
            <v>Camarines Sur Sports Academy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</row>
        <row r="2530">
          <cell r="C2530">
            <v>309764</v>
          </cell>
          <cell r="D2530" t="str">
            <v>R.T. Subastil Memorial HS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</row>
        <row r="2531">
          <cell r="C2531">
            <v>309765</v>
          </cell>
          <cell r="D2531" t="str">
            <v>Pag-Oring Nuevo National HS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</row>
        <row r="2532">
          <cell r="C2532">
            <v>309766</v>
          </cell>
          <cell r="D2532" t="str">
            <v>Cabalinadan High School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</row>
        <row r="2533">
          <cell r="C2533">
            <v>309767</v>
          </cell>
          <cell r="D2533" t="str">
            <v>Manangle High School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</row>
        <row r="2534">
          <cell r="C2534">
            <v>309768</v>
          </cell>
          <cell r="D2534" t="str">
            <v>Cabotonan High School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</row>
        <row r="2535">
          <cell r="C2535">
            <v>309769</v>
          </cell>
          <cell r="D2535" t="str">
            <v>Pasacao Municipal High School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</row>
        <row r="2536">
          <cell r="C2536">
            <v>309770</v>
          </cell>
          <cell r="D2536" t="str">
            <v>San  Pablo Integrated School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</row>
        <row r="2537">
          <cell r="C2537">
            <v>309771</v>
          </cell>
          <cell r="D2537" t="str">
            <v>Villafuerte-Peña High School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</row>
        <row r="2538">
          <cell r="C2538">
            <v>309772</v>
          </cell>
          <cell r="D2538" t="str">
            <v>Lidong High School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</row>
        <row r="2539">
          <cell r="C2539">
            <v>330529</v>
          </cell>
          <cell r="D2539" t="str">
            <v>Marangi High School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</row>
        <row r="2540">
          <cell r="C2540">
            <v>500157</v>
          </cell>
          <cell r="D2540" t="str">
            <v>Ponong Integrated School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</row>
        <row r="2541">
          <cell r="C2541">
            <v>500158</v>
          </cell>
          <cell r="D2541" t="str">
            <v>Antipolo Heights Integrated School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</row>
        <row r="2542">
          <cell r="C2542">
            <v>500468</v>
          </cell>
          <cell r="D2542" t="str">
            <v>Harrison Integrated School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</row>
        <row r="2543">
          <cell r="C2543">
            <v>500469</v>
          </cell>
          <cell r="D2543" t="str">
            <v>Toytoy Integrated School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</row>
        <row r="2544">
          <cell r="C2544">
            <v>500917</v>
          </cell>
          <cell r="D2544" t="str">
            <v>Sumaoy ES</v>
          </cell>
          <cell r="E2544">
            <v>0</v>
          </cell>
          <cell r="F2544">
            <v>1</v>
          </cell>
          <cell r="G2544">
            <v>0</v>
          </cell>
          <cell r="H2544">
            <v>0</v>
          </cell>
          <cell r="I2544">
            <v>0</v>
          </cell>
          <cell r="J2544">
            <v>1</v>
          </cell>
          <cell r="K2544">
            <v>0</v>
          </cell>
          <cell r="L2544">
            <v>0</v>
          </cell>
        </row>
        <row r="2545">
          <cell r="C2545">
            <v>302070</v>
          </cell>
          <cell r="D2545" t="str">
            <v>Agban NHS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</row>
        <row r="2546">
          <cell r="C2546">
            <v>302071</v>
          </cell>
          <cell r="D2546" t="str">
            <v>Antipolo NHS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3</v>
          </cell>
          <cell r="J2546">
            <v>3</v>
          </cell>
          <cell r="K2546">
            <v>0</v>
          </cell>
          <cell r="L2546">
            <v>0</v>
          </cell>
        </row>
        <row r="2547">
          <cell r="C2547">
            <v>302072</v>
          </cell>
          <cell r="D2547" t="str">
            <v>Bagamanoc Rural DHS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4</v>
          </cell>
          <cell r="J2547">
            <v>6</v>
          </cell>
          <cell r="K2547">
            <v>5</v>
          </cell>
          <cell r="L2547">
            <v>6</v>
          </cell>
        </row>
        <row r="2548">
          <cell r="C2548">
            <v>302073</v>
          </cell>
          <cell r="D2548" t="str">
            <v>Baras Rural DHS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</row>
        <row r="2549">
          <cell r="C2549">
            <v>302074</v>
          </cell>
          <cell r="D2549" t="str">
            <v>Bato Rural Development High School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</row>
        <row r="2550">
          <cell r="C2550">
            <v>302076</v>
          </cell>
          <cell r="D2550" t="str">
            <v>Bugao NHS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</row>
        <row r="2551">
          <cell r="C2551">
            <v>302078</v>
          </cell>
          <cell r="D2551" t="str">
            <v>Cabcab NHS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</row>
        <row r="2552">
          <cell r="C2552">
            <v>302081</v>
          </cell>
          <cell r="D2552" t="str">
            <v>Caramoran Rural Development High School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</row>
        <row r="2553">
          <cell r="C2553">
            <v>302082</v>
          </cell>
          <cell r="D2553" t="str">
            <v>Caramoran School of Fisheries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</row>
        <row r="2554">
          <cell r="C2554">
            <v>302083</v>
          </cell>
          <cell r="D2554" t="str">
            <v>Catanduanes NHS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</row>
        <row r="2555">
          <cell r="C2555">
            <v>302084</v>
          </cell>
          <cell r="D2555" t="str">
            <v>Calatagan High School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</row>
        <row r="2556">
          <cell r="C2556">
            <v>302085</v>
          </cell>
          <cell r="D2556" t="str">
            <v>Codon National High School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</row>
        <row r="2557">
          <cell r="C2557">
            <v>302086</v>
          </cell>
          <cell r="D2557" t="str">
            <v>Dariao NHS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</row>
        <row r="2558">
          <cell r="C2558">
            <v>302087</v>
          </cell>
          <cell r="D2558" t="str">
            <v>Dororian NHS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</row>
        <row r="2559">
          <cell r="C2559">
            <v>302088</v>
          </cell>
          <cell r="D2559" t="str">
            <v>Gigmoto Rural DHS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4</v>
          </cell>
          <cell r="J2559">
            <v>2</v>
          </cell>
          <cell r="K2559">
            <v>4</v>
          </cell>
          <cell r="L2559">
            <v>2</v>
          </cell>
        </row>
        <row r="2560">
          <cell r="C2560">
            <v>302089</v>
          </cell>
          <cell r="D2560" t="str">
            <v>Hawan National High School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</row>
        <row r="2561">
          <cell r="C2561">
            <v>302090</v>
          </cell>
          <cell r="D2561" t="str">
            <v>Magnesia National High School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</row>
        <row r="2562">
          <cell r="C2562">
            <v>302091</v>
          </cell>
          <cell r="D2562" t="str">
            <v>Manambrag NHS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</row>
        <row r="2563">
          <cell r="C2563">
            <v>302092</v>
          </cell>
          <cell r="D2563" t="str">
            <v>Mayngaway NHS</v>
          </cell>
          <cell r="E2563">
            <v>0</v>
          </cell>
          <cell r="F2563">
            <v>0</v>
          </cell>
          <cell r="G2563">
            <v>0</v>
          </cell>
          <cell r="H2563">
            <v>0</v>
          </cell>
          <cell r="I2563">
            <v>2</v>
          </cell>
          <cell r="J2563">
            <v>8</v>
          </cell>
          <cell r="K2563">
            <v>0</v>
          </cell>
          <cell r="L2563">
            <v>0</v>
          </cell>
        </row>
        <row r="2564">
          <cell r="C2564">
            <v>302093</v>
          </cell>
          <cell r="D2564" t="str">
            <v>Palta NHS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</row>
        <row r="2565">
          <cell r="C2565">
            <v>302094</v>
          </cell>
          <cell r="D2565" t="str">
            <v>Pandan SAT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</row>
        <row r="2566">
          <cell r="C2566">
            <v>302095</v>
          </cell>
          <cell r="D2566" t="str">
            <v>Panganiban National High School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1</v>
          </cell>
          <cell r="K2566">
            <v>0</v>
          </cell>
          <cell r="L2566">
            <v>1</v>
          </cell>
        </row>
        <row r="2567">
          <cell r="C2567">
            <v>302096</v>
          </cell>
          <cell r="D2567" t="str">
            <v>San Andres Vocational School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</row>
        <row r="2568">
          <cell r="C2568">
            <v>302097</v>
          </cell>
          <cell r="D2568" t="str">
            <v>San Jose NHS</v>
          </cell>
          <cell r="E2568">
            <v>0</v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</row>
        <row r="2569">
          <cell r="C2569">
            <v>302098</v>
          </cell>
          <cell r="D2569" t="str">
            <v>San Miguel Rural DHS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4</v>
          </cell>
          <cell r="J2569">
            <v>5</v>
          </cell>
          <cell r="K2569">
            <v>4</v>
          </cell>
          <cell r="L2569">
            <v>5</v>
          </cell>
        </row>
        <row r="2570">
          <cell r="C2570">
            <v>302099</v>
          </cell>
          <cell r="D2570" t="str">
            <v>Mabato NHS (SMRDHS Annex)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</row>
        <row r="2571">
          <cell r="C2571">
            <v>302100</v>
          </cell>
          <cell r="D2571" t="str">
            <v>San Vicente National High School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2</v>
          </cell>
          <cell r="J2571">
            <v>4</v>
          </cell>
          <cell r="K2571">
            <v>0</v>
          </cell>
          <cell r="L2571">
            <v>0</v>
          </cell>
        </row>
        <row r="2572">
          <cell r="C2572">
            <v>302102</v>
          </cell>
          <cell r="D2572" t="str">
            <v>Supang-Datag National High  School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</row>
        <row r="2573">
          <cell r="C2573">
            <v>302103</v>
          </cell>
          <cell r="D2573" t="str">
            <v>Leandro I.Verceles Sr. NHS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</row>
        <row r="2574">
          <cell r="C2574">
            <v>302104</v>
          </cell>
          <cell r="D2574" t="str">
            <v>Tambogñon NHS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</row>
        <row r="2575">
          <cell r="C2575">
            <v>302105</v>
          </cell>
          <cell r="D2575" t="str">
            <v>Tinago NHS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</row>
        <row r="2576">
          <cell r="C2576">
            <v>302106</v>
          </cell>
          <cell r="D2576" t="str">
            <v>Tubli National High School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5</v>
          </cell>
          <cell r="J2576">
            <v>4</v>
          </cell>
          <cell r="K2576">
            <v>0</v>
          </cell>
          <cell r="L2576">
            <v>0</v>
          </cell>
        </row>
        <row r="2577">
          <cell r="C2577">
            <v>302107</v>
          </cell>
          <cell r="D2577" t="str">
            <v>Viga Rural DHS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</row>
        <row r="2578">
          <cell r="C2578">
            <v>309801</v>
          </cell>
          <cell r="D2578" t="str">
            <v>Panganiban NHS (CAIC Compound)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</row>
        <row r="2579">
          <cell r="C2579">
            <v>500031</v>
          </cell>
          <cell r="D2579" t="str">
            <v>Buyo Integrated School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</row>
        <row r="2580">
          <cell r="C2580">
            <v>500032</v>
          </cell>
          <cell r="D2580" t="str">
            <v>Cabugao IS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</row>
        <row r="2581">
          <cell r="C2581">
            <v>500033</v>
          </cell>
          <cell r="D2581" t="str">
            <v>Sicmil Integrated School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</row>
        <row r="2582">
          <cell r="C2582">
            <v>500159</v>
          </cell>
          <cell r="D2582" t="str">
            <v>Cobo Integrated School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</row>
        <row r="2583">
          <cell r="C2583">
            <v>500160</v>
          </cell>
          <cell r="D2583" t="str">
            <v>Lictin IS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1</v>
          </cell>
          <cell r="J2583">
            <v>3</v>
          </cell>
          <cell r="K2583">
            <v>0</v>
          </cell>
          <cell r="L2583">
            <v>0</v>
          </cell>
        </row>
        <row r="2584">
          <cell r="C2584">
            <v>500412</v>
          </cell>
          <cell r="D2584" t="str">
            <v>Bote IS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</row>
        <row r="2585">
          <cell r="C2585">
            <v>500414</v>
          </cell>
          <cell r="D2585" t="str">
            <v>Palumbanes Integrated School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</row>
        <row r="2586">
          <cell r="C2586">
            <v>500415</v>
          </cell>
          <cell r="D2586" t="str">
            <v>Milaviga IS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2</v>
          </cell>
          <cell r="J2586">
            <v>3</v>
          </cell>
          <cell r="K2586">
            <v>0</v>
          </cell>
          <cell r="L2586">
            <v>0</v>
          </cell>
        </row>
        <row r="2587">
          <cell r="C2587">
            <v>300291</v>
          </cell>
          <cell r="D2587" t="str">
            <v>Cabangcalan High School</v>
          </cell>
          <cell r="E2587">
            <v>0</v>
          </cell>
          <cell r="F2587">
            <v>0</v>
          </cell>
          <cell r="G2587">
            <v>2</v>
          </cell>
          <cell r="H2587">
            <v>0</v>
          </cell>
          <cell r="I2587">
            <v>3</v>
          </cell>
          <cell r="J2587">
            <v>1</v>
          </cell>
          <cell r="K2587">
            <v>0</v>
          </cell>
          <cell r="L2587">
            <v>0</v>
          </cell>
        </row>
        <row r="2588">
          <cell r="C2588">
            <v>302108</v>
          </cell>
          <cell r="D2588" t="str">
            <v>Adelina P. Laurio National HS</v>
          </cell>
          <cell r="E2588">
            <v>0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</row>
        <row r="2589">
          <cell r="C2589">
            <v>302109</v>
          </cell>
          <cell r="D2589" t="str">
            <v>Andres Clemente Jr.National HS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</row>
        <row r="2590">
          <cell r="C2590">
            <v>302110</v>
          </cell>
          <cell r="D2590" t="str">
            <v>Temistocles A. Merioles, Sr. Memorial High School</v>
          </cell>
          <cell r="E2590">
            <v>0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</row>
        <row r="2591">
          <cell r="C2591">
            <v>302111</v>
          </cell>
          <cell r="D2591" t="str">
            <v>Aroroy NHS</v>
          </cell>
          <cell r="E2591">
            <v>0</v>
          </cell>
          <cell r="F2591">
            <v>0</v>
          </cell>
          <cell r="G2591">
            <v>0</v>
          </cell>
          <cell r="H2591">
            <v>2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</row>
        <row r="2592">
          <cell r="C2592">
            <v>302112</v>
          </cell>
          <cell r="D2592" t="str">
            <v>Badiang National High School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2</v>
          </cell>
          <cell r="J2592">
            <v>1</v>
          </cell>
          <cell r="K2592">
            <v>1</v>
          </cell>
          <cell r="L2592">
            <v>3</v>
          </cell>
        </row>
        <row r="2593">
          <cell r="C2593">
            <v>302113</v>
          </cell>
          <cell r="D2593" t="str">
            <v>Bagahanglad NHS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</row>
        <row r="2594">
          <cell r="C2594">
            <v>302114</v>
          </cell>
          <cell r="D2594" t="str">
            <v>Don Benito Maristela Mem. HS</v>
          </cell>
          <cell r="E2594">
            <v>0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</row>
        <row r="2595">
          <cell r="C2595">
            <v>302115</v>
          </cell>
          <cell r="D2595" t="str">
            <v>Baleno National High School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</row>
        <row r="2596">
          <cell r="C2596">
            <v>302116</v>
          </cell>
          <cell r="D2596" t="str">
            <v>Balud NHS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</row>
        <row r="2597">
          <cell r="C2597">
            <v>302117</v>
          </cell>
          <cell r="D2597" t="str">
            <v>Pedro C. Sese, Sr. Mem. HS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</row>
        <row r="2598">
          <cell r="C2598">
            <v>302118</v>
          </cell>
          <cell r="D2598" t="str">
            <v>G. Bangalisan National High School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</row>
        <row r="2599">
          <cell r="C2599">
            <v>302119</v>
          </cell>
          <cell r="D2599" t="str">
            <v>Melchor B. Burlaos Memorial High School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</row>
        <row r="2600">
          <cell r="C2600">
            <v>302121</v>
          </cell>
          <cell r="D2600" t="str">
            <v>Buenavista National High School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</row>
        <row r="2601">
          <cell r="C2601">
            <v>302122</v>
          </cell>
          <cell r="D2601" t="str">
            <v>Bugtong National High School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</row>
        <row r="2602">
          <cell r="C2602">
            <v>302123</v>
          </cell>
          <cell r="D2602" t="str">
            <v>Buracan National High School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</row>
        <row r="2603">
          <cell r="C2603">
            <v>302124</v>
          </cell>
          <cell r="D2603" t="str">
            <v>Burgos National High School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</row>
        <row r="2604">
          <cell r="C2604">
            <v>302125</v>
          </cell>
          <cell r="D2604" t="str">
            <v>Cleofe A. Arce Memorial High School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</row>
        <row r="2605">
          <cell r="C2605">
            <v>302126</v>
          </cell>
          <cell r="D2605" t="str">
            <v>Tito R. Espinosa Memorial National Agricultural School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2</v>
          </cell>
          <cell r="J2605">
            <v>3</v>
          </cell>
          <cell r="K2605">
            <v>0</v>
          </cell>
          <cell r="L2605">
            <v>1</v>
          </cell>
        </row>
        <row r="2606">
          <cell r="C2606">
            <v>302127</v>
          </cell>
          <cell r="D2606" t="str">
            <v>Buyo NHS</v>
          </cell>
          <cell r="E2606">
            <v>0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</row>
        <row r="2607">
          <cell r="C2607">
            <v>302128</v>
          </cell>
          <cell r="D2607" t="str">
            <v>Marcelo A. Anonuevo -Cadulawan National High School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</row>
        <row r="2608">
          <cell r="C2608">
            <v>302129</v>
          </cell>
          <cell r="D2608" t="str">
            <v>Cataingan National High School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</row>
        <row r="2609">
          <cell r="C2609">
            <v>302130</v>
          </cell>
          <cell r="D2609" t="str">
            <v>Cawayan National High School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3</v>
          </cell>
          <cell r="J2609">
            <v>0</v>
          </cell>
          <cell r="K2609">
            <v>0</v>
          </cell>
          <cell r="L2609">
            <v>0</v>
          </cell>
        </row>
        <row r="2610">
          <cell r="C2610">
            <v>302131</v>
          </cell>
          <cell r="D2610" t="str">
            <v>Del Carmen National High School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</row>
        <row r="2611">
          <cell r="C2611">
            <v>302132</v>
          </cell>
          <cell r="D2611" t="str">
            <v>Dimasalang National High School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</row>
        <row r="2612">
          <cell r="C2612">
            <v>302134</v>
          </cell>
          <cell r="D2612" t="str">
            <v>F. Alindogan National High School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</row>
        <row r="2613">
          <cell r="C2613">
            <v>302135</v>
          </cell>
          <cell r="D2613" t="str">
            <v>Felixberto Del Rosario, Sr. Mem. HS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4</v>
          </cell>
          <cell r="J2613">
            <v>0</v>
          </cell>
          <cell r="K2613">
            <v>0</v>
          </cell>
          <cell r="L2613">
            <v>0</v>
          </cell>
        </row>
        <row r="2614">
          <cell r="C2614">
            <v>302136</v>
          </cell>
          <cell r="D2614" t="str">
            <v>Matagangtang National High School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</row>
        <row r="2615">
          <cell r="C2615">
            <v>302137</v>
          </cell>
          <cell r="D2615" t="str">
            <v>Halabangbaybay NHS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</row>
        <row r="2616">
          <cell r="C2616">
            <v>302138</v>
          </cell>
          <cell r="D2616" t="str">
            <v>Ipil NHS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1</v>
          </cell>
          <cell r="J2616">
            <v>3</v>
          </cell>
          <cell r="K2616">
            <v>0</v>
          </cell>
          <cell r="L2616">
            <v>0</v>
          </cell>
        </row>
        <row r="2617">
          <cell r="C2617">
            <v>302139</v>
          </cell>
          <cell r="D2617" t="str">
            <v>Jamorawon National High School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4</v>
          </cell>
          <cell r="J2617">
            <v>4</v>
          </cell>
          <cell r="K2617">
            <v>1</v>
          </cell>
          <cell r="L2617">
            <v>2</v>
          </cell>
        </row>
        <row r="2618">
          <cell r="C2618">
            <v>302140</v>
          </cell>
          <cell r="D2618" t="str">
            <v>Lagta National High School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</row>
        <row r="2619">
          <cell r="C2619">
            <v>302141</v>
          </cell>
          <cell r="D2619" t="str">
            <v>Lahong National High School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3</v>
          </cell>
          <cell r="J2619">
            <v>3</v>
          </cell>
          <cell r="K2619">
            <v>0</v>
          </cell>
          <cell r="L2619">
            <v>0</v>
          </cell>
        </row>
        <row r="2620">
          <cell r="C2620">
            <v>302142</v>
          </cell>
          <cell r="D2620" t="str">
            <v>Liong National High School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</row>
        <row r="2621">
          <cell r="C2621">
            <v>302143</v>
          </cell>
          <cell r="D2621" t="str">
            <v>Luy-a National High School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</row>
        <row r="2622">
          <cell r="C2622">
            <v>302144</v>
          </cell>
          <cell r="D2622" t="str">
            <v>Magdalena NHS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</row>
        <row r="2623">
          <cell r="C2623">
            <v>302145</v>
          </cell>
          <cell r="D2623" t="str">
            <v>Federico A. Estipona Memorial High School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</row>
        <row r="2624">
          <cell r="C2624">
            <v>302146</v>
          </cell>
          <cell r="D2624" t="str">
            <v>Marintoc National High School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</row>
        <row r="2625">
          <cell r="C2625">
            <v>302147</v>
          </cell>
          <cell r="D2625" t="str">
            <v>Masbate School of Fisheries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</row>
        <row r="2626">
          <cell r="C2626">
            <v>302150</v>
          </cell>
          <cell r="D2626" t="str">
            <v>Milagros National High School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</row>
        <row r="2627">
          <cell r="C2627">
            <v>302151</v>
          </cell>
          <cell r="D2627" t="str">
            <v>Mobo National High School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3</v>
          </cell>
          <cell r="J2627">
            <v>12</v>
          </cell>
          <cell r="K2627">
            <v>3</v>
          </cell>
          <cell r="L2627">
            <v>12</v>
          </cell>
        </row>
        <row r="2628">
          <cell r="C2628">
            <v>302152</v>
          </cell>
          <cell r="D2628" t="str">
            <v>Monreal National High School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</row>
        <row r="2629">
          <cell r="C2629">
            <v>302153</v>
          </cell>
          <cell r="D2629" t="str">
            <v>Rondina-Atendido National High School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</row>
        <row r="2630">
          <cell r="C2630">
            <v>302154</v>
          </cell>
          <cell r="D2630" t="str">
            <v>Naro National High School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</row>
        <row r="2631">
          <cell r="C2631">
            <v>302155</v>
          </cell>
          <cell r="D2631" t="str">
            <v>Palanas NHS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</row>
        <row r="2632">
          <cell r="C2632">
            <v>302156</v>
          </cell>
          <cell r="D2632" t="str">
            <v>Briccio A. Aninang Sr. Mem. HS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</row>
        <row r="2633">
          <cell r="C2633">
            <v>302157</v>
          </cell>
          <cell r="D2633" t="str">
            <v>Panique National High School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</row>
        <row r="2634">
          <cell r="C2634">
            <v>302158</v>
          </cell>
          <cell r="D2634" t="str">
            <v>Pawican National High School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</row>
        <row r="2635">
          <cell r="C2635">
            <v>302160</v>
          </cell>
          <cell r="D2635" t="str">
            <v>Salvador Arollado, Sr. MHS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</row>
        <row r="2636">
          <cell r="C2636">
            <v>302161</v>
          </cell>
          <cell r="D2636" t="str">
            <v>Liberato P. Tacurda Sr. HS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2</v>
          </cell>
          <cell r="J2636">
            <v>2</v>
          </cell>
          <cell r="K2636">
            <v>1</v>
          </cell>
          <cell r="L2636">
            <v>0</v>
          </cell>
        </row>
        <row r="2637">
          <cell r="C2637">
            <v>302162</v>
          </cell>
          <cell r="D2637" t="str">
            <v>PURO NATIONAL HIGH SCHOOL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</row>
        <row r="2638">
          <cell r="C2638">
            <v>302163</v>
          </cell>
          <cell r="D2638" t="str">
            <v>Quezon National High School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</row>
        <row r="2639">
          <cell r="C2639">
            <v>302164</v>
          </cell>
          <cell r="D2639" t="str">
            <v>Quinayangan National High School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</row>
        <row r="2640">
          <cell r="C2640">
            <v>302165</v>
          </cell>
          <cell r="D2640" t="str">
            <v>Rodolfo Z. Titong National High School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</row>
        <row r="2641">
          <cell r="C2641">
            <v>302166</v>
          </cell>
          <cell r="D2641" t="str">
            <v>San Isidro National High School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</row>
        <row r="2642">
          <cell r="C2642">
            <v>302167</v>
          </cell>
          <cell r="D2642" t="str">
            <v>San Jacinto National High School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</row>
        <row r="2643">
          <cell r="C2643">
            <v>302168</v>
          </cell>
          <cell r="D2643" t="str">
            <v>San Pascual NHS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</row>
        <row r="2644">
          <cell r="C2644">
            <v>302169</v>
          </cell>
          <cell r="D2644" t="str">
            <v>San Pedro NHS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1</v>
          </cell>
          <cell r="J2644">
            <v>2</v>
          </cell>
          <cell r="K2644">
            <v>0</v>
          </cell>
          <cell r="L2644">
            <v>1</v>
          </cell>
        </row>
        <row r="2645">
          <cell r="C2645">
            <v>302170</v>
          </cell>
          <cell r="D2645" t="str">
            <v>San Ramon National High School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3</v>
          </cell>
          <cell r="J2645">
            <v>1</v>
          </cell>
          <cell r="K2645">
            <v>1</v>
          </cell>
          <cell r="L2645">
            <v>0</v>
          </cell>
        </row>
        <row r="2646">
          <cell r="C2646">
            <v>302171</v>
          </cell>
          <cell r="D2646" t="str">
            <v>Santos E. Conag National High School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</row>
        <row r="2647">
          <cell r="C2647">
            <v>302172</v>
          </cell>
          <cell r="D2647" t="str">
            <v>Tanque National High School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</row>
        <row r="2648">
          <cell r="C2648">
            <v>302173</v>
          </cell>
          <cell r="D2648" t="str">
            <v>Tiburcio A. Berdida, Sr. NHS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</row>
        <row r="2649">
          <cell r="C2649">
            <v>302174</v>
          </cell>
          <cell r="D2649" t="str">
            <v>Tinigban National High School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</row>
        <row r="2650">
          <cell r="C2650">
            <v>302175</v>
          </cell>
          <cell r="D2650" t="str">
            <v>Uson National High School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</row>
        <row r="2651">
          <cell r="C2651">
            <v>302176</v>
          </cell>
          <cell r="D2651" t="str">
            <v>Verdida-Sabrido National High School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</row>
        <row r="2652">
          <cell r="C2652">
            <v>302177</v>
          </cell>
          <cell r="D2652" t="str">
            <v>Villahermosa National High School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</row>
        <row r="2653">
          <cell r="C2653">
            <v>302178</v>
          </cell>
          <cell r="D2653" t="str">
            <v>Vivencio P. Casas Sr. Memorial High School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</row>
        <row r="2654">
          <cell r="C2654">
            <v>309901</v>
          </cell>
          <cell r="D2654" t="str">
            <v>Delavin-Rubia National High School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</row>
        <row r="2655">
          <cell r="C2655">
            <v>309902</v>
          </cell>
          <cell r="D2655" t="str">
            <v>Allanaraiz-Marfil National High School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</row>
        <row r="2656">
          <cell r="C2656">
            <v>309903</v>
          </cell>
          <cell r="D2656" t="str">
            <v>Arriesgado-Sevilleno National High School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</row>
        <row r="2657">
          <cell r="C2657">
            <v>309904</v>
          </cell>
          <cell r="D2657" t="str">
            <v>Palanas National Agriculture High School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1</v>
          </cell>
          <cell r="J2657">
            <v>4</v>
          </cell>
          <cell r="K2657">
            <v>0</v>
          </cell>
          <cell r="L2657">
            <v>1</v>
          </cell>
        </row>
        <row r="2658">
          <cell r="C2658">
            <v>309905</v>
          </cell>
          <cell r="D2658" t="str">
            <v>Osmeña NHS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</row>
        <row r="2659">
          <cell r="C2659">
            <v>309906</v>
          </cell>
          <cell r="D2659" t="str">
            <v>Serafin C. Rosero Memorial High School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</row>
        <row r="2660">
          <cell r="C2660">
            <v>309907</v>
          </cell>
          <cell r="D2660" t="str">
            <v>San Pablo National High School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</row>
        <row r="2661">
          <cell r="C2661">
            <v>309908</v>
          </cell>
          <cell r="D2661" t="str">
            <v>Mary Perpetua E. Brioso Memorial High School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</row>
        <row r="2662">
          <cell r="C2662">
            <v>309909</v>
          </cell>
          <cell r="D2662" t="str">
            <v>Teresita C. Young Memorial High School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</row>
        <row r="2663">
          <cell r="C2663">
            <v>309910</v>
          </cell>
          <cell r="D2663" t="str">
            <v>Cabitan National High School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</row>
        <row r="2664">
          <cell r="C2664">
            <v>309911</v>
          </cell>
          <cell r="D2664" t="str">
            <v>Miabas National High School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</row>
        <row r="2665">
          <cell r="C2665">
            <v>309913</v>
          </cell>
          <cell r="D2665" t="str">
            <v>PATROCINIO DELA TORRE NATIONAL HIGH SCHOOL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</row>
        <row r="2666">
          <cell r="C2666">
            <v>309914</v>
          </cell>
          <cell r="D2666" t="str">
            <v>Mayor Tomas V. Rivera Memorial High School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</row>
        <row r="2667">
          <cell r="C2667">
            <v>309915</v>
          </cell>
          <cell r="D2667" t="str">
            <v>Francisca Conag Lavisto MHS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</row>
        <row r="2668">
          <cell r="C2668">
            <v>309920</v>
          </cell>
          <cell r="D2668" t="str">
            <v>Conrada Tero Kho Memorial High School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</row>
        <row r="2669">
          <cell r="C2669">
            <v>309921</v>
          </cell>
          <cell r="D2669" t="str">
            <v>Feliciano S. Samonte Memorial High School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</row>
        <row r="2670">
          <cell r="C2670">
            <v>309922</v>
          </cell>
          <cell r="D2670" t="str">
            <v>Floro L. Medina MHS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</row>
        <row r="2671">
          <cell r="C2671">
            <v>309923</v>
          </cell>
          <cell r="D2671" t="str">
            <v>Cogon High School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</row>
        <row r="2672">
          <cell r="C2672">
            <v>309924</v>
          </cell>
          <cell r="D2672" t="str">
            <v>Malbug National High School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</row>
        <row r="2673">
          <cell r="C2673">
            <v>309925</v>
          </cell>
          <cell r="D2673" t="str">
            <v>Damaso R. Rubia MHS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</row>
        <row r="2674">
          <cell r="C2674">
            <v>309926</v>
          </cell>
          <cell r="D2674" t="str">
            <v>Maravilla National High School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</row>
        <row r="2675">
          <cell r="C2675">
            <v>309927</v>
          </cell>
          <cell r="D2675" t="str">
            <v>Buenasuerte Integrated School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</row>
        <row r="2676">
          <cell r="C2676">
            <v>309928</v>
          </cell>
          <cell r="D2676" t="str">
            <v>Emilio Lee-Llacer Sr. HS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</row>
        <row r="2677">
          <cell r="C2677">
            <v>309929</v>
          </cell>
          <cell r="D2677" t="str">
            <v>Salvacion National High School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</row>
        <row r="2678">
          <cell r="C2678">
            <v>309930</v>
          </cell>
          <cell r="D2678" t="str">
            <v>Gerardo C. CardiÃ±o Sr. HS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3</v>
          </cell>
          <cell r="J2678">
            <v>1</v>
          </cell>
          <cell r="K2678">
            <v>3</v>
          </cell>
          <cell r="L2678">
            <v>1</v>
          </cell>
        </row>
        <row r="2679">
          <cell r="C2679">
            <v>309931</v>
          </cell>
          <cell r="D2679" t="str">
            <v>Amador-Bello HS</v>
          </cell>
          <cell r="E2679">
            <v>0</v>
          </cell>
          <cell r="F2679">
            <v>0</v>
          </cell>
          <cell r="G2679">
            <v>0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</row>
        <row r="2680">
          <cell r="C2680">
            <v>309932</v>
          </cell>
          <cell r="D2680" t="str">
            <v>Nabongsoran High School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</row>
        <row r="2681">
          <cell r="C2681">
            <v>309933</v>
          </cell>
          <cell r="D2681" t="str">
            <v>Dalipe National High School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</row>
        <row r="2682">
          <cell r="C2682">
            <v>309934</v>
          </cell>
          <cell r="D2682" t="str">
            <v>Libertad National  High School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</row>
        <row r="2683">
          <cell r="C2683">
            <v>309935</v>
          </cell>
          <cell r="D2683" t="str">
            <v>MABABANGBAYBAY NHS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</row>
        <row r="2684">
          <cell r="C2684">
            <v>309936</v>
          </cell>
          <cell r="D2684" t="str">
            <v>AMADO E. LAZARO HS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</row>
        <row r="2685">
          <cell r="C2685">
            <v>309937</v>
          </cell>
          <cell r="D2685" t="str">
            <v>Vicente D. Alburo High School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1</v>
          </cell>
          <cell r="K2685">
            <v>0</v>
          </cell>
          <cell r="L2685">
            <v>1</v>
          </cell>
        </row>
        <row r="2686">
          <cell r="C2686">
            <v>309938</v>
          </cell>
          <cell r="D2686" t="str">
            <v>Labangco National High School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</row>
        <row r="2687">
          <cell r="C2687">
            <v>309939</v>
          </cell>
          <cell r="D2687" t="str">
            <v>Lantangan High School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</row>
        <row r="2688">
          <cell r="C2688">
            <v>309940</v>
          </cell>
          <cell r="D2688" t="str">
            <v>Tumalaytay National High School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</row>
        <row r="2689">
          <cell r="C2689">
            <v>309941</v>
          </cell>
          <cell r="D2689" t="str">
            <v>Cristeta Bagano MHS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</row>
        <row r="2690">
          <cell r="C2690">
            <v>309942</v>
          </cell>
          <cell r="D2690" t="str">
            <v>San Carlos NHS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1</v>
          </cell>
          <cell r="J2690">
            <v>3</v>
          </cell>
          <cell r="K2690">
            <v>1</v>
          </cell>
          <cell r="L2690">
            <v>3</v>
          </cell>
        </row>
        <row r="2691">
          <cell r="C2691">
            <v>309943</v>
          </cell>
          <cell r="D2691" t="str">
            <v>Buenavista IS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</row>
        <row r="2692">
          <cell r="C2692">
            <v>309944</v>
          </cell>
          <cell r="D2692" t="str">
            <v>Taisan HS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3</v>
          </cell>
          <cell r="J2692">
            <v>2</v>
          </cell>
          <cell r="K2692">
            <v>3</v>
          </cell>
          <cell r="L2692">
            <v>2</v>
          </cell>
        </row>
        <row r="2693">
          <cell r="C2693">
            <v>309945</v>
          </cell>
          <cell r="D2693" t="str">
            <v>Rizal Integrated School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</row>
        <row r="2694">
          <cell r="C2694">
            <v>309946</v>
          </cell>
          <cell r="D2694" t="str">
            <v>SULPICIO T. CONDOR, SR. NATIONAL HIGH SCHOOL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</row>
        <row r="2695">
          <cell r="C2695">
            <v>309947</v>
          </cell>
          <cell r="D2695" t="str">
            <v>Eastern Capsay Integrated School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</row>
        <row r="2696">
          <cell r="C2696">
            <v>309950</v>
          </cell>
          <cell r="D2696" t="str">
            <v>SIMAWA NATIONAL HIGH SCHOOL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</row>
        <row r="2697">
          <cell r="C2697">
            <v>309951</v>
          </cell>
          <cell r="D2697" t="str">
            <v>AMOTAG NATIONAL HIGH SCHOOL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</row>
        <row r="2698">
          <cell r="C2698">
            <v>500034</v>
          </cell>
          <cell r="D2698" t="str">
            <v>Maximino S. Lazaro IS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</row>
        <row r="2699">
          <cell r="C2699">
            <v>500161</v>
          </cell>
          <cell r="D2699" t="str">
            <v>Iniwaran Integrated School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</row>
        <row r="2700">
          <cell r="C2700">
            <v>500162</v>
          </cell>
          <cell r="D2700" t="str">
            <v>Mataba Integrated School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</row>
        <row r="2701">
          <cell r="C2701">
            <v>500163</v>
          </cell>
          <cell r="D2701" t="str">
            <v>Tigbao Integrated School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2</v>
          </cell>
          <cell r="J2701">
            <v>2</v>
          </cell>
          <cell r="K2701">
            <v>2</v>
          </cell>
          <cell r="L2701">
            <v>2</v>
          </cell>
        </row>
        <row r="2702">
          <cell r="C2702">
            <v>500164</v>
          </cell>
          <cell r="D2702" t="str">
            <v>Costa Rica Integrated School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</row>
        <row r="2703">
          <cell r="C2703">
            <v>500165</v>
          </cell>
          <cell r="D2703" t="str">
            <v>Antonio Lee Llacer Sr. Integrated School</v>
          </cell>
          <cell r="E2703">
            <v>0</v>
          </cell>
          <cell r="F2703">
            <v>0</v>
          </cell>
          <cell r="G2703">
            <v>0</v>
          </cell>
          <cell r="H2703">
            <v>4</v>
          </cell>
          <cell r="I2703">
            <v>1</v>
          </cell>
          <cell r="J2703">
            <v>3</v>
          </cell>
          <cell r="K2703">
            <v>0</v>
          </cell>
          <cell r="L2703">
            <v>0</v>
          </cell>
        </row>
        <row r="2704">
          <cell r="C2704">
            <v>302179</v>
          </cell>
          <cell r="D2704" t="str">
            <v>Abucay National High School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</row>
        <row r="2705">
          <cell r="C2705">
            <v>302180</v>
          </cell>
          <cell r="D2705" t="str">
            <v>Bayasong NHS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</row>
        <row r="2706">
          <cell r="C2706">
            <v>302182</v>
          </cell>
          <cell r="D2706" t="str">
            <v>Bagacay NHS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</row>
        <row r="2707">
          <cell r="C2707">
            <v>302183</v>
          </cell>
          <cell r="D2707" t="str">
            <v>Bagatao NHS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</row>
        <row r="2708">
          <cell r="C2708">
            <v>302184</v>
          </cell>
          <cell r="D2708" t="str">
            <v>Barcelona National Comprehensive High School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</row>
        <row r="2709">
          <cell r="C2709">
            <v>302185</v>
          </cell>
          <cell r="D2709" t="str">
            <v>Bentuco NHS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</row>
        <row r="2710">
          <cell r="C2710">
            <v>302186</v>
          </cell>
          <cell r="D2710" t="str">
            <v>Biriran NHS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</row>
        <row r="2711">
          <cell r="C2711">
            <v>302187</v>
          </cell>
          <cell r="D2711" t="str">
            <v>Juban National High School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</row>
        <row r="2712">
          <cell r="C2712">
            <v>302188</v>
          </cell>
          <cell r="D2712" t="str">
            <v>Buhang National High School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3</v>
          </cell>
          <cell r="J2712">
            <v>7</v>
          </cell>
          <cell r="K2712">
            <v>0</v>
          </cell>
          <cell r="L2712">
            <v>0</v>
          </cell>
        </row>
        <row r="2713">
          <cell r="C2713">
            <v>302189</v>
          </cell>
          <cell r="D2713" t="str">
            <v>Bulacao NHS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</row>
        <row r="2714">
          <cell r="C2714">
            <v>302190</v>
          </cell>
          <cell r="D2714" t="str">
            <v>Bulan NHS</v>
          </cell>
          <cell r="E2714">
            <v>0</v>
          </cell>
          <cell r="F2714">
            <v>0</v>
          </cell>
          <cell r="G2714">
            <v>1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</row>
        <row r="2715">
          <cell r="C2715">
            <v>302191</v>
          </cell>
          <cell r="D2715" t="str">
            <v>Beguin NHS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</row>
        <row r="2716">
          <cell r="C2716">
            <v>302192</v>
          </cell>
          <cell r="D2716" t="str">
            <v>Bulusan NHS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</row>
        <row r="2717">
          <cell r="C2717">
            <v>302193</v>
          </cell>
          <cell r="D2717" t="str">
            <v>Butag NHS</v>
          </cell>
          <cell r="E2717">
            <v>0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</row>
        <row r="2718">
          <cell r="C2718">
            <v>302194</v>
          </cell>
          <cell r="D2718" t="str">
            <v>Cabugao NHS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</row>
        <row r="2719">
          <cell r="C2719">
            <v>302195</v>
          </cell>
          <cell r="D2719" t="str">
            <v>Caditaan NHS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</row>
        <row r="2720">
          <cell r="C2720">
            <v>302196</v>
          </cell>
          <cell r="D2720" t="str">
            <v>Calao NHS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</row>
        <row r="2721">
          <cell r="C2721">
            <v>302197</v>
          </cell>
          <cell r="D2721" t="str">
            <v>Casiguran Technical Vocational School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</row>
        <row r="2722">
          <cell r="C2722">
            <v>302198</v>
          </cell>
          <cell r="D2722" t="str">
            <v>Castilla NHS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</row>
        <row r="2723">
          <cell r="C2723">
            <v>302199</v>
          </cell>
          <cell r="D2723" t="str">
            <v>Buenavista NHS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</row>
        <row r="2724">
          <cell r="C2724">
            <v>302200</v>
          </cell>
          <cell r="D2724" t="str">
            <v>Culasi NHS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1</v>
          </cell>
          <cell r="J2724">
            <v>4</v>
          </cell>
          <cell r="K2724">
            <v>1</v>
          </cell>
          <cell r="L2724">
            <v>4</v>
          </cell>
        </row>
        <row r="2725">
          <cell r="C2725">
            <v>302201</v>
          </cell>
          <cell r="D2725" t="str">
            <v>Cumadcad NHS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</row>
        <row r="2726">
          <cell r="C2726">
            <v>302202</v>
          </cell>
          <cell r="D2726" t="str">
            <v>Dinapa NHS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</row>
        <row r="2727">
          <cell r="C2727">
            <v>302203</v>
          </cell>
          <cell r="D2727" t="str">
            <v>Danao NHS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3</v>
          </cell>
          <cell r="J2727">
            <v>1</v>
          </cell>
          <cell r="K2727">
            <v>0</v>
          </cell>
          <cell r="L2727">
            <v>0</v>
          </cell>
        </row>
        <row r="2728">
          <cell r="C2728">
            <v>302204</v>
          </cell>
          <cell r="D2728" t="str">
            <v>Donsol National Comprehensive HS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</row>
        <row r="2729">
          <cell r="C2729">
            <v>302205</v>
          </cell>
          <cell r="D2729" t="str">
            <v>Banuang Gurang NHS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</row>
        <row r="2730">
          <cell r="C2730">
            <v>302206</v>
          </cell>
          <cell r="D2730" t="str">
            <v>Donsol National Comprehensive HS - Sta. Cruz Extension HS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</row>
        <row r="2731">
          <cell r="C2731">
            <v>302207</v>
          </cell>
          <cell r="D2731" t="str">
            <v>Donsol Vocational HS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</row>
        <row r="2732">
          <cell r="C2732">
            <v>302211</v>
          </cell>
          <cell r="D2732" t="str">
            <v>Gabao NHS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</row>
        <row r="2733">
          <cell r="C2733">
            <v>302212</v>
          </cell>
          <cell r="D2733" t="str">
            <v>Gallanosa National High School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</row>
        <row r="2734">
          <cell r="C2734">
            <v>302212</v>
          </cell>
          <cell r="D2734" t="str">
            <v>Gallanosa National High School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24</v>
          </cell>
          <cell r="J2734">
            <v>30</v>
          </cell>
          <cell r="K2734">
            <v>24</v>
          </cell>
          <cell r="L2734">
            <v>30</v>
          </cell>
        </row>
        <row r="2735">
          <cell r="C2735">
            <v>302213</v>
          </cell>
          <cell r="D2735" t="str">
            <v>Gate NHS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</row>
        <row r="2736">
          <cell r="C2736">
            <v>302214</v>
          </cell>
          <cell r="D2736" t="str">
            <v>Gubat National High School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20</v>
          </cell>
          <cell r="J2736">
            <v>20</v>
          </cell>
          <cell r="K2736">
            <v>3</v>
          </cell>
          <cell r="L2736">
            <v>2</v>
          </cell>
        </row>
        <row r="2737">
          <cell r="C2737">
            <v>302215</v>
          </cell>
          <cell r="D2737" t="str">
            <v>Irosin North HS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</row>
        <row r="2738">
          <cell r="C2738">
            <v>302216</v>
          </cell>
          <cell r="D2738" t="str">
            <v>Lajong NHS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</row>
        <row r="2739">
          <cell r="C2739">
            <v>302217</v>
          </cell>
          <cell r="D2739" t="str">
            <v>Lungib National High School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</row>
        <row r="2740">
          <cell r="C2740">
            <v>302218</v>
          </cell>
          <cell r="D2740" t="str">
            <v>Celso F. Falcotelo National High School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</row>
        <row r="2741">
          <cell r="C2741">
            <v>302219</v>
          </cell>
          <cell r="D2741" t="str">
            <v>Macalaya NHS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</row>
        <row r="2742">
          <cell r="C2742">
            <v>302220</v>
          </cell>
          <cell r="D2742" t="str">
            <v>Magallanes National Vocational HS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</row>
        <row r="2743">
          <cell r="C2743">
            <v>302221</v>
          </cell>
          <cell r="D2743" t="str">
            <v>Cagbolo National Vocational HS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</row>
        <row r="2744">
          <cell r="C2744">
            <v>302222</v>
          </cell>
          <cell r="D2744" t="str">
            <v>Magallanes National High School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</row>
        <row r="2745">
          <cell r="C2745">
            <v>302223</v>
          </cell>
          <cell r="D2745" t="str">
            <v>Manlabong NHS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</row>
        <row r="2746">
          <cell r="C2746">
            <v>302224</v>
          </cell>
          <cell r="D2746" t="str">
            <v>Manuel T. Sia NHS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</row>
        <row r="2747">
          <cell r="C2747">
            <v>302225</v>
          </cell>
          <cell r="D2747" t="str">
            <v>Matnog NHS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5</v>
          </cell>
          <cell r="J2747">
            <v>13</v>
          </cell>
          <cell r="K2747">
            <v>4</v>
          </cell>
          <cell r="L2747">
            <v>4</v>
          </cell>
        </row>
        <row r="2748">
          <cell r="C2748">
            <v>302226</v>
          </cell>
          <cell r="D2748" t="str">
            <v>Mayon National High School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1</v>
          </cell>
          <cell r="J2748">
            <v>7</v>
          </cell>
          <cell r="K2748">
            <v>1</v>
          </cell>
          <cell r="L2748">
            <v>7</v>
          </cell>
        </row>
        <row r="2749">
          <cell r="C2749">
            <v>302227</v>
          </cell>
          <cell r="D2749" t="str">
            <v>Milagrosa NHS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</row>
        <row r="2750">
          <cell r="C2750">
            <v>302228</v>
          </cell>
          <cell r="D2750" t="str">
            <v>Oras National High School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1</v>
          </cell>
          <cell r="J2750">
            <v>3</v>
          </cell>
          <cell r="K2750">
            <v>0</v>
          </cell>
          <cell r="L2750">
            <v>0</v>
          </cell>
        </row>
        <row r="2751">
          <cell r="C2751">
            <v>302229</v>
          </cell>
          <cell r="D2751" t="str">
            <v>Palanas NHS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</row>
        <row r="2752">
          <cell r="C2752">
            <v>302230</v>
          </cell>
          <cell r="D2752" t="str">
            <v>Pilar National Comprehensive HS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</row>
        <row r="2753">
          <cell r="C2753">
            <v>302231</v>
          </cell>
          <cell r="D2753" t="str">
            <v>PILI NATIONAL HIGH SCHOOL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</row>
        <row r="2754">
          <cell r="C2754">
            <v>302232</v>
          </cell>
          <cell r="D2754" t="str">
            <v>Prieto Diaz National High School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</row>
        <row r="2755">
          <cell r="C2755">
            <v>302233</v>
          </cell>
          <cell r="D2755" t="str">
            <v>Quezon NHS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</row>
        <row r="2756">
          <cell r="C2756">
            <v>302234</v>
          </cell>
          <cell r="D2756" t="str">
            <v>Rizal NHS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</row>
        <row r="2757">
          <cell r="C2757">
            <v>302235</v>
          </cell>
          <cell r="D2757" t="str">
            <v>Jupi National High School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</row>
        <row r="2758">
          <cell r="C2758">
            <v>302236</v>
          </cell>
          <cell r="D2758" t="str">
            <v>Salvacion National High School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</row>
        <row r="2759">
          <cell r="C2759">
            <v>302237</v>
          </cell>
          <cell r="D2759" t="str">
            <v>San Francisco NHS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4</v>
          </cell>
          <cell r="J2759">
            <v>10</v>
          </cell>
          <cell r="K2759">
            <v>4</v>
          </cell>
          <cell r="L2759">
            <v>10</v>
          </cell>
        </row>
        <row r="2760">
          <cell r="C2760">
            <v>302238</v>
          </cell>
          <cell r="D2760" t="str">
            <v>Louella Gotladera Alcoba NHS</v>
          </cell>
          <cell r="E2760">
            <v>0</v>
          </cell>
          <cell r="F2760">
            <v>1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</row>
        <row r="2761">
          <cell r="C2761">
            <v>302240</v>
          </cell>
          <cell r="D2761" t="str">
            <v>San Juan NHS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</row>
        <row r="2762">
          <cell r="C2762">
            <v>302241</v>
          </cell>
          <cell r="D2762" t="str">
            <v>San Rafael NHS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</row>
        <row r="2763">
          <cell r="C2763">
            <v>302242</v>
          </cell>
          <cell r="D2763" t="str">
            <v>San Roque NHS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</row>
        <row r="2764">
          <cell r="C2764">
            <v>302243</v>
          </cell>
          <cell r="D2764" t="str">
            <v>Siuton NHS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</row>
        <row r="2765">
          <cell r="C2765">
            <v>302245</v>
          </cell>
          <cell r="D2765" t="str">
            <v>Sta. Magdalena National High School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</row>
        <row r="2766">
          <cell r="C2766">
            <v>302246</v>
          </cell>
          <cell r="D2766" t="str">
            <v>Sua HS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</row>
        <row r="2767">
          <cell r="C2767">
            <v>302247</v>
          </cell>
          <cell r="D2767" t="str">
            <v>Talaonga National High School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</row>
        <row r="2768">
          <cell r="C2768">
            <v>302248</v>
          </cell>
          <cell r="D2768" t="str">
            <v>Tingco NHS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</row>
        <row r="2769">
          <cell r="C2769">
            <v>310002</v>
          </cell>
          <cell r="D2769" t="str">
            <v>J. P. Laurel HS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</row>
        <row r="2770">
          <cell r="C2770">
            <v>310003</v>
          </cell>
          <cell r="D2770" t="str">
            <v>Guruyan National High School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</row>
        <row r="2771">
          <cell r="C2771">
            <v>310004</v>
          </cell>
          <cell r="D2771" t="str">
            <v>Pandan HS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</row>
        <row r="2772">
          <cell r="C2772">
            <v>310005</v>
          </cell>
          <cell r="D2772" t="str">
            <v>Bagong Sirang NHS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</row>
        <row r="2773">
          <cell r="C2773">
            <v>310007</v>
          </cell>
          <cell r="D2773" t="str">
            <v>Biton High School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</row>
        <row r="2774">
          <cell r="C2774">
            <v>310008</v>
          </cell>
          <cell r="D2774" t="str">
            <v>San Rafael NHS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</row>
        <row r="2775">
          <cell r="C2775">
            <v>310009</v>
          </cell>
          <cell r="D2775" t="str">
            <v>San Antonio National High School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</row>
        <row r="2776">
          <cell r="C2776">
            <v>310010</v>
          </cell>
          <cell r="D2776" t="str">
            <v>Tiong Hen So MHS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1</v>
          </cell>
          <cell r="J2776">
            <v>1</v>
          </cell>
          <cell r="K2776">
            <v>0</v>
          </cell>
          <cell r="L2776">
            <v>0</v>
          </cell>
        </row>
        <row r="2777">
          <cell r="C2777">
            <v>302249</v>
          </cell>
          <cell r="D2777" t="str">
            <v>Perpetual Help NHS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</row>
        <row r="2778">
          <cell r="C2778">
            <v>302250</v>
          </cell>
          <cell r="D2778" t="str">
            <v>Sta. Maria HS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</row>
        <row r="2779">
          <cell r="C2779">
            <v>302251</v>
          </cell>
          <cell r="D2779" t="str">
            <v>Rinconada National Technical Vocational School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</row>
        <row r="2780">
          <cell r="C2780">
            <v>302252</v>
          </cell>
          <cell r="D2780" t="str">
            <v>Sagrada NHS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</row>
        <row r="2781">
          <cell r="C2781">
            <v>302253</v>
          </cell>
          <cell r="D2781" t="str">
            <v>Zeferino Arroyo HS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</row>
        <row r="2782">
          <cell r="C2782">
            <v>302254</v>
          </cell>
          <cell r="D2782" t="str">
            <v>San Antonio NHS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</row>
        <row r="2783">
          <cell r="C2783">
            <v>302255</v>
          </cell>
          <cell r="D2783" t="str">
            <v>San Pedro NHS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</row>
        <row r="2784">
          <cell r="C2784">
            <v>302256</v>
          </cell>
          <cell r="D2784" t="str">
            <v>Sto. Niño NHS</v>
          </cell>
          <cell r="E2784">
            <v>0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</row>
        <row r="2785">
          <cell r="C2785">
            <v>343238</v>
          </cell>
          <cell r="D2785" t="str">
            <v>San Agustin (Stand Alone) Senior High School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</row>
        <row r="2786">
          <cell r="C2786">
            <v>500167</v>
          </cell>
          <cell r="D2786" t="str">
            <v>Cristo Rey IS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</row>
        <row r="2787">
          <cell r="C2787">
            <v>500168</v>
          </cell>
          <cell r="D2787" t="str">
            <v>Santiago IS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</row>
        <row r="2788">
          <cell r="C2788">
            <v>302257</v>
          </cell>
          <cell r="D2788" t="str">
            <v>Banquerohan NHS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</row>
        <row r="2789">
          <cell r="C2789">
            <v>302258</v>
          </cell>
          <cell r="D2789" t="str">
            <v>Oro Site High School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</row>
        <row r="2790">
          <cell r="C2790">
            <v>302259</v>
          </cell>
          <cell r="D2790" t="str">
            <v>Homapon High School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</row>
        <row r="2791">
          <cell r="C2791">
            <v>302260</v>
          </cell>
          <cell r="D2791" t="str">
            <v>Cabangan High School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</row>
        <row r="2792">
          <cell r="C2792">
            <v>302261</v>
          </cell>
          <cell r="D2792" t="str">
            <v>Pag-asa National High School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</row>
        <row r="2793">
          <cell r="C2793">
            <v>302262</v>
          </cell>
          <cell r="D2793" t="str">
            <v>Gogon High School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</row>
        <row r="2794">
          <cell r="C2794">
            <v>302263</v>
          </cell>
          <cell r="D2794" t="str">
            <v>Pawa High School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</row>
        <row r="2795">
          <cell r="C2795">
            <v>310201</v>
          </cell>
          <cell r="D2795" t="str">
            <v>Arimbay High School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</row>
        <row r="2796">
          <cell r="C2796">
            <v>310202</v>
          </cell>
          <cell r="D2796" t="str">
            <v>Legazpi City Science High School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</row>
        <row r="2797">
          <cell r="C2797">
            <v>310205</v>
          </cell>
          <cell r="D2797" t="str">
            <v>Maslog National High School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</row>
        <row r="2798">
          <cell r="C2798">
            <v>310206</v>
          </cell>
          <cell r="D2798" t="str">
            <v>Cagbacong High School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</row>
        <row r="2799">
          <cell r="C2799">
            <v>500169</v>
          </cell>
          <cell r="D2799" t="str">
            <v>Taysan Resettlement Integrated School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</row>
        <row r="2800">
          <cell r="C2800">
            <v>302264</v>
          </cell>
          <cell r="D2800" t="str">
            <v>Camarines Sur National High School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</row>
        <row r="2801">
          <cell r="C2801">
            <v>302265</v>
          </cell>
          <cell r="D2801" t="str">
            <v>Cararayan National High School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</row>
        <row r="2802">
          <cell r="C2802">
            <v>302266</v>
          </cell>
          <cell r="D2802" t="str">
            <v>Carolina National High School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</row>
        <row r="2803">
          <cell r="C2803">
            <v>302267</v>
          </cell>
          <cell r="D2803" t="str">
            <v>Concepcion PequeÃ±a National High School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</row>
        <row r="2804">
          <cell r="C2804">
            <v>302268</v>
          </cell>
          <cell r="D2804" t="str">
            <v>Naga City Science High School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</row>
        <row r="2805">
          <cell r="C2805">
            <v>302269</v>
          </cell>
          <cell r="D2805" t="str">
            <v>Naga City School of Arts and Trades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</row>
        <row r="2806">
          <cell r="C2806">
            <v>310301</v>
          </cell>
          <cell r="D2806" t="str">
            <v>Tinago National High School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</row>
        <row r="2807">
          <cell r="C2807">
            <v>310302</v>
          </cell>
          <cell r="D2807" t="str">
            <v>Leon Q. Mercado HS (Formerly CSNHS-Pacol Annex)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</row>
        <row r="2808">
          <cell r="C2808">
            <v>302270</v>
          </cell>
          <cell r="D2808" t="str">
            <v>Abuyog National High School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</row>
        <row r="2809">
          <cell r="C2809">
            <v>302271</v>
          </cell>
          <cell r="D2809" t="str">
            <v>Buenavista National High School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</row>
        <row r="2810">
          <cell r="C2810">
            <v>302273</v>
          </cell>
          <cell r="D2810" t="str">
            <v>Gatbo National High School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</row>
        <row r="2811">
          <cell r="C2811">
            <v>302274</v>
          </cell>
          <cell r="D2811" t="str">
            <v>Osiao Paglingap National High School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1</v>
          </cell>
          <cell r="J2811">
            <v>2</v>
          </cell>
          <cell r="K2811">
            <v>1</v>
          </cell>
          <cell r="L2811">
            <v>1</v>
          </cell>
        </row>
        <row r="2812">
          <cell r="C2812">
            <v>302277</v>
          </cell>
          <cell r="D2812" t="str">
            <v>San Isidro National High School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</row>
        <row r="2813">
          <cell r="C2813">
            <v>302278</v>
          </cell>
          <cell r="D2813" t="str">
            <v>Sawanga National High School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</row>
        <row r="2814">
          <cell r="C2814">
            <v>302279</v>
          </cell>
          <cell r="D2814" t="str">
            <v>Sorsogon National High School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23</v>
          </cell>
          <cell r="J2814">
            <v>21</v>
          </cell>
          <cell r="K2814">
            <v>1</v>
          </cell>
          <cell r="L2814">
            <v>1</v>
          </cell>
        </row>
        <row r="2815">
          <cell r="C2815">
            <v>305403</v>
          </cell>
          <cell r="D2815" t="str">
            <v>Mercedes B. Peralta Senior High School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</row>
        <row r="2816">
          <cell r="C2816">
            <v>305544</v>
          </cell>
          <cell r="D2816" t="str">
            <v>Sugod Senior High School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</row>
        <row r="2817">
          <cell r="C2817">
            <v>305726</v>
          </cell>
          <cell r="D2817" t="str">
            <v>Rawis Senior High School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</row>
        <row r="2818">
          <cell r="C2818">
            <v>310401</v>
          </cell>
          <cell r="D2818" t="str">
            <v>Buhatan National High School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</row>
        <row r="2819">
          <cell r="C2819">
            <v>310402</v>
          </cell>
          <cell r="D2819" t="str">
            <v>Panlayaan Technical Vocational High School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</row>
        <row r="2820">
          <cell r="C2820">
            <v>500462</v>
          </cell>
          <cell r="D2820" t="str">
            <v>Bogña Integrated School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</row>
        <row r="2821">
          <cell r="C2821">
            <v>500463</v>
          </cell>
          <cell r="D2821" t="str">
            <v>Sto. Nino Integrated School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</row>
        <row r="2822">
          <cell r="C2822">
            <v>500464</v>
          </cell>
          <cell r="D2822" t="str">
            <v>Buhatan Integrated National School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</row>
        <row r="2823">
          <cell r="C2823">
            <v>500465</v>
          </cell>
          <cell r="D2823" t="str">
            <v>Pamurayan Integrated School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</row>
        <row r="2824">
          <cell r="C2824">
            <v>500466</v>
          </cell>
          <cell r="D2824" t="str">
            <v>Rizal Integrated National School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</row>
        <row r="2825">
          <cell r="C2825">
            <v>302281</v>
          </cell>
          <cell r="D2825" t="str">
            <v>Bantayan NHS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</row>
        <row r="2826">
          <cell r="C2826">
            <v>302282</v>
          </cell>
          <cell r="D2826" t="str">
            <v>San Antonio NHS, Tabaco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</row>
        <row r="2827">
          <cell r="C2827">
            <v>302283</v>
          </cell>
          <cell r="D2827" t="str">
            <v>San Lorenzo NHS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</row>
        <row r="2828">
          <cell r="C2828">
            <v>302284</v>
          </cell>
          <cell r="D2828" t="str">
            <v>San Miguel NHS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6</v>
          </cell>
          <cell r="J2828">
            <v>7</v>
          </cell>
          <cell r="K2828">
            <v>6</v>
          </cell>
          <cell r="L2828">
            <v>5</v>
          </cell>
        </row>
        <row r="2829">
          <cell r="C2829">
            <v>302285</v>
          </cell>
          <cell r="D2829" t="str">
            <v>Tabaco National High School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</row>
        <row r="2830">
          <cell r="C2830">
            <v>310501</v>
          </cell>
          <cell r="D2830" t="str">
            <v>BogÃ±abong High School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</row>
        <row r="2831">
          <cell r="C2831">
            <v>310502</v>
          </cell>
          <cell r="D2831" t="str">
            <v>Comon High School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</row>
        <row r="2832">
          <cell r="C2832">
            <v>310503</v>
          </cell>
          <cell r="D2832" t="str">
            <v>Hacienda High School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</row>
        <row r="2833">
          <cell r="C2833">
            <v>310504</v>
          </cell>
          <cell r="D2833" t="str">
            <v>Mariroc High School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</row>
        <row r="2834">
          <cell r="C2834">
            <v>301807</v>
          </cell>
          <cell r="D2834" t="str">
            <v>Amtic HS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</row>
        <row r="2835">
          <cell r="C2835">
            <v>301814</v>
          </cell>
          <cell r="D2835" t="str">
            <v>Bicol Regional Science HS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</row>
        <row r="2836">
          <cell r="C2836">
            <v>301817</v>
          </cell>
          <cell r="D2836" t="str">
            <v>Cabarian NHS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</row>
        <row r="2837">
          <cell r="C2837">
            <v>301820</v>
          </cell>
          <cell r="D2837" t="str">
            <v>Deogracias P. Princesa Memorial HS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</row>
        <row r="2838">
          <cell r="C2838">
            <v>301837</v>
          </cell>
          <cell r="D2838" t="str">
            <v>Ligao NHS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</row>
        <row r="2839">
          <cell r="C2839">
            <v>301838</v>
          </cell>
          <cell r="D2839" t="str">
            <v>Bacong HS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</row>
        <row r="2840">
          <cell r="C2840">
            <v>301858</v>
          </cell>
          <cell r="D2840" t="str">
            <v>Oma-Oma NHS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</row>
        <row r="2841">
          <cell r="C2841">
            <v>301859</v>
          </cell>
          <cell r="D2841" t="str">
            <v>Palapas National High School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</row>
        <row r="2842">
          <cell r="C2842">
            <v>301862</v>
          </cell>
          <cell r="D2842" t="str">
            <v>Paulba NHS</v>
          </cell>
          <cell r="E2842">
            <v>0</v>
          </cell>
          <cell r="F2842">
            <v>0</v>
          </cell>
          <cell r="G2842">
            <v>0</v>
          </cell>
          <cell r="H2842">
            <v>0</v>
          </cell>
          <cell r="I2842">
            <v>3</v>
          </cell>
          <cell r="J2842">
            <v>7</v>
          </cell>
          <cell r="K2842">
            <v>0</v>
          </cell>
          <cell r="L2842">
            <v>0</v>
          </cell>
        </row>
        <row r="2843">
          <cell r="C2843">
            <v>321701</v>
          </cell>
          <cell r="D2843" t="str">
            <v>Ligao City National Technical -Vocational High School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</row>
        <row r="2844">
          <cell r="C2844">
            <v>321702</v>
          </cell>
          <cell r="D2844" t="str">
            <v>Maonon High School</v>
          </cell>
          <cell r="E2844">
            <v>0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</row>
        <row r="2845">
          <cell r="C2845">
            <v>302133</v>
          </cell>
          <cell r="D2845" t="str">
            <v>Capitolina O. Legaspi Memorial High School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</row>
        <row r="2846">
          <cell r="C2846">
            <v>302148</v>
          </cell>
          <cell r="D2846" t="str">
            <v>Masbate National Comprehensive High School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</row>
        <row r="2847">
          <cell r="C2847">
            <v>321801</v>
          </cell>
          <cell r="D2847" t="str">
            <v>Bolo National High School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</row>
        <row r="2848">
          <cell r="C2848">
            <v>321802</v>
          </cell>
          <cell r="D2848" t="str">
            <v>Usab High School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</row>
        <row r="2849">
          <cell r="C2849">
            <v>321804</v>
          </cell>
          <cell r="D2849" t="str">
            <v>Bayombon High School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</row>
        <row r="2850">
          <cell r="C2850">
            <v>321805</v>
          </cell>
          <cell r="D2850" t="str">
            <v>Bantigue High School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</row>
        <row r="2851">
          <cell r="C2851">
            <v>321806</v>
          </cell>
          <cell r="D2851" t="str">
            <v>Nursery High School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</row>
        <row r="2852">
          <cell r="C2852">
            <v>500393</v>
          </cell>
          <cell r="D2852" t="str">
            <v>Alejandro Delos Reyes Integrated School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</row>
        <row r="2853">
          <cell r="C2853">
            <v>302286</v>
          </cell>
          <cell r="D2853" t="str">
            <v>Altavas National School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</row>
        <row r="2854">
          <cell r="C2854">
            <v>302287</v>
          </cell>
          <cell r="D2854" t="str">
            <v>Justicia Morales-Young National High School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</row>
        <row r="2855">
          <cell r="C2855">
            <v>302288</v>
          </cell>
          <cell r="D2855" t="str">
            <v>Linayasan NHS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</row>
        <row r="2856">
          <cell r="C2856">
            <v>302289</v>
          </cell>
          <cell r="D2856" t="str">
            <v>Bacan National High School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</row>
        <row r="2857">
          <cell r="C2857">
            <v>302290</v>
          </cell>
          <cell r="D2857" t="str">
            <v>Petronilo C. Ibadlit National High school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</row>
        <row r="2858">
          <cell r="C2858">
            <v>302291</v>
          </cell>
          <cell r="D2858" t="str">
            <v>Batan Academy (A Nat'L Sch.)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</row>
        <row r="2859">
          <cell r="C2859">
            <v>302294</v>
          </cell>
          <cell r="D2859" t="str">
            <v>Bay-ang-Magpag-ong NHS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</row>
        <row r="2860">
          <cell r="C2860">
            <v>302295</v>
          </cell>
          <cell r="D2860" t="str">
            <v>Boracay NHS-Main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</row>
        <row r="2861">
          <cell r="C2861">
            <v>302296</v>
          </cell>
          <cell r="D2861" t="str">
            <v>Ciriaco L. Icamina, Sr. NHS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3</v>
          </cell>
          <cell r="K2861">
            <v>0</v>
          </cell>
          <cell r="L2861">
            <v>3</v>
          </cell>
        </row>
        <row r="2862">
          <cell r="C2862">
            <v>302297</v>
          </cell>
          <cell r="D2862" t="str">
            <v>Buruanga Vocational School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</row>
        <row r="2863">
          <cell r="C2863">
            <v>302298</v>
          </cell>
          <cell r="D2863" t="str">
            <v>Dr. Ramon B. Legaspi, Sr. National High School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</row>
        <row r="2864">
          <cell r="C2864">
            <v>302299</v>
          </cell>
          <cell r="D2864" t="str">
            <v>CALIZO NATIONAL HIGH SCHOOL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</row>
        <row r="2865">
          <cell r="C2865">
            <v>302300</v>
          </cell>
          <cell r="D2865" t="str">
            <v>Camaligan NHS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</row>
        <row r="2866">
          <cell r="C2866">
            <v>302301</v>
          </cell>
          <cell r="D2866" t="str">
            <v>Camanci National High School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</row>
        <row r="2867">
          <cell r="C2867">
            <v>302302</v>
          </cell>
          <cell r="D2867" t="str">
            <v>Candelaria NHS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</row>
        <row r="2868">
          <cell r="C2868">
            <v>302303</v>
          </cell>
          <cell r="D2868" t="str">
            <v>New Washington NCHS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</row>
        <row r="2869">
          <cell r="C2869">
            <v>302304</v>
          </cell>
          <cell r="D2869" t="str">
            <v>Catalino M. Prado NHS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</row>
        <row r="2870">
          <cell r="C2870">
            <v>302305</v>
          </cell>
          <cell r="D2870" t="str">
            <v>Anselmo B. Legaspi NHS</v>
          </cell>
          <cell r="E2870">
            <v>0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</row>
        <row r="2871">
          <cell r="C2871">
            <v>302306</v>
          </cell>
          <cell r="D2871" t="str">
            <v>Daja Sur National High School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1</v>
          </cell>
          <cell r="J2871">
            <v>2</v>
          </cell>
          <cell r="K2871">
            <v>1</v>
          </cell>
          <cell r="L2871">
            <v>0</v>
          </cell>
        </row>
        <row r="2872">
          <cell r="C2872">
            <v>302307</v>
          </cell>
          <cell r="D2872" t="str">
            <v>Father Julian C. Rago Memorial NHS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</row>
        <row r="2873">
          <cell r="C2873">
            <v>302308</v>
          </cell>
          <cell r="D2873" t="str">
            <v>Jose Borromeo Legaspi Memorial National High School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</row>
        <row r="2874">
          <cell r="C2874">
            <v>302309</v>
          </cell>
          <cell r="D2874" t="str">
            <v>Jose Feliciano Meñez Memorial National High School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</row>
        <row r="2875">
          <cell r="C2875">
            <v>302310</v>
          </cell>
          <cell r="D2875" t="str">
            <v>Libacao National Forestry Vocational High School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</row>
        <row r="2876">
          <cell r="C2876">
            <v>302311</v>
          </cell>
          <cell r="D2876" t="str">
            <v>Guadalupe NHS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</row>
        <row r="2877">
          <cell r="C2877">
            <v>302312</v>
          </cell>
          <cell r="D2877" t="str">
            <v>Lilo-an National High School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</row>
        <row r="2878">
          <cell r="C2878">
            <v>302313</v>
          </cell>
          <cell r="D2878" t="str">
            <v>Linabuan NHS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</row>
        <row r="2879">
          <cell r="C2879">
            <v>302314</v>
          </cell>
          <cell r="D2879" t="str">
            <v>LOCTUGA NATIONAL HIGH SCHOOL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</row>
        <row r="2880">
          <cell r="C2880">
            <v>302315</v>
          </cell>
          <cell r="D2880" t="str">
            <v>Madalag NHS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</row>
        <row r="2881">
          <cell r="C2881">
            <v>302316</v>
          </cell>
          <cell r="D2881" t="str">
            <v>Loreto N. Nedic National High School (Alaminos NHS)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</row>
        <row r="2882">
          <cell r="C2882">
            <v>302317</v>
          </cell>
          <cell r="D2882" t="str">
            <v>Malay National High School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</row>
        <row r="2883">
          <cell r="C2883">
            <v>302318</v>
          </cell>
          <cell r="D2883" t="str">
            <v>BURUANGA NATIONAL HIGH SCHOOL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</row>
        <row r="2884">
          <cell r="C2884">
            <v>302319</v>
          </cell>
          <cell r="D2884" t="str">
            <v>Malinao Sch. For Phil. Craftsmen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</row>
        <row r="2885">
          <cell r="C2885">
            <v>302320</v>
          </cell>
          <cell r="D2885" t="str">
            <v>Maloco NHS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</row>
        <row r="2886">
          <cell r="C2886">
            <v>302321</v>
          </cell>
          <cell r="D2886" t="str">
            <v>Naile NHS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</row>
        <row r="2887">
          <cell r="C2887">
            <v>302322</v>
          </cell>
          <cell r="D2887" t="str">
            <v>Naisud NHS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</row>
        <row r="2888">
          <cell r="C2888">
            <v>302323</v>
          </cell>
          <cell r="D2888" t="str">
            <v>Gaudencio L. Vega NHS (Nalook NHS)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</row>
        <row r="2889">
          <cell r="C2889">
            <v>302324</v>
          </cell>
          <cell r="D2889" t="str">
            <v>Aklan NHS for Arts &amp; Trades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</row>
        <row r="2890">
          <cell r="C2890">
            <v>302325</v>
          </cell>
          <cell r="D2890" t="str">
            <v>Navitas National High School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</row>
        <row r="2891">
          <cell r="C2891">
            <v>302327</v>
          </cell>
          <cell r="D2891" t="str">
            <v>Numancia National Sch. Of Fisheries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</row>
        <row r="2892">
          <cell r="C2892">
            <v>302328</v>
          </cell>
          <cell r="D2892" t="str">
            <v>Ochando National High School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</row>
        <row r="2893">
          <cell r="C2893">
            <v>302329</v>
          </cell>
          <cell r="D2893" t="str">
            <v>Ondoy National High School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</row>
        <row r="2894">
          <cell r="C2894">
            <v>302330</v>
          </cell>
          <cell r="D2894" t="str">
            <v>Ibajay NHS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</row>
        <row r="2895">
          <cell r="C2895">
            <v>302331</v>
          </cell>
          <cell r="D2895" t="str">
            <v>Panayakan National High School</v>
          </cell>
          <cell r="E2895">
            <v>0</v>
          </cell>
          <cell r="F2895">
            <v>1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</row>
        <row r="2896">
          <cell r="C2896">
            <v>302332</v>
          </cell>
          <cell r="D2896" t="str">
            <v>Regional Science High School for Region VI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</row>
        <row r="2897">
          <cell r="C2897">
            <v>302333</v>
          </cell>
          <cell r="D2897" t="str">
            <v>Rizal J. Rodriguez Sr. NHS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</row>
        <row r="2898">
          <cell r="C2898">
            <v>302334</v>
          </cell>
          <cell r="D2898" t="str">
            <v>Rosario National High School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</row>
        <row r="2899">
          <cell r="C2899">
            <v>302335</v>
          </cell>
          <cell r="D2899" t="str">
            <v>Solido National High School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</row>
        <row r="2900">
          <cell r="C2900">
            <v>302336</v>
          </cell>
          <cell r="D2900" t="str">
            <v>Tangalan National High School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</row>
        <row r="2901">
          <cell r="C2901">
            <v>302337</v>
          </cell>
          <cell r="D2901" t="str">
            <v>Toledo NHS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</row>
        <row r="2902">
          <cell r="C2902">
            <v>302338</v>
          </cell>
          <cell r="D2902" t="str">
            <v>Torralba NHS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</row>
        <row r="2903">
          <cell r="C2903">
            <v>302339</v>
          </cell>
          <cell r="D2903" t="str">
            <v>Unidos NHS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</row>
        <row r="2904">
          <cell r="C2904">
            <v>302340</v>
          </cell>
          <cell r="D2904" t="str">
            <v>Union National High School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</row>
        <row r="2905">
          <cell r="C2905">
            <v>310601</v>
          </cell>
          <cell r="D2905" t="str">
            <v>LUPO NATIONAL HIGH SCHOOL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</row>
        <row r="2906">
          <cell r="C2906">
            <v>310602</v>
          </cell>
          <cell r="D2906" t="str">
            <v>Mangan National High School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</row>
        <row r="2907">
          <cell r="C2907">
            <v>310603</v>
          </cell>
          <cell r="D2907" t="str">
            <v>LAMBERTO H. TIROL NATIONAL HIGH SCHOOL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</row>
        <row r="2908">
          <cell r="C2908">
            <v>310605</v>
          </cell>
          <cell r="D2908" t="str">
            <v>Madalag NHS - Mamba Ext.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</row>
        <row r="2909">
          <cell r="C2909">
            <v>310611</v>
          </cell>
          <cell r="D2909" t="str">
            <v>Manocmanoc National High School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1</v>
          </cell>
          <cell r="J2909">
            <v>3</v>
          </cell>
          <cell r="K2909">
            <v>0</v>
          </cell>
          <cell r="L2909">
            <v>0</v>
          </cell>
        </row>
        <row r="2910">
          <cell r="C2910">
            <v>310617</v>
          </cell>
          <cell r="D2910" t="str">
            <v>Alfonso XII NHS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</row>
        <row r="2911">
          <cell r="C2911">
            <v>500035</v>
          </cell>
          <cell r="D2911" t="str">
            <v>Numancia Integrated School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</row>
        <row r="2912">
          <cell r="C2912">
            <v>500170</v>
          </cell>
          <cell r="D2912" t="str">
            <v>Aguinaldo T. Repiedad Sr. IS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3</v>
          </cell>
          <cell r="J2912">
            <v>5</v>
          </cell>
          <cell r="K2912">
            <v>2</v>
          </cell>
          <cell r="L2912">
            <v>5</v>
          </cell>
        </row>
        <row r="2913">
          <cell r="C2913">
            <v>500171</v>
          </cell>
          <cell r="D2913" t="str">
            <v>Lezo IS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  <cell r="I2913">
            <v>2</v>
          </cell>
          <cell r="J2913">
            <v>4</v>
          </cell>
          <cell r="K2913">
            <v>0</v>
          </cell>
          <cell r="L2913">
            <v>0</v>
          </cell>
        </row>
        <row r="2914">
          <cell r="C2914">
            <v>500172</v>
          </cell>
          <cell r="D2914" t="str">
            <v>Makato Integrated School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</row>
        <row r="2915">
          <cell r="C2915">
            <v>500173</v>
          </cell>
          <cell r="D2915" t="str">
            <v>Tamalagon Integrated School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</row>
        <row r="2916">
          <cell r="C2916">
            <v>500174</v>
          </cell>
          <cell r="D2916" t="str">
            <v>Ortega Integrated School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3</v>
          </cell>
          <cell r="K2916">
            <v>0</v>
          </cell>
          <cell r="L2916">
            <v>3</v>
          </cell>
        </row>
        <row r="2917">
          <cell r="C2917">
            <v>500175</v>
          </cell>
          <cell r="D2917" t="str">
            <v>Kinalangay Viejo IS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</row>
        <row r="2918">
          <cell r="C2918">
            <v>500176</v>
          </cell>
          <cell r="D2918" t="str">
            <v>NAPTI INTEGRATED SCHOOL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</row>
        <row r="2919">
          <cell r="C2919">
            <v>500177</v>
          </cell>
          <cell r="D2919" t="str">
            <v>Angas Integrated School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</row>
        <row r="2920">
          <cell r="C2920">
            <v>500178</v>
          </cell>
          <cell r="D2920" t="str">
            <v>Catmon Integrated School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</row>
        <row r="2921">
          <cell r="C2921">
            <v>500179</v>
          </cell>
          <cell r="D2921" t="str">
            <v>Kalibo Integrated Special Education Center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</row>
        <row r="2922">
          <cell r="C2922">
            <v>500180</v>
          </cell>
          <cell r="D2922" t="str">
            <v>PATROCINIO A. LACHICA INTEGRATED SCHOOL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</row>
        <row r="2923">
          <cell r="C2923">
            <v>500181</v>
          </cell>
          <cell r="D2923" t="str">
            <v>Dalagsaan Integrated School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</row>
        <row r="2924">
          <cell r="C2924">
            <v>500182</v>
          </cell>
          <cell r="D2924" t="str">
            <v>Habana Integrated School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</row>
        <row r="2925">
          <cell r="C2925">
            <v>500183</v>
          </cell>
          <cell r="D2925" t="str">
            <v>Jawili Integrated School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</row>
        <row r="2926">
          <cell r="C2926">
            <v>500184</v>
          </cell>
          <cell r="D2926" t="str">
            <v>Mandong Integrated School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</row>
        <row r="2927">
          <cell r="C2927">
            <v>500185</v>
          </cell>
          <cell r="D2927" t="str">
            <v>Medina Integrated School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</row>
        <row r="2928">
          <cell r="C2928">
            <v>500186</v>
          </cell>
          <cell r="D2928" t="str">
            <v>Pinamuk-an Integrated School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</row>
        <row r="2929">
          <cell r="C2929">
            <v>500187</v>
          </cell>
          <cell r="D2929" t="str">
            <v>Tabon Integrated School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</row>
        <row r="2930">
          <cell r="C2930">
            <v>500543</v>
          </cell>
          <cell r="D2930" t="str">
            <v>Balete Integrated School</v>
          </cell>
          <cell r="E2930">
            <v>0</v>
          </cell>
          <cell r="F2930">
            <v>1</v>
          </cell>
          <cell r="G2930">
            <v>0</v>
          </cell>
          <cell r="H2930">
            <v>0</v>
          </cell>
          <cell r="I2930">
            <v>1</v>
          </cell>
          <cell r="J2930">
            <v>0</v>
          </cell>
          <cell r="K2930">
            <v>1</v>
          </cell>
          <cell r="L2930">
            <v>0</v>
          </cell>
        </row>
        <row r="2931">
          <cell r="C2931">
            <v>500544</v>
          </cell>
          <cell r="D2931" t="str">
            <v>Mambuquiao Integrated School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</row>
        <row r="2932">
          <cell r="C2932">
            <v>500545</v>
          </cell>
          <cell r="D2932" t="str">
            <v>Bakhaw Norte Integrated School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</row>
        <row r="2933">
          <cell r="C2933">
            <v>500638</v>
          </cell>
          <cell r="D2933" t="str">
            <v>Agtughangin Integrated School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</row>
        <row r="2934">
          <cell r="C2934">
            <v>500639</v>
          </cell>
          <cell r="D2934" t="str">
            <v>Baybay-Alibagon Integrated School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</row>
        <row r="2935">
          <cell r="C2935">
            <v>500640</v>
          </cell>
          <cell r="D2935" t="str">
            <v>Ipil Integrated School</v>
          </cell>
          <cell r="E2935">
            <v>0</v>
          </cell>
          <cell r="F2935">
            <v>2</v>
          </cell>
          <cell r="G2935">
            <v>0</v>
          </cell>
          <cell r="H2935">
            <v>0</v>
          </cell>
          <cell r="I2935">
            <v>0</v>
          </cell>
          <cell r="J2935">
            <v>2</v>
          </cell>
          <cell r="K2935">
            <v>0</v>
          </cell>
          <cell r="L2935">
            <v>1</v>
          </cell>
        </row>
        <row r="2936">
          <cell r="C2936">
            <v>500641</v>
          </cell>
          <cell r="D2936" t="str">
            <v>Ma. Cristina Integrated School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</row>
        <row r="2937">
          <cell r="C2937">
            <v>500642</v>
          </cell>
          <cell r="D2937" t="str">
            <v>Palay Integrated School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</row>
        <row r="2938">
          <cell r="C2938">
            <v>500643</v>
          </cell>
          <cell r="D2938" t="str">
            <v>San Roque Integrated School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</row>
        <row r="2939">
          <cell r="C2939">
            <v>302341</v>
          </cell>
          <cell r="D2939" t="str">
            <v>Antique NS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</row>
        <row r="2940">
          <cell r="C2940">
            <v>302342</v>
          </cell>
          <cell r="D2940" t="str">
            <v>Antique Vocational School</v>
          </cell>
          <cell r="E2940">
            <v>0</v>
          </cell>
          <cell r="F2940">
            <v>0</v>
          </cell>
          <cell r="G2940">
            <v>1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</row>
        <row r="2941">
          <cell r="C2941">
            <v>302343</v>
          </cell>
          <cell r="D2941" t="str">
            <v>Aureliana NHS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</row>
        <row r="2942">
          <cell r="C2942">
            <v>302344</v>
          </cell>
          <cell r="D2942" t="str">
            <v>Barangbang NHS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</row>
        <row r="2943">
          <cell r="C2943">
            <v>302345</v>
          </cell>
          <cell r="D2943" t="str">
            <v>Barasanan National High School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</row>
        <row r="2944">
          <cell r="C2944">
            <v>302346</v>
          </cell>
          <cell r="D2944" t="str">
            <v>Barbaza NHS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</row>
        <row r="2945">
          <cell r="C2945">
            <v>302347</v>
          </cell>
          <cell r="D2945" t="str">
            <v>Belison NS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</row>
        <row r="2946">
          <cell r="C2946">
            <v>302348</v>
          </cell>
          <cell r="D2946" t="str">
            <v>Bitadton National High School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</row>
        <row r="2947">
          <cell r="C2947">
            <v>302349</v>
          </cell>
          <cell r="D2947" t="str">
            <v>Buhang NHS</v>
          </cell>
          <cell r="E2947">
            <v>0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</row>
        <row r="2948">
          <cell r="C2948">
            <v>302350</v>
          </cell>
          <cell r="D2948" t="str">
            <v>Caluya NHS</v>
          </cell>
          <cell r="E2948">
            <v>0</v>
          </cell>
          <cell r="F2948">
            <v>2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</row>
        <row r="2949">
          <cell r="C2949">
            <v>302351</v>
          </cell>
          <cell r="D2949" t="str">
            <v>Col. Ruperto Abellon NHS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</row>
        <row r="2950">
          <cell r="C2950">
            <v>302352</v>
          </cell>
          <cell r="D2950" t="str">
            <v>Concepcion L. Cazenas MS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</row>
        <row r="2951">
          <cell r="C2951">
            <v>302353</v>
          </cell>
          <cell r="D2951" t="str">
            <v>Diclum National High School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</row>
        <row r="2952">
          <cell r="C2952">
            <v>302354</v>
          </cell>
          <cell r="D2952" t="str">
            <v>Egaña National High School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</row>
        <row r="2953">
          <cell r="C2953">
            <v>302355</v>
          </cell>
          <cell r="D2953" t="str">
            <v>Gamad-Sto. Tomas NHS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</row>
        <row r="2954">
          <cell r="C2954">
            <v>302356</v>
          </cell>
          <cell r="D2954" t="str">
            <v>Governor Julian Fullon Pacificador National School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</row>
        <row r="2955">
          <cell r="C2955">
            <v>302357</v>
          </cell>
          <cell r="D2955" t="str">
            <v>Gideon M. Cabigunda MS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</row>
        <row r="2956">
          <cell r="C2956">
            <v>302358</v>
          </cell>
          <cell r="D2956" t="str">
            <v>Gov. Julio V. Macuja MCHS</v>
          </cell>
          <cell r="E2956">
            <v>0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</row>
        <row r="2957">
          <cell r="C2957">
            <v>302359</v>
          </cell>
          <cell r="D2957" t="str">
            <v>Igburi National High School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</row>
        <row r="2958">
          <cell r="C2958">
            <v>302360</v>
          </cell>
          <cell r="D2958" t="str">
            <v>Igcado NHS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</row>
        <row r="2959">
          <cell r="C2959">
            <v>302361</v>
          </cell>
          <cell r="D2959" t="str">
            <v>Igpalge NHS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</row>
        <row r="2960">
          <cell r="C2960">
            <v>302362</v>
          </cell>
          <cell r="D2960" t="str">
            <v>Laua-an NHS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</row>
        <row r="2961">
          <cell r="C2961">
            <v>302363</v>
          </cell>
          <cell r="D2961" t="str">
            <v>Libertad NVS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</row>
        <row r="2962">
          <cell r="C2962">
            <v>302364</v>
          </cell>
          <cell r="D2962" t="str">
            <v>Lirio M. Escaño NHS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</row>
        <row r="2963">
          <cell r="C2963">
            <v>302365</v>
          </cell>
          <cell r="D2963" t="str">
            <v>Mag-aba National High School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</row>
        <row r="2964">
          <cell r="C2964">
            <v>302366</v>
          </cell>
          <cell r="D2964" t="str">
            <v>Moscoso-Rios NHS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</row>
        <row r="2965">
          <cell r="C2965">
            <v>302367</v>
          </cell>
          <cell r="D2965" t="str">
            <v>Northern Antique Vocational School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</row>
        <row r="2966">
          <cell r="C2966">
            <v>302368</v>
          </cell>
          <cell r="D2966" t="str">
            <v>Northern Bugasong NHS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</row>
        <row r="2967">
          <cell r="C2967">
            <v>302369</v>
          </cell>
          <cell r="D2967" t="str">
            <v>Pandan NVHS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9</v>
          </cell>
          <cell r="J2967">
            <v>6</v>
          </cell>
          <cell r="K2967">
            <v>0</v>
          </cell>
          <cell r="L2967">
            <v>0</v>
          </cell>
        </row>
        <row r="2968">
          <cell r="C2968">
            <v>302370</v>
          </cell>
          <cell r="D2968" t="str">
            <v>Pangpang NHS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</row>
        <row r="2969">
          <cell r="C2969">
            <v>302371</v>
          </cell>
          <cell r="D2969" t="str">
            <v>Pascual M. Osuyos Memorial High School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</row>
        <row r="2970">
          <cell r="C2970">
            <v>302372</v>
          </cell>
          <cell r="D2970" t="str">
            <v>Patria National School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</row>
        <row r="2971">
          <cell r="C2971">
            <v>302373</v>
          </cell>
          <cell r="D2971" t="str">
            <v>Pis-anan National High Sshool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</row>
        <row r="2972">
          <cell r="C2972">
            <v>302374</v>
          </cell>
          <cell r="D2972" t="str">
            <v>San Antonio National High School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</row>
        <row r="2973">
          <cell r="C2973">
            <v>302375</v>
          </cell>
          <cell r="D2973" t="str">
            <v>San Pedro NHS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</row>
        <row r="2974">
          <cell r="C2974">
            <v>302376</v>
          </cell>
          <cell r="D2974" t="str">
            <v>San Roque-Ezpeleta NHS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</row>
        <row r="2975">
          <cell r="C2975">
            <v>302377</v>
          </cell>
          <cell r="D2975" t="str">
            <v>Sebaste HS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</row>
        <row r="2976">
          <cell r="C2976">
            <v>302378</v>
          </cell>
          <cell r="D2976" t="str">
            <v>Sido-San Juan NHS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2</v>
          </cell>
          <cell r="J2976">
            <v>1</v>
          </cell>
          <cell r="K2976">
            <v>2</v>
          </cell>
          <cell r="L2976">
            <v>1</v>
          </cell>
        </row>
        <row r="2977">
          <cell r="C2977">
            <v>302379</v>
          </cell>
          <cell r="D2977" t="str">
            <v>Southern Bugasong NHS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</row>
        <row r="2978">
          <cell r="C2978">
            <v>302380</v>
          </cell>
          <cell r="D2978" t="str">
            <v>Sta. Ana NHS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</row>
        <row r="2979">
          <cell r="C2979">
            <v>302381</v>
          </cell>
          <cell r="D2979" t="str">
            <v>Sta. Justa National High School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</row>
        <row r="2980">
          <cell r="C2980">
            <v>302382</v>
          </cell>
          <cell r="D2980" t="str">
            <v>Tinogboc NHS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</row>
        <row r="2981">
          <cell r="C2981">
            <v>302383</v>
          </cell>
          <cell r="D2981" t="str">
            <v>Union NHS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</row>
        <row r="2982">
          <cell r="C2982">
            <v>302384</v>
          </cell>
          <cell r="D2982" t="str">
            <v>Valderrama NHS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</row>
        <row r="2983">
          <cell r="C2983">
            <v>310701</v>
          </cell>
          <cell r="D2983" t="str">
            <v>Guintas NHS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</row>
        <row r="2984">
          <cell r="C2984">
            <v>310702</v>
          </cell>
          <cell r="D2984" t="str">
            <v>Tario Lim National Memorial High School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</row>
        <row r="2985">
          <cell r="C2985">
            <v>310703</v>
          </cell>
          <cell r="D2985" t="str">
            <v>Sibalom National High School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</row>
        <row r="2986">
          <cell r="C2986">
            <v>310704</v>
          </cell>
          <cell r="D2986" t="str">
            <v>Gen. Leandro Fullon NS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</row>
        <row r="2987">
          <cell r="C2987">
            <v>310705</v>
          </cell>
          <cell r="D2987" t="str">
            <v>Semirara NHS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</row>
        <row r="2988">
          <cell r="C2988">
            <v>310706</v>
          </cell>
          <cell r="D2988" t="str">
            <v>Sibay NHS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</row>
        <row r="2989">
          <cell r="C2989">
            <v>310707</v>
          </cell>
          <cell r="D2989" t="str">
            <v>Gov. Evelio B. Javier MNHS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</row>
        <row r="2990">
          <cell r="C2990">
            <v>310708</v>
          </cell>
          <cell r="D2990" t="str">
            <v>Eastern Laua-an NHS (Maria NHS)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</row>
        <row r="2991">
          <cell r="C2991">
            <v>310709</v>
          </cell>
          <cell r="D2991" t="str">
            <v>Northern Bugasong NHS Annex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</row>
        <row r="2992">
          <cell r="C2992">
            <v>310710</v>
          </cell>
          <cell r="D2992" t="str">
            <v>Dr. Luis E. Baraquia NHS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</row>
        <row r="2993">
          <cell r="C2993">
            <v>500548</v>
          </cell>
          <cell r="D2993" t="str">
            <v>Lipata-Lamputong Integrated School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</row>
        <row r="2994">
          <cell r="C2994">
            <v>302385</v>
          </cell>
          <cell r="D2994" t="str">
            <v>Arturo Jugo NHS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1</v>
          </cell>
          <cell r="J2994">
            <v>2</v>
          </cell>
          <cell r="K2994">
            <v>0</v>
          </cell>
          <cell r="L2994">
            <v>0</v>
          </cell>
        </row>
        <row r="2995">
          <cell r="C2995">
            <v>302386</v>
          </cell>
          <cell r="D2995" t="str">
            <v>Bungsuan NHS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</row>
        <row r="2996">
          <cell r="C2996">
            <v>302388</v>
          </cell>
          <cell r="D2996" t="str">
            <v>Feliciano Yusay Consing NHS</v>
          </cell>
          <cell r="E2996">
            <v>0</v>
          </cell>
          <cell r="F2996">
            <v>0</v>
          </cell>
          <cell r="G2996">
            <v>0</v>
          </cell>
          <cell r="H2996">
            <v>13</v>
          </cell>
          <cell r="I2996">
            <v>1</v>
          </cell>
          <cell r="J2996">
            <v>9</v>
          </cell>
          <cell r="K2996">
            <v>0</v>
          </cell>
          <cell r="L2996">
            <v>4</v>
          </cell>
        </row>
        <row r="2997">
          <cell r="C2997">
            <v>302389</v>
          </cell>
          <cell r="D2997" t="str">
            <v>Camburanan NHS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</row>
        <row r="2998">
          <cell r="C2998">
            <v>302390</v>
          </cell>
          <cell r="D2998" t="str">
            <v>Candelaria NHS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</row>
        <row r="2999">
          <cell r="C2999">
            <v>302391</v>
          </cell>
          <cell r="D2999" t="str">
            <v>Capiz National High School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</row>
        <row r="3000">
          <cell r="C3000">
            <v>302392</v>
          </cell>
          <cell r="D3000" t="str">
            <v>Casanayan National High School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</row>
        <row r="3001">
          <cell r="C3001">
            <v>302393</v>
          </cell>
          <cell r="D3001" t="str">
            <v>Col. Patrocinio Artuz NHS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</row>
        <row r="3002">
          <cell r="C3002">
            <v>302395</v>
          </cell>
          <cell r="D3002" t="str">
            <v>Comsr. Luis R. Asis NHS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</row>
        <row r="3003">
          <cell r="C3003">
            <v>302396</v>
          </cell>
          <cell r="D3003" t="str">
            <v>Cuartero NHS</v>
          </cell>
          <cell r="E3003">
            <v>0</v>
          </cell>
          <cell r="F3003">
            <v>0</v>
          </cell>
          <cell r="G3003">
            <v>0</v>
          </cell>
          <cell r="H3003">
            <v>5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</row>
        <row r="3004">
          <cell r="C3004">
            <v>302397</v>
          </cell>
          <cell r="D3004" t="str">
            <v>DAVID MOISES MEMORIAL HIGH SCHOOL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1</v>
          </cell>
          <cell r="K3004">
            <v>0</v>
          </cell>
          <cell r="L3004">
            <v>0</v>
          </cell>
        </row>
        <row r="3005">
          <cell r="C3005">
            <v>302398</v>
          </cell>
          <cell r="D3005" t="str">
            <v>Felix Balgos NHS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</row>
        <row r="3006">
          <cell r="C3006">
            <v>302399</v>
          </cell>
          <cell r="D3006" t="str">
            <v>Vicente Andaya Sr. NHS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</row>
        <row r="3007">
          <cell r="C3007">
            <v>302400</v>
          </cell>
          <cell r="D3007" t="str">
            <v>Dulangan NHS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</row>
        <row r="3008">
          <cell r="C3008">
            <v>302401</v>
          </cell>
          <cell r="D3008" t="str">
            <v>Concepcion Castro Garcia NHS (Dumalag NHS) Sta. Cruz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</row>
        <row r="3009">
          <cell r="C3009">
            <v>302402</v>
          </cell>
          <cell r="D3009" t="str">
            <v>Estefania Montemayor NHS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</row>
        <row r="3010">
          <cell r="C3010">
            <v>302403</v>
          </cell>
          <cell r="D3010" t="str">
            <v>Tuburan NHS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</row>
        <row r="3011">
          <cell r="C3011">
            <v>302404</v>
          </cell>
          <cell r="D3011" t="str">
            <v>Florentina B. Degala NHS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</row>
        <row r="3012">
          <cell r="C3012">
            <v>302405</v>
          </cell>
          <cell r="D3012" t="str">
            <v>Jose Diva Avelino Jr. NHS (Hipona NHS)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</row>
        <row r="3013">
          <cell r="C3013">
            <v>302406</v>
          </cell>
          <cell r="D3013" t="str">
            <v>Ivisan NHS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</row>
        <row r="3014">
          <cell r="C3014">
            <v>302407</v>
          </cell>
          <cell r="D3014" t="str">
            <v>Macario Delfin Bermejo NHS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</row>
        <row r="3015">
          <cell r="C3015">
            <v>302408</v>
          </cell>
          <cell r="D3015" t="str">
            <v>Jagnaya NHS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</row>
        <row r="3016">
          <cell r="C3016">
            <v>302409</v>
          </cell>
          <cell r="D3016" t="str">
            <v>Jamindan National High School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</row>
        <row r="3017">
          <cell r="C3017">
            <v>302410</v>
          </cell>
          <cell r="D3017" t="str">
            <v>Leodegario D. Deocampo Sr. NHS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</row>
        <row r="3018">
          <cell r="C3018">
            <v>302411</v>
          </cell>
          <cell r="D3018" t="str">
            <v>Lucero NHS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</row>
        <row r="3019">
          <cell r="C3019">
            <v>302412</v>
          </cell>
          <cell r="D3019" t="str">
            <v>East Villaflores NHS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</row>
        <row r="3020">
          <cell r="C3020">
            <v>302413</v>
          </cell>
          <cell r="D3020" t="str">
            <v>Maayon NHS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</row>
        <row r="3021">
          <cell r="C3021">
            <v>302414</v>
          </cell>
          <cell r="D3021" t="str">
            <v>MALONOY NATIONAL HIGH SCHOOL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</row>
        <row r="3022">
          <cell r="C3022">
            <v>302415</v>
          </cell>
          <cell r="D3022" t="str">
            <v>Luis Escutin NHS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</row>
        <row r="3023">
          <cell r="C3023">
            <v>302416</v>
          </cell>
          <cell r="D3023" t="str">
            <v>Manuel F. Onato NHS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</row>
        <row r="3024">
          <cell r="C3024">
            <v>302417</v>
          </cell>
          <cell r="D3024" t="str">
            <v>Ramon A. Benjamin Sr. National High School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</row>
        <row r="3025">
          <cell r="C3025">
            <v>302418</v>
          </cell>
          <cell r="D3025" t="str">
            <v>Panitan National High School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</row>
        <row r="3026">
          <cell r="C3026">
            <v>302419</v>
          </cell>
          <cell r="D3026" t="str">
            <v>Marciano M. Patricio (Pilar)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</row>
        <row r="3027">
          <cell r="C3027">
            <v>302420</v>
          </cell>
          <cell r="D3027" t="str">
            <v>Pontevedra NHS</v>
          </cell>
          <cell r="E3027">
            <v>0</v>
          </cell>
          <cell r="F3027">
            <v>0</v>
          </cell>
          <cell r="G3027">
            <v>0</v>
          </cell>
          <cell r="H3027">
            <v>3</v>
          </cell>
          <cell r="I3027">
            <v>4</v>
          </cell>
          <cell r="J3027">
            <v>0</v>
          </cell>
          <cell r="K3027">
            <v>0</v>
          </cell>
          <cell r="L3027">
            <v>0</v>
          </cell>
        </row>
        <row r="3028">
          <cell r="C3028">
            <v>302421</v>
          </cell>
          <cell r="D3028" t="str">
            <v>Putian National High School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</row>
        <row r="3029">
          <cell r="C3029">
            <v>302422</v>
          </cell>
          <cell r="D3029" t="str">
            <v>San Nicolas NHS (Pilar)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</row>
        <row r="3030">
          <cell r="C3030">
            <v>302423</v>
          </cell>
          <cell r="D3030" t="str">
            <v>San Nicolas NHS (Tapaz)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</row>
        <row r="3031">
          <cell r="C3031">
            <v>302424</v>
          </cell>
          <cell r="D3031" t="str">
            <v>Sapian National High School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</row>
        <row r="3032">
          <cell r="C3032">
            <v>310801</v>
          </cell>
          <cell r="D3032" t="str">
            <v>Bag - ong Barrio NHS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</row>
        <row r="3033">
          <cell r="C3033">
            <v>310802</v>
          </cell>
          <cell r="D3033" t="str">
            <v>Dao National High School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</row>
        <row r="3034">
          <cell r="C3034">
            <v>310803</v>
          </cell>
          <cell r="D3034" t="str">
            <v>Tapaz NHS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</row>
        <row r="3035">
          <cell r="C3035">
            <v>310804</v>
          </cell>
          <cell r="D3035" t="str">
            <v>Maindang National High School</v>
          </cell>
          <cell r="E3035">
            <v>0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</row>
        <row r="3036">
          <cell r="C3036">
            <v>310805</v>
          </cell>
          <cell r="D3036" t="str">
            <v>MAMBUSAO NATIONAL HIGH SCHOOL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</row>
        <row r="3037">
          <cell r="C3037">
            <v>310806</v>
          </cell>
          <cell r="D3037" t="str">
            <v>Dumalag Central NHS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</row>
        <row r="3038">
          <cell r="C3038">
            <v>310807</v>
          </cell>
          <cell r="D3038" t="str">
            <v>Basiao NHS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1</v>
          </cell>
          <cell r="K3038">
            <v>0</v>
          </cell>
          <cell r="L3038">
            <v>1</v>
          </cell>
        </row>
        <row r="3039">
          <cell r="C3039">
            <v>310808</v>
          </cell>
          <cell r="D3039" t="str">
            <v>SAN ANTONIO NATIONAL HIGH SCHOOL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</row>
        <row r="3040">
          <cell r="C3040">
            <v>310809</v>
          </cell>
          <cell r="D3040" t="str">
            <v>REV. TOMAS CONEJAR NHS (katipunan)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</row>
        <row r="3041">
          <cell r="C3041">
            <v>310810</v>
          </cell>
          <cell r="D3041" t="str">
            <v>Ishmael B. Orillos National High School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</row>
        <row r="3042">
          <cell r="C3042">
            <v>310811</v>
          </cell>
          <cell r="D3042" t="str">
            <v>YATING NATIONAL HIGH SCHOOL</v>
          </cell>
          <cell r="E3042">
            <v>0</v>
          </cell>
          <cell r="F3042">
            <v>0</v>
          </cell>
          <cell r="G3042">
            <v>0</v>
          </cell>
          <cell r="H3042">
            <v>0</v>
          </cell>
          <cell r="I3042">
            <v>3</v>
          </cell>
          <cell r="J3042">
            <v>4</v>
          </cell>
          <cell r="K3042">
            <v>0</v>
          </cell>
          <cell r="L3042">
            <v>0</v>
          </cell>
        </row>
        <row r="3043">
          <cell r="C3043">
            <v>310812</v>
          </cell>
          <cell r="D3043" t="str">
            <v>Pawa National High School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</row>
        <row r="3044">
          <cell r="C3044">
            <v>310813</v>
          </cell>
          <cell r="D3044" t="str">
            <v>Mambusao East NHS (ext. of David Moises)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</row>
        <row r="3045">
          <cell r="C3045">
            <v>310814</v>
          </cell>
          <cell r="D3045" t="str">
            <v>Presentacion Diez Gregorio NHS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1</v>
          </cell>
          <cell r="K3045">
            <v>0</v>
          </cell>
          <cell r="L3045">
            <v>0</v>
          </cell>
        </row>
        <row r="3046">
          <cell r="C3046">
            <v>310815</v>
          </cell>
          <cell r="D3046" t="str">
            <v>Mianay NHS</v>
          </cell>
          <cell r="E3046">
            <v>0</v>
          </cell>
          <cell r="F3046">
            <v>0</v>
          </cell>
          <cell r="G3046">
            <v>1</v>
          </cell>
          <cell r="H3046">
            <v>0</v>
          </cell>
          <cell r="I3046">
            <v>1</v>
          </cell>
          <cell r="J3046">
            <v>0</v>
          </cell>
          <cell r="K3046">
            <v>0</v>
          </cell>
          <cell r="L3046">
            <v>0</v>
          </cell>
        </row>
        <row r="3047">
          <cell r="C3047">
            <v>311705</v>
          </cell>
          <cell r="D3047" t="str">
            <v>Roxas NHS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</row>
        <row r="3048">
          <cell r="C3048">
            <v>500429</v>
          </cell>
          <cell r="D3048" t="str">
            <v>Aglalana Integrated School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  <cell r="I3048">
            <v>1</v>
          </cell>
          <cell r="J3048">
            <v>4</v>
          </cell>
          <cell r="K3048">
            <v>1</v>
          </cell>
          <cell r="L3048">
            <v>4</v>
          </cell>
        </row>
        <row r="3049">
          <cell r="C3049">
            <v>302425</v>
          </cell>
          <cell r="D3049" t="str">
            <v>Alegria NHS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</row>
        <row r="3050">
          <cell r="C3050">
            <v>302426</v>
          </cell>
          <cell r="D3050" t="str">
            <v>Buenavista National High School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</row>
        <row r="3051">
          <cell r="C3051">
            <v>302427</v>
          </cell>
          <cell r="D3051" t="str">
            <v>Agsanayan National High School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</row>
        <row r="3052">
          <cell r="C3052">
            <v>302428</v>
          </cell>
          <cell r="D3052" t="str">
            <v>Cabalagnan National High School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</row>
        <row r="3053">
          <cell r="C3053">
            <v>302429</v>
          </cell>
          <cell r="D3053" t="str">
            <v>Desiderio C. Gange NHS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</row>
        <row r="3054">
          <cell r="C3054">
            <v>302430</v>
          </cell>
          <cell r="D3054" t="str">
            <v>East Valencia National High School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0</v>
          </cell>
        </row>
        <row r="3055">
          <cell r="C3055">
            <v>302431</v>
          </cell>
          <cell r="D3055" t="str">
            <v>Getulio NHS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</row>
        <row r="3056">
          <cell r="C3056">
            <v>302432</v>
          </cell>
          <cell r="D3056" t="str">
            <v>Jordan NHS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</row>
        <row r="3057">
          <cell r="C3057">
            <v>302433</v>
          </cell>
          <cell r="D3057" t="str">
            <v>Simeon J. Jabasa National High School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</row>
        <row r="3058">
          <cell r="C3058">
            <v>302434</v>
          </cell>
          <cell r="D3058" t="str">
            <v>Nueva Valencia National High School</v>
          </cell>
          <cell r="E3058">
            <v>0</v>
          </cell>
          <cell r="F3058">
            <v>0</v>
          </cell>
          <cell r="G3058">
            <v>1</v>
          </cell>
          <cell r="H3058">
            <v>0</v>
          </cell>
          <cell r="I3058">
            <v>0</v>
          </cell>
          <cell r="J3058">
            <v>1</v>
          </cell>
          <cell r="K3058">
            <v>0</v>
          </cell>
          <cell r="L3058">
            <v>0</v>
          </cell>
        </row>
        <row r="3059">
          <cell r="C3059">
            <v>302435</v>
          </cell>
          <cell r="D3059" t="str">
            <v>Calaya National High School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6</v>
          </cell>
          <cell r="K3059">
            <v>0</v>
          </cell>
          <cell r="L3059">
            <v>7</v>
          </cell>
        </row>
        <row r="3060">
          <cell r="C3060">
            <v>302436</v>
          </cell>
          <cell r="D3060" t="str">
            <v>Salvacion National High School</v>
          </cell>
          <cell r="E3060">
            <v>0</v>
          </cell>
          <cell r="F3060">
            <v>0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</row>
        <row r="3061">
          <cell r="C3061">
            <v>302437</v>
          </cell>
          <cell r="D3061" t="str">
            <v>Dr. Catalino Gallego Nava Memorial High School</v>
          </cell>
          <cell r="E3061">
            <v>0</v>
          </cell>
          <cell r="F3061">
            <v>2</v>
          </cell>
          <cell r="G3061">
            <v>0</v>
          </cell>
          <cell r="H3061">
            <v>0</v>
          </cell>
          <cell r="I3061">
            <v>0</v>
          </cell>
          <cell r="J3061">
            <v>2</v>
          </cell>
          <cell r="K3061">
            <v>0</v>
          </cell>
          <cell r="L3061">
            <v>2</v>
          </cell>
        </row>
        <row r="3062">
          <cell r="C3062">
            <v>302438</v>
          </cell>
          <cell r="D3062" t="str">
            <v>Trinidad V. Canja-Sta. Teresa NHS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</row>
        <row r="3063">
          <cell r="C3063">
            <v>302439</v>
          </cell>
          <cell r="D3063" t="str">
            <v>Remedios E. Vilches-San Lorenzo National High School</v>
          </cell>
          <cell r="E3063">
            <v>0</v>
          </cell>
          <cell r="F3063">
            <v>1</v>
          </cell>
          <cell r="G3063">
            <v>0</v>
          </cell>
          <cell r="H3063">
            <v>0</v>
          </cell>
          <cell r="I3063">
            <v>0</v>
          </cell>
          <cell r="J3063">
            <v>1</v>
          </cell>
          <cell r="K3063">
            <v>0</v>
          </cell>
          <cell r="L3063">
            <v>0</v>
          </cell>
        </row>
        <row r="3064">
          <cell r="C3064">
            <v>310901</v>
          </cell>
          <cell r="D3064" t="str">
            <v>Ayangan National High School</v>
          </cell>
          <cell r="E3064">
            <v>0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</row>
        <row r="3065">
          <cell r="C3065">
            <v>310902</v>
          </cell>
          <cell r="D3065" t="str">
            <v>Supang National High School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</row>
        <row r="3066">
          <cell r="C3066">
            <v>302440</v>
          </cell>
          <cell r="D3066" t="str">
            <v>Alberto Sorongon Sr. Memorial National High School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</row>
        <row r="3067">
          <cell r="C3067">
            <v>302441</v>
          </cell>
          <cell r="D3067" t="str">
            <v>Abangay National High School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</row>
        <row r="3068">
          <cell r="C3068">
            <v>302442</v>
          </cell>
          <cell r="D3068" t="str">
            <v>Acao NHS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</row>
        <row r="3069">
          <cell r="C3069">
            <v>302443</v>
          </cell>
          <cell r="D3069" t="str">
            <v>Ajuy NHS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</row>
        <row r="3070">
          <cell r="C3070">
            <v>302444</v>
          </cell>
          <cell r="D3070" t="str">
            <v>Alcarde Gustilo Mem. National High School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</row>
        <row r="3071">
          <cell r="C3071">
            <v>302445</v>
          </cell>
          <cell r="D3071" t="str">
            <v>Alejandro Firmeza MNHS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  <cell r="I3071">
            <v>2</v>
          </cell>
          <cell r="J3071">
            <v>6</v>
          </cell>
          <cell r="K3071">
            <v>0</v>
          </cell>
          <cell r="L3071">
            <v>0</v>
          </cell>
        </row>
        <row r="3072">
          <cell r="C3072">
            <v>302446</v>
          </cell>
          <cell r="D3072" t="str">
            <v>Alimodian NCHS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</row>
        <row r="3073">
          <cell r="C3073">
            <v>302447</v>
          </cell>
          <cell r="D3073" t="str">
            <v>Ambrosio Maido MNHS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</row>
        <row r="3074">
          <cell r="C3074">
            <v>302448</v>
          </cell>
          <cell r="D3074" t="str">
            <v>Anabo NHS</v>
          </cell>
          <cell r="E3074">
            <v>0</v>
          </cell>
          <cell r="F3074">
            <v>0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</row>
        <row r="3075">
          <cell r="C3075">
            <v>302449</v>
          </cell>
          <cell r="D3075" t="str">
            <v>Anilao NHS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</row>
        <row r="3076">
          <cell r="C3076">
            <v>302450</v>
          </cell>
          <cell r="D3076" t="str">
            <v>Ardemil National High School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</row>
        <row r="3077">
          <cell r="C3077">
            <v>302451</v>
          </cell>
          <cell r="D3077" t="str">
            <v>Layog NHS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</row>
        <row r="3078">
          <cell r="C3078">
            <v>302452</v>
          </cell>
          <cell r="D3078" t="str">
            <v>Badiangan NHS</v>
          </cell>
          <cell r="E3078">
            <v>0</v>
          </cell>
          <cell r="F3078">
            <v>0</v>
          </cell>
          <cell r="G3078">
            <v>0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</row>
        <row r="3079">
          <cell r="C3079">
            <v>302453</v>
          </cell>
          <cell r="D3079" t="str">
            <v>Badlan National High School</v>
          </cell>
          <cell r="E3079">
            <v>0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</row>
        <row r="3080">
          <cell r="C3080">
            <v>302454</v>
          </cell>
          <cell r="D3080" t="str">
            <v>Balasan NHS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</row>
        <row r="3081">
          <cell r="C3081">
            <v>302455</v>
          </cell>
          <cell r="D3081" t="str">
            <v>Banate NHS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</row>
        <row r="3082">
          <cell r="C3082">
            <v>302456</v>
          </cell>
          <cell r="D3082" t="str">
            <v>Barosong National High School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</row>
        <row r="3083">
          <cell r="C3083">
            <v>302457</v>
          </cell>
          <cell r="D3083" t="str">
            <v>Barotac Nuevo National Comprehensive High School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</row>
        <row r="3084">
          <cell r="C3084">
            <v>302458</v>
          </cell>
          <cell r="D3084" t="str">
            <v>Barotac Viejo National High School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</row>
        <row r="3085">
          <cell r="C3085">
            <v>302459</v>
          </cell>
          <cell r="D3085" t="str">
            <v>Barroc NHS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</row>
        <row r="3086">
          <cell r="C3086">
            <v>302460</v>
          </cell>
          <cell r="D3086" t="str">
            <v>Batad National High School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</row>
        <row r="3087">
          <cell r="C3087">
            <v>302461</v>
          </cell>
          <cell r="D3087" t="str">
            <v>Bay-ang NHS</v>
          </cell>
          <cell r="E3087">
            <v>0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</row>
        <row r="3088">
          <cell r="C3088">
            <v>302462</v>
          </cell>
          <cell r="D3088" t="str">
            <v>Bayas National High School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</row>
        <row r="3089">
          <cell r="C3089">
            <v>302463</v>
          </cell>
          <cell r="D3089" t="str">
            <v>Binaba-an NHS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</row>
        <row r="3090">
          <cell r="C3090">
            <v>302464</v>
          </cell>
          <cell r="D3090" t="str">
            <v>Binaliuan NHS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</row>
        <row r="3091">
          <cell r="C3091">
            <v>302465</v>
          </cell>
          <cell r="D3091" t="str">
            <v>Bingawan NHS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</row>
        <row r="3092">
          <cell r="C3092">
            <v>302466</v>
          </cell>
          <cell r="D3092" t="str">
            <v>Bololacao NHS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</row>
        <row r="3093">
          <cell r="C3093">
            <v>302467</v>
          </cell>
          <cell r="D3093" t="str">
            <v>Botong-Cabanbanan NHS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</row>
        <row r="3094">
          <cell r="C3094">
            <v>302468</v>
          </cell>
          <cell r="D3094" t="str">
            <v>Buayahon-Bantay NHS</v>
          </cell>
          <cell r="E3094">
            <v>0</v>
          </cell>
          <cell r="F3094">
            <v>0</v>
          </cell>
          <cell r="G3094">
            <v>1</v>
          </cell>
          <cell r="H3094">
            <v>0</v>
          </cell>
          <cell r="I3094">
            <v>0</v>
          </cell>
          <cell r="J3094">
            <v>1</v>
          </cell>
          <cell r="K3094">
            <v>0</v>
          </cell>
          <cell r="L3094">
            <v>0</v>
          </cell>
        </row>
        <row r="3095">
          <cell r="C3095">
            <v>302469</v>
          </cell>
          <cell r="D3095" t="str">
            <v>Bucari NHS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</row>
        <row r="3096">
          <cell r="C3096">
            <v>302470</v>
          </cell>
          <cell r="D3096" t="str">
            <v>Buga National High School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</row>
        <row r="3097">
          <cell r="C3097">
            <v>302471</v>
          </cell>
          <cell r="D3097" t="str">
            <v>Burak NHS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</row>
        <row r="3098">
          <cell r="C3098">
            <v>302472</v>
          </cell>
          <cell r="D3098" t="str">
            <v>Cabalic National High School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</row>
        <row r="3099">
          <cell r="C3099">
            <v>302473</v>
          </cell>
          <cell r="D3099" t="str">
            <v>Cabatuan NCHS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</row>
        <row r="3100">
          <cell r="C3100">
            <v>302474</v>
          </cell>
          <cell r="D3100" t="str">
            <v>Cabudian National High School</v>
          </cell>
          <cell r="E3100">
            <v>0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</row>
        <row r="3101">
          <cell r="C3101">
            <v>302475</v>
          </cell>
          <cell r="D3101" t="str">
            <v>Cadagmayan NHS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</row>
        <row r="3102">
          <cell r="C3102">
            <v>302476</v>
          </cell>
          <cell r="D3102" t="str">
            <v>Batuan-Cadinglian NHS</v>
          </cell>
          <cell r="E3102">
            <v>0</v>
          </cell>
          <cell r="F3102">
            <v>0</v>
          </cell>
          <cell r="G3102">
            <v>0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</row>
        <row r="3103">
          <cell r="C3103">
            <v>302477</v>
          </cell>
          <cell r="D3103" t="str">
            <v>Calinog NCHS</v>
          </cell>
          <cell r="E3103">
            <v>0</v>
          </cell>
          <cell r="F3103">
            <v>0</v>
          </cell>
          <cell r="G3103">
            <v>0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</row>
        <row r="3104">
          <cell r="C3104">
            <v>302478</v>
          </cell>
          <cell r="D3104" t="str">
            <v>Calmay NHS</v>
          </cell>
          <cell r="E3104">
            <v>0</v>
          </cell>
          <cell r="F3104">
            <v>0</v>
          </cell>
          <cell r="G3104">
            <v>0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</row>
        <row r="3105">
          <cell r="C3105">
            <v>302479</v>
          </cell>
          <cell r="D3105" t="str">
            <v>CAMANGAHAN NATIONAL HIGH SCHOOL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</row>
        <row r="3106">
          <cell r="C3106">
            <v>302480</v>
          </cell>
          <cell r="D3106" t="str">
            <v>Camiros NHS</v>
          </cell>
          <cell r="E3106">
            <v>0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</row>
        <row r="3107">
          <cell r="C3107">
            <v>302481</v>
          </cell>
          <cell r="D3107" t="str">
            <v>CARVASANA  NHS</v>
          </cell>
          <cell r="E3107">
            <v>0</v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</row>
        <row r="3108">
          <cell r="C3108">
            <v>302482</v>
          </cell>
          <cell r="D3108" t="str">
            <v>Cawayan NHS</v>
          </cell>
          <cell r="E3108">
            <v>0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</row>
        <row r="3109">
          <cell r="C3109">
            <v>302483</v>
          </cell>
          <cell r="D3109" t="str">
            <v>Cayos NHS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</row>
        <row r="3110">
          <cell r="C3110">
            <v>302484</v>
          </cell>
          <cell r="D3110" t="str">
            <v>Roberto H. Tirol High School</v>
          </cell>
          <cell r="E3110">
            <v>0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</row>
        <row r="3111">
          <cell r="C3111">
            <v>302485</v>
          </cell>
          <cell r="D3111" t="str">
            <v>Cordova NHS</v>
          </cell>
          <cell r="E3111">
            <v>0</v>
          </cell>
          <cell r="F3111">
            <v>0</v>
          </cell>
          <cell r="G3111">
            <v>0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</row>
        <row r="3112">
          <cell r="C3112">
            <v>302486</v>
          </cell>
          <cell r="D3112" t="str">
            <v>Culasi NHS</v>
          </cell>
          <cell r="E3112">
            <v>0</v>
          </cell>
          <cell r="F3112">
            <v>0</v>
          </cell>
          <cell r="G3112">
            <v>0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</row>
        <row r="3113">
          <cell r="C3113">
            <v>302487</v>
          </cell>
          <cell r="D3113" t="str">
            <v>Daga-Barasan NHS</v>
          </cell>
          <cell r="E3113">
            <v>0</v>
          </cell>
          <cell r="F3113">
            <v>0</v>
          </cell>
          <cell r="G3113">
            <v>0</v>
          </cell>
          <cell r="H3113">
            <v>0</v>
          </cell>
          <cell r="I3113">
            <v>1</v>
          </cell>
          <cell r="J3113">
            <v>2</v>
          </cell>
          <cell r="K3113">
            <v>0</v>
          </cell>
          <cell r="L3113">
            <v>0</v>
          </cell>
        </row>
        <row r="3114">
          <cell r="C3114">
            <v>302488</v>
          </cell>
          <cell r="D3114" t="str">
            <v>Dapdap NHS</v>
          </cell>
          <cell r="E3114">
            <v>0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</row>
        <row r="3115">
          <cell r="C3115">
            <v>302489</v>
          </cell>
          <cell r="D3115" t="str">
            <v>De La Paz National High School</v>
          </cell>
          <cell r="E3115">
            <v>0</v>
          </cell>
          <cell r="F3115">
            <v>0</v>
          </cell>
          <cell r="G3115">
            <v>0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</row>
        <row r="3116">
          <cell r="C3116">
            <v>302490</v>
          </cell>
          <cell r="D3116" t="str">
            <v>Dingle NHS</v>
          </cell>
          <cell r="E3116">
            <v>0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</row>
        <row r="3117">
          <cell r="C3117">
            <v>302491</v>
          </cell>
          <cell r="D3117" t="str">
            <v>Dominador Abang MNHS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</row>
        <row r="3118">
          <cell r="C3118">
            <v>302492</v>
          </cell>
          <cell r="D3118" t="str">
            <v>Don B. Jalandoni NHS</v>
          </cell>
          <cell r="E3118">
            <v>0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</row>
        <row r="3119">
          <cell r="C3119">
            <v>302493</v>
          </cell>
          <cell r="D3119" t="str">
            <v>Carlos Lopez NHS</v>
          </cell>
          <cell r="E3119">
            <v>0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</row>
        <row r="3120">
          <cell r="C3120">
            <v>302494</v>
          </cell>
          <cell r="D3120" t="str">
            <v>Don Casimero Andrada NHS</v>
          </cell>
          <cell r="E3120">
            <v>0</v>
          </cell>
          <cell r="F3120">
            <v>0</v>
          </cell>
          <cell r="G3120">
            <v>0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</row>
        <row r="3121">
          <cell r="C3121">
            <v>302495</v>
          </cell>
          <cell r="D3121" t="str">
            <v>Don Felix Serra NHS</v>
          </cell>
          <cell r="E3121">
            <v>0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</row>
        <row r="3122">
          <cell r="C3122">
            <v>302496</v>
          </cell>
          <cell r="D3122" t="str">
            <v>Dorog NHS</v>
          </cell>
          <cell r="E3122">
            <v>0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</row>
        <row r="3123">
          <cell r="C3123">
            <v>302497</v>
          </cell>
          <cell r="D3123" t="str">
            <v>Duenas General Comprehensive High School</v>
          </cell>
          <cell r="E3123">
            <v>0</v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</row>
        <row r="3124">
          <cell r="C3124">
            <v>302498</v>
          </cell>
          <cell r="D3124" t="str">
            <v>Dumangas NHS</v>
          </cell>
          <cell r="E3124">
            <v>0</v>
          </cell>
          <cell r="F3124">
            <v>3</v>
          </cell>
          <cell r="G3124">
            <v>0</v>
          </cell>
          <cell r="H3124">
            <v>0</v>
          </cell>
          <cell r="I3124">
            <v>0</v>
          </cell>
          <cell r="J3124">
            <v>2</v>
          </cell>
          <cell r="K3124">
            <v>1</v>
          </cell>
          <cell r="L3124">
            <v>0</v>
          </cell>
        </row>
        <row r="3125">
          <cell r="C3125">
            <v>302499</v>
          </cell>
          <cell r="D3125" t="str">
            <v>Escalantera NHS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</row>
        <row r="3126">
          <cell r="C3126">
            <v>302500</v>
          </cell>
          <cell r="D3126" t="str">
            <v>Estancia National High School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</row>
        <row r="3127">
          <cell r="C3127">
            <v>302501</v>
          </cell>
          <cell r="D3127" t="str">
            <v>Esteban S. Javellana MHS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</row>
        <row r="3128">
          <cell r="C3128">
            <v>302502</v>
          </cell>
          <cell r="D3128" t="str">
            <v>GEN. LUNA NHS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</row>
        <row r="3129">
          <cell r="C3129">
            <v>302503</v>
          </cell>
          <cell r="D3129" t="str">
            <v>Gines National High School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</row>
        <row r="3130">
          <cell r="C3130">
            <v>302504</v>
          </cell>
          <cell r="D3130" t="str">
            <v>Ginot-an National High School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</row>
        <row r="3131">
          <cell r="C3131">
            <v>302505</v>
          </cell>
          <cell r="D3131" t="str">
            <v>GRANADA NHS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</row>
        <row r="3132">
          <cell r="C3132">
            <v>302506</v>
          </cell>
          <cell r="D3132" t="str">
            <v>Guimbal NHS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</row>
        <row r="3133">
          <cell r="C3133">
            <v>302507</v>
          </cell>
          <cell r="D3133" t="str">
            <v>Igbaras NHS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</row>
        <row r="3134">
          <cell r="C3134">
            <v>302508</v>
          </cell>
          <cell r="D3134" t="str">
            <v>Igtalongon NHS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</row>
        <row r="3135">
          <cell r="C3135">
            <v>302509</v>
          </cell>
          <cell r="D3135" t="str">
            <v>Iloilo NHS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</row>
        <row r="3136">
          <cell r="C3136">
            <v>302510</v>
          </cell>
          <cell r="D3136" t="str">
            <v>Ilongbukid NHS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</row>
        <row r="3137">
          <cell r="C3137">
            <v>302511</v>
          </cell>
          <cell r="D3137" t="str">
            <v>Jamabalud NHS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</row>
        <row r="3138">
          <cell r="C3138">
            <v>302512</v>
          </cell>
          <cell r="D3138" t="str">
            <v>Janiuay NCHS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</row>
        <row r="3139">
          <cell r="C3139">
            <v>302513</v>
          </cell>
          <cell r="D3139" t="str">
            <v>Jelicuon-Cabugao National High School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</row>
        <row r="3140">
          <cell r="C3140">
            <v>302514</v>
          </cell>
          <cell r="D3140" t="str">
            <v>Jose Facultad Memorial National High School</v>
          </cell>
          <cell r="E3140">
            <v>0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</row>
        <row r="3141">
          <cell r="C3141">
            <v>302515</v>
          </cell>
          <cell r="D3141" t="str">
            <v>Kirayan NHS</v>
          </cell>
          <cell r="E3141">
            <v>0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</row>
        <row r="3142">
          <cell r="C3142">
            <v>302516</v>
          </cell>
          <cell r="D3142" t="str">
            <v>Leonora S. Salapantan NHS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</row>
        <row r="3143">
          <cell r="C3143">
            <v>302517</v>
          </cell>
          <cell r="D3143" t="str">
            <v>Lambunao National High School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</row>
        <row r="3144">
          <cell r="C3144">
            <v>302518</v>
          </cell>
          <cell r="D3144" t="str">
            <v>Lapayon NHS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</row>
        <row r="3145">
          <cell r="C3145">
            <v>302519</v>
          </cell>
          <cell r="D3145" t="str">
            <v>Lawigan NHS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</row>
        <row r="3146">
          <cell r="C3146">
            <v>302520</v>
          </cell>
          <cell r="D3146" t="str">
            <v>Leganes National High School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</row>
        <row r="3147">
          <cell r="C3147">
            <v>302521</v>
          </cell>
          <cell r="D3147" t="str">
            <v>Lemery National High School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</row>
        <row r="3148">
          <cell r="C3148">
            <v>302522</v>
          </cell>
          <cell r="D3148" t="str">
            <v>Leon National High School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6</v>
          </cell>
          <cell r="J3148">
            <v>25</v>
          </cell>
          <cell r="K3148">
            <v>1</v>
          </cell>
          <cell r="L3148">
            <v>0</v>
          </cell>
        </row>
        <row r="3149">
          <cell r="C3149">
            <v>302523</v>
          </cell>
          <cell r="D3149" t="str">
            <v>Luca NHS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</row>
        <row r="3150">
          <cell r="C3150">
            <v>302524</v>
          </cell>
          <cell r="D3150" t="str">
            <v>Maasin National Comprehensive High School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</row>
        <row r="3151">
          <cell r="C3151">
            <v>302525</v>
          </cell>
          <cell r="D3151" t="str">
            <v>Malapaya NHS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</row>
        <row r="3152">
          <cell r="C3152">
            <v>302526</v>
          </cell>
          <cell r="D3152" t="str">
            <v>Malitbog National High School</v>
          </cell>
          <cell r="E3152">
            <v>0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</row>
        <row r="3153">
          <cell r="C3153">
            <v>302527</v>
          </cell>
          <cell r="D3153" t="str">
            <v>Malusgod NHS</v>
          </cell>
          <cell r="E3153">
            <v>0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</row>
        <row r="3154">
          <cell r="C3154">
            <v>302528</v>
          </cell>
          <cell r="D3154" t="str">
            <v>Major Manuel A. Aaron Memorial NHS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</row>
        <row r="3155">
          <cell r="C3155">
            <v>302529</v>
          </cell>
          <cell r="D3155" t="str">
            <v>Maribuyong NHS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1</v>
          </cell>
          <cell r="K3155">
            <v>0</v>
          </cell>
          <cell r="L3155">
            <v>1</v>
          </cell>
        </row>
        <row r="3156">
          <cell r="C3156">
            <v>302530</v>
          </cell>
          <cell r="D3156" t="str">
            <v>Mateo NHS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0</v>
          </cell>
        </row>
        <row r="3157">
          <cell r="C3157">
            <v>302531</v>
          </cell>
          <cell r="D3157" t="str">
            <v>Miagao NHS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</row>
        <row r="3158">
          <cell r="C3158">
            <v>302532</v>
          </cell>
          <cell r="D3158" t="str">
            <v>Milan NHS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  <cell r="I3158">
            <v>1</v>
          </cell>
          <cell r="J3158">
            <v>5</v>
          </cell>
          <cell r="K3158">
            <v>0</v>
          </cell>
          <cell r="L3158">
            <v>0</v>
          </cell>
        </row>
        <row r="3159">
          <cell r="C3159">
            <v>302533</v>
          </cell>
          <cell r="D3159" t="str">
            <v>Mina NHS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</row>
        <row r="3160">
          <cell r="C3160">
            <v>302534</v>
          </cell>
          <cell r="D3160" t="str">
            <v>Mostro NHS</v>
          </cell>
          <cell r="E3160">
            <v>0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</row>
        <row r="3161">
          <cell r="C3161">
            <v>302535</v>
          </cell>
          <cell r="D3161" t="str">
            <v>Nabitasan NHS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</row>
        <row r="3162">
          <cell r="C3162">
            <v>302536</v>
          </cell>
          <cell r="D3162" t="str">
            <v>Nalundan NHS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</row>
        <row r="3163">
          <cell r="C3163">
            <v>302537</v>
          </cell>
          <cell r="D3163" t="str">
            <v>Napnapan NHS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</row>
        <row r="3164">
          <cell r="C3164">
            <v>302538</v>
          </cell>
          <cell r="D3164" t="str">
            <v>Nazuni Summit CNHS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</row>
        <row r="3165">
          <cell r="C3165">
            <v>302539</v>
          </cell>
          <cell r="D3165" t="str">
            <v>New Lucena National Comprehensive High School</v>
          </cell>
          <cell r="E3165">
            <v>0</v>
          </cell>
          <cell r="F3165">
            <v>1</v>
          </cell>
          <cell r="G3165">
            <v>1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</row>
        <row r="3166">
          <cell r="C3166">
            <v>302540</v>
          </cell>
          <cell r="D3166" t="str">
            <v>New Lucena National High School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</row>
        <row r="3167">
          <cell r="C3167">
            <v>302541</v>
          </cell>
          <cell r="D3167" t="str">
            <v>Nicomedes R. Tubar Sr. NHS</v>
          </cell>
          <cell r="E3167">
            <v>0</v>
          </cell>
          <cell r="F3167">
            <v>0</v>
          </cell>
          <cell r="G3167">
            <v>0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</row>
        <row r="3168">
          <cell r="C3168">
            <v>302542</v>
          </cell>
          <cell r="D3168" t="str">
            <v>Oton National High School</v>
          </cell>
          <cell r="E3168">
            <v>0</v>
          </cell>
          <cell r="F3168">
            <v>0</v>
          </cell>
          <cell r="G3168">
            <v>0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0</v>
          </cell>
        </row>
        <row r="3169">
          <cell r="C3169">
            <v>302543</v>
          </cell>
          <cell r="D3169" t="str">
            <v>Pagdugue National High School</v>
          </cell>
          <cell r="E3169">
            <v>0</v>
          </cell>
          <cell r="F3169">
            <v>2</v>
          </cell>
          <cell r="G3169">
            <v>0</v>
          </cell>
          <cell r="H3169">
            <v>0</v>
          </cell>
          <cell r="I3169">
            <v>0</v>
          </cell>
          <cell r="J3169">
            <v>2</v>
          </cell>
          <cell r="K3169">
            <v>0</v>
          </cell>
          <cell r="L3169">
            <v>0</v>
          </cell>
        </row>
        <row r="3170">
          <cell r="C3170">
            <v>302544</v>
          </cell>
          <cell r="D3170" t="str">
            <v>Palaca-Damilisan NHS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</row>
        <row r="3171">
          <cell r="C3171">
            <v>302545</v>
          </cell>
          <cell r="D3171" t="str">
            <v>Bacolod NHS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</row>
        <row r="3172">
          <cell r="C3172">
            <v>302546</v>
          </cell>
          <cell r="D3172" t="str">
            <v>PALANGUIA NATIONAL HIGH SCHOOL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</row>
        <row r="3173">
          <cell r="C3173">
            <v>302547</v>
          </cell>
          <cell r="D3173" t="str">
            <v>Panuran NHS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</row>
        <row r="3174">
          <cell r="C3174">
            <v>302548</v>
          </cell>
          <cell r="D3174" t="str">
            <v>Parara NHS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</row>
        <row r="3175">
          <cell r="C3175">
            <v>302549</v>
          </cell>
          <cell r="D3175" t="str">
            <v>Particion NHS</v>
          </cell>
          <cell r="E3175">
            <v>0</v>
          </cell>
          <cell r="F3175">
            <v>0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</row>
        <row r="3176">
          <cell r="C3176">
            <v>302550</v>
          </cell>
          <cell r="D3176" t="str">
            <v>Pavia National High School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</row>
        <row r="3177">
          <cell r="C3177">
            <v>302551</v>
          </cell>
          <cell r="D3177" t="str">
            <v>PAYAO NHS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</row>
        <row r="3178">
          <cell r="C3178">
            <v>302552</v>
          </cell>
          <cell r="D3178" t="str">
            <v>Pili NHS</v>
          </cell>
          <cell r="E3178">
            <v>0</v>
          </cell>
          <cell r="F3178">
            <v>0</v>
          </cell>
          <cell r="G3178">
            <v>0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</row>
        <row r="3179">
          <cell r="C3179">
            <v>302553</v>
          </cell>
          <cell r="D3179" t="str">
            <v>Bucana Bunglas NHS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</row>
        <row r="3180">
          <cell r="C3180">
            <v>302554</v>
          </cell>
          <cell r="D3180" t="str">
            <v>Pitogo National High School</v>
          </cell>
          <cell r="E3180">
            <v>0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0</v>
          </cell>
        </row>
        <row r="3181">
          <cell r="C3181">
            <v>302555</v>
          </cell>
          <cell r="D3181" t="str">
            <v>Polopiña NHS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0</v>
          </cell>
        </row>
        <row r="3182">
          <cell r="C3182">
            <v>302556</v>
          </cell>
          <cell r="D3182" t="str">
            <v>Pototan National Comprehensive High School</v>
          </cell>
          <cell r="E3182">
            <v>0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</row>
        <row r="3183">
          <cell r="C3183">
            <v>302557</v>
          </cell>
          <cell r="D3183" t="str">
            <v>Punta Buri NHS</v>
          </cell>
          <cell r="E3183">
            <v>0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</row>
        <row r="3184">
          <cell r="C3184">
            <v>302558</v>
          </cell>
          <cell r="D3184" t="str">
            <v>Wenceslao S. Grio NHS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</row>
        <row r="3185">
          <cell r="C3185">
            <v>302559</v>
          </cell>
          <cell r="D3185" t="str">
            <v>Leon Mediana NHS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</row>
        <row r="3186">
          <cell r="C3186">
            <v>302560</v>
          </cell>
          <cell r="D3186" t="str">
            <v>Quipot National High School</v>
          </cell>
          <cell r="E3186">
            <v>0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</row>
        <row r="3187">
          <cell r="C3187">
            <v>302561</v>
          </cell>
          <cell r="D3187" t="str">
            <v>Salihid NHS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</row>
        <row r="3188">
          <cell r="C3188">
            <v>302562</v>
          </cell>
          <cell r="D3188" t="str">
            <v>San Antonio NHS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</row>
        <row r="3189">
          <cell r="C3189">
            <v>302563</v>
          </cell>
          <cell r="D3189" t="str">
            <v>San Enrique Manuel Paluay, Sr. MHS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0</v>
          </cell>
        </row>
        <row r="3190">
          <cell r="C3190">
            <v>302564</v>
          </cell>
          <cell r="D3190" t="str">
            <v>San Enrique NCHS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</row>
        <row r="3191">
          <cell r="C3191">
            <v>302565</v>
          </cell>
          <cell r="D3191" t="str">
            <v>SAN FERNANDO NATIONAL HIGH SCHOOL</v>
          </cell>
          <cell r="E3191">
            <v>0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0</v>
          </cell>
        </row>
        <row r="3192">
          <cell r="C3192">
            <v>302566</v>
          </cell>
          <cell r="D3192" t="str">
            <v>SAN JOAQUIN SCHOOL OF FISHERIES</v>
          </cell>
          <cell r="E3192">
            <v>0</v>
          </cell>
          <cell r="F3192">
            <v>0</v>
          </cell>
          <cell r="G3192">
            <v>0</v>
          </cell>
          <cell r="H3192">
            <v>2</v>
          </cell>
          <cell r="I3192">
            <v>2</v>
          </cell>
          <cell r="J3192">
            <v>11</v>
          </cell>
          <cell r="K3192">
            <v>1</v>
          </cell>
          <cell r="L3192">
            <v>0</v>
          </cell>
        </row>
        <row r="3193">
          <cell r="C3193">
            <v>302567</v>
          </cell>
          <cell r="D3193" t="str">
            <v>San Luis NHS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  <cell r="I3193">
            <v>4</v>
          </cell>
          <cell r="J3193">
            <v>6</v>
          </cell>
          <cell r="K3193">
            <v>2</v>
          </cell>
          <cell r="L3193">
            <v>6</v>
          </cell>
        </row>
        <row r="3194">
          <cell r="C3194">
            <v>302568</v>
          </cell>
          <cell r="D3194" t="str">
            <v>San Rafael NHS (Miagao)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</row>
        <row r="3195">
          <cell r="C3195">
            <v>302569</v>
          </cell>
          <cell r="D3195" t="str">
            <v>San Rafael NHS (San Rafael)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</row>
        <row r="3196">
          <cell r="C3196">
            <v>302570</v>
          </cell>
          <cell r="D3196" t="str">
            <v>Sara NHS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</row>
        <row r="3197">
          <cell r="C3197">
            <v>302571</v>
          </cell>
          <cell r="D3197" t="str">
            <v>Sinogbuhan National High School</v>
          </cell>
          <cell r="E3197">
            <v>0</v>
          </cell>
          <cell r="F3197">
            <v>0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</row>
        <row r="3198">
          <cell r="C3198">
            <v>302572</v>
          </cell>
          <cell r="D3198" t="str">
            <v>Siwalo NHS</v>
          </cell>
          <cell r="E3198">
            <v>0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0</v>
          </cell>
        </row>
        <row r="3199">
          <cell r="C3199">
            <v>302573</v>
          </cell>
          <cell r="D3199" t="str">
            <v>Santa Barbara National Comprehensive High School</v>
          </cell>
          <cell r="E3199">
            <v>0</v>
          </cell>
          <cell r="F3199">
            <v>0</v>
          </cell>
          <cell r="G3199">
            <v>0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0</v>
          </cell>
        </row>
        <row r="3200">
          <cell r="C3200">
            <v>302574</v>
          </cell>
          <cell r="D3200" t="str">
            <v>Sta. Rita National High School</v>
          </cell>
          <cell r="E3200">
            <v>0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</row>
        <row r="3201">
          <cell r="C3201">
            <v>302575</v>
          </cell>
          <cell r="D3201" t="str">
            <v>Tabugon NHS</v>
          </cell>
          <cell r="E3201">
            <v>0</v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</row>
        <row r="3202">
          <cell r="C3202">
            <v>302576</v>
          </cell>
          <cell r="D3202" t="str">
            <v>Tagsing-Buyo NHS</v>
          </cell>
          <cell r="E3202">
            <v>0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</row>
        <row r="3203">
          <cell r="C3203">
            <v>302577</v>
          </cell>
          <cell r="D3203" t="str">
            <v>Talingting NHS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</row>
        <row r="3204">
          <cell r="C3204">
            <v>302578</v>
          </cell>
          <cell r="D3204" t="str">
            <v>Tigbauan NHS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</row>
        <row r="3205">
          <cell r="C3205">
            <v>302579</v>
          </cell>
          <cell r="D3205" t="str">
            <v>Tigbauan National High School</v>
          </cell>
          <cell r="E3205">
            <v>0</v>
          </cell>
          <cell r="F3205">
            <v>0</v>
          </cell>
          <cell r="G3205">
            <v>0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</row>
        <row r="3206">
          <cell r="C3206">
            <v>302580</v>
          </cell>
          <cell r="D3206" t="str">
            <v>Tina National High School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  <cell r="I3206">
            <v>1</v>
          </cell>
          <cell r="J3206">
            <v>5</v>
          </cell>
          <cell r="K3206">
            <v>1</v>
          </cell>
          <cell r="L3206">
            <v>5</v>
          </cell>
        </row>
        <row r="3207">
          <cell r="C3207">
            <v>302581</v>
          </cell>
          <cell r="D3207" t="str">
            <v>Tiolas NHS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</row>
        <row r="3208">
          <cell r="C3208">
            <v>302582</v>
          </cell>
          <cell r="D3208" t="str">
            <v>Tiring NHS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</row>
        <row r="3209">
          <cell r="C3209">
            <v>302583</v>
          </cell>
          <cell r="D3209" t="str">
            <v>Tubungan NHS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</row>
        <row r="3210">
          <cell r="C3210">
            <v>302584</v>
          </cell>
          <cell r="D3210" t="str">
            <v>Valverde NHS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</row>
        <row r="3211">
          <cell r="C3211">
            <v>302585</v>
          </cell>
          <cell r="D3211" t="str">
            <v>Zarraga National High School</v>
          </cell>
          <cell r="E3211">
            <v>0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</row>
        <row r="3212">
          <cell r="C3212">
            <v>305700</v>
          </cell>
          <cell r="D3212" t="str">
            <v>Alameda National High School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</row>
        <row r="3213">
          <cell r="C3213">
            <v>305704</v>
          </cell>
          <cell r="D3213" t="str">
            <v>Sta. Ana National High School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</row>
        <row r="3214">
          <cell r="C3214">
            <v>311001</v>
          </cell>
          <cell r="D3214" t="str">
            <v>Valerio P. Palmares NHS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</row>
        <row r="3215">
          <cell r="C3215">
            <v>311002</v>
          </cell>
          <cell r="D3215" t="str">
            <v>Jose Monfort National Science High School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</row>
        <row r="3216">
          <cell r="C3216">
            <v>311003</v>
          </cell>
          <cell r="D3216" t="str">
            <v>Jayobo National High School</v>
          </cell>
          <cell r="E3216">
            <v>0</v>
          </cell>
          <cell r="F3216">
            <v>0</v>
          </cell>
          <cell r="G3216">
            <v>0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</row>
        <row r="3217">
          <cell r="C3217">
            <v>311004</v>
          </cell>
          <cell r="D3217" t="str">
            <v>Santiago NHS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</row>
        <row r="3218">
          <cell r="C3218">
            <v>311005</v>
          </cell>
          <cell r="D3218" t="str">
            <v>Lanag Norte National High School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</row>
        <row r="3219">
          <cell r="C3219">
            <v>311006</v>
          </cell>
          <cell r="D3219" t="str">
            <v>P.D. Monfort National Science HS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</row>
        <row r="3220">
          <cell r="C3220">
            <v>311007</v>
          </cell>
          <cell r="D3220" t="str">
            <v>Loong NHS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</row>
        <row r="3221">
          <cell r="C3221">
            <v>311008</v>
          </cell>
          <cell r="D3221" t="str">
            <v>Rufino G. Palabrica, Sr. NHS</v>
          </cell>
          <cell r="E3221">
            <v>0</v>
          </cell>
          <cell r="F3221">
            <v>0</v>
          </cell>
          <cell r="G3221">
            <v>0</v>
          </cell>
          <cell r="H3221">
            <v>1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</row>
        <row r="3222">
          <cell r="C3222">
            <v>311009</v>
          </cell>
          <cell r="D3222" t="str">
            <v>Granada NHS-Ballesteros Campus</v>
          </cell>
          <cell r="E3222">
            <v>0</v>
          </cell>
          <cell r="F3222">
            <v>0</v>
          </cell>
          <cell r="G3222">
            <v>0</v>
          </cell>
          <cell r="H3222">
            <v>0</v>
          </cell>
          <cell r="I3222">
            <v>3</v>
          </cell>
          <cell r="J3222">
            <v>7</v>
          </cell>
          <cell r="K3222">
            <v>3</v>
          </cell>
          <cell r="L3222">
            <v>7</v>
          </cell>
        </row>
        <row r="3223">
          <cell r="C3223">
            <v>311010</v>
          </cell>
          <cell r="D3223" t="str">
            <v>San Jose NHS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</row>
        <row r="3224">
          <cell r="C3224">
            <v>311011</v>
          </cell>
          <cell r="D3224" t="str">
            <v>Adriano Cabardo NHS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</row>
        <row r="3225">
          <cell r="C3225">
            <v>311012</v>
          </cell>
          <cell r="D3225" t="str">
            <v>Tambaliza NHS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</row>
        <row r="3226">
          <cell r="C3226">
            <v>311013</v>
          </cell>
          <cell r="D3226" t="str">
            <v>Supt. Arsenio M. Napud MNHS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</row>
        <row r="3227">
          <cell r="C3227">
            <v>311014</v>
          </cell>
          <cell r="D3227" t="str">
            <v>Hda. Conchita NHS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</row>
        <row r="3228">
          <cell r="C3228">
            <v>311015</v>
          </cell>
          <cell r="D3228" t="str">
            <v>Calicuang NHS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</row>
        <row r="3229">
          <cell r="C3229">
            <v>311017</v>
          </cell>
          <cell r="D3229" t="str">
            <v>Bancal NHS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</row>
        <row r="3230">
          <cell r="C3230">
            <v>311018</v>
          </cell>
          <cell r="D3230" t="str">
            <v>Fernandez Perez MNHS</v>
          </cell>
          <cell r="E3230">
            <v>0</v>
          </cell>
          <cell r="F3230">
            <v>0</v>
          </cell>
          <cell r="G3230">
            <v>0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</row>
        <row r="3231">
          <cell r="C3231">
            <v>311019</v>
          </cell>
          <cell r="D3231" t="str">
            <v>Binolusan Pequeño National High School</v>
          </cell>
          <cell r="E3231">
            <v>0</v>
          </cell>
          <cell r="F3231">
            <v>0</v>
          </cell>
          <cell r="G3231">
            <v>0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</row>
        <row r="3232">
          <cell r="C3232">
            <v>311020</v>
          </cell>
          <cell r="D3232" t="str">
            <v>Caninguan NHS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</row>
        <row r="3233">
          <cell r="C3233">
            <v>311021</v>
          </cell>
          <cell r="D3233" t="str">
            <v>Tacuyong Sur NHS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</row>
        <row r="3234">
          <cell r="C3234">
            <v>311022</v>
          </cell>
          <cell r="D3234" t="str">
            <v>CAMBITU NHS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</row>
        <row r="3235">
          <cell r="C3235">
            <v>311023</v>
          </cell>
          <cell r="D3235" t="str">
            <v>Bad-as NHS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</row>
        <row r="3236">
          <cell r="C3236">
            <v>311024</v>
          </cell>
          <cell r="D3236" t="str">
            <v>Bagacay National High School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</row>
        <row r="3237">
          <cell r="C3237">
            <v>311025</v>
          </cell>
          <cell r="D3237" t="str">
            <v>Jovita Alfaras Rivera National High School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</row>
        <row r="3238">
          <cell r="C3238">
            <v>311026</v>
          </cell>
          <cell r="D3238" t="str">
            <v>Vicente Aguilar NHS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</row>
        <row r="3239">
          <cell r="C3239">
            <v>311027</v>
          </cell>
          <cell r="D3239" t="str">
            <v>SINAMAY NATIONAL HIGH SCHOOL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</row>
        <row r="3240">
          <cell r="C3240">
            <v>311028</v>
          </cell>
          <cell r="D3240" t="str">
            <v>Dalid National High School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</row>
        <row r="3241">
          <cell r="C3241">
            <v>311029</v>
          </cell>
          <cell r="D3241" t="str">
            <v>Dagami National High School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</row>
        <row r="3242">
          <cell r="C3242">
            <v>311031</v>
          </cell>
          <cell r="D3242" t="str">
            <v>BAYAG NATIONAL HIGH SCHOOL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</row>
        <row r="3243">
          <cell r="C3243">
            <v>311503</v>
          </cell>
          <cell r="D3243" t="str">
            <v>Barotac Nuevo NCHS-Tiwi Annex</v>
          </cell>
          <cell r="E3243">
            <v>0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</row>
        <row r="3244">
          <cell r="C3244">
            <v>500188</v>
          </cell>
          <cell r="D3244" t="str">
            <v>STO. NIÑO INTEGRATED SCHOOL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</row>
        <row r="3245">
          <cell r="C3245">
            <v>302586</v>
          </cell>
          <cell r="D3245" t="str">
            <v>Agpangi NHS</v>
          </cell>
          <cell r="E3245">
            <v>0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</row>
        <row r="3246">
          <cell r="C3246">
            <v>302588</v>
          </cell>
          <cell r="D3246" t="str">
            <v>Barangay  Alegria NHS</v>
          </cell>
          <cell r="E3246">
            <v>0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1</v>
          </cell>
          <cell r="K3246">
            <v>0</v>
          </cell>
          <cell r="L3246">
            <v>0</v>
          </cell>
        </row>
        <row r="3247">
          <cell r="C3247">
            <v>302589</v>
          </cell>
          <cell r="D3247" t="str">
            <v>Andulauan NHS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</row>
        <row r="3248">
          <cell r="C3248">
            <v>302590</v>
          </cell>
          <cell r="D3248" t="str">
            <v>Andulauan NHS - Ilog Poblacion Ext.</v>
          </cell>
          <cell r="E3248">
            <v>0</v>
          </cell>
          <cell r="F3248">
            <v>0</v>
          </cell>
          <cell r="G3248">
            <v>0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</row>
        <row r="3249">
          <cell r="C3249">
            <v>302591</v>
          </cell>
          <cell r="D3249" t="str">
            <v>ANTIPOLO NATIONAL HIGH SCHOOL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</row>
        <row r="3250">
          <cell r="C3250">
            <v>302592</v>
          </cell>
          <cell r="D3250" t="str">
            <v>Biao National High School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</row>
        <row r="3251">
          <cell r="C3251">
            <v>302593</v>
          </cell>
          <cell r="D3251" t="str">
            <v>Bocana NHS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0</v>
          </cell>
        </row>
        <row r="3252">
          <cell r="C3252">
            <v>302594</v>
          </cell>
          <cell r="D3252" t="str">
            <v>Bocana NHS - Galicia Ext.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</row>
        <row r="3253">
          <cell r="C3253">
            <v>302597</v>
          </cell>
          <cell r="D3253" t="str">
            <v>Bug-ang National High School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</row>
        <row r="3254">
          <cell r="C3254">
            <v>302598</v>
          </cell>
          <cell r="D3254" t="str">
            <v>Bulata NHS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</row>
        <row r="3255">
          <cell r="C3255">
            <v>302599</v>
          </cell>
          <cell r="D3255" t="str">
            <v>Bulwangan NHS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</row>
        <row r="3256">
          <cell r="C3256">
            <v>302600</v>
          </cell>
          <cell r="D3256" t="str">
            <v>Bilbao Uybico NHS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3</v>
          </cell>
          <cell r="J3256">
            <v>9</v>
          </cell>
          <cell r="K3256">
            <v>5</v>
          </cell>
          <cell r="L3256">
            <v>10</v>
          </cell>
        </row>
        <row r="3257">
          <cell r="C3257">
            <v>302601</v>
          </cell>
          <cell r="D3257" t="str">
            <v>Bulwangan National High School - Talacagay Ext.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</row>
        <row r="3258">
          <cell r="C3258">
            <v>302602</v>
          </cell>
          <cell r="D3258" t="str">
            <v>Cabacungan NHS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</row>
        <row r="3259">
          <cell r="C3259">
            <v>302604</v>
          </cell>
          <cell r="D3259" t="str">
            <v>Laga-an National High School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</row>
        <row r="3260">
          <cell r="C3260">
            <v>302605</v>
          </cell>
          <cell r="D3260" t="str">
            <v>Camalanda-an NHS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</row>
        <row r="3261">
          <cell r="C3261">
            <v>302606</v>
          </cell>
          <cell r="D3261" t="str">
            <v>Caningay NHS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</row>
        <row r="3262">
          <cell r="C3262">
            <v>302607</v>
          </cell>
          <cell r="D3262" t="str">
            <v>Caningay NHS - Banga Ext.</v>
          </cell>
          <cell r="E3262">
            <v>0</v>
          </cell>
          <cell r="F3262">
            <v>0</v>
          </cell>
          <cell r="G3262">
            <v>1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</row>
        <row r="3263">
          <cell r="C3263">
            <v>302608</v>
          </cell>
          <cell r="D3263" t="str">
            <v>Quirico G. Manzano NHS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</row>
        <row r="3264">
          <cell r="C3264">
            <v>302609</v>
          </cell>
          <cell r="D3264" t="str">
            <v>Cansilayan NHS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</row>
        <row r="3265">
          <cell r="C3265">
            <v>302611</v>
          </cell>
          <cell r="D3265" t="str">
            <v>Catalino Soliguen NHS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</row>
        <row r="3266">
          <cell r="C3266">
            <v>302612</v>
          </cell>
          <cell r="D3266" t="str">
            <v>CAUAYAN NATIONAL HIGH SCHOOL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</row>
        <row r="3267">
          <cell r="C3267">
            <v>302613</v>
          </cell>
          <cell r="D3267" t="str">
            <v>Col. Griffin National High School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8</v>
          </cell>
          <cell r="K3267">
            <v>0</v>
          </cell>
          <cell r="L3267">
            <v>8</v>
          </cell>
        </row>
        <row r="3268">
          <cell r="C3268">
            <v>302614</v>
          </cell>
          <cell r="D3268" t="str">
            <v>Culipapa National High School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</row>
        <row r="3269">
          <cell r="C3269">
            <v>302617</v>
          </cell>
          <cell r="D3269" t="str">
            <v>Don Hilarion G. Gonzaga MHS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</row>
        <row r="3270">
          <cell r="C3270">
            <v>302618</v>
          </cell>
          <cell r="D3270" t="str">
            <v>Don Simplicio Lizares NHS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</row>
        <row r="3271">
          <cell r="C3271">
            <v>302619</v>
          </cell>
          <cell r="D3271" t="str">
            <v>Dr. Antonio A. Lizares NHS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</row>
        <row r="3272">
          <cell r="C3272">
            <v>302621</v>
          </cell>
          <cell r="D3272" t="str">
            <v>Enrique B. Magalona NHS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1</v>
          </cell>
          <cell r="J3272">
            <v>0</v>
          </cell>
          <cell r="K3272">
            <v>1</v>
          </cell>
          <cell r="L3272">
            <v>0</v>
          </cell>
        </row>
        <row r="3273">
          <cell r="C3273">
            <v>302622</v>
          </cell>
          <cell r="D3273" t="str">
            <v>Enrique B. Magalona NHS - Consing Ext.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</row>
        <row r="3274">
          <cell r="C3274">
            <v>302623</v>
          </cell>
          <cell r="D3274" t="str">
            <v>Enrique B. Magalona NHS - San Isidro Ext.</v>
          </cell>
          <cell r="E3274">
            <v>0</v>
          </cell>
          <cell r="F3274">
            <v>1</v>
          </cell>
          <cell r="G3274">
            <v>0</v>
          </cell>
          <cell r="H3274">
            <v>0</v>
          </cell>
          <cell r="I3274">
            <v>1</v>
          </cell>
          <cell r="J3274">
            <v>0</v>
          </cell>
          <cell r="K3274">
            <v>0</v>
          </cell>
          <cell r="L3274">
            <v>0</v>
          </cell>
        </row>
        <row r="3275">
          <cell r="C3275">
            <v>302624</v>
          </cell>
          <cell r="D3275" t="str">
            <v>Enriqueta Montilla De Esteban MHS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</row>
        <row r="3276">
          <cell r="C3276">
            <v>302629</v>
          </cell>
          <cell r="D3276" t="str">
            <v>Eva J. Montilla NHS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6</v>
          </cell>
          <cell r="J3276">
            <v>5</v>
          </cell>
          <cell r="K3276">
            <v>6</v>
          </cell>
          <cell r="L3276">
            <v>5</v>
          </cell>
        </row>
        <row r="3277">
          <cell r="C3277">
            <v>302630</v>
          </cell>
          <cell r="D3277" t="str">
            <v>Florentina F. CaÃ±a Recto NHS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</row>
        <row r="3278">
          <cell r="C3278">
            <v>302631</v>
          </cell>
          <cell r="D3278" t="str">
            <v>Florentina F. Caña Recto NHS - Caliling Ext.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</row>
        <row r="3279">
          <cell r="C3279">
            <v>302641</v>
          </cell>
          <cell r="D3279" t="str">
            <v>Guiljungan NHS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</row>
        <row r="3280">
          <cell r="C3280">
            <v>302642</v>
          </cell>
          <cell r="D3280" t="str">
            <v>Guiljungan NHS - Abaca Ext.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</row>
        <row r="3281">
          <cell r="C3281">
            <v>302643</v>
          </cell>
          <cell r="D3281" t="str">
            <v>Guiljungan NHS - Camindangan Ext.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</row>
        <row r="3282">
          <cell r="C3282">
            <v>302644</v>
          </cell>
          <cell r="D3282" t="str">
            <v>Guiljungan NHS - Talacdan Ext.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</row>
        <row r="3283">
          <cell r="C3283">
            <v>302645</v>
          </cell>
          <cell r="D3283" t="str">
            <v>Tuyom NHS (Guiljungan NHS - Tuyom Ext.)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</row>
        <row r="3284">
          <cell r="C3284">
            <v>302646</v>
          </cell>
          <cell r="D3284" t="str">
            <v>Guinpana-an NHS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</row>
        <row r="3285">
          <cell r="C3285">
            <v>302647</v>
          </cell>
          <cell r="D3285" t="str">
            <v>Guinpana-an National High School - Mamballo Extension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</row>
        <row r="3286">
          <cell r="C3286">
            <v>302648</v>
          </cell>
          <cell r="D3286" t="str">
            <v>Guinpana-an NHS - Odiong Ext.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</row>
        <row r="3287">
          <cell r="C3287">
            <v>302651</v>
          </cell>
          <cell r="D3287" t="str">
            <v>Hinigaran NHS</v>
          </cell>
          <cell r="E3287">
            <v>0</v>
          </cell>
          <cell r="F3287">
            <v>0</v>
          </cell>
          <cell r="G3287">
            <v>0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</row>
        <row r="3288">
          <cell r="C3288">
            <v>302652</v>
          </cell>
          <cell r="D3288" t="str">
            <v>Inocencio V. Ferrer SOF (TASOF)</v>
          </cell>
          <cell r="E3288">
            <v>0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</row>
        <row r="3289">
          <cell r="C3289">
            <v>302653</v>
          </cell>
          <cell r="D3289" t="str">
            <v>Isabela National High School</v>
          </cell>
          <cell r="E3289">
            <v>0</v>
          </cell>
          <cell r="F3289">
            <v>0</v>
          </cell>
          <cell r="G3289">
            <v>1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</row>
        <row r="3290">
          <cell r="C3290">
            <v>302654</v>
          </cell>
          <cell r="D3290" t="str">
            <v>Libas National High School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</row>
        <row r="3291">
          <cell r="C3291">
            <v>302655</v>
          </cell>
          <cell r="D3291" t="str">
            <v>Isabela National High School-Sikatuna Extension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</row>
        <row r="3292">
          <cell r="C3292">
            <v>302656</v>
          </cell>
          <cell r="D3292" t="str">
            <v>La Castellana NHS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</row>
        <row r="3293">
          <cell r="C3293">
            <v>302657</v>
          </cell>
          <cell r="D3293" t="str">
            <v>Manghanoy National High School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</row>
        <row r="3294">
          <cell r="C3294">
            <v>302658</v>
          </cell>
          <cell r="D3294" t="str">
            <v>Labilabi NHS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</row>
        <row r="3295">
          <cell r="C3295">
            <v>302659</v>
          </cell>
          <cell r="D3295" t="str">
            <v>Lopez Jaena NHS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</row>
        <row r="3296">
          <cell r="C3296">
            <v>302661</v>
          </cell>
          <cell r="D3296" t="str">
            <v>Juan Gequillana NHS (Manalad NHS)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</row>
        <row r="3297">
          <cell r="C3297">
            <v>302662</v>
          </cell>
          <cell r="D3297" t="str">
            <v>Manapla National High School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4</v>
          </cell>
          <cell r="J3297">
            <v>13</v>
          </cell>
          <cell r="K3297">
            <v>0</v>
          </cell>
          <cell r="L3297">
            <v>0</v>
          </cell>
        </row>
        <row r="3298">
          <cell r="C3298">
            <v>302663</v>
          </cell>
          <cell r="D3298" t="str">
            <v>Manapla NHS - Purisima Extension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</row>
        <row r="3299">
          <cell r="C3299">
            <v>302667</v>
          </cell>
          <cell r="D3299" t="str">
            <v>Negros Occ National Science High School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</row>
        <row r="3300">
          <cell r="C3300">
            <v>302668</v>
          </cell>
          <cell r="D3300" t="str">
            <v>Negros Occ. NAISHI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6</v>
          </cell>
          <cell r="J3300">
            <v>6</v>
          </cell>
          <cell r="K3300">
            <v>6</v>
          </cell>
          <cell r="L3300">
            <v>6</v>
          </cell>
        </row>
        <row r="3301">
          <cell r="C3301">
            <v>302669</v>
          </cell>
          <cell r="D3301" t="str">
            <v>Negros Occidental HS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</row>
        <row r="3302">
          <cell r="C3302">
            <v>302670</v>
          </cell>
          <cell r="D3302" t="str">
            <v>Murcia National High School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</row>
        <row r="3303">
          <cell r="C3303">
            <v>302671</v>
          </cell>
          <cell r="D3303" t="str">
            <v>Binalbagan National High School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  <cell r="I3303">
            <v>10</v>
          </cell>
          <cell r="J3303">
            <v>12</v>
          </cell>
          <cell r="K3303">
            <v>8</v>
          </cell>
          <cell r="L3303">
            <v>10</v>
          </cell>
        </row>
        <row r="3304">
          <cell r="C3304">
            <v>302672</v>
          </cell>
          <cell r="D3304" t="str">
            <v>Binalbagan NHS - Santol Ext.</v>
          </cell>
          <cell r="E3304">
            <v>0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</row>
        <row r="3305">
          <cell r="C3305">
            <v>302673</v>
          </cell>
          <cell r="D3305" t="str">
            <v>Pahilanga  National High School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</row>
        <row r="3306">
          <cell r="C3306">
            <v>302674</v>
          </cell>
          <cell r="D3306" t="str">
            <v>Esteban Jalandoni Mem. NHS (Baga-as NHS)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</row>
        <row r="3307">
          <cell r="C3307">
            <v>302675</v>
          </cell>
          <cell r="D3307" t="str">
            <v>Payao National High School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</row>
        <row r="3308">
          <cell r="C3308">
            <v>302677</v>
          </cell>
          <cell r="D3308" t="str">
            <v>Pontevedra NHS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</row>
        <row r="3309">
          <cell r="C3309">
            <v>302678</v>
          </cell>
          <cell r="D3309" t="str">
            <v>Rafael B. Lacson NHS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</row>
        <row r="3310">
          <cell r="C3310">
            <v>302682</v>
          </cell>
          <cell r="D3310" t="str">
            <v>Sofronio Carmona Mem. NHS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</row>
        <row r="3311">
          <cell r="C3311">
            <v>302683</v>
          </cell>
          <cell r="D3311" t="str">
            <v>San Enrique NHS</v>
          </cell>
          <cell r="E3311">
            <v>0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</row>
        <row r="3312">
          <cell r="C3312">
            <v>302684</v>
          </cell>
          <cell r="D3312" t="str">
            <v>Andres Gumban MNHS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</row>
        <row r="3313">
          <cell r="C3313">
            <v>302685</v>
          </cell>
          <cell r="D3313" t="str">
            <v>San Isidro NHS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</row>
        <row r="3314">
          <cell r="C3314">
            <v>302686</v>
          </cell>
          <cell r="D3314" t="str">
            <v>Tabao NHS</v>
          </cell>
          <cell r="E3314">
            <v>0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</row>
        <row r="3315">
          <cell r="C3315">
            <v>302688</v>
          </cell>
          <cell r="D3315" t="str">
            <v>Tabu NHS</v>
          </cell>
          <cell r="E3315">
            <v>0</v>
          </cell>
          <cell r="F3315">
            <v>0</v>
          </cell>
          <cell r="G3315">
            <v>0</v>
          </cell>
          <cell r="H3315">
            <v>0</v>
          </cell>
          <cell r="I3315">
            <v>3</v>
          </cell>
          <cell r="J3315">
            <v>8</v>
          </cell>
          <cell r="K3315">
            <v>3</v>
          </cell>
          <cell r="L3315">
            <v>8</v>
          </cell>
        </row>
        <row r="3316">
          <cell r="C3316">
            <v>302689</v>
          </cell>
          <cell r="D3316" t="str">
            <v>Tabu NHS - Canlamay Ext.</v>
          </cell>
          <cell r="E3316">
            <v>0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0</v>
          </cell>
        </row>
        <row r="3317">
          <cell r="C3317">
            <v>302690</v>
          </cell>
          <cell r="D3317" t="str">
            <v>Tanza NHS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</row>
        <row r="3318">
          <cell r="C3318">
            <v>302691</v>
          </cell>
          <cell r="D3318" t="str">
            <v>Tigbao NHS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</row>
        <row r="3319">
          <cell r="C3319">
            <v>302692</v>
          </cell>
          <cell r="D3319" t="str">
            <v>Tinongan NHS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</row>
        <row r="3320">
          <cell r="C3320">
            <v>302693</v>
          </cell>
          <cell r="D3320" t="str">
            <v>Toboso NHS</v>
          </cell>
          <cell r="E3320">
            <v>0</v>
          </cell>
          <cell r="F3320">
            <v>0</v>
          </cell>
          <cell r="G3320">
            <v>0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</row>
        <row r="3321">
          <cell r="C3321">
            <v>302694</v>
          </cell>
          <cell r="D3321" t="str">
            <v>Valladolid NHS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</row>
        <row r="3322">
          <cell r="C3322">
            <v>302695</v>
          </cell>
          <cell r="D3322" t="str">
            <v>Victorias NHS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</row>
        <row r="3323">
          <cell r="C3323">
            <v>302697</v>
          </cell>
          <cell r="D3323" t="str">
            <v>Barangay Estado NHS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  <cell r="I3323">
            <v>2</v>
          </cell>
          <cell r="J3323">
            <v>5</v>
          </cell>
          <cell r="K3323">
            <v>0</v>
          </cell>
          <cell r="L3323">
            <v>0</v>
          </cell>
        </row>
        <row r="3324">
          <cell r="C3324">
            <v>302698</v>
          </cell>
          <cell r="D3324" t="str">
            <v>Victorias NHS - Gaston Ext.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</row>
        <row r="3325">
          <cell r="C3325">
            <v>311101</v>
          </cell>
          <cell r="D3325" t="str">
            <v>Binalbagan NHS - NOSOF Ext.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  <cell r="I3325">
            <v>1</v>
          </cell>
          <cell r="J3325">
            <v>5</v>
          </cell>
          <cell r="K3325">
            <v>0</v>
          </cell>
          <cell r="L3325">
            <v>0</v>
          </cell>
        </row>
        <row r="3326">
          <cell r="C3326">
            <v>311102</v>
          </cell>
          <cell r="D3326" t="str">
            <v>Minoyan National High School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</row>
        <row r="3327">
          <cell r="C3327">
            <v>311103</v>
          </cell>
          <cell r="D3327" t="str">
            <v>Cabacungan NHS - Masulog Ext.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</row>
        <row r="3328">
          <cell r="C3328">
            <v>311104</v>
          </cell>
          <cell r="D3328" t="str">
            <v>Efegenio Lizares National High School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</row>
        <row r="3329">
          <cell r="C3329">
            <v>311105</v>
          </cell>
          <cell r="D3329" t="str">
            <v>Guinpana-an NHS - Poblacion Ext.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</row>
        <row r="3330">
          <cell r="C3330">
            <v>311109</v>
          </cell>
          <cell r="D3330" t="str">
            <v>Molobolo National High School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2</v>
          </cell>
          <cell r="K3330">
            <v>0</v>
          </cell>
          <cell r="L3330">
            <v>0</v>
          </cell>
        </row>
        <row r="3331">
          <cell r="C3331">
            <v>343897</v>
          </cell>
          <cell r="D3331" t="str">
            <v>SHS in Calatrava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</row>
        <row r="3332">
          <cell r="C3332">
            <v>302700</v>
          </cell>
          <cell r="D3332" t="str">
            <v>Alangilan NHS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</row>
        <row r="3333">
          <cell r="C3333">
            <v>302701</v>
          </cell>
          <cell r="D3333" t="str">
            <v>Bacolod City NHS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</row>
        <row r="3334">
          <cell r="C3334">
            <v>302702</v>
          </cell>
          <cell r="D3334" t="str">
            <v>Barangay Singcang-Airport NHS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</row>
        <row r="3335">
          <cell r="C3335">
            <v>302703</v>
          </cell>
          <cell r="D3335" t="str">
            <v>Bata National High School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0</v>
          </cell>
        </row>
        <row r="3336">
          <cell r="C3336">
            <v>302704</v>
          </cell>
          <cell r="D3336" t="str">
            <v>Romanito Maravilla NHS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</row>
        <row r="3337">
          <cell r="C3337">
            <v>302705</v>
          </cell>
          <cell r="D3337" t="str">
            <v>Domingo Lacson NHS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</row>
        <row r="3338">
          <cell r="C3338">
            <v>302706</v>
          </cell>
          <cell r="D3338" t="str">
            <v>Emiliano Lizares NHS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</row>
        <row r="3339">
          <cell r="C3339">
            <v>302709</v>
          </cell>
          <cell r="D3339" t="str">
            <v>Luis Hervias NHS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</row>
        <row r="3340">
          <cell r="C3340">
            <v>302710</v>
          </cell>
          <cell r="D3340" t="str">
            <v>Mandalagan National High School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</row>
        <row r="3341">
          <cell r="C3341">
            <v>302711</v>
          </cell>
          <cell r="D3341" t="str">
            <v>Luisa Medel NHS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</row>
        <row r="3342">
          <cell r="C3342">
            <v>302712</v>
          </cell>
          <cell r="D3342" t="str">
            <v>Handumanan NHS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</row>
        <row r="3343">
          <cell r="C3343">
            <v>302713</v>
          </cell>
          <cell r="D3343" t="str">
            <v>Jovito H. Sayson NHS</v>
          </cell>
          <cell r="E3343">
            <v>0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</row>
        <row r="3344">
          <cell r="C3344">
            <v>302714</v>
          </cell>
          <cell r="D3344" t="str">
            <v>Mansilingan Agro-Ind. HS</v>
          </cell>
          <cell r="E3344">
            <v>0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</row>
        <row r="3345">
          <cell r="C3345">
            <v>302715</v>
          </cell>
          <cell r="D3345" t="str">
            <v>Paglaum Village NHS</v>
          </cell>
          <cell r="E3345">
            <v>0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</row>
        <row r="3346">
          <cell r="C3346">
            <v>302716</v>
          </cell>
          <cell r="D3346" t="str">
            <v>Sum-ag National High School</v>
          </cell>
          <cell r="E3346">
            <v>0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</row>
        <row r="3347">
          <cell r="C3347">
            <v>302718</v>
          </cell>
          <cell r="D3347" t="str">
            <v>Teofilo M. Gensoli Sr. NHS</v>
          </cell>
          <cell r="E3347">
            <v>0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</row>
        <row r="3348">
          <cell r="C3348">
            <v>343604</v>
          </cell>
          <cell r="D3348" t="str">
            <v>ANDRES BONIFACIO SENIOR HIGH SCHOOL</v>
          </cell>
          <cell r="E3348">
            <v>0</v>
          </cell>
          <cell r="F3348">
            <v>0</v>
          </cell>
          <cell r="G3348">
            <v>0</v>
          </cell>
          <cell r="H3348">
            <v>0</v>
          </cell>
          <cell r="I3348">
            <v>2</v>
          </cell>
          <cell r="J3348">
            <v>3</v>
          </cell>
          <cell r="K3348">
            <v>0</v>
          </cell>
          <cell r="L3348">
            <v>0</v>
          </cell>
        </row>
        <row r="3349">
          <cell r="C3349">
            <v>500189</v>
          </cell>
          <cell r="D3349" t="str">
            <v>M. G. Medalla Integrated School</v>
          </cell>
          <cell r="E3349">
            <v>0</v>
          </cell>
          <cell r="F3349">
            <v>0</v>
          </cell>
          <cell r="G3349">
            <v>0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</row>
        <row r="3350">
          <cell r="C3350">
            <v>500190</v>
          </cell>
          <cell r="D3350" t="str">
            <v>Fr. Gratian Murray, AFSC IS</v>
          </cell>
          <cell r="E3350">
            <v>0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</row>
        <row r="3351">
          <cell r="C3351">
            <v>302719</v>
          </cell>
          <cell r="D3351" t="str">
            <v>Ramon Torres NHS</v>
          </cell>
          <cell r="E3351">
            <v>0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</row>
        <row r="3352">
          <cell r="C3352">
            <v>302720</v>
          </cell>
          <cell r="D3352" t="str">
            <v>Ramon Torres Dulao NHS</v>
          </cell>
          <cell r="E3352">
            <v>0</v>
          </cell>
          <cell r="F3352">
            <v>0</v>
          </cell>
          <cell r="G3352">
            <v>0</v>
          </cell>
          <cell r="H3352">
            <v>0</v>
          </cell>
          <cell r="I3352">
            <v>6</v>
          </cell>
          <cell r="J3352">
            <v>9</v>
          </cell>
          <cell r="K3352">
            <v>6</v>
          </cell>
          <cell r="L3352">
            <v>9</v>
          </cell>
        </row>
        <row r="3353">
          <cell r="C3353">
            <v>302721</v>
          </cell>
          <cell r="D3353" t="str">
            <v>Ramon Torres Ma-ao Sugar Central NHS</v>
          </cell>
          <cell r="E3353">
            <v>0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</row>
        <row r="3354">
          <cell r="C3354">
            <v>302722</v>
          </cell>
          <cell r="D3354" t="str">
            <v>Ramon Torres Malingin NHS</v>
          </cell>
          <cell r="E3354">
            <v>0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</row>
        <row r="3355">
          <cell r="C3355">
            <v>302723</v>
          </cell>
          <cell r="D3355" t="str">
            <v>Ramon Torres Sagasa National High School</v>
          </cell>
          <cell r="E3355">
            <v>0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</row>
        <row r="3356">
          <cell r="C3356">
            <v>302724</v>
          </cell>
          <cell r="D3356" t="str">
            <v>Ramon Torres Louisiana NHS</v>
          </cell>
          <cell r="E3356">
            <v>0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</row>
        <row r="3357">
          <cell r="C3357">
            <v>302725</v>
          </cell>
          <cell r="D3357" t="str">
            <v>Ramon Torres Taloc NHS</v>
          </cell>
          <cell r="E3357">
            <v>0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</row>
        <row r="3358">
          <cell r="C3358">
            <v>361021</v>
          </cell>
          <cell r="D3358" t="str">
            <v>Bago City Senior High School</v>
          </cell>
          <cell r="E3358">
            <v>0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</row>
        <row r="3359">
          <cell r="C3359">
            <v>302726</v>
          </cell>
          <cell r="D3359" t="str">
            <v>Cadiz Viejo NHS</v>
          </cell>
          <cell r="E3359">
            <v>0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</row>
        <row r="3360">
          <cell r="C3360">
            <v>302727</v>
          </cell>
          <cell r="D3360" t="str">
            <v>Sicaba National High School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</row>
        <row r="3361">
          <cell r="C3361">
            <v>302728</v>
          </cell>
          <cell r="D3361" t="str">
            <v>Caduha-an NHS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</row>
        <row r="3362">
          <cell r="C3362">
            <v>302729</v>
          </cell>
          <cell r="D3362" t="str">
            <v>Caduha-an NHS - Andres Bonifacio Ext. HS</v>
          </cell>
          <cell r="E3362">
            <v>0</v>
          </cell>
          <cell r="F3362">
            <v>0</v>
          </cell>
          <cell r="G3362">
            <v>0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</row>
        <row r="3363">
          <cell r="C3363">
            <v>302730</v>
          </cell>
          <cell r="D3363" t="str">
            <v>Dr. Vicente F. Gustilo Memorial NHS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  <cell r="I3363">
            <v>24</v>
          </cell>
          <cell r="J3363">
            <v>34</v>
          </cell>
          <cell r="K3363">
            <v>24</v>
          </cell>
          <cell r="L3363">
            <v>34</v>
          </cell>
        </row>
        <row r="3364">
          <cell r="C3364">
            <v>302731</v>
          </cell>
          <cell r="D3364" t="str">
            <v>Mabini National High School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  <cell r="I3364">
            <v>2</v>
          </cell>
          <cell r="J3364">
            <v>3</v>
          </cell>
          <cell r="K3364">
            <v>1</v>
          </cell>
          <cell r="L3364">
            <v>0</v>
          </cell>
        </row>
        <row r="3365">
          <cell r="C3365">
            <v>302732</v>
          </cell>
          <cell r="D3365" t="str">
            <v>SPED High School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</row>
        <row r="3366">
          <cell r="C3366">
            <v>302733</v>
          </cell>
          <cell r="D3366" t="str">
            <v>Tiglawigan NHS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</row>
        <row r="3367">
          <cell r="C3367">
            <v>302734</v>
          </cell>
          <cell r="D3367" t="str">
            <v>Tiglawigan NHS - Magsaysay Extension High School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</row>
        <row r="3368">
          <cell r="C3368">
            <v>302735</v>
          </cell>
          <cell r="D3368" t="str">
            <v>Villacin National High School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  <cell r="I3368">
            <v>6</v>
          </cell>
          <cell r="J3368">
            <v>5</v>
          </cell>
          <cell r="K3368">
            <v>6</v>
          </cell>
          <cell r="L3368">
            <v>5</v>
          </cell>
        </row>
        <row r="3369">
          <cell r="C3369">
            <v>302736</v>
          </cell>
          <cell r="D3369" t="str">
            <v>Jerusalem National High School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</row>
        <row r="3370">
          <cell r="C3370">
            <v>311403</v>
          </cell>
          <cell r="D3370" t="str">
            <v>Mabini NHS - Alimatoc Ext. HS</v>
          </cell>
          <cell r="E3370">
            <v>0</v>
          </cell>
          <cell r="F3370">
            <v>0</v>
          </cell>
          <cell r="G3370">
            <v>1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</row>
        <row r="3371">
          <cell r="C3371">
            <v>311405</v>
          </cell>
          <cell r="D3371" t="str">
            <v>Banquerohan NHS (Dr. Vicente F Gustilo NHS-Banquerohan Ext)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</row>
        <row r="3372">
          <cell r="C3372">
            <v>302737</v>
          </cell>
          <cell r="D3372" t="str">
            <v>Fort San Pedro National High School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</row>
        <row r="3373">
          <cell r="C3373">
            <v>302738</v>
          </cell>
          <cell r="D3373" t="str">
            <v>Iloilo City NHS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</row>
        <row r="3374">
          <cell r="C3374">
            <v>302742</v>
          </cell>
          <cell r="D3374" t="str">
            <v>Jalandoni Memorial National High School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</row>
        <row r="3375">
          <cell r="C3375">
            <v>302743</v>
          </cell>
          <cell r="D3375" t="str">
            <v>Bo. Obrero NHS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</row>
        <row r="3376">
          <cell r="C3376">
            <v>302744</v>
          </cell>
          <cell r="D3376" t="str">
            <v>Jaro National High School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</row>
        <row r="3377">
          <cell r="C3377">
            <v>302746</v>
          </cell>
          <cell r="D3377" t="str">
            <v>R. G. Hechanova Memorial NHS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</row>
        <row r="3378">
          <cell r="C3378">
            <v>302747</v>
          </cell>
          <cell r="D3378" t="str">
            <v>La Paz NHS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</row>
        <row r="3379">
          <cell r="C3379">
            <v>302749</v>
          </cell>
          <cell r="D3379" t="str">
            <v>Mandurriao NHS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  <cell r="I3379">
            <v>8</v>
          </cell>
          <cell r="J3379">
            <v>15</v>
          </cell>
          <cell r="K3379">
            <v>8</v>
          </cell>
          <cell r="L3379">
            <v>15</v>
          </cell>
        </row>
        <row r="3380">
          <cell r="C3380">
            <v>302750</v>
          </cell>
          <cell r="D3380" t="str">
            <v>Ramon Avancena NHS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</row>
        <row r="3381">
          <cell r="C3381">
            <v>330516</v>
          </cell>
          <cell r="D3381" t="str">
            <v>Philippine Science High School - Western Visayas Campus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</row>
        <row r="3382">
          <cell r="C3382">
            <v>500191</v>
          </cell>
          <cell r="D3382" t="str">
            <v>TCT-AR Foundation Integrated School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</row>
        <row r="3383">
          <cell r="C3383">
            <v>500551</v>
          </cell>
          <cell r="D3383" t="str">
            <v>SPED - Integrated School for Exceptional Children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</row>
        <row r="3384">
          <cell r="C3384">
            <v>302751</v>
          </cell>
          <cell r="D3384" t="str">
            <v>Doña Hortencia Salas Benedicto NHS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</row>
        <row r="3385">
          <cell r="C3385">
            <v>302752</v>
          </cell>
          <cell r="D3385" t="str">
            <v>La Granja NHS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</row>
        <row r="3386">
          <cell r="C3386">
            <v>302753</v>
          </cell>
          <cell r="D3386" t="str">
            <v>La Granja NHS - Yubo Ext.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</row>
        <row r="3387">
          <cell r="C3387">
            <v>302754</v>
          </cell>
          <cell r="D3387" t="str">
            <v>San Miguel NHS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</row>
        <row r="3388">
          <cell r="C3388">
            <v>302755</v>
          </cell>
          <cell r="D3388" t="str">
            <v>Bago National HIgh School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</row>
        <row r="3389">
          <cell r="C3389">
            <v>302756</v>
          </cell>
          <cell r="D3389" t="str">
            <v>Balijuagan NHS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0</v>
          </cell>
        </row>
        <row r="3390">
          <cell r="C3390">
            <v>302757</v>
          </cell>
          <cell r="D3390" t="str">
            <v>Cong. Ramon A. Arnaldo HS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</row>
        <row r="3391">
          <cell r="C3391">
            <v>302758</v>
          </cell>
          <cell r="D3391" t="str">
            <v>Culasi NHS</v>
          </cell>
          <cell r="E3391">
            <v>0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</row>
        <row r="3392">
          <cell r="C3392">
            <v>302759</v>
          </cell>
          <cell r="D3392" t="str">
            <v>Dumolog NHS</v>
          </cell>
          <cell r="E3392">
            <v>0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</row>
        <row r="3393">
          <cell r="C3393">
            <v>302760</v>
          </cell>
          <cell r="D3393" t="str">
            <v>Milibili NHS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</row>
        <row r="3394">
          <cell r="C3394">
            <v>302761</v>
          </cell>
          <cell r="D3394" t="str">
            <v>Tanque NHS</v>
          </cell>
          <cell r="E3394">
            <v>0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</row>
        <row r="3395">
          <cell r="C3395">
            <v>311702</v>
          </cell>
          <cell r="D3395" t="str">
            <v>Roxas City School for Philippine Craftsmen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</row>
        <row r="3396">
          <cell r="C3396">
            <v>311704</v>
          </cell>
          <cell r="D3396" t="str">
            <v>Don Ynocencio A. Del Rosario National High School formerly Tanque NHS-Dayao Extension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</row>
        <row r="3397">
          <cell r="C3397">
            <v>500193</v>
          </cell>
          <cell r="D3397" t="str">
            <v>Marcos Fuentes IS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</row>
        <row r="3398">
          <cell r="C3398">
            <v>500194</v>
          </cell>
          <cell r="D3398" t="str">
            <v>Inzo Arnaldo Village Integrated School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3</v>
          </cell>
          <cell r="J3398">
            <v>3</v>
          </cell>
          <cell r="K3398">
            <v>3</v>
          </cell>
          <cell r="L3398">
            <v>3</v>
          </cell>
        </row>
        <row r="3399">
          <cell r="C3399">
            <v>500195</v>
          </cell>
          <cell r="D3399" t="str">
            <v>Sofronio A. Cordovero Integrated School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</row>
        <row r="3400">
          <cell r="C3400">
            <v>501116</v>
          </cell>
          <cell r="D3400" t="str">
            <v>Olotayan Integrated school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</row>
        <row r="3401">
          <cell r="C3401">
            <v>302762</v>
          </cell>
          <cell r="D3401" t="str">
            <v>Bato National High School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</row>
        <row r="3402">
          <cell r="C3402">
            <v>302767</v>
          </cell>
          <cell r="D3402" t="str">
            <v>Sagay National High School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</row>
        <row r="3403">
          <cell r="C3403">
            <v>302768</v>
          </cell>
          <cell r="D3403" t="str">
            <v>Bulanon National High School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</row>
        <row r="3404">
          <cell r="C3404">
            <v>302771</v>
          </cell>
          <cell r="D3404" t="str">
            <v>Vito National High School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</row>
        <row r="3405">
          <cell r="C3405">
            <v>311802</v>
          </cell>
          <cell r="D3405" t="str">
            <v>Sagay National High School - Rizal Extension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  <cell r="K3405">
            <v>1</v>
          </cell>
          <cell r="L3405">
            <v>4</v>
          </cell>
        </row>
        <row r="3406">
          <cell r="C3406">
            <v>311803</v>
          </cell>
          <cell r="D3406" t="str">
            <v>Gloria Poblador dela Paz National High School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</row>
        <row r="3407">
          <cell r="C3407">
            <v>343922</v>
          </cell>
          <cell r="D3407" t="str">
            <v>Sagay City Senior High School (Stand Alone)</v>
          </cell>
          <cell r="E3407">
            <v>0</v>
          </cell>
          <cell r="F3407">
            <v>3</v>
          </cell>
          <cell r="G3407">
            <v>0</v>
          </cell>
          <cell r="H3407">
            <v>0</v>
          </cell>
          <cell r="I3407">
            <v>13</v>
          </cell>
          <cell r="J3407">
            <v>17</v>
          </cell>
          <cell r="K3407">
            <v>7</v>
          </cell>
          <cell r="L3407">
            <v>3</v>
          </cell>
        </row>
        <row r="3408">
          <cell r="C3408">
            <v>500036</v>
          </cell>
          <cell r="D3408" t="str">
            <v>Colonia Divina Integrated School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</row>
        <row r="3409">
          <cell r="C3409">
            <v>500037</v>
          </cell>
          <cell r="D3409" t="str">
            <v>Eusebio Lopez Memorial Integrated School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</row>
        <row r="3410">
          <cell r="C3410">
            <v>500038</v>
          </cell>
          <cell r="D3410" t="str">
            <v>Himogaan Baybay Integrated School</v>
          </cell>
          <cell r="E3410">
            <v>0</v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0</v>
          </cell>
        </row>
        <row r="3411">
          <cell r="C3411">
            <v>302773</v>
          </cell>
          <cell r="D3411" t="str">
            <v>Bagonbon NHS</v>
          </cell>
          <cell r="E3411">
            <v>0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</row>
        <row r="3412">
          <cell r="C3412">
            <v>302774</v>
          </cell>
          <cell r="D3412" t="str">
            <v>Don Carlos Ledesma NHS</v>
          </cell>
          <cell r="E3412">
            <v>0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</row>
        <row r="3413">
          <cell r="C3413">
            <v>302775</v>
          </cell>
          <cell r="D3413" t="str">
            <v>Julio Ledesma National High School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</row>
        <row r="3414">
          <cell r="C3414">
            <v>302776</v>
          </cell>
          <cell r="D3414" t="str">
            <v>Quezon NHS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</row>
        <row r="3415">
          <cell r="C3415">
            <v>302777</v>
          </cell>
          <cell r="D3415" t="str">
            <v>Sipaway National High School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</row>
        <row r="3416">
          <cell r="C3416">
            <v>302778</v>
          </cell>
          <cell r="D3416" t="str">
            <v>Brgy. Guimbala-on NHS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</row>
        <row r="3417">
          <cell r="C3417">
            <v>302779</v>
          </cell>
          <cell r="D3417" t="str">
            <v>Don Felix T. Lacson Memorial National High School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</row>
        <row r="3418">
          <cell r="C3418">
            <v>302780</v>
          </cell>
          <cell r="D3418" t="str">
            <v>Doña Montserrat Lopez MHS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</row>
        <row r="3419">
          <cell r="C3419">
            <v>302781</v>
          </cell>
          <cell r="D3419" t="str">
            <v>Brgy. E. Lopez National High School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</row>
        <row r="3420">
          <cell r="C3420">
            <v>302782</v>
          </cell>
          <cell r="D3420" t="str">
            <v>Doña Montserrat Lopez MHS - HPCO Ext.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</row>
        <row r="3421">
          <cell r="C3421">
            <v>302783</v>
          </cell>
          <cell r="D3421" t="str">
            <v>Doña Montserrat Lopez MHS - Patag Ext.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</row>
        <row r="3422">
          <cell r="C3422">
            <v>302784</v>
          </cell>
          <cell r="D3422" t="str">
            <v>DONA ANGELES J. MONTINOLA MEMORIAL NATIONAL HIGH SCHOOL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</row>
        <row r="3423">
          <cell r="C3423">
            <v>500196</v>
          </cell>
          <cell r="D3423" t="str">
            <v>Guinhalaran Integrated School - Secondary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</row>
        <row r="3424">
          <cell r="C3424">
            <v>500197</v>
          </cell>
          <cell r="D3424" t="str">
            <v>Lantawan Integrated School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</row>
        <row r="3425">
          <cell r="C3425">
            <v>500198</v>
          </cell>
          <cell r="D3425" t="str">
            <v>Silay SPED Center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</row>
        <row r="3426">
          <cell r="C3426">
            <v>500199</v>
          </cell>
          <cell r="D3426" t="str">
            <v>Don Albino &amp; Doña Dolores Jison IS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</row>
        <row r="3427">
          <cell r="C3427">
            <v>500200</v>
          </cell>
          <cell r="D3427" t="str">
            <v>Napilas IS (Napilas ES)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</row>
        <row r="3428">
          <cell r="C3428">
            <v>500201</v>
          </cell>
          <cell r="D3428" t="str">
            <v>Violeta Integrated School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</row>
        <row r="3429">
          <cell r="C3429">
            <v>500202</v>
          </cell>
          <cell r="D3429" t="str">
            <v>SIBATO INTEGRATED SCHOOL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</row>
        <row r="3430">
          <cell r="C3430">
            <v>500203</v>
          </cell>
          <cell r="D3430" t="str">
            <v>Don Serafin L. Golez Memorial IS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</row>
        <row r="3431">
          <cell r="C3431">
            <v>302785</v>
          </cell>
          <cell r="D3431" t="str">
            <v>Bantayan National High School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</row>
        <row r="3432">
          <cell r="C3432">
            <v>302786</v>
          </cell>
          <cell r="D3432" t="str">
            <v>Binicuil NHS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</row>
        <row r="3433">
          <cell r="C3433">
            <v>302787</v>
          </cell>
          <cell r="D3433" t="str">
            <v>CAROL-AN NHS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</row>
        <row r="3434">
          <cell r="C3434">
            <v>302789</v>
          </cell>
          <cell r="D3434" t="str">
            <v>Kabankalan NHS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</row>
        <row r="3435">
          <cell r="C3435">
            <v>302790</v>
          </cell>
          <cell r="D3435" t="str">
            <v>TAGUKON NATIONAL HIGH SCHOOL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</row>
        <row r="3436">
          <cell r="C3436">
            <v>302791</v>
          </cell>
          <cell r="D3436" t="str">
            <v>Talubangi NHS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</row>
        <row r="3437">
          <cell r="C3437">
            <v>302792</v>
          </cell>
          <cell r="D3437" t="str">
            <v>Camansi National High School</v>
          </cell>
          <cell r="E3437">
            <v>0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</row>
        <row r="3438">
          <cell r="C3438">
            <v>302793</v>
          </cell>
          <cell r="D3438" t="str">
            <v>Florentino Galang Sr. NHS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</row>
        <row r="3439">
          <cell r="C3439">
            <v>302794</v>
          </cell>
          <cell r="D3439" t="str">
            <v>Inapoy NHS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</row>
        <row r="3440">
          <cell r="C3440">
            <v>302795</v>
          </cell>
          <cell r="D3440" t="str">
            <v>Locotan NHS</v>
          </cell>
          <cell r="E3440">
            <v>0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</row>
        <row r="3441">
          <cell r="C3441">
            <v>302796</v>
          </cell>
          <cell r="D3441" t="str">
            <v>Salong NHS</v>
          </cell>
          <cell r="E3441">
            <v>0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</row>
        <row r="3442">
          <cell r="C3442">
            <v>302797</v>
          </cell>
          <cell r="D3442" t="str">
            <v>Tabugon NHS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</row>
        <row r="3443">
          <cell r="C3443">
            <v>302798</v>
          </cell>
          <cell r="D3443" t="str">
            <v>PINAGUINPINAN NHS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</row>
        <row r="3444">
          <cell r="C3444">
            <v>302800</v>
          </cell>
          <cell r="D3444" t="str">
            <v>Tampalon NHS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</row>
        <row r="3445">
          <cell r="C3445">
            <v>302801</v>
          </cell>
          <cell r="D3445" t="str">
            <v>Tapi National High School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</row>
        <row r="3446">
          <cell r="C3446">
            <v>302802</v>
          </cell>
          <cell r="D3446" t="str">
            <v>Magballo National High School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</row>
        <row r="3447">
          <cell r="C3447">
            <v>312101</v>
          </cell>
          <cell r="D3447" t="str">
            <v>TAN-AWAN NATIONAL HIGH SCHOOL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</row>
        <row r="3448">
          <cell r="C3448">
            <v>312102</v>
          </cell>
          <cell r="D3448" t="str">
            <v>Bantayan NHS - Baras Diutay Ext.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</row>
        <row r="3449">
          <cell r="C3449">
            <v>500589</v>
          </cell>
          <cell r="D3449" t="str">
            <v>Hinapunan Integrated School</v>
          </cell>
          <cell r="E3449">
            <v>0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</row>
        <row r="3450">
          <cell r="C3450">
            <v>302803</v>
          </cell>
          <cell r="D3450" t="str">
            <v>Gemumua-Agahon National High School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</row>
        <row r="3451">
          <cell r="C3451">
            <v>302804</v>
          </cell>
          <cell r="D3451" t="str">
            <v>Mulapula National High School</v>
          </cell>
          <cell r="E3451">
            <v>0</v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</row>
        <row r="3452">
          <cell r="C3452">
            <v>302805</v>
          </cell>
          <cell r="D3452" t="str">
            <v>Passi National High School</v>
          </cell>
          <cell r="E3452">
            <v>0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</row>
        <row r="3453">
          <cell r="C3453">
            <v>302806</v>
          </cell>
          <cell r="D3453" t="str">
            <v>Efraim M. Santibañez National High School</v>
          </cell>
          <cell r="E3453">
            <v>0</v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</row>
        <row r="3454">
          <cell r="C3454">
            <v>302807</v>
          </cell>
          <cell r="D3454" t="str">
            <v>Salngan National High School</v>
          </cell>
          <cell r="E3454">
            <v>0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</row>
        <row r="3455">
          <cell r="C3455">
            <v>302595</v>
          </cell>
          <cell r="D3455" t="str">
            <v>Buenavista National High School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</row>
        <row r="3456">
          <cell r="C3456">
            <v>302596</v>
          </cell>
          <cell r="D3456" t="str">
            <v>Buenavista NHS - Japitan Ext.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</row>
        <row r="3457">
          <cell r="C3457">
            <v>302615</v>
          </cell>
          <cell r="D3457" t="str">
            <v>Dian-ay National High School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</row>
        <row r="3458">
          <cell r="C3458">
            <v>302625</v>
          </cell>
          <cell r="D3458" t="str">
            <v>Escalante National High School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</row>
        <row r="3459">
          <cell r="C3459">
            <v>302626</v>
          </cell>
          <cell r="D3459" t="str">
            <v>Old Poblacion National High School</v>
          </cell>
          <cell r="E3459">
            <v>0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</row>
        <row r="3460">
          <cell r="C3460">
            <v>302627</v>
          </cell>
          <cell r="D3460" t="str">
            <v>Tamlang National High School</v>
          </cell>
          <cell r="E3460">
            <v>0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</row>
        <row r="3461">
          <cell r="C3461">
            <v>302628</v>
          </cell>
          <cell r="D3461" t="str">
            <v>Escalante NHS - Washington Ext. (Palao)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</row>
        <row r="3462">
          <cell r="C3462">
            <v>302660</v>
          </cell>
          <cell r="D3462" t="str">
            <v>Mabini National High School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</row>
        <row r="3463">
          <cell r="C3463">
            <v>311106</v>
          </cell>
          <cell r="D3463" t="str">
            <v>Escalante NHS - Dr. Floro T. Bongco Mem. Ext.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</row>
        <row r="3464">
          <cell r="C3464">
            <v>325601</v>
          </cell>
          <cell r="D3464" t="str">
            <v>Escalante NHS - Cervantes Ext.</v>
          </cell>
          <cell r="E3464">
            <v>0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</row>
        <row r="3465">
          <cell r="C3465">
            <v>325602</v>
          </cell>
          <cell r="D3465" t="str">
            <v>Buenavista NHS - Langub Ext.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</row>
        <row r="3466">
          <cell r="C3466">
            <v>325603</v>
          </cell>
          <cell r="D3466" t="str">
            <v>Escalante NHS - Pinapugasan Ext.</v>
          </cell>
          <cell r="E3466">
            <v>0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</row>
        <row r="3467">
          <cell r="C3467">
            <v>325604</v>
          </cell>
          <cell r="D3467" t="str">
            <v>Escalante NHS - Magsaysay Ext.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</row>
        <row r="3468">
          <cell r="C3468">
            <v>325605</v>
          </cell>
          <cell r="D3468" t="str">
            <v>Escalante NHS - Libertad Ext.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</row>
        <row r="3469">
          <cell r="C3469">
            <v>302587</v>
          </cell>
          <cell r="D3469" t="str">
            <v>Aguisan NHS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</row>
        <row r="3470">
          <cell r="C3470">
            <v>302610</v>
          </cell>
          <cell r="D3470" t="str">
            <v>Carabalan NHS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</row>
        <row r="3471">
          <cell r="C3471">
            <v>302616</v>
          </cell>
          <cell r="D3471" t="str">
            <v>Don Florencio Villafranca National High School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</row>
        <row r="3472">
          <cell r="C3472">
            <v>302649</v>
          </cell>
          <cell r="D3472" t="str">
            <v>Himamaylan NHS</v>
          </cell>
          <cell r="E3472">
            <v>0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</row>
        <row r="3473">
          <cell r="C3473">
            <v>302650</v>
          </cell>
          <cell r="D3473" t="str">
            <v>San Antonio NHS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</row>
        <row r="3474">
          <cell r="C3474">
            <v>302679</v>
          </cell>
          <cell r="D3474" t="str">
            <v>Raymundo Tongson NHS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  <cell r="I3474">
            <v>1</v>
          </cell>
          <cell r="J3474">
            <v>3</v>
          </cell>
          <cell r="K3474">
            <v>1</v>
          </cell>
          <cell r="L3474">
            <v>3</v>
          </cell>
        </row>
        <row r="3475">
          <cell r="C3475">
            <v>302680</v>
          </cell>
          <cell r="D3475" t="str">
            <v>Mahalang National High School</v>
          </cell>
          <cell r="E3475">
            <v>0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</row>
        <row r="3476">
          <cell r="C3476">
            <v>302681</v>
          </cell>
          <cell r="D3476" t="str">
            <v>Raymundo Tongson NHS - Suay Ext.</v>
          </cell>
          <cell r="E3476">
            <v>0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</row>
        <row r="3477">
          <cell r="C3477">
            <v>311108</v>
          </cell>
          <cell r="D3477" t="str">
            <v>Mambagaton National High School</v>
          </cell>
          <cell r="E3477">
            <v>0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</row>
        <row r="3478">
          <cell r="C3478">
            <v>311111</v>
          </cell>
          <cell r="D3478" t="str">
            <v>Libacao National High School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</row>
        <row r="3479">
          <cell r="C3479">
            <v>500588</v>
          </cell>
          <cell r="D3479" t="str">
            <v>Paloypoy Integrated School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</row>
        <row r="3480">
          <cell r="C3480">
            <v>302632</v>
          </cell>
          <cell r="D3480" t="str">
            <v>GIL MONTILLA NATIONAL HIGH SCHOOL</v>
          </cell>
          <cell r="E3480">
            <v>0</v>
          </cell>
          <cell r="F3480">
            <v>0</v>
          </cell>
          <cell r="G3480">
            <v>4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</row>
        <row r="3481">
          <cell r="C3481">
            <v>302633</v>
          </cell>
          <cell r="D3481" t="str">
            <v>Sipalay City NHS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9</v>
          </cell>
          <cell r="K3481">
            <v>1</v>
          </cell>
          <cell r="L3481">
            <v>0</v>
          </cell>
        </row>
        <row r="3482">
          <cell r="C3482">
            <v>302634</v>
          </cell>
          <cell r="D3482" t="str">
            <v>Gil Montilla NHS - Binulig Ext.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</row>
        <row r="3483">
          <cell r="C3483">
            <v>302635</v>
          </cell>
          <cell r="D3483" t="str">
            <v>Gil Montilla NHS - Cabadiangan Ext.</v>
          </cell>
          <cell r="E3483">
            <v>0</v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</row>
        <row r="3484">
          <cell r="C3484">
            <v>302636</v>
          </cell>
          <cell r="D3484" t="str">
            <v>Gil Montilla NHS - Camindangan Ext.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  <cell r="I3484">
            <v>3</v>
          </cell>
          <cell r="J3484">
            <v>5</v>
          </cell>
          <cell r="K3484">
            <v>3</v>
          </cell>
          <cell r="L3484">
            <v>5</v>
          </cell>
        </row>
        <row r="3485">
          <cell r="C3485">
            <v>302637</v>
          </cell>
          <cell r="D3485" t="str">
            <v>Jacinto Montilla Memorial National High School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  <cell r="I3485">
            <v>2</v>
          </cell>
          <cell r="J3485">
            <v>4</v>
          </cell>
          <cell r="K3485">
            <v>2</v>
          </cell>
          <cell r="L3485">
            <v>4</v>
          </cell>
        </row>
        <row r="3486">
          <cell r="C3486">
            <v>302638</v>
          </cell>
          <cell r="D3486" t="str">
            <v>Gil Montilla NHS - Cartagena Ext.</v>
          </cell>
          <cell r="E3486">
            <v>0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</row>
        <row r="3487">
          <cell r="C3487">
            <v>302639</v>
          </cell>
          <cell r="D3487" t="str">
            <v>Gil Montilla NHS - Crossing Tanduay Ext.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  <cell r="I3487">
            <v>1</v>
          </cell>
          <cell r="J3487">
            <v>3</v>
          </cell>
          <cell r="K3487">
            <v>0</v>
          </cell>
          <cell r="L3487">
            <v>0</v>
          </cell>
        </row>
        <row r="3488">
          <cell r="C3488">
            <v>302640</v>
          </cell>
          <cell r="D3488" t="str">
            <v>Gil Montilla NHS - Manlucahoc Ext.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</row>
        <row r="3489">
          <cell r="C3489">
            <v>302664</v>
          </cell>
          <cell r="D3489" t="str">
            <v>Nabulao NHS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</row>
        <row r="3490">
          <cell r="C3490">
            <v>302665</v>
          </cell>
          <cell r="D3490" t="str">
            <v>Nabulao NHS - Cayhagan Extension</v>
          </cell>
          <cell r="E3490">
            <v>0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</row>
        <row r="3491">
          <cell r="C3491">
            <v>302666</v>
          </cell>
          <cell r="D3491" t="str">
            <v>Nabulao NHS - Maricalum Ext.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</row>
        <row r="3492">
          <cell r="C3492">
            <v>302808</v>
          </cell>
          <cell r="D3492" t="str">
            <v>Aguining National High School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</row>
        <row r="3493">
          <cell r="C3493">
            <v>302809</v>
          </cell>
          <cell r="D3493" t="str">
            <v>Alicia Technical-Voc'l HS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</row>
        <row r="3494">
          <cell r="C3494">
            <v>302810</v>
          </cell>
          <cell r="D3494" t="str">
            <v>Ambassador Pablo R. Suarez, Jr. NHS</v>
          </cell>
          <cell r="E3494">
            <v>0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</row>
        <row r="3495">
          <cell r="C3495">
            <v>302811</v>
          </cell>
          <cell r="D3495" t="str">
            <v>Baclayon National High School</v>
          </cell>
          <cell r="E3495">
            <v>0</v>
          </cell>
          <cell r="F3495">
            <v>0</v>
          </cell>
          <cell r="G3495">
            <v>0</v>
          </cell>
          <cell r="H3495">
            <v>0</v>
          </cell>
          <cell r="I3495">
            <v>4</v>
          </cell>
          <cell r="J3495">
            <v>4</v>
          </cell>
          <cell r="K3495">
            <v>0</v>
          </cell>
          <cell r="L3495">
            <v>0</v>
          </cell>
        </row>
        <row r="3496">
          <cell r="C3496">
            <v>302812</v>
          </cell>
          <cell r="D3496" t="str">
            <v>Badiang NHS</v>
          </cell>
          <cell r="E3496">
            <v>0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</row>
        <row r="3497">
          <cell r="C3497">
            <v>302813</v>
          </cell>
          <cell r="D3497" t="str">
            <v>Anda HS</v>
          </cell>
          <cell r="E3497">
            <v>0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</row>
        <row r="3498">
          <cell r="C3498">
            <v>302814</v>
          </cell>
          <cell r="D3498" t="str">
            <v>Zosimo A. Gulle Memorial National High School</v>
          </cell>
          <cell r="E3498">
            <v>0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</row>
        <row r="3499">
          <cell r="C3499">
            <v>302815</v>
          </cell>
          <cell r="D3499" t="str">
            <v>Batuan NHS</v>
          </cell>
          <cell r="E3499">
            <v>0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</row>
        <row r="3500">
          <cell r="C3500">
            <v>302816</v>
          </cell>
          <cell r="D3500" t="str">
            <v>Biabas Trade High School</v>
          </cell>
          <cell r="E3500">
            <v>0</v>
          </cell>
          <cell r="F3500">
            <v>0</v>
          </cell>
          <cell r="G3500">
            <v>0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</row>
        <row r="3501">
          <cell r="C3501">
            <v>302817</v>
          </cell>
          <cell r="D3501" t="str">
            <v>Biking Tech-Voc HS</v>
          </cell>
          <cell r="E3501">
            <v>0</v>
          </cell>
          <cell r="F3501">
            <v>0</v>
          </cell>
          <cell r="G3501">
            <v>0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</row>
        <row r="3502">
          <cell r="C3502">
            <v>302818</v>
          </cell>
          <cell r="D3502" t="str">
            <v>Bilar NHS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</row>
        <row r="3503">
          <cell r="C3503">
            <v>302819</v>
          </cell>
          <cell r="D3503" t="str">
            <v>Busao National High School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</row>
        <row r="3504">
          <cell r="C3504">
            <v>302820</v>
          </cell>
          <cell r="D3504" t="str">
            <v>Cabilao NHS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</row>
        <row r="3505">
          <cell r="C3505">
            <v>302821</v>
          </cell>
          <cell r="D3505" t="str">
            <v>Cabul-an National High School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</row>
        <row r="3506">
          <cell r="C3506">
            <v>302822</v>
          </cell>
          <cell r="D3506" t="str">
            <v>Tubigon West NHS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</row>
        <row r="3507">
          <cell r="C3507">
            <v>302823</v>
          </cell>
          <cell r="D3507" t="str">
            <v>Calabacita NHS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</row>
        <row r="3508">
          <cell r="C3508">
            <v>302824</v>
          </cell>
          <cell r="D3508" t="str">
            <v>Mayor A. R. Tuazon Nat'l Sch. of Fisheries</v>
          </cell>
          <cell r="E3508">
            <v>0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</row>
        <row r="3509">
          <cell r="C3509">
            <v>302825</v>
          </cell>
          <cell r="D3509" t="str">
            <v>Camambugan NHS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</row>
        <row r="3510">
          <cell r="C3510">
            <v>302826</v>
          </cell>
          <cell r="D3510" t="str">
            <v>Camaya-an NHS</v>
          </cell>
          <cell r="E3510">
            <v>0</v>
          </cell>
          <cell r="F3510">
            <v>0</v>
          </cell>
          <cell r="G3510">
            <v>0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</row>
        <row r="3511">
          <cell r="C3511">
            <v>302827</v>
          </cell>
          <cell r="D3511" t="str">
            <v>Campao Oriental High School</v>
          </cell>
          <cell r="E3511">
            <v>0</v>
          </cell>
          <cell r="F3511">
            <v>0</v>
          </cell>
          <cell r="G3511">
            <v>0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</row>
        <row r="3512">
          <cell r="C3512">
            <v>302828</v>
          </cell>
          <cell r="D3512" t="str">
            <v>Handumon NHS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</row>
        <row r="3513">
          <cell r="C3513">
            <v>302829</v>
          </cell>
          <cell r="D3513" t="str">
            <v>Candabong National High School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</row>
        <row r="3514">
          <cell r="C3514">
            <v>302830</v>
          </cell>
          <cell r="D3514" t="str">
            <v>Cangawa NHS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</row>
        <row r="3515">
          <cell r="C3515">
            <v>302831</v>
          </cell>
          <cell r="D3515" t="str">
            <v>Lubang National High School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</row>
        <row r="3516">
          <cell r="C3516">
            <v>302832</v>
          </cell>
          <cell r="D3516" t="str">
            <v>Canhayupon NHS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</row>
        <row r="3517">
          <cell r="C3517">
            <v>302833</v>
          </cell>
          <cell r="D3517" t="str">
            <v>Catigbian NHS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</row>
        <row r="3518">
          <cell r="C3518">
            <v>302834</v>
          </cell>
          <cell r="D3518" t="str">
            <v>Catungawan National High School</v>
          </cell>
          <cell r="E3518">
            <v>0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</row>
        <row r="3519">
          <cell r="C3519">
            <v>302835</v>
          </cell>
          <cell r="D3519" t="str">
            <v>Cawayanan NHS</v>
          </cell>
          <cell r="E3519">
            <v>0</v>
          </cell>
          <cell r="F3519">
            <v>0</v>
          </cell>
          <cell r="G3519">
            <v>0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</row>
        <row r="3520">
          <cell r="C3520">
            <v>302836</v>
          </cell>
          <cell r="D3520" t="str">
            <v>Clarin National School of Fisheries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</row>
        <row r="3521">
          <cell r="C3521">
            <v>302837</v>
          </cell>
          <cell r="D3521" t="str">
            <v>Concepcion NHS</v>
          </cell>
          <cell r="E3521">
            <v>0</v>
          </cell>
          <cell r="F3521">
            <v>0</v>
          </cell>
          <cell r="G3521">
            <v>0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</row>
        <row r="3522">
          <cell r="C3522">
            <v>302838</v>
          </cell>
          <cell r="D3522" t="str">
            <v>Cong. Pablo Malasarte NHS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</row>
        <row r="3523">
          <cell r="C3523">
            <v>302839</v>
          </cell>
          <cell r="D3523" t="str">
            <v>Corella National High School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</row>
        <row r="3524">
          <cell r="C3524">
            <v>302840</v>
          </cell>
          <cell r="D3524" t="str">
            <v>Dagohoy NHS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</row>
        <row r="3525">
          <cell r="C3525">
            <v>302841</v>
          </cell>
          <cell r="D3525" t="str">
            <v>Danao NHS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</row>
        <row r="3526">
          <cell r="C3526">
            <v>302842</v>
          </cell>
          <cell r="D3526" t="str">
            <v>Cantubod NHS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</row>
        <row r="3527">
          <cell r="C3527">
            <v>302843</v>
          </cell>
          <cell r="D3527" t="str">
            <v>Francisco Dagohoy Memorial High School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</row>
        <row r="3528">
          <cell r="C3528">
            <v>302844</v>
          </cell>
          <cell r="D3528" t="str">
            <v>Taming NHS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</row>
        <row r="3529">
          <cell r="C3529">
            <v>302845</v>
          </cell>
          <cell r="D3529" t="str">
            <v>Dimiao NHS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</row>
        <row r="3530">
          <cell r="C3530">
            <v>302847</v>
          </cell>
          <cell r="D3530" t="str">
            <v>Duero NHS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</row>
        <row r="3531">
          <cell r="C3531">
            <v>302848</v>
          </cell>
          <cell r="D3531" t="str">
            <v>Dusita High School</v>
          </cell>
          <cell r="E3531">
            <v>0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</row>
        <row r="3532">
          <cell r="C3532">
            <v>302849</v>
          </cell>
          <cell r="D3532" t="str">
            <v>Faraon NHS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</row>
        <row r="3533">
          <cell r="C3533">
            <v>302850</v>
          </cell>
          <cell r="D3533" t="str">
            <v>Fatima NHS</v>
          </cell>
          <cell r="E3533">
            <v>0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</row>
        <row r="3534">
          <cell r="C3534">
            <v>302851</v>
          </cell>
          <cell r="D3534" t="str">
            <v>Fermin Tayabas NHS</v>
          </cell>
          <cell r="E3534">
            <v>0</v>
          </cell>
          <cell r="F3534">
            <v>0</v>
          </cell>
          <cell r="G3534">
            <v>0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</row>
        <row r="3535">
          <cell r="C3535">
            <v>302852</v>
          </cell>
          <cell r="D3535" t="str">
            <v>Garcia-Hernandez HS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</row>
        <row r="3536">
          <cell r="C3536">
            <v>302854</v>
          </cell>
          <cell r="D3536" t="str">
            <v>Guinacot NHS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</row>
        <row r="3537">
          <cell r="C3537">
            <v>302855</v>
          </cell>
          <cell r="D3537" t="str">
            <v>Guinsularan High School</v>
          </cell>
          <cell r="E3537">
            <v>0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</row>
        <row r="3538">
          <cell r="C3538">
            <v>302856</v>
          </cell>
          <cell r="D3538" t="str">
            <v>Hanopol NHS</v>
          </cell>
          <cell r="E3538">
            <v>0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</row>
        <row r="3539">
          <cell r="C3539">
            <v>302857</v>
          </cell>
          <cell r="D3539" t="str">
            <v>Hingotanan NHS</v>
          </cell>
          <cell r="E3539">
            <v>0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</row>
        <row r="3540">
          <cell r="C3540">
            <v>302858</v>
          </cell>
          <cell r="D3540" t="str">
            <v>Hinlayagan NHS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</row>
        <row r="3541">
          <cell r="C3541">
            <v>302859</v>
          </cell>
          <cell r="D3541" t="str">
            <v>Southern Inabanga HS</v>
          </cell>
          <cell r="E3541">
            <v>0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</row>
        <row r="3542">
          <cell r="C3542">
            <v>302860</v>
          </cell>
          <cell r="D3542" t="str">
            <v>Katipunan NHS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</row>
        <row r="3543">
          <cell r="C3543">
            <v>302861</v>
          </cell>
          <cell r="D3543" t="str">
            <v>Francisco L. Adlaon HS</v>
          </cell>
          <cell r="E3543">
            <v>0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</row>
        <row r="3544">
          <cell r="C3544">
            <v>302863</v>
          </cell>
          <cell r="D3544" t="str">
            <v>La Hacienda NHS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</row>
        <row r="3545">
          <cell r="C3545">
            <v>302864</v>
          </cell>
          <cell r="D3545" t="str">
            <v>La Union NHS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</row>
        <row r="3546">
          <cell r="C3546">
            <v>302865</v>
          </cell>
          <cell r="D3546" t="str">
            <v>Candijay National High School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</row>
        <row r="3547">
          <cell r="C3547">
            <v>302866</v>
          </cell>
          <cell r="D3547" t="str">
            <v>Cogtong NHS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</row>
        <row r="3548">
          <cell r="C3548">
            <v>302867</v>
          </cell>
          <cell r="D3548" t="str">
            <v>Hinawanan NHS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</row>
        <row r="3549">
          <cell r="C3549">
            <v>302868</v>
          </cell>
          <cell r="D3549" t="str">
            <v>Lila NHS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</row>
        <row r="3550">
          <cell r="C3550">
            <v>302869</v>
          </cell>
          <cell r="D3550" t="str">
            <v>Loboc NHS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</row>
        <row r="3551">
          <cell r="C3551">
            <v>302870</v>
          </cell>
          <cell r="D3551" t="str">
            <v>Lonoy Heroes MHS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</row>
        <row r="3552">
          <cell r="C3552">
            <v>302871</v>
          </cell>
          <cell r="D3552" t="str">
            <v>Loon South National HS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</row>
        <row r="3553">
          <cell r="C3553">
            <v>302872</v>
          </cell>
          <cell r="D3553" t="str">
            <v>Lourdes NHS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</row>
        <row r="3554">
          <cell r="C3554">
            <v>302873</v>
          </cell>
          <cell r="D3554" t="str">
            <v>Mahayag National High School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</row>
        <row r="3555">
          <cell r="C3555">
            <v>302877</v>
          </cell>
          <cell r="D3555" t="str">
            <v>Mantacida National High School</v>
          </cell>
          <cell r="E3555">
            <v>0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</row>
        <row r="3556">
          <cell r="C3556">
            <v>302878</v>
          </cell>
          <cell r="D3556" t="str">
            <v>Mayuga NHS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</row>
        <row r="3557">
          <cell r="C3557">
            <v>302879</v>
          </cell>
          <cell r="D3557" t="str">
            <v>Nahawan NHS</v>
          </cell>
          <cell r="E3557">
            <v>0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</row>
        <row r="3558">
          <cell r="C3558">
            <v>302880</v>
          </cell>
          <cell r="D3558" t="str">
            <v>Oy NHS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</row>
        <row r="3559">
          <cell r="C3559">
            <v>302881</v>
          </cell>
          <cell r="D3559" t="str">
            <v>Pagnitoan National High School</v>
          </cell>
          <cell r="E3559">
            <v>0</v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</row>
        <row r="3560">
          <cell r="C3560">
            <v>302882</v>
          </cell>
          <cell r="D3560" t="str">
            <v>Pangangan National High School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</row>
        <row r="3561">
          <cell r="C3561">
            <v>302883</v>
          </cell>
          <cell r="D3561" t="str">
            <v>Calape National High School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</row>
        <row r="3562">
          <cell r="C3562">
            <v>302884</v>
          </cell>
          <cell r="D3562" t="str">
            <v>Pilar Technical-Vocational HS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</row>
        <row r="3563">
          <cell r="C3563">
            <v>302885</v>
          </cell>
          <cell r="D3563" t="str">
            <v>Policronio S. Dano, Sr. HS</v>
          </cell>
          <cell r="E3563">
            <v>0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</row>
        <row r="3564">
          <cell r="C3564">
            <v>302886</v>
          </cell>
          <cell r="D3564" t="str">
            <v>Pres. Carlos P. Garcia Technical Vocational School of Fisheries and Arts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</row>
        <row r="3565">
          <cell r="C3565">
            <v>302887</v>
          </cell>
          <cell r="D3565" t="str">
            <v>San Agustin NHS</v>
          </cell>
          <cell r="E3565">
            <v>0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</row>
        <row r="3566">
          <cell r="C3566">
            <v>302888</v>
          </cell>
          <cell r="D3566" t="str">
            <v>Eugenio V. Amores MHS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</row>
        <row r="3567">
          <cell r="C3567">
            <v>302889</v>
          </cell>
          <cell r="D3567" t="str">
            <v>San Isidro Tech-Voc HS</v>
          </cell>
          <cell r="E3567">
            <v>0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</row>
        <row r="3568">
          <cell r="C3568">
            <v>302890</v>
          </cell>
          <cell r="D3568" t="str">
            <v>San Isidro National High School</v>
          </cell>
          <cell r="E3568">
            <v>0</v>
          </cell>
          <cell r="F3568">
            <v>0</v>
          </cell>
          <cell r="G3568">
            <v>0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</row>
        <row r="3569">
          <cell r="C3569">
            <v>302891</v>
          </cell>
          <cell r="D3569" t="str">
            <v>San Jose National High School</v>
          </cell>
          <cell r="E3569">
            <v>0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</row>
        <row r="3570">
          <cell r="C3570">
            <v>302892</v>
          </cell>
          <cell r="D3570" t="str">
            <v>Inabanga HS- Nabuad</v>
          </cell>
          <cell r="E3570">
            <v>0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</row>
        <row r="3571">
          <cell r="C3571">
            <v>302893</v>
          </cell>
          <cell r="D3571" t="str">
            <v>San Jose NHS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</row>
        <row r="3572">
          <cell r="C3572">
            <v>302894</v>
          </cell>
          <cell r="D3572" t="str">
            <v>Calituban HS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</row>
        <row r="3573">
          <cell r="C3573">
            <v>302895</v>
          </cell>
          <cell r="D3573" t="str">
            <v>President Carlos P. Garcia Memorial High School</v>
          </cell>
          <cell r="E3573">
            <v>0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</row>
        <row r="3574">
          <cell r="C3574">
            <v>302896</v>
          </cell>
          <cell r="D3574" t="str">
            <v>Sikatuna Nat'l Agricultural HS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</row>
        <row r="3575">
          <cell r="C3575">
            <v>302897</v>
          </cell>
          <cell r="D3575" t="str">
            <v>San Miguel Technical Vocational School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</row>
        <row r="3576">
          <cell r="C3576">
            <v>302898</v>
          </cell>
          <cell r="D3576" t="str">
            <v>Bugang National High School</v>
          </cell>
          <cell r="E3576">
            <v>0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</row>
        <row r="3577">
          <cell r="C3577">
            <v>302899</v>
          </cell>
          <cell r="D3577" t="str">
            <v>San Pascual National Agr'l HS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</row>
        <row r="3578">
          <cell r="C3578">
            <v>302900</v>
          </cell>
          <cell r="D3578" t="str">
            <v>San Roque National High School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</row>
        <row r="3579">
          <cell r="C3579">
            <v>302901</v>
          </cell>
          <cell r="D3579" t="str">
            <v>San Roque National High School</v>
          </cell>
          <cell r="E3579">
            <v>0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</row>
        <row r="3580">
          <cell r="C3580">
            <v>302902</v>
          </cell>
          <cell r="D3580" t="str">
            <v>Sandingan National High School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</row>
        <row r="3581">
          <cell r="C3581">
            <v>302904</v>
          </cell>
          <cell r="D3581" t="str">
            <v>Cambagui-Calinginan Norte National  HS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</row>
        <row r="3582">
          <cell r="C3582">
            <v>302905</v>
          </cell>
          <cell r="D3582" t="str">
            <v>Sierra Bullones Technical Vocational High School</v>
          </cell>
          <cell r="E3582">
            <v>0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</row>
        <row r="3583">
          <cell r="C3583">
            <v>302906</v>
          </cell>
          <cell r="D3583" t="str">
            <v>Sikatuna NHS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</row>
        <row r="3584">
          <cell r="C3584">
            <v>302907</v>
          </cell>
          <cell r="D3584" t="str">
            <v>Bantolinao National High School</v>
          </cell>
          <cell r="E3584">
            <v>0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</row>
        <row r="3585">
          <cell r="C3585">
            <v>302908</v>
          </cell>
          <cell r="D3585" t="str">
            <v>Tabalong NHS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</row>
        <row r="3586">
          <cell r="C3586">
            <v>302909</v>
          </cell>
          <cell r="D3586" t="str">
            <v>Tabuan NHS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</row>
        <row r="3587">
          <cell r="C3587">
            <v>302910</v>
          </cell>
          <cell r="D3587" t="str">
            <v>Tagum Sur NHS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</row>
        <row r="3588">
          <cell r="C3588">
            <v>302911</v>
          </cell>
          <cell r="D3588" t="str">
            <v>Tambongan NHS</v>
          </cell>
          <cell r="E3588">
            <v>0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</row>
        <row r="3589">
          <cell r="C3589">
            <v>302912</v>
          </cell>
          <cell r="D3589" t="str">
            <v>Anoling National High School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</row>
        <row r="3590">
          <cell r="C3590">
            <v>302913</v>
          </cell>
          <cell r="D3590" t="str">
            <v>Tulang NHS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</row>
        <row r="3591">
          <cell r="C3591">
            <v>302914</v>
          </cell>
          <cell r="D3591" t="str">
            <v>Union National High School</v>
          </cell>
          <cell r="E3591">
            <v>0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</row>
        <row r="3592">
          <cell r="C3592">
            <v>302915</v>
          </cell>
          <cell r="D3592" t="str">
            <v>Ubay National Science HS</v>
          </cell>
          <cell r="E3592">
            <v>0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</row>
        <row r="3593">
          <cell r="C3593">
            <v>302916</v>
          </cell>
          <cell r="D3593" t="str">
            <v>Valencia Tech-Voc HS</v>
          </cell>
          <cell r="E3593">
            <v>0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</row>
        <row r="3594">
          <cell r="C3594">
            <v>312301</v>
          </cell>
          <cell r="D3594" t="str">
            <v>Isabel S.J. Gujol Memorial HS</v>
          </cell>
          <cell r="E3594">
            <v>0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</row>
        <row r="3595">
          <cell r="C3595">
            <v>312303</v>
          </cell>
          <cell r="D3595" t="str">
            <v>Mayor Inocencio B. Mendez HS</v>
          </cell>
          <cell r="E3595">
            <v>0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</row>
        <row r="3596">
          <cell r="C3596">
            <v>312304</v>
          </cell>
          <cell r="D3596" t="str">
            <v>Dauis National High School</v>
          </cell>
          <cell r="E3596">
            <v>0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</row>
        <row r="3597">
          <cell r="C3597">
            <v>312305</v>
          </cell>
          <cell r="D3597" t="str">
            <v>Kinan-oan HS</v>
          </cell>
          <cell r="E3597">
            <v>0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</row>
        <row r="3598">
          <cell r="C3598">
            <v>312306</v>
          </cell>
          <cell r="D3598" t="str">
            <v>Canlaas High School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</row>
        <row r="3599">
          <cell r="C3599">
            <v>312309</v>
          </cell>
          <cell r="D3599" t="str">
            <v>JAPeR Memorial High School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</row>
        <row r="3600">
          <cell r="C3600">
            <v>312310</v>
          </cell>
          <cell r="D3600" t="str">
            <v>Bayawahan National High School</v>
          </cell>
          <cell r="E3600">
            <v>0</v>
          </cell>
          <cell r="F3600">
            <v>0</v>
          </cell>
          <cell r="G3600">
            <v>0</v>
          </cell>
          <cell r="H3600">
            <v>0</v>
          </cell>
          <cell r="I3600">
            <v>3</v>
          </cell>
          <cell r="J3600">
            <v>3</v>
          </cell>
          <cell r="K3600">
            <v>3</v>
          </cell>
          <cell r="L3600">
            <v>3</v>
          </cell>
        </row>
        <row r="3601">
          <cell r="C3601">
            <v>312311</v>
          </cell>
          <cell r="D3601" t="str">
            <v>Mayor Pablo O. Lim MHS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</row>
        <row r="3602">
          <cell r="C3602">
            <v>312312</v>
          </cell>
          <cell r="D3602" t="str">
            <v>Panghagban HS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</row>
        <row r="3603">
          <cell r="C3603">
            <v>312313</v>
          </cell>
          <cell r="D3603" t="str">
            <v>Mayor Catalino Y. Casoyla MHS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</row>
        <row r="3604">
          <cell r="C3604">
            <v>312314</v>
          </cell>
          <cell r="D3604" t="str">
            <v>Quezon HS - Batuan NHS Annex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</row>
        <row r="3605">
          <cell r="C3605">
            <v>312315</v>
          </cell>
          <cell r="D3605" t="str">
            <v>Rizal High Sschool</v>
          </cell>
          <cell r="E3605">
            <v>0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</row>
        <row r="3606">
          <cell r="C3606">
            <v>312316</v>
          </cell>
          <cell r="D3606" t="str">
            <v>Cayacay HS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</row>
        <row r="3607">
          <cell r="C3607">
            <v>312317</v>
          </cell>
          <cell r="D3607" t="str">
            <v>Pamilacan HS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</row>
        <row r="3608">
          <cell r="C3608">
            <v>312318</v>
          </cell>
          <cell r="D3608" t="str">
            <v>PEDRO S. BUDIONGAN HIGH SCHOOL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</row>
        <row r="3609">
          <cell r="C3609">
            <v>312319</v>
          </cell>
          <cell r="D3609" t="str">
            <v>Hagbuaya High School</v>
          </cell>
          <cell r="E3609">
            <v>0</v>
          </cell>
          <cell r="F3609">
            <v>0</v>
          </cell>
          <cell r="G3609">
            <v>0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</row>
        <row r="3610">
          <cell r="C3610">
            <v>312320</v>
          </cell>
          <cell r="D3610" t="str">
            <v>Haguilanan High School</v>
          </cell>
          <cell r="E3610">
            <v>0</v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</row>
        <row r="3611">
          <cell r="C3611">
            <v>312321</v>
          </cell>
          <cell r="D3611" t="str">
            <v>San Miguel-Puertos HS</v>
          </cell>
          <cell r="E3611">
            <v>0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</row>
        <row r="3612">
          <cell r="C3612">
            <v>312324</v>
          </cell>
          <cell r="D3612" t="str">
            <v>Bonbonon High School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</row>
        <row r="3613">
          <cell r="C3613">
            <v>312325</v>
          </cell>
          <cell r="D3613" t="str">
            <v>Gaus High School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</row>
        <row r="3614">
          <cell r="C3614">
            <v>312326</v>
          </cell>
          <cell r="D3614" t="str">
            <v>Cuaming HS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</row>
        <row r="3615">
          <cell r="C3615">
            <v>312327</v>
          </cell>
          <cell r="D3615" t="str">
            <v>Candungao High School</v>
          </cell>
          <cell r="E3615">
            <v>0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</row>
        <row r="3616">
          <cell r="C3616">
            <v>312328</v>
          </cell>
          <cell r="D3616" t="str">
            <v>Sebastian A. Jala Memorial High School</v>
          </cell>
          <cell r="E3616">
            <v>0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</row>
        <row r="3617">
          <cell r="C3617">
            <v>312329</v>
          </cell>
          <cell r="D3617" t="str">
            <v>Bugsoc High School</v>
          </cell>
          <cell r="E3617">
            <v>0</v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</row>
        <row r="3618">
          <cell r="C3618">
            <v>312330</v>
          </cell>
          <cell r="D3618" t="str">
            <v>Santo Nino High School</v>
          </cell>
          <cell r="E3618">
            <v>0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</row>
        <row r="3619">
          <cell r="C3619">
            <v>312331</v>
          </cell>
          <cell r="D3619" t="str">
            <v>Ponciana E. Leoligao HS</v>
          </cell>
          <cell r="E3619">
            <v>0</v>
          </cell>
          <cell r="F3619">
            <v>0</v>
          </cell>
          <cell r="G3619">
            <v>0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</row>
        <row r="3620">
          <cell r="C3620">
            <v>312333</v>
          </cell>
          <cell r="D3620" t="str">
            <v>Tubigon West Central HS</v>
          </cell>
          <cell r="E3620">
            <v>0</v>
          </cell>
          <cell r="F3620">
            <v>0</v>
          </cell>
          <cell r="G3620">
            <v>0</v>
          </cell>
          <cell r="H3620">
            <v>0</v>
          </cell>
          <cell r="I3620">
            <v>4</v>
          </cell>
          <cell r="J3620">
            <v>9</v>
          </cell>
          <cell r="K3620">
            <v>4</v>
          </cell>
          <cell r="L3620">
            <v>9</v>
          </cell>
        </row>
        <row r="3621">
          <cell r="C3621">
            <v>312334</v>
          </cell>
          <cell r="D3621" t="str">
            <v>Bulilis High School</v>
          </cell>
          <cell r="E3621">
            <v>0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</row>
        <row r="3622">
          <cell r="C3622">
            <v>312335</v>
          </cell>
          <cell r="D3622" t="str">
            <v>Basiao High School</v>
          </cell>
          <cell r="E3622">
            <v>0</v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</row>
        <row r="3623">
          <cell r="C3623">
            <v>312336</v>
          </cell>
          <cell r="D3623" t="str">
            <v>Lungsodaan High School</v>
          </cell>
          <cell r="E3623">
            <v>0</v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</row>
        <row r="3624">
          <cell r="C3624">
            <v>312350</v>
          </cell>
          <cell r="D3624" t="str">
            <v>San Isidro High School</v>
          </cell>
          <cell r="E3624">
            <v>0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</row>
        <row r="3625">
          <cell r="C3625">
            <v>312351</v>
          </cell>
          <cell r="D3625" t="str">
            <v>Cagting High School</v>
          </cell>
          <cell r="E3625">
            <v>0</v>
          </cell>
          <cell r="F3625">
            <v>0</v>
          </cell>
          <cell r="G3625">
            <v>0</v>
          </cell>
          <cell r="H3625">
            <v>0</v>
          </cell>
          <cell r="I3625">
            <v>2</v>
          </cell>
          <cell r="J3625">
            <v>5</v>
          </cell>
          <cell r="K3625">
            <v>0</v>
          </cell>
          <cell r="L3625">
            <v>3</v>
          </cell>
        </row>
        <row r="3626">
          <cell r="C3626">
            <v>312352</v>
          </cell>
          <cell r="D3626" t="str">
            <v>Cambuyo HS</v>
          </cell>
          <cell r="E3626">
            <v>0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</row>
        <row r="3627">
          <cell r="C3627">
            <v>312353</v>
          </cell>
          <cell r="D3627" t="str">
            <v>Campamanog HS</v>
          </cell>
          <cell r="E3627">
            <v>0</v>
          </cell>
          <cell r="F3627">
            <v>0</v>
          </cell>
          <cell r="G3627">
            <v>0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</row>
        <row r="3628">
          <cell r="C3628">
            <v>312355</v>
          </cell>
          <cell r="D3628" t="str">
            <v>Lourdes High School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</row>
        <row r="3629">
          <cell r="C3629">
            <v>312356</v>
          </cell>
          <cell r="D3629" t="str">
            <v>Bangwalog HS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</row>
        <row r="3630">
          <cell r="C3630">
            <v>312357</v>
          </cell>
          <cell r="D3630" t="str">
            <v>Vallehermoso HS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</row>
        <row r="3631">
          <cell r="C3631">
            <v>312358</v>
          </cell>
          <cell r="D3631" t="str">
            <v>Jagna HS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</row>
        <row r="3632">
          <cell r="C3632">
            <v>312359</v>
          </cell>
          <cell r="D3632" t="str">
            <v>Katipunan High School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</row>
        <row r="3633">
          <cell r="C3633">
            <v>312360</v>
          </cell>
          <cell r="D3633" t="str">
            <v>Ponciano L. Padin National High School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</row>
        <row r="3634">
          <cell r="C3634">
            <v>312362</v>
          </cell>
          <cell r="D3634" t="str">
            <v>Nan-od High School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</row>
        <row r="3635">
          <cell r="C3635">
            <v>500206</v>
          </cell>
          <cell r="D3635" t="str">
            <v>Clemente Borja Memorial High School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</row>
        <row r="3636">
          <cell r="C3636">
            <v>500207</v>
          </cell>
          <cell r="D3636" t="str">
            <v>Calatrava Elementary School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</row>
        <row r="3637">
          <cell r="C3637">
            <v>500210</v>
          </cell>
          <cell r="D3637" t="str">
            <v>CATABAN INTEGRATED SCHOOL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</row>
        <row r="3638">
          <cell r="C3638">
            <v>500211</v>
          </cell>
          <cell r="D3638" t="str">
            <v>San Roque Integrated School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</row>
        <row r="3639">
          <cell r="C3639">
            <v>500213</v>
          </cell>
          <cell r="D3639" t="str">
            <v>Cabanugan Elementary School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</row>
        <row r="3640">
          <cell r="C3640">
            <v>500214</v>
          </cell>
          <cell r="D3640" t="str">
            <v>Tapal IS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</row>
        <row r="3641">
          <cell r="C3641">
            <v>500215</v>
          </cell>
          <cell r="D3641" t="str">
            <v>Tubog Integrated School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</row>
        <row r="3642">
          <cell r="C3642">
            <v>500216</v>
          </cell>
          <cell r="D3642" t="str">
            <v>Soom IS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</row>
        <row r="3643">
          <cell r="C3643">
            <v>500217</v>
          </cell>
          <cell r="D3643" t="str">
            <v>Danahaw IS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</row>
        <row r="3644">
          <cell r="C3644">
            <v>302917</v>
          </cell>
          <cell r="D3644" t="str">
            <v>Alcoy National High School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</row>
        <row r="3645">
          <cell r="C3645">
            <v>302918</v>
          </cell>
          <cell r="D3645" t="str">
            <v>Nug-as NHS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</row>
        <row r="3646">
          <cell r="C3646">
            <v>302919</v>
          </cell>
          <cell r="D3646" t="str">
            <v>Aloguinsan NHS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</row>
        <row r="3647">
          <cell r="C3647">
            <v>302920</v>
          </cell>
          <cell r="D3647" t="str">
            <v>Angilan NHS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</row>
        <row r="3648">
          <cell r="C3648">
            <v>302921</v>
          </cell>
          <cell r="D3648" t="str">
            <v>Badian NHS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</row>
        <row r="3649">
          <cell r="C3649">
            <v>302922</v>
          </cell>
          <cell r="D3649" t="str">
            <v>Alcantara NHS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</row>
        <row r="3650">
          <cell r="C3650">
            <v>302923</v>
          </cell>
          <cell r="D3650" t="str">
            <v>Tubod NHS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</row>
        <row r="3651">
          <cell r="C3651">
            <v>302924</v>
          </cell>
          <cell r="D3651" t="str">
            <v>Bakhawan National High School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</row>
        <row r="3652">
          <cell r="C3652">
            <v>302925</v>
          </cell>
          <cell r="D3652" t="str">
            <v>Bala NHS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</row>
        <row r="3653">
          <cell r="C3653">
            <v>302926</v>
          </cell>
          <cell r="D3653" t="str">
            <v>Busay  National High School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</row>
        <row r="3654">
          <cell r="C3654">
            <v>302927</v>
          </cell>
          <cell r="D3654" t="str">
            <v>Moalboal NHS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</row>
        <row r="3655">
          <cell r="C3655">
            <v>302928</v>
          </cell>
          <cell r="D3655" t="str">
            <v>Balao NHS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</row>
        <row r="3656">
          <cell r="C3656">
            <v>302938</v>
          </cell>
          <cell r="D3656" t="str">
            <v>Bantayan Senior High School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</row>
        <row r="3657">
          <cell r="C3657">
            <v>302939</v>
          </cell>
          <cell r="D3657" t="str">
            <v>Bateria NHS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</row>
        <row r="3658">
          <cell r="C3658">
            <v>302940</v>
          </cell>
          <cell r="D3658" t="str">
            <v>Bitoon NVHS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  <cell r="I3658">
            <v>5</v>
          </cell>
          <cell r="J3658">
            <v>14</v>
          </cell>
          <cell r="K3658">
            <v>5</v>
          </cell>
          <cell r="L3658">
            <v>14</v>
          </cell>
        </row>
        <row r="3659">
          <cell r="C3659">
            <v>302941</v>
          </cell>
          <cell r="D3659" t="str">
            <v>Dumanjug NHS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</row>
        <row r="3660">
          <cell r="C3660">
            <v>302942</v>
          </cell>
          <cell r="D3660" t="str">
            <v>Boljoon National High School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</row>
        <row r="3661">
          <cell r="C3661">
            <v>302943</v>
          </cell>
          <cell r="D3661" t="str">
            <v>El Pardo NHS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</row>
        <row r="3662">
          <cell r="C3662">
            <v>302944</v>
          </cell>
          <cell r="D3662" t="str">
            <v>LUNOP NATIONAL HIGH SCHOOL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</row>
        <row r="3663">
          <cell r="C3663">
            <v>302945</v>
          </cell>
          <cell r="D3663" t="str">
            <v>Buanoy National High School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</row>
        <row r="3664">
          <cell r="C3664">
            <v>302946</v>
          </cell>
          <cell r="D3664" t="str">
            <v>Cabagdalan National High School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</row>
        <row r="3665">
          <cell r="C3665">
            <v>302947</v>
          </cell>
          <cell r="D3665" t="str">
            <v>Gaas NHS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</row>
        <row r="3666">
          <cell r="C3666">
            <v>302948</v>
          </cell>
          <cell r="D3666" t="str">
            <v>Lamesa National High School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</row>
        <row r="3667">
          <cell r="C3667">
            <v>302949</v>
          </cell>
          <cell r="D3667" t="str">
            <v>Nangka National High School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</row>
        <row r="3668">
          <cell r="C3668">
            <v>302950</v>
          </cell>
          <cell r="D3668" t="str">
            <v>BUANOY NHS-EVENING OPPORTUNITY CLASS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</row>
        <row r="3669">
          <cell r="C3669">
            <v>302951</v>
          </cell>
          <cell r="D3669" t="str">
            <v>Bulak NHS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</row>
        <row r="3670">
          <cell r="C3670">
            <v>302952</v>
          </cell>
          <cell r="D3670" t="str">
            <v>Tubod Dugoan NHS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</row>
        <row r="3671">
          <cell r="C3671">
            <v>302953</v>
          </cell>
          <cell r="D3671" t="str">
            <v>Bulasa NHS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</row>
        <row r="3672">
          <cell r="C3672">
            <v>302954</v>
          </cell>
          <cell r="D3672" t="str">
            <v>Cabangahan NHS</v>
          </cell>
          <cell r="E3672">
            <v>0</v>
          </cell>
          <cell r="F3672">
            <v>0</v>
          </cell>
          <cell r="G3672">
            <v>0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</row>
        <row r="3673">
          <cell r="C3673">
            <v>302955</v>
          </cell>
          <cell r="D3673" t="str">
            <v>Cordova NHS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</row>
        <row r="3674">
          <cell r="C3674">
            <v>302961</v>
          </cell>
          <cell r="D3674" t="str">
            <v>Calape NHS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</row>
        <row r="3675">
          <cell r="C3675">
            <v>302962</v>
          </cell>
          <cell r="D3675" t="str">
            <v>Malingin NHS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</row>
        <row r="3676">
          <cell r="C3676">
            <v>302963</v>
          </cell>
          <cell r="D3676" t="str">
            <v>Paypay NHS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  <cell r="I3676">
            <v>3</v>
          </cell>
          <cell r="J3676">
            <v>2</v>
          </cell>
          <cell r="K3676">
            <v>0</v>
          </cell>
          <cell r="L3676">
            <v>0</v>
          </cell>
        </row>
        <row r="3677">
          <cell r="C3677">
            <v>302964</v>
          </cell>
          <cell r="D3677" t="str">
            <v>Tapilon National High School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</row>
        <row r="3678">
          <cell r="C3678">
            <v>302965</v>
          </cell>
          <cell r="D3678" t="str">
            <v>Tominjao National High School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</row>
        <row r="3679">
          <cell r="C3679">
            <v>302966</v>
          </cell>
          <cell r="D3679" t="str">
            <v>Calumboyan NHS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</row>
        <row r="3680">
          <cell r="C3680">
            <v>302967</v>
          </cell>
          <cell r="D3680" t="str">
            <v>Camotes National High School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</row>
        <row r="3681">
          <cell r="C3681">
            <v>302968</v>
          </cell>
          <cell r="D3681" t="str">
            <v>Cabonga-an NHS</v>
          </cell>
          <cell r="E3681">
            <v>0</v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</row>
        <row r="3682">
          <cell r="C3682">
            <v>302969</v>
          </cell>
          <cell r="D3682" t="str">
            <v>Camp 7 NHS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</row>
        <row r="3683">
          <cell r="C3683">
            <v>302973</v>
          </cell>
          <cell r="D3683" t="str">
            <v>Carmen NHS-Day</v>
          </cell>
          <cell r="E3683">
            <v>0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</row>
        <row r="3684">
          <cell r="C3684">
            <v>302974</v>
          </cell>
          <cell r="D3684" t="str">
            <v>Cabalawan NHS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</row>
        <row r="3685">
          <cell r="C3685">
            <v>302975</v>
          </cell>
          <cell r="D3685" t="str">
            <v>Cantumog NHS</v>
          </cell>
          <cell r="E3685">
            <v>0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</row>
        <row r="3686">
          <cell r="C3686">
            <v>302976</v>
          </cell>
          <cell r="D3686" t="str">
            <v>Carnaza NHS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</row>
        <row r="3687">
          <cell r="C3687">
            <v>302977</v>
          </cell>
          <cell r="D3687" t="str">
            <v>Casay NHS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  <cell r="I3687">
            <v>3</v>
          </cell>
          <cell r="J3687">
            <v>4</v>
          </cell>
          <cell r="K3687">
            <v>3</v>
          </cell>
          <cell r="L3687">
            <v>4</v>
          </cell>
        </row>
        <row r="3688">
          <cell r="C3688">
            <v>302978</v>
          </cell>
          <cell r="D3688" t="str">
            <v>Catmon NHS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</row>
        <row r="3689">
          <cell r="C3689">
            <v>302979</v>
          </cell>
          <cell r="D3689" t="str">
            <v>Ceferino Sususco MNHS</v>
          </cell>
          <cell r="E3689">
            <v>0</v>
          </cell>
          <cell r="F3689">
            <v>0</v>
          </cell>
          <cell r="G3689">
            <v>0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</row>
        <row r="3690">
          <cell r="C3690">
            <v>302980</v>
          </cell>
          <cell r="D3690" t="str">
            <v>Tinabyonan NHS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</row>
        <row r="3691">
          <cell r="C3691">
            <v>302981</v>
          </cell>
          <cell r="D3691" t="str">
            <v>Cawayan NHS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</row>
        <row r="3692">
          <cell r="C3692">
            <v>302982</v>
          </cell>
          <cell r="D3692" t="str">
            <v>CerdeÃ±a NHS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</row>
        <row r="3693">
          <cell r="C3693">
            <v>302983</v>
          </cell>
          <cell r="D3693" t="str">
            <v>Cogon NHS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</row>
        <row r="3694">
          <cell r="C3694">
            <v>302984</v>
          </cell>
          <cell r="D3694" t="str">
            <v>Colawin NHS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</row>
        <row r="3695">
          <cell r="C3695">
            <v>302985</v>
          </cell>
          <cell r="D3695" t="str">
            <v>Argao National High School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</row>
        <row r="3696">
          <cell r="C3696">
            <v>302986</v>
          </cell>
          <cell r="D3696" t="str">
            <v>Mandilikit NHS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</row>
        <row r="3697">
          <cell r="C3697">
            <v>302987</v>
          </cell>
          <cell r="D3697" t="str">
            <v>Colonia NHS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</row>
        <row r="3698">
          <cell r="C3698">
            <v>302988</v>
          </cell>
          <cell r="D3698" t="str">
            <v>Consolacion NHS - Day Class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</row>
        <row r="3699">
          <cell r="C3699">
            <v>302989</v>
          </cell>
          <cell r="D3699" t="str">
            <v>Consolacion NHS - Evening Class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</row>
        <row r="3700">
          <cell r="C3700">
            <v>302990</v>
          </cell>
          <cell r="D3700" t="str">
            <v>Jugan NHS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</row>
        <row r="3701">
          <cell r="C3701">
            <v>302991</v>
          </cell>
          <cell r="D3701" t="str">
            <v>Pulpogan NHS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</row>
        <row r="3702">
          <cell r="C3702">
            <v>302992</v>
          </cell>
          <cell r="D3702" t="str">
            <v>Tolotolo National High School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</row>
        <row r="3703">
          <cell r="C3703">
            <v>302993</v>
          </cell>
          <cell r="D3703" t="str">
            <v>Tugbongan NHS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</row>
        <row r="3704">
          <cell r="C3704">
            <v>302994</v>
          </cell>
          <cell r="D3704" t="str">
            <v>Consuelo NHS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</row>
        <row r="3705">
          <cell r="C3705">
            <v>302995</v>
          </cell>
          <cell r="D3705" t="str">
            <v>Daanbantayan National High School</v>
          </cell>
          <cell r="E3705">
            <v>0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</row>
        <row r="3706">
          <cell r="C3706">
            <v>302996</v>
          </cell>
          <cell r="D3706" t="str">
            <v>Sir Knight Luis P. Cañete Sr. NHS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</row>
        <row r="3707">
          <cell r="C3707">
            <v>302997</v>
          </cell>
          <cell r="D3707" t="str">
            <v>Dalaguete National High School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</row>
        <row r="3708">
          <cell r="C3708">
            <v>302998</v>
          </cell>
          <cell r="D3708" t="str">
            <v>Caliongan National High School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</row>
        <row r="3709">
          <cell r="C3709">
            <v>302999</v>
          </cell>
          <cell r="D3709" t="str">
            <v>Manlapay National High School</v>
          </cell>
          <cell r="E3709">
            <v>0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</row>
        <row r="3710">
          <cell r="C3710">
            <v>303000</v>
          </cell>
          <cell r="D3710" t="str">
            <v>Mantalongon NHS</v>
          </cell>
          <cell r="E3710">
            <v>0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</row>
        <row r="3711">
          <cell r="C3711">
            <v>303001</v>
          </cell>
          <cell r="D3711" t="str">
            <v>Dapdap NHS, San Remigio</v>
          </cell>
          <cell r="E3711">
            <v>0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</row>
        <row r="3712">
          <cell r="C3712">
            <v>303003</v>
          </cell>
          <cell r="D3712" t="str">
            <v>Don Esteban Nolasco Memorial NHS</v>
          </cell>
          <cell r="E3712">
            <v>0</v>
          </cell>
          <cell r="F3712">
            <v>0</v>
          </cell>
          <cell r="G3712">
            <v>0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</row>
        <row r="3713">
          <cell r="C3713">
            <v>303004</v>
          </cell>
          <cell r="D3713" t="str">
            <v>Horacio Franco MNHS</v>
          </cell>
          <cell r="E3713">
            <v>0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</row>
        <row r="3714">
          <cell r="C3714">
            <v>303005</v>
          </cell>
          <cell r="D3714" t="str">
            <v>DoÃ±a Liling Neis Negapatan NHS</v>
          </cell>
          <cell r="E3714">
            <v>0</v>
          </cell>
          <cell r="F3714">
            <v>0</v>
          </cell>
          <cell r="G3714">
            <v>0</v>
          </cell>
          <cell r="H3714">
            <v>0</v>
          </cell>
          <cell r="I3714">
            <v>1</v>
          </cell>
          <cell r="J3714">
            <v>5</v>
          </cell>
          <cell r="K3714">
            <v>1</v>
          </cell>
          <cell r="L3714">
            <v>5</v>
          </cell>
        </row>
        <row r="3715">
          <cell r="C3715">
            <v>303006</v>
          </cell>
          <cell r="D3715" t="str">
            <v>Loreto-Remedios Montebon NHS</v>
          </cell>
          <cell r="E3715">
            <v>0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</row>
        <row r="3716">
          <cell r="C3716">
            <v>303007</v>
          </cell>
          <cell r="D3716" t="str">
            <v>Doong National High School</v>
          </cell>
          <cell r="E3716">
            <v>0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</row>
        <row r="3717">
          <cell r="C3717">
            <v>303008</v>
          </cell>
          <cell r="D3717" t="str">
            <v>Luciano B. Rama Sr. MNHS</v>
          </cell>
          <cell r="E3717">
            <v>0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</row>
        <row r="3718">
          <cell r="C3718">
            <v>303009</v>
          </cell>
          <cell r="D3718" t="str">
            <v>Zosimo E. Fabroa MNHS</v>
          </cell>
          <cell r="E3718">
            <v>0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</row>
        <row r="3719">
          <cell r="C3719">
            <v>303010</v>
          </cell>
          <cell r="D3719" t="str">
            <v>Garing NHS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</row>
        <row r="3720">
          <cell r="C3720">
            <v>303011</v>
          </cell>
          <cell r="D3720" t="str">
            <v>Lanipga NHS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</row>
        <row r="3721">
          <cell r="C3721">
            <v>303012</v>
          </cell>
          <cell r="D3721" t="str">
            <v>Giloctog National High School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</row>
        <row r="3722">
          <cell r="C3722">
            <v>303013</v>
          </cell>
          <cell r="D3722" t="str">
            <v>TEOTIMO A. ABELLANA SR. MEMORIAL NATIONAL HIGH SCHOOL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</row>
        <row r="3723">
          <cell r="C3723">
            <v>303015</v>
          </cell>
          <cell r="D3723" t="str">
            <v>Greenhills NHS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</row>
        <row r="3724">
          <cell r="C3724">
            <v>303017</v>
          </cell>
          <cell r="D3724" t="str">
            <v>Guindaruhan National High School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</row>
        <row r="3725">
          <cell r="C3725">
            <v>303018</v>
          </cell>
          <cell r="D3725" t="str">
            <v>Guiwanon NHS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</row>
        <row r="3726">
          <cell r="C3726">
            <v>303021</v>
          </cell>
          <cell r="D3726" t="str">
            <v>Jose R. Martinez Memorial National High School</v>
          </cell>
          <cell r="E3726">
            <v>0</v>
          </cell>
          <cell r="F3726">
            <v>0</v>
          </cell>
          <cell r="G3726">
            <v>0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</row>
        <row r="3727">
          <cell r="C3727">
            <v>303022</v>
          </cell>
          <cell r="D3727" t="str">
            <v>Julian Enad  MNHS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</row>
        <row r="3728">
          <cell r="C3728">
            <v>303023</v>
          </cell>
          <cell r="D3728" t="str">
            <v>Kal-anan NHS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</row>
        <row r="3729">
          <cell r="C3729">
            <v>303024</v>
          </cell>
          <cell r="D3729" t="str">
            <v>Kawit NHS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</row>
        <row r="3730">
          <cell r="C3730">
            <v>303025</v>
          </cell>
          <cell r="D3730" t="str">
            <v>Almacen-Torrevillas National High School</v>
          </cell>
          <cell r="E3730">
            <v>0</v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</row>
        <row r="3731">
          <cell r="C3731">
            <v>303026</v>
          </cell>
          <cell r="D3731" t="str">
            <v>Curva National High School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</row>
        <row r="3732">
          <cell r="C3732">
            <v>303027</v>
          </cell>
          <cell r="D3732" t="str">
            <v>Medellin National Science and Technology School</v>
          </cell>
          <cell r="E3732">
            <v>0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</row>
        <row r="3733">
          <cell r="C3733">
            <v>303028</v>
          </cell>
          <cell r="D3733" t="str">
            <v>Kinatarcan NHS</v>
          </cell>
          <cell r="E3733">
            <v>0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</row>
        <row r="3734">
          <cell r="C3734">
            <v>303029</v>
          </cell>
          <cell r="D3734" t="str">
            <v>Lamac National High School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</row>
        <row r="3735">
          <cell r="C3735">
            <v>303030</v>
          </cell>
          <cell r="D3735" t="str">
            <v>Lambusan NHS</v>
          </cell>
          <cell r="E3735">
            <v>0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</row>
        <row r="3736">
          <cell r="C3736">
            <v>303031</v>
          </cell>
          <cell r="D3736" t="str">
            <v>Lanao NHS, Pilar</v>
          </cell>
          <cell r="E3736">
            <v>0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</row>
        <row r="3737">
          <cell r="C3737">
            <v>303032</v>
          </cell>
          <cell r="D3737" t="str">
            <v>Dapdap NHS</v>
          </cell>
          <cell r="E3737">
            <v>0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</row>
        <row r="3738">
          <cell r="C3738">
            <v>303033</v>
          </cell>
          <cell r="D3738" t="str">
            <v>Langin NHS</v>
          </cell>
          <cell r="E3738">
            <v>0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</row>
        <row r="3739">
          <cell r="C3739">
            <v>303034</v>
          </cell>
          <cell r="D3739" t="str">
            <v>Ronda NHS- Langin NHS Ext.</v>
          </cell>
          <cell r="E3739">
            <v>0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</row>
        <row r="3740">
          <cell r="C3740">
            <v>303041</v>
          </cell>
          <cell r="D3740" t="str">
            <v>Libaong National High School</v>
          </cell>
          <cell r="E3740">
            <v>0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</row>
        <row r="3741">
          <cell r="C3741">
            <v>303042</v>
          </cell>
          <cell r="D3741" t="str">
            <v>Lipata NHS</v>
          </cell>
          <cell r="E3741">
            <v>0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</row>
        <row r="3742">
          <cell r="C3742">
            <v>303043</v>
          </cell>
          <cell r="D3742" t="str">
            <v>Logon NHS</v>
          </cell>
          <cell r="E3742">
            <v>0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</row>
        <row r="3743">
          <cell r="C3743">
            <v>303044</v>
          </cell>
          <cell r="D3743" t="str">
            <v>Looc Norte NHS</v>
          </cell>
          <cell r="E3743">
            <v>0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</row>
        <row r="3744">
          <cell r="C3744">
            <v>303045</v>
          </cell>
          <cell r="D3744" t="str">
            <v>Federico &amp; Soledad Villaflor  MNHS</v>
          </cell>
          <cell r="E3744">
            <v>0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</row>
        <row r="3745">
          <cell r="C3745">
            <v>303046</v>
          </cell>
          <cell r="D3745" t="str">
            <v>Luyang NHS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</row>
        <row r="3746">
          <cell r="C3746">
            <v>303047</v>
          </cell>
          <cell r="D3746" t="str">
            <v>Madridejos NHS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</row>
        <row r="3747">
          <cell r="C3747">
            <v>303048</v>
          </cell>
          <cell r="D3747" t="str">
            <v>San Agustin NHS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</row>
        <row r="3748">
          <cell r="C3748">
            <v>303049</v>
          </cell>
          <cell r="D3748" t="str">
            <v>Magsico NHS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</row>
        <row r="3749">
          <cell r="C3749">
            <v>303050</v>
          </cell>
          <cell r="D3749" t="str">
            <v>Malolos NHS</v>
          </cell>
          <cell r="E3749">
            <v>0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</row>
        <row r="3750">
          <cell r="C3750">
            <v>303051</v>
          </cell>
          <cell r="D3750" t="str">
            <v>Mangyan NHS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</row>
        <row r="3751">
          <cell r="C3751">
            <v>303052</v>
          </cell>
          <cell r="D3751" t="str">
            <v>Mantalongon NHS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</row>
        <row r="3752">
          <cell r="C3752">
            <v>303053</v>
          </cell>
          <cell r="D3752" t="str">
            <v>Maya National High School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</row>
        <row r="3753">
          <cell r="C3753">
            <v>303054</v>
          </cell>
          <cell r="D3753" t="str">
            <v>Medellin National High School</v>
          </cell>
          <cell r="E3753">
            <v>0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</row>
        <row r="3754">
          <cell r="C3754">
            <v>303055</v>
          </cell>
          <cell r="D3754" t="str">
            <v>Minglanilla Science HS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</row>
        <row r="3755">
          <cell r="C3755">
            <v>303057</v>
          </cell>
          <cell r="D3755" t="str">
            <v>MontaÃ±eza NHS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</row>
        <row r="3756">
          <cell r="C3756">
            <v>303058</v>
          </cell>
          <cell r="D3756" t="str">
            <v>Sorsogon NHS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</row>
        <row r="3757">
          <cell r="C3757">
            <v>303059</v>
          </cell>
          <cell r="D3757" t="str">
            <v>Montealegre NHS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</row>
        <row r="3758">
          <cell r="C3758">
            <v>303060</v>
          </cell>
          <cell r="D3758" t="str">
            <v>Putat NHS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</row>
        <row r="3759">
          <cell r="C3759">
            <v>303061</v>
          </cell>
          <cell r="D3759" t="str">
            <v>Tuburan National High School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</row>
        <row r="3760">
          <cell r="C3760">
            <v>303062</v>
          </cell>
          <cell r="D3760" t="str">
            <v>Mulao NHS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</row>
        <row r="3761">
          <cell r="C3761">
            <v>303063</v>
          </cell>
          <cell r="D3761" t="str">
            <v>Compostela National High School(Day Class)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</row>
        <row r="3762">
          <cell r="C3762">
            <v>303067</v>
          </cell>
          <cell r="D3762" t="str">
            <v>Teodoro dela Vega Memorial National High School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</row>
        <row r="3763">
          <cell r="C3763">
            <v>303068</v>
          </cell>
          <cell r="D3763" t="str">
            <v>Patupat NHS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</row>
        <row r="3764">
          <cell r="C3764">
            <v>303069</v>
          </cell>
          <cell r="D3764" t="str">
            <v>Bartolome &amp; Manuela PaÃ±ares MNHS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</row>
        <row r="3765">
          <cell r="C3765">
            <v>303070</v>
          </cell>
          <cell r="D3765" t="str">
            <v>Guibuangan NHS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</row>
        <row r="3766">
          <cell r="C3766">
            <v>303071</v>
          </cell>
          <cell r="D3766" t="str">
            <v>Cagay NHS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</row>
        <row r="3767">
          <cell r="C3767">
            <v>303073</v>
          </cell>
          <cell r="D3767" t="str">
            <v>Pilar NHS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</row>
        <row r="3768">
          <cell r="C3768">
            <v>303074</v>
          </cell>
          <cell r="D3768" t="str">
            <v>Don Filomeno M. Torres MNHS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0</v>
          </cell>
          <cell r="J3768">
            <v>4</v>
          </cell>
          <cell r="K3768">
            <v>0</v>
          </cell>
          <cell r="L3768">
            <v>4</v>
          </cell>
        </row>
        <row r="3769">
          <cell r="C3769">
            <v>303075</v>
          </cell>
          <cell r="D3769" t="str">
            <v>Pinamungajan NHS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</row>
        <row r="3770">
          <cell r="C3770">
            <v>303076</v>
          </cell>
          <cell r="D3770" t="str">
            <v>Anopog NHS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</row>
        <row r="3771">
          <cell r="C3771">
            <v>303077</v>
          </cell>
          <cell r="D3771" t="str">
            <v>Anislag NHS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</row>
        <row r="3772">
          <cell r="C3772">
            <v>303078</v>
          </cell>
          <cell r="D3772" t="str">
            <v>Lut-od NHS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  <cell r="I3772">
            <v>4</v>
          </cell>
          <cell r="J3772">
            <v>1</v>
          </cell>
          <cell r="K3772">
            <v>0</v>
          </cell>
          <cell r="L3772">
            <v>0</v>
          </cell>
        </row>
        <row r="3773">
          <cell r="C3773">
            <v>303079</v>
          </cell>
          <cell r="D3773" t="str">
            <v>PITALO NHS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</row>
        <row r="3774">
          <cell r="C3774">
            <v>303080</v>
          </cell>
          <cell r="D3774" t="str">
            <v>Puertobello NHS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</row>
        <row r="3775">
          <cell r="C3775">
            <v>303081</v>
          </cell>
          <cell r="D3775" t="str">
            <v>Puertobello NHS - Pob. Ext.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</row>
        <row r="3776">
          <cell r="C3776">
            <v>303083</v>
          </cell>
          <cell r="D3776" t="str">
            <v>Rosario NHS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</row>
        <row r="3777">
          <cell r="C3777">
            <v>303084</v>
          </cell>
          <cell r="D3777" t="str">
            <v>Salamanca NHS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</row>
        <row r="3778">
          <cell r="C3778">
            <v>303085</v>
          </cell>
          <cell r="D3778" t="str">
            <v>San Jose National High School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</row>
        <row r="3779">
          <cell r="C3779">
            <v>303086</v>
          </cell>
          <cell r="D3779" t="str">
            <v>San Miguel NHS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</row>
        <row r="3780">
          <cell r="C3780">
            <v>303087</v>
          </cell>
          <cell r="D3780" t="str">
            <v>San Remegio NHS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</row>
        <row r="3781">
          <cell r="C3781">
            <v>303089</v>
          </cell>
          <cell r="D3781" t="str">
            <v>San Sebastian NHS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</row>
        <row r="3782">
          <cell r="C3782">
            <v>303090</v>
          </cell>
          <cell r="D3782" t="str">
            <v>Samboan National High School</v>
          </cell>
          <cell r="E3782">
            <v>0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</row>
        <row r="3783">
          <cell r="C3783">
            <v>303091</v>
          </cell>
          <cell r="D3783" t="str">
            <v>Arcelo MNHS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</row>
        <row r="3784">
          <cell r="C3784">
            <v>303092</v>
          </cell>
          <cell r="D3784" t="str">
            <v>Liloan NHS</v>
          </cell>
          <cell r="E3784">
            <v>0</v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</row>
        <row r="3785">
          <cell r="C3785">
            <v>303093</v>
          </cell>
          <cell r="D3785" t="str">
            <v>Sangat NHS</v>
          </cell>
          <cell r="E3785">
            <v>0</v>
          </cell>
          <cell r="F3785">
            <v>0</v>
          </cell>
          <cell r="G3785">
            <v>0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</row>
        <row r="3786">
          <cell r="C3786">
            <v>303094</v>
          </cell>
          <cell r="D3786" t="str">
            <v>Santa Fe National High School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</row>
        <row r="3787">
          <cell r="C3787">
            <v>303095</v>
          </cell>
          <cell r="D3787" t="str">
            <v>Santa Filomena NHS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</row>
        <row r="3788">
          <cell r="C3788">
            <v>303096</v>
          </cell>
          <cell r="D3788" t="str">
            <v>Madridejos NHS (Alegria)</v>
          </cell>
          <cell r="E3788">
            <v>0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</row>
        <row r="3789">
          <cell r="C3789">
            <v>303097</v>
          </cell>
          <cell r="D3789" t="str">
            <v>Santa Lucia NHS</v>
          </cell>
          <cell r="E3789">
            <v>0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</row>
        <row r="3790">
          <cell r="C3790">
            <v>303098</v>
          </cell>
          <cell r="D3790" t="str">
            <v>Santander NHS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</row>
        <row r="3791">
          <cell r="C3791">
            <v>303099</v>
          </cell>
          <cell r="D3791" t="str">
            <v>Oslob NHS</v>
          </cell>
          <cell r="E3791">
            <v>0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</row>
        <row r="3792">
          <cell r="C3792">
            <v>303100</v>
          </cell>
          <cell r="D3792" t="str">
            <v>Santiago National High School</v>
          </cell>
          <cell r="E3792">
            <v>0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</row>
        <row r="3793">
          <cell r="C3793">
            <v>303101</v>
          </cell>
          <cell r="D3793" t="str">
            <v>Sibonga National High School</v>
          </cell>
          <cell r="E3793">
            <v>0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</row>
        <row r="3794">
          <cell r="C3794">
            <v>303102</v>
          </cell>
          <cell r="D3794" t="str">
            <v>Simala National High School</v>
          </cell>
          <cell r="E3794">
            <v>0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</row>
        <row r="3795">
          <cell r="C3795">
            <v>303103</v>
          </cell>
          <cell r="D3795" t="str">
            <v>Juan Pamplona NHS</v>
          </cell>
          <cell r="E3795">
            <v>0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</row>
        <row r="3796">
          <cell r="C3796">
            <v>303104</v>
          </cell>
          <cell r="D3796" t="str">
            <v>Tabunan NHS</v>
          </cell>
          <cell r="E3796">
            <v>0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</row>
        <row r="3797">
          <cell r="C3797">
            <v>303105</v>
          </cell>
          <cell r="D3797" t="str">
            <v>Bongdo NHS</v>
          </cell>
          <cell r="E3797">
            <v>0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</row>
        <row r="3798">
          <cell r="C3798">
            <v>303106</v>
          </cell>
          <cell r="D3798" t="str">
            <v>Borbon NHS</v>
          </cell>
          <cell r="E3798">
            <v>0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</row>
        <row r="3799">
          <cell r="C3799">
            <v>303107</v>
          </cell>
          <cell r="D3799" t="str">
            <v>Campusong NHS</v>
          </cell>
          <cell r="E3799">
            <v>0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</row>
        <row r="3800">
          <cell r="C3800">
            <v>303108</v>
          </cell>
          <cell r="D3800" t="str">
            <v>DoÃ±a Milagros MNHS</v>
          </cell>
          <cell r="E3800">
            <v>0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</row>
        <row r="3801">
          <cell r="C3801">
            <v>303109</v>
          </cell>
          <cell r="D3801" t="str">
            <v>Liki NHS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</row>
        <row r="3802">
          <cell r="C3802">
            <v>303110</v>
          </cell>
          <cell r="D3802" t="str">
            <v>Mohon NHS</v>
          </cell>
          <cell r="E3802">
            <v>0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</row>
        <row r="3803">
          <cell r="C3803">
            <v>303112</v>
          </cell>
          <cell r="D3803" t="str">
            <v>Talaga NHS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</row>
        <row r="3804">
          <cell r="C3804">
            <v>303114</v>
          </cell>
          <cell r="D3804" t="str">
            <v>Tayud National High School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</row>
        <row r="3805">
          <cell r="C3805">
            <v>303116</v>
          </cell>
          <cell r="D3805" t="str">
            <v>Tubod National High School</v>
          </cell>
          <cell r="E3805">
            <v>0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</row>
        <row r="3806">
          <cell r="C3806">
            <v>303117</v>
          </cell>
          <cell r="D3806" t="str">
            <v>Tubod NHS (San Fernando)</v>
          </cell>
          <cell r="E3806">
            <v>0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</row>
        <row r="3807">
          <cell r="C3807">
            <v>303119</v>
          </cell>
          <cell r="D3807" t="str">
            <v>Tungkop National High School</v>
          </cell>
          <cell r="E3807">
            <v>0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</row>
        <row r="3808">
          <cell r="C3808">
            <v>303122</v>
          </cell>
          <cell r="D3808" t="str">
            <v>Lorenzo C. Tanza Memorial National High School</v>
          </cell>
          <cell r="E3808">
            <v>0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</row>
        <row r="3809">
          <cell r="C3809">
            <v>303123</v>
          </cell>
          <cell r="D3809" t="str">
            <v>Usmad NHS</v>
          </cell>
          <cell r="E3809">
            <v>0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</row>
        <row r="3810">
          <cell r="C3810">
            <v>303124</v>
          </cell>
          <cell r="D3810" t="str">
            <v>Calagasan National High School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1</v>
          </cell>
          <cell r="J3810">
            <v>3</v>
          </cell>
          <cell r="K3810">
            <v>0</v>
          </cell>
          <cell r="L3810">
            <v>0</v>
          </cell>
        </row>
        <row r="3811">
          <cell r="C3811">
            <v>303125</v>
          </cell>
          <cell r="D3811" t="str">
            <v>Cansuje National High School - Usmad Ext.</v>
          </cell>
          <cell r="E3811">
            <v>0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</row>
        <row r="3812">
          <cell r="C3812">
            <v>305725</v>
          </cell>
          <cell r="D3812" t="str">
            <v>Biasong National High School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</row>
        <row r="3813">
          <cell r="C3813">
            <v>312401</v>
          </cell>
          <cell r="D3813" t="str">
            <v>BALUD NATIONAL HIGH SCHOOL</v>
          </cell>
          <cell r="E3813">
            <v>0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</row>
        <row r="3814">
          <cell r="C3814">
            <v>312403</v>
          </cell>
          <cell r="D3814" t="str">
            <v>Hipolito Boquecosa Memorial NHS</v>
          </cell>
          <cell r="E3814">
            <v>0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</row>
        <row r="3815">
          <cell r="C3815">
            <v>312404</v>
          </cell>
          <cell r="D3815" t="str">
            <v>Jose Chona Jo Memorial  National High School</v>
          </cell>
          <cell r="E3815">
            <v>0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</row>
        <row r="3816">
          <cell r="C3816">
            <v>312406</v>
          </cell>
          <cell r="D3816" t="str">
            <v>Compostela Science &amp; Technology High School</v>
          </cell>
          <cell r="E3816">
            <v>0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</row>
        <row r="3817">
          <cell r="C3817">
            <v>312407</v>
          </cell>
          <cell r="D3817" t="str">
            <v>Arcelo Memorial National Night High School</v>
          </cell>
          <cell r="E3817">
            <v>0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</row>
        <row r="3818">
          <cell r="C3818">
            <v>312408</v>
          </cell>
          <cell r="D3818" t="str">
            <v>Daantabogon NHS</v>
          </cell>
          <cell r="E3818">
            <v>0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</row>
        <row r="3819">
          <cell r="C3819">
            <v>312409</v>
          </cell>
          <cell r="D3819" t="str">
            <v>Patao NHS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</row>
        <row r="3820">
          <cell r="C3820">
            <v>312410</v>
          </cell>
          <cell r="D3820" t="str">
            <v>Carmen National High School - Night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2</v>
          </cell>
          <cell r="K3820">
            <v>0</v>
          </cell>
          <cell r="L3820">
            <v>0</v>
          </cell>
        </row>
        <row r="3821">
          <cell r="C3821">
            <v>312411</v>
          </cell>
          <cell r="D3821" t="str">
            <v>Caleriohan National High School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</row>
        <row r="3822">
          <cell r="C3822">
            <v>312412</v>
          </cell>
          <cell r="D3822" t="str">
            <v>Pinamungajan NHS - Night</v>
          </cell>
          <cell r="E3822">
            <v>0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</row>
        <row r="3823">
          <cell r="C3823">
            <v>312413</v>
          </cell>
          <cell r="D3823" t="str">
            <v>Pungtod NHS</v>
          </cell>
          <cell r="E3823">
            <v>0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</row>
        <row r="3824">
          <cell r="C3824">
            <v>312414</v>
          </cell>
          <cell r="D3824" t="str">
            <v>Sta. Rita NHS</v>
          </cell>
          <cell r="E3824">
            <v>0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</row>
        <row r="3825">
          <cell r="C3825">
            <v>312415</v>
          </cell>
          <cell r="D3825" t="str">
            <v>Ginatilan NHS</v>
          </cell>
          <cell r="E3825">
            <v>0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</row>
        <row r="3826">
          <cell r="C3826">
            <v>312416</v>
          </cell>
          <cell r="D3826" t="str">
            <v>Caurasan NHS</v>
          </cell>
          <cell r="E3826">
            <v>0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</row>
        <row r="3827">
          <cell r="C3827">
            <v>312418</v>
          </cell>
          <cell r="D3827" t="str">
            <v>Manguiao NHS</v>
          </cell>
          <cell r="E3827">
            <v>0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</row>
        <row r="3828">
          <cell r="C3828">
            <v>312419</v>
          </cell>
          <cell r="D3828" t="str">
            <v>VITO NATIONAL HIGH SCHOOL</v>
          </cell>
          <cell r="E3828">
            <v>0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</row>
        <row r="3829">
          <cell r="C3829">
            <v>312420</v>
          </cell>
          <cell r="D3829" t="str">
            <v>Hilantagaan NHS Ext.</v>
          </cell>
          <cell r="E3829">
            <v>0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</row>
        <row r="3830">
          <cell r="C3830">
            <v>312421</v>
          </cell>
          <cell r="D3830" t="str">
            <v>Bantayan Science High School</v>
          </cell>
          <cell r="E3830">
            <v>0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</row>
        <row r="3831">
          <cell r="C3831">
            <v>312422</v>
          </cell>
          <cell r="D3831" t="str">
            <v>Mabunao NHS-Juan Pamplona Ext.</v>
          </cell>
          <cell r="E3831">
            <v>0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3</v>
          </cell>
          <cell r="K3831">
            <v>0</v>
          </cell>
          <cell r="L3831">
            <v>0</v>
          </cell>
        </row>
        <row r="3832">
          <cell r="C3832">
            <v>312423</v>
          </cell>
          <cell r="D3832" t="str">
            <v>Mar and Dorie Darunday NHS</v>
          </cell>
          <cell r="E3832">
            <v>0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  <cell r="J3832">
            <v>4</v>
          </cell>
          <cell r="K3832">
            <v>0</v>
          </cell>
          <cell r="L3832">
            <v>4</v>
          </cell>
        </row>
        <row r="3833">
          <cell r="C3833">
            <v>312424</v>
          </cell>
          <cell r="D3833" t="str">
            <v>San Fernando NHS</v>
          </cell>
          <cell r="E3833">
            <v>0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</row>
        <row r="3834">
          <cell r="C3834">
            <v>312425</v>
          </cell>
          <cell r="D3834" t="str">
            <v>Pedro B. Uy Calderon Memorial National High School</v>
          </cell>
          <cell r="E3834">
            <v>0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</row>
        <row r="3835">
          <cell r="C3835">
            <v>312426</v>
          </cell>
          <cell r="D3835" t="str">
            <v>Cañang-Marcelo Luna NHS</v>
          </cell>
          <cell r="E3835">
            <v>0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</row>
        <row r="3836">
          <cell r="C3836">
            <v>312427</v>
          </cell>
          <cell r="D3836" t="str">
            <v>Balungag NHS</v>
          </cell>
          <cell r="E3836">
            <v>0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</row>
        <row r="3837">
          <cell r="C3837">
            <v>312428</v>
          </cell>
          <cell r="D3837" t="str">
            <v>Lataban NHS</v>
          </cell>
          <cell r="E3837">
            <v>0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</row>
        <row r="3838">
          <cell r="C3838">
            <v>312429</v>
          </cell>
          <cell r="D3838" t="str">
            <v>Milan-Cantuod NHS</v>
          </cell>
          <cell r="E3838">
            <v>0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</row>
        <row r="3839">
          <cell r="C3839">
            <v>312430</v>
          </cell>
          <cell r="D3839" t="str">
            <v>Salag NHS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</row>
        <row r="3840">
          <cell r="C3840">
            <v>312450</v>
          </cell>
          <cell r="D3840" t="str">
            <v>Tungkil NHS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1</v>
          </cell>
          <cell r="J3840">
            <v>2</v>
          </cell>
          <cell r="K3840">
            <v>1</v>
          </cell>
          <cell r="L3840">
            <v>2</v>
          </cell>
        </row>
        <row r="3841">
          <cell r="C3841">
            <v>312452</v>
          </cell>
          <cell r="D3841" t="str">
            <v>Kansi NHS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</row>
        <row r="3842">
          <cell r="C3842">
            <v>312453</v>
          </cell>
          <cell r="D3842" t="str">
            <v>Kalangahan NHS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1</v>
          </cell>
          <cell r="K3842">
            <v>0</v>
          </cell>
          <cell r="L3842">
            <v>1</v>
          </cell>
        </row>
        <row r="3843">
          <cell r="C3843">
            <v>312454</v>
          </cell>
          <cell r="D3843" t="str">
            <v>Tan-awan NHS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</row>
        <row r="3844">
          <cell r="C3844">
            <v>312455</v>
          </cell>
          <cell r="D3844" t="str">
            <v>Willy B. Wenceslao MNHS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</row>
        <row r="3845">
          <cell r="C3845">
            <v>312457</v>
          </cell>
          <cell r="D3845" t="str">
            <v>Manatad National High School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</row>
        <row r="3846">
          <cell r="C3846">
            <v>312460</v>
          </cell>
          <cell r="D3846" t="str">
            <v>Montpeller NHS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</row>
        <row r="3847">
          <cell r="C3847">
            <v>312461</v>
          </cell>
          <cell r="D3847" t="str">
            <v>Inghoy NHS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</row>
        <row r="3848">
          <cell r="C3848">
            <v>312462</v>
          </cell>
          <cell r="D3848" t="str">
            <v>Mahanlud NHS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</row>
        <row r="3849">
          <cell r="C3849">
            <v>312470</v>
          </cell>
          <cell r="D3849" t="str">
            <v>Lamak National High School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</row>
        <row r="3850">
          <cell r="C3850">
            <v>312480</v>
          </cell>
          <cell r="D3850" t="str">
            <v>Compostela N H S - Evening Class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</row>
        <row r="3851">
          <cell r="C3851">
            <v>312481</v>
          </cell>
          <cell r="D3851" t="str">
            <v>Liloan NHS Ext. Don Bosco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</row>
        <row r="3852">
          <cell r="C3852">
            <v>500042</v>
          </cell>
          <cell r="D3852" t="str">
            <v>Catmon Integrated School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</row>
        <row r="3853">
          <cell r="C3853">
            <v>500219</v>
          </cell>
          <cell r="D3853" t="str">
            <v>Argawanon Integrated School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</row>
        <row r="3854">
          <cell r="C3854">
            <v>500220</v>
          </cell>
          <cell r="D3854" t="str">
            <v>Anapog Integrated School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</row>
        <row r="3855">
          <cell r="C3855">
            <v>500221</v>
          </cell>
          <cell r="D3855" t="str">
            <v>Busogon Integrated School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</row>
        <row r="3856">
          <cell r="C3856">
            <v>500421</v>
          </cell>
          <cell r="D3856" t="str">
            <v>Sillon Integrated School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</row>
        <row r="3857">
          <cell r="C3857">
            <v>500422</v>
          </cell>
          <cell r="D3857" t="str">
            <v>Sulangan IS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</row>
        <row r="3858">
          <cell r="C3858">
            <v>500423</v>
          </cell>
          <cell r="D3858" t="str">
            <v>Calero IS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</row>
        <row r="3859">
          <cell r="C3859">
            <v>500650</v>
          </cell>
          <cell r="D3859" t="str">
            <v>Pasol-Pugalo Integrated School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</row>
        <row r="3860">
          <cell r="C3860">
            <v>500652</v>
          </cell>
          <cell r="D3860" t="str">
            <v>Hilotongan Integrated School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</row>
        <row r="3861">
          <cell r="C3861">
            <v>500654</v>
          </cell>
          <cell r="D3861" t="str">
            <v>Oboob Integrated School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</row>
        <row r="3862">
          <cell r="C3862">
            <v>500655</v>
          </cell>
          <cell r="D3862" t="str">
            <v>Bagalnga Integrated School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</row>
        <row r="3863">
          <cell r="C3863">
            <v>500657</v>
          </cell>
          <cell r="D3863" t="str">
            <v>Palanas Integrated School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</row>
        <row r="3864">
          <cell r="C3864">
            <v>500660</v>
          </cell>
          <cell r="D3864" t="str">
            <v>Gibitngil Integrated School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</row>
        <row r="3865">
          <cell r="C3865">
            <v>500661</v>
          </cell>
          <cell r="D3865" t="str">
            <v>Cansaloay Integrated School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</row>
        <row r="3866">
          <cell r="C3866">
            <v>500663</v>
          </cell>
          <cell r="D3866" t="str">
            <v>Lantawan IS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</row>
        <row r="3867">
          <cell r="C3867">
            <v>500665</v>
          </cell>
          <cell r="D3867" t="str">
            <v>Tambongon IS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</row>
        <row r="3868">
          <cell r="C3868">
            <v>500666</v>
          </cell>
          <cell r="D3868" t="str">
            <v>CALAMBUA INTEGRATED SCHOOL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</row>
        <row r="3869">
          <cell r="C3869">
            <v>500667</v>
          </cell>
          <cell r="D3869" t="str">
            <v>Marikaban Integrated School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</row>
        <row r="3870">
          <cell r="C3870">
            <v>500668</v>
          </cell>
          <cell r="D3870" t="str">
            <v>Ilihan Integrated School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3</v>
          </cell>
          <cell r="J3870">
            <v>14</v>
          </cell>
          <cell r="K3870">
            <v>3</v>
          </cell>
          <cell r="L3870">
            <v>14</v>
          </cell>
        </row>
        <row r="3871">
          <cell r="C3871">
            <v>500671</v>
          </cell>
          <cell r="D3871" t="str">
            <v>Liki Integrated School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</row>
        <row r="3872">
          <cell r="C3872">
            <v>500920</v>
          </cell>
          <cell r="D3872" t="str">
            <v>Kinawahan Integrated School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</row>
        <row r="3873">
          <cell r="C3873">
            <v>303128</v>
          </cell>
          <cell r="D3873" t="str">
            <v>Abellana NHS (Day &amp; NIght)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</row>
        <row r="3874">
          <cell r="C3874">
            <v>303131</v>
          </cell>
          <cell r="D3874" t="str">
            <v>BINALIW NATIONAL HIGH SCHOOL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</row>
        <row r="3875">
          <cell r="C3875">
            <v>303132</v>
          </cell>
          <cell r="D3875" t="str">
            <v>Lusaran NHS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</row>
        <row r="3876">
          <cell r="C3876">
            <v>303133</v>
          </cell>
          <cell r="D3876" t="str">
            <v>Don Vicente Rama Mem. NHS (Basak NHS)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</row>
        <row r="3877">
          <cell r="C3877">
            <v>303134</v>
          </cell>
          <cell r="D3877" t="str">
            <v>Bonbon NHS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</row>
        <row r="3878">
          <cell r="C3878">
            <v>303136</v>
          </cell>
          <cell r="D3878" t="str">
            <v>Busay National High School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</row>
        <row r="3879">
          <cell r="C3879">
            <v>303137</v>
          </cell>
          <cell r="D3879" t="str">
            <v>Paril NHS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</row>
        <row r="3880">
          <cell r="C3880">
            <v>303138</v>
          </cell>
          <cell r="D3880" t="str">
            <v>Camp Lapu-Lapu NHS (Day &amp; Night)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</row>
        <row r="3881">
          <cell r="C3881">
            <v>303139</v>
          </cell>
          <cell r="D3881" t="str">
            <v>Lahug NHS (Night)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</row>
        <row r="3882">
          <cell r="C3882">
            <v>303140</v>
          </cell>
          <cell r="D3882" t="str">
            <v>Talamban NHS (Day &amp; Night)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</row>
        <row r="3883">
          <cell r="C3883">
            <v>303141</v>
          </cell>
          <cell r="D3883" t="str">
            <v>Cebu City National Science HS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</row>
        <row r="3884">
          <cell r="C3884">
            <v>303142</v>
          </cell>
          <cell r="D3884" t="str">
            <v>Don Carlos Gothong Memorial NHS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</row>
        <row r="3885">
          <cell r="C3885">
            <v>303143</v>
          </cell>
          <cell r="D3885" t="str">
            <v>Bulacao Community HS (Day &amp; Night)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</row>
        <row r="3886">
          <cell r="C3886">
            <v>303144</v>
          </cell>
          <cell r="D3886" t="str">
            <v>First High School for the Hearing Impaired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</row>
        <row r="3887">
          <cell r="C3887">
            <v>303145</v>
          </cell>
          <cell r="D3887" t="str">
            <v>Inayawan National High School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</row>
        <row r="3888">
          <cell r="C3888">
            <v>303146</v>
          </cell>
          <cell r="D3888" t="str">
            <v>Mambaling NHS (Night)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</row>
        <row r="3889">
          <cell r="C3889">
            <v>303147</v>
          </cell>
          <cell r="D3889" t="str">
            <v>Pasil NHS (Night)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</row>
        <row r="3890">
          <cell r="C3890">
            <v>303148</v>
          </cell>
          <cell r="D3890" t="str">
            <v>Punta Princesa NHS (Night)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</row>
        <row r="3891">
          <cell r="C3891">
            <v>303150</v>
          </cell>
          <cell r="D3891" t="str">
            <v>Don Sergio OsmeÂ¤a, Sr. Memorial HS (Day &amp; Night)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</row>
        <row r="3892">
          <cell r="C3892">
            <v>303151</v>
          </cell>
          <cell r="D3892" t="str">
            <v>MABOLO NATIONAL HIGH SCHOOL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</row>
        <row r="3893">
          <cell r="C3893">
            <v>303152</v>
          </cell>
          <cell r="D3893" t="str">
            <v>Barrio Luz NHS (Day &amp; Night)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</row>
        <row r="3894">
          <cell r="C3894">
            <v>303153</v>
          </cell>
          <cell r="D3894" t="str">
            <v>City Central NHS (Day &amp; Night)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2</v>
          </cell>
          <cell r="J3894">
            <v>0</v>
          </cell>
          <cell r="K3894">
            <v>0</v>
          </cell>
          <cell r="L3894">
            <v>0</v>
          </cell>
        </row>
        <row r="3895">
          <cell r="C3895">
            <v>303154</v>
          </cell>
          <cell r="D3895" t="str">
            <v>Regino Mercado NHS (Night)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</row>
        <row r="3896">
          <cell r="C3896">
            <v>303155</v>
          </cell>
          <cell r="D3896" t="str">
            <v>Tejero NHS (Day &amp; Night)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</row>
        <row r="3897">
          <cell r="C3897">
            <v>303156</v>
          </cell>
          <cell r="D3897" t="str">
            <v>Zapatera NHS (Day &amp; Night)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</row>
        <row r="3898">
          <cell r="C3898">
            <v>303157</v>
          </cell>
          <cell r="D3898" t="str">
            <v>Guba NHS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</row>
        <row r="3899">
          <cell r="C3899">
            <v>303159</v>
          </cell>
          <cell r="D3899" t="str">
            <v>Pardo NHS (Day &amp; Night)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</row>
        <row r="3900">
          <cell r="C3900">
            <v>303160</v>
          </cell>
          <cell r="D3900" t="str">
            <v>Pit-os National High School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</row>
        <row r="3901">
          <cell r="C3901">
            <v>303161</v>
          </cell>
          <cell r="D3901" t="str">
            <v>Ramon Duterte Memorial NHS (Day &amp; Night)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10</v>
          </cell>
          <cell r="J3901">
            <v>15</v>
          </cell>
          <cell r="K3901">
            <v>10</v>
          </cell>
          <cell r="L3901">
            <v>15</v>
          </cell>
        </row>
        <row r="3902">
          <cell r="C3902">
            <v>303162</v>
          </cell>
          <cell r="D3902" t="str">
            <v>OPRRA NHS (Day &amp; Night)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</row>
        <row r="3903">
          <cell r="C3903">
            <v>303163</v>
          </cell>
          <cell r="D3903" t="str">
            <v>Sinsin NHS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</row>
        <row r="3904">
          <cell r="C3904">
            <v>303165</v>
          </cell>
          <cell r="D3904" t="str">
            <v>Vicente Cosido NHS (Cambinocot NHS)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</row>
        <row r="3905">
          <cell r="C3905">
            <v>312503</v>
          </cell>
          <cell r="D3905" t="str">
            <v>Banilad Night HS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</row>
        <row r="3906">
          <cell r="C3906">
            <v>312506</v>
          </cell>
          <cell r="D3906" t="str">
            <v>Tisa National High School ( Day &amp; Night)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</row>
        <row r="3907">
          <cell r="C3907">
            <v>312509</v>
          </cell>
          <cell r="D3907" t="str">
            <v>Bitlang National High School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</row>
        <row r="3908">
          <cell r="C3908">
            <v>312513</v>
          </cell>
          <cell r="D3908" t="str">
            <v>ALASKA HS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</row>
        <row r="3909">
          <cell r="C3909">
            <v>312514</v>
          </cell>
          <cell r="D3909" t="str">
            <v>BASAK COMMUNITY HS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</row>
        <row r="3910">
          <cell r="C3910">
            <v>500043</v>
          </cell>
          <cell r="D3910" t="str">
            <v>Agsungot ES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</row>
        <row r="3911">
          <cell r="C3911">
            <v>500044</v>
          </cell>
          <cell r="D3911" t="str">
            <v>Mabini Integrated School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</row>
        <row r="3912">
          <cell r="C3912">
            <v>500045</v>
          </cell>
          <cell r="D3912" t="str">
            <v>Sudlon NHS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</row>
        <row r="3913">
          <cell r="C3913">
            <v>500222</v>
          </cell>
          <cell r="D3913" t="str">
            <v>Sirao Integrated School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</row>
        <row r="3914">
          <cell r="C3914">
            <v>500223</v>
          </cell>
          <cell r="D3914" t="str">
            <v>Babag Elementary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</row>
        <row r="3915">
          <cell r="C3915">
            <v>500224</v>
          </cell>
          <cell r="D3915" t="str">
            <v>Dr. Emilio Osmena HS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</row>
        <row r="3916">
          <cell r="C3916">
            <v>500225</v>
          </cell>
          <cell r="D3916" t="str">
            <v>Tabunan Integrated School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</row>
        <row r="3917">
          <cell r="C3917">
            <v>500226</v>
          </cell>
          <cell r="D3917" t="str">
            <v>Pamutan Integrated School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</row>
        <row r="3918">
          <cell r="C3918">
            <v>500227</v>
          </cell>
          <cell r="D3918" t="str">
            <v>Taptap Integrated School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</row>
        <row r="3919">
          <cell r="C3919">
            <v>500229</v>
          </cell>
          <cell r="D3919" t="str">
            <v>Cantipla IS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</row>
        <row r="3920">
          <cell r="C3920">
            <v>500231</v>
          </cell>
          <cell r="D3920" t="str">
            <v>SIBUGAY HS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</row>
        <row r="3921">
          <cell r="C3921">
            <v>500669</v>
          </cell>
          <cell r="D3921" t="str">
            <v>Adlaon ES</v>
          </cell>
          <cell r="E3921">
            <v>0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</row>
        <row r="3922">
          <cell r="C3922">
            <v>500670</v>
          </cell>
          <cell r="D3922" t="str">
            <v>Toong ES</v>
          </cell>
          <cell r="E3922">
            <v>0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</row>
        <row r="3923">
          <cell r="C3923">
            <v>303167</v>
          </cell>
          <cell r="D3923" t="str">
            <v>Junob National High School</v>
          </cell>
          <cell r="E3923">
            <v>0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</row>
        <row r="3924">
          <cell r="C3924">
            <v>303168</v>
          </cell>
          <cell r="D3924" t="str">
            <v>Dumaguete City National High School</v>
          </cell>
          <cell r="E3924">
            <v>0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</row>
        <row r="3925">
          <cell r="C3925">
            <v>303171</v>
          </cell>
          <cell r="D3925" t="str">
            <v>Taclobo NHS</v>
          </cell>
          <cell r="E3925">
            <v>0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</row>
        <row r="3926">
          <cell r="C3926">
            <v>312601</v>
          </cell>
          <cell r="D3926" t="str">
            <v>PIAPI HIGH SCHOOL</v>
          </cell>
          <cell r="E3926">
            <v>0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</row>
        <row r="3927">
          <cell r="C3927">
            <v>303172</v>
          </cell>
          <cell r="D3927" t="str">
            <v>Babag National High School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</row>
        <row r="3928">
          <cell r="C3928">
            <v>303174</v>
          </cell>
          <cell r="D3928" t="str">
            <v>Bankal National High School</v>
          </cell>
          <cell r="E3928">
            <v>0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</row>
        <row r="3929">
          <cell r="C3929">
            <v>303177</v>
          </cell>
          <cell r="D3929" t="str">
            <v>Lo-ok National High School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</row>
        <row r="3930">
          <cell r="C3930">
            <v>303178</v>
          </cell>
          <cell r="D3930" t="str">
            <v>Mactan National High School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</row>
        <row r="3931">
          <cell r="C3931">
            <v>303180</v>
          </cell>
          <cell r="D3931" t="str">
            <v>Marigondon National High School</v>
          </cell>
          <cell r="E3931">
            <v>0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</row>
        <row r="3932">
          <cell r="C3932">
            <v>303183</v>
          </cell>
          <cell r="D3932" t="str">
            <v>Marigondon NHS - Science Tech. Educ. Center (STEC) Ext.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0</v>
          </cell>
        </row>
        <row r="3933">
          <cell r="C3933">
            <v>303184</v>
          </cell>
          <cell r="D3933" t="str">
            <v>Pajo National High School</v>
          </cell>
          <cell r="E3933">
            <v>0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0</v>
          </cell>
        </row>
        <row r="3934">
          <cell r="C3934">
            <v>303187</v>
          </cell>
          <cell r="D3934" t="str">
            <v>Pusok NHS</v>
          </cell>
          <cell r="E3934">
            <v>0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</row>
        <row r="3935">
          <cell r="C3935">
            <v>303189</v>
          </cell>
          <cell r="D3935" t="str">
            <v>Sta. Rosa NHS</v>
          </cell>
          <cell r="E3935">
            <v>0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</row>
        <row r="3936">
          <cell r="C3936">
            <v>303193</v>
          </cell>
          <cell r="D3936" t="str">
            <v>Nemesio-Epifania Taneo MHS (Tingo HS (DE, January 15, 1995)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</row>
        <row r="3937">
          <cell r="C3937">
            <v>303194</v>
          </cell>
          <cell r="D3937" t="str">
            <v>Cabancalan NHS</v>
          </cell>
          <cell r="E3937">
            <v>0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</row>
        <row r="3938">
          <cell r="C3938">
            <v>303195</v>
          </cell>
          <cell r="D3938" t="str">
            <v>Canduman NHS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</row>
        <row r="3939">
          <cell r="C3939">
            <v>303197</v>
          </cell>
          <cell r="D3939" t="str">
            <v>Don Gerardo Ll. Ouano MNHS</v>
          </cell>
          <cell r="E3939">
            <v>0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</row>
        <row r="3940">
          <cell r="C3940">
            <v>303198</v>
          </cell>
          <cell r="D3940" t="str">
            <v>Jagobiao NHS</v>
          </cell>
          <cell r="E3940">
            <v>0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</row>
        <row r="3941">
          <cell r="C3941">
            <v>303199</v>
          </cell>
          <cell r="D3941" t="str">
            <v>Mandaue City Comprehensive NHS</v>
          </cell>
          <cell r="E3941">
            <v>0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</row>
        <row r="3942">
          <cell r="C3942">
            <v>303200</v>
          </cell>
          <cell r="D3942" t="str">
            <v>Mandaue City CNHS - Labogon NHS Ext.</v>
          </cell>
          <cell r="E3942">
            <v>0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</row>
        <row r="3943">
          <cell r="C3943">
            <v>303201</v>
          </cell>
          <cell r="D3943" t="str">
            <v>Mandaue City CNHS - Mandaue City Science HS Ext.</v>
          </cell>
          <cell r="E3943">
            <v>0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</row>
        <row r="3944">
          <cell r="C3944">
            <v>303202</v>
          </cell>
          <cell r="D3944" t="str">
            <v>Subangdaku Tech-Voc HS (Mandaue City CNHS - Subangdaku NHS Ext.)</v>
          </cell>
          <cell r="E3944">
            <v>0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</row>
        <row r="3945">
          <cell r="C3945">
            <v>312806</v>
          </cell>
          <cell r="D3945" t="str">
            <v>Mandaue City School for the Arts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</row>
        <row r="3946">
          <cell r="C3946">
            <v>312809</v>
          </cell>
          <cell r="D3946" t="str">
            <v>Mandaue SPED Center HS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</row>
        <row r="3947">
          <cell r="C3947">
            <v>312810</v>
          </cell>
          <cell r="D3947" t="str">
            <v>Tingub High School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</row>
        <row r="3948">
          <cell r="C3948">
            <v>303205</v>
          </cell>
          <cell r="D3948" t="str">
            <v>Amio Comprehensive High School</v>
          </cell>
          <cell r="E3948">
            <v>0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</row>
        <row r="3949">
          <cell r="C3949">
            <v>303206</v>
          </cell>
          <cell r="D3949" t="str">
            <v>Avocado Community High School</v>
          </cell>
          <cell r="E3949">
            <v>0</v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</row>
        <row r="3950">
          <cell r="C3950">
            <v>303207</v>
          </cell>
          <cell r="D3950" t="str">
            <v>Amlan National High School</v>
          </cell>
          <cell r="E3950">
            <v>0</v>
          </cell>
          <cell r="F3950">
            <v>0</v>
          </cell>
          <cell r="G3950">
            <v>0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</row>
        <row r="3951">
          <cell r="C3951">
            <v>303208</v>
          </cell>
          <cell r="D3951" t="str">
            <v>Jantianon National High School</v>
          </cell>
          <cell r="E3951">
            <v>0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</row>
        <row r="3952">
          <cell r="C3952">
            <v>303209</v>
          </cell>
          <cell r="D3952" t="str">
            <v>Silab Community High School Annex</v>
          </cell>
          <cell r="E3952">
            <v>0</v>
          </cell>
          <cell r="F3952">
            <v>0</v>
          </cell>
          <cell r="G3952">
            <v>0</v>
          </cell>
          <cell r="H3952">
            <v>0</v>
          </cell>
          <cell r="I3952">
            <v>1</v>
          </cell>
          <cell r="J3952">
            <v>4</v>
          </cell>
          <cell r="K3952">
            <v>1</v>
          </cell>
          <cell r="L3952">
            <v>4</v>
          </cell>
        </row>
        <row r="3953">
          <cell r="C3953">
            <v>303210</v>
          </cell>
          <cell r="D3953" t="str">
            <v>Ayungon NHS</v>
          </cell>
          <cell r="E3953">
            <v>0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</row>
        <row r="3954">
          <cell r="C3954">
            <v>303211</v>
          </cell>
          <cell r="D3954" t="str">
            <v>Bagtic National High School</v>
          </cell>
          <cell r="E3954">
            <v>0</v>
          </cell>
          <cell r="F3954">
            <v>0</v>
          </cell>
          <cell r="G3954">
            <v>0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</row>
        <row r="3955">
          <cell r="C3955">
            <v>303222</v>
          </cell>
          <cell r="D3955" t="str">
            <v>Budlasan National High School</v>
          </cell>
          <cell r="E3955">
            <v>0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</row>
        <row r="3956">
          <cell r="C3956">
            <v>303223</v>
          </cell>
          <cell r="D3956" t="str">
            <v>Jose B. Cardenas MHS (Canlaon City NHS)</v>
          </cell>
          <cell r="E3956">
            <v>0</v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</row>
        <row r="3957">
          <cell r="C3957">
            <v>303224</v>
          </cell>
          <cell r="D3957" t="str">
            <v>Apolinar B. Macias Memorial High School</v>
          </cell>
          <cell r="E3957">
            <v>0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</row>
        <row r="3958">
          <cell r="C3958">
            <v>303225</v>
          </cell>
          <cell r="D3958" t="str">
            <v>Dauin National High School</v>
          </cell>
          <cell r="E3958">
            <v>0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</row>
        <row r="3959">
          <cell r="C3959">
            <v>303226</v>
          </cell>
          <cell r="D3959" t="str">
            <v>Antonio B. Alejado MHS (Mag-aso HS)</v>
          </cell>
          <cell r="E3959">
            <v>0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</row>
        <row r="3960">
          <cell r="C3960">
            <v>303228</v>
          </cell>
          <cell r="D3960" t="str">
            <v>Demetrio L. Alviola NHS</v>
          </cell>
          <cell r="E3960">
            <v>0</v>
          </cell>
          <cell r="F3960">
            <v>0</v>
          </cell>
          <cell r="G3960">
            <v>1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</row>
        <row r="3961">
          <cell r="C3961">
            <v>303229</v>
          </cell>
          <cell r="D3961" t="str">
            <v>Demetrio Alviola NHS - Nalundan Extension</v>
          </cell>
          <cell r="E3961">
            <v>0</v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0</v>
          </cell>
        </row>
        <row r="3962">
          <cell r="C3962">
            <v>303234</v>
          </cell>
          <cell r="D3962" t="str">
            <v>Inapoy High School</v>
          </cell>
          <cell r="E3962">
            <v>0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</row>
        <row r="3963">
          <cell r="C3963">
            <v>303235</v>
          </cell>
          <cell r="D3963" t="str">
            <v>Jimalalud National High School</v>
          </cell>
          <cell r="E3963">
            <v>0</v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0</v>
          </cell>
        </row>
        <row r="3964">
          <cell r="C3964">
            <v>303236</v>
          </cell>
          <cell r="D3964" t="str">
            <v>Jose Marie Locsin MHS (Mayabon HS)</v>
          </cell>
          <cell r="E3964">
            <v>0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</row>
        <row r="3965">
          <cell r="C3965">
            <v>303243</v>
          </cell>
          <cell r="D3965" t="str">
            <v>La Libertad Technical-Vocational School</v>
          </cell>
          <cell r="E3965">
            <v>0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</row>
        <row r="3966">
          <cell r="C3966">
            <v>303244</v>
          </cell>
          <cell r="D3966" t="str">
            <v>Mabinay National High School</v>
          </cell>
          <cell r="E3966">
            <v>0</v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</row>
        <row r="3967">
          <cell r="C3967">
            <v>303245</v>
          </cell>
          <cell r="D3967" t="str">
            <v>Barras Annex National High School</v>
          </cell>
          <cell r="E3967">
            <v>0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</row>
        <row r="3968">
          <cell r="C3968">
            <v>303246</v>
          </cell>
          <cell r="D3968" t="str">
            <v>Dahile PCHS</v>
          </cell>
          <cell r="E3968">
            <v>0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</row>
        <row r="3969">
          <cell r="C3969">
            <v>303247</v>
          </cell>
          <cell r="D3969" t="str">
            <v>Benedicto P. Tirambulo Mem. National High School</v>
          </cell>
          <cell r="E3969">
            <v>0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</row>
        <row r="3970">
          <cell r="C3970">
            <v>303248</v>
          </cell>
          <cell r="D3970" t="str">
            <v>Tara Provincial Community High School</v>
          </cell>
          <cell r="E3970">
            <v>0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</row>
        <row r="3971">
          <cell r="C3971">
            <v>303249</v>
          </cell>
          <cell r="D3971" t="str">
            <v>Santiago Delmo MHS (Maluay HS)</v>
          </cell>
          <cell r="E3971">
            <v>0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</row>
        <row r="3972">
          <cell r="C3972">
            <v>303250</v>
          </cell>
          <cell r="D3972" t="str">
            <v>Casiano Z. Napigkit National High School</v>
          </cell>
          <cell r="E3972">
            <v>0</v>
          </cell>
          <cell r="F3972">
            <v>0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</row>
        <row r="3973">
          <cell r="C3973">
            <v>303251</v>
          </cell>
          <cell r="D3973" t="str">
            <v>Manjuyod National High School</v>
          </cell>
          <cell r="E3973">
            <v>0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</row>
        <row r="3974">
          <cell r="C3974">
            <v>303252</v>
          </cell>
          <cell r="D3974" t="str">
            <v>Maria Macahig National High School</v>
          </cell>
          <cell r="E3974">
            <v>0</v>
          </cell>
          <cell r="F3974">
            <v>0</v>
          </cell>
          <cell r="G3974">
            <v>0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</row>
        <row r="3975">
          <cell r="C3975">
            <v>303253</v>
          </cell>
          <cell r="D3975" t="str">
            <v>Maloh PCHS</v>
          </cell>
          <cell r="E3975">
            <v>0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</row>
        <row r="3976">
          <cell r="C3976">
            <v>303255</v>
          </cell>
          <cell r="D3976" t="str">
            <v>Negros Oriental High School</v>
          </cell>
          <cell r="E3976">
            <v>0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</row>
        <row r="3977">
          <cell r="C3977">
            <v>303257</v>
          </cell>
          <cell r="D3977" t="str">
            <v>Owacan Provincial Comm. HS</v>
          </cell>
          <cell r="E3977">
            <v>0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</row>
        <row r="3978">
          <cell r="C3978">
            <v>303258</v>
          </cell>
          <cell r="D3978" t="str">
            <v>Pacuan National High School</v>
          </cell>
          <cell r="E3978">
            <v>0</v>
          </cell>
          <cell r="F3978">
            <v>0</v>
          </cell>
          <cell r="G3978">
            <v>1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</row>
        <row r="3979">
          <cell r="C3979">
            <v>303260</v>
          </cell>
          <cell r="D3979" t="str">
            <v>Pantao NHS</v>
          </cell>
          <cell r="E3979">
            <v>0</v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</row>
        <row r="3980">
          <cell r="C3980">
            <v>303261</v>
          </cell>
          <cell r="D3980" t="str">
            <v>Pinalubngan National High School</v>
          </cell>
          <cell r="E3980">
            <v>0</v>
          </cell>
          <cell r="F3980">
            <v>0</v>
          </cell>
          <cell r="G3980">
            <v>0</v>
          </cell>
          <cell r="H3980">
            <v>0</v>
          </cell>
          <cell r="I3980">
            <v>1</v>
          </cell>
          <cell r="J3980">
            <v>1</v>
          </cell>
          <cell r="K3980">
            <v>2</v>
          </cell>
          <cell r="L3980">
            <v>1</v>
          </cell>
        </row>
        <row r="3981">
          <cell r="C3981">
            <v>303263</v>
          </cell>
          <cell r="D3981" t="str">
            <v>Don Emilio Macias MNHS (San Francisco NHS)</v>
          </cell>
          <cell r="E3981">
            <v>0</v>
          </cell>
          <cell r="F3981">
            <v>0</v>
          </cell>
          <cell r="G3981">
            <v>0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</row>
        <row r="3982">
          <cell r="C3982">
            <v>303264</v>
          </cell>
          <cell r="D3982" t="str">
            <v>Obat High School</v>
          </cell>
          <cell r="E3982">
            <v>0</v>
          </cell>
          <cell r="F3982">
            <v>0</v>
          </cell>
          <cell r="G3982">
            <v>0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0</v>
          </cell>
        </row>
        <row r="3983">
          <cell r="C3983">
            <v>303265</v>
          </cell>
          <cell r="D3983" t="str">
            <v>Sta. Catalina National High School</v>
          </cell>
          <cell r="E3983">
            <v>0</v>
          </cell>
          <cell r="F3983">
            <v>0</v>
          </cell>
          <cell r="G3983">
            <v>0</v>
          </cell>
          <cell r="H3983">
            <v>0</v>
          </cell>
          <cell r="I3983">
            <v>10</v>
          </cell>
          <cell r="J3983">
            <v>10</v>
          </cell>
          <cell r="K3983">
            <v>0</v>
          </cell>
          <cell r="L3983">
            <v>2</v>
          </cell>
        </row>
        <row r="3984">
          <cell r="C3984">
            <v>303266</v>
          </cell>
          <cell r="D3984" t="str">
            <v>San Miguel National High School</v>
          </cell>
          <cell r="E3984">
            <v>0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</row>
        <row r="3985">
          <cell r="C3985">
            <v>303267</v>
          </cell>
          <cell r="D3985" t="str">
            <v>Ong Che Tee - Bacong HS</v>
          </cell>
          <cell r="E3985">
            <v>0</v>
          </cell>
          <cell r="F3985">
            <v>0</v>
          </cell>
          <cell r="G3985">
            <v>0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</row>
        <row r="3986">
          <cell r="C3986">
            <v>303268</v>
          </cell>
          <cell r="D3986" t="str">
            <v>Siaton NHS</v>
          </cell>
          <cell r="E3986">
            <v>0</v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</row>
        <row r="3987">
          <cell r="C3987">
            <v>303269</v>
          </cell>
          <cell r="D3987" t="str">
            <v>Lorenza P. Palarpalar MHS (Bonbonon PCHS)</v>
          </cell>
          <cell r="E3987">
            <v>0</v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</row>
        <row r="3988">
          <cell r="C3988">
            <v>303270</v>
          </cell>
          <cell r="D3988" t="str">
            <v>Sibulan National High School</v>
          </cell>
          <cell r="E3988">
            <v>0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</row>
        <row r="3989">
          <cell r="C3989">
            <v>303271</v>
          </cell>
          <cell r="D3989" t="str">
            <v>Ajong National HS</v>
          </cell>
          <cell r="E3989">
            <v>0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</row>
        <row r="3990">
          <cell r="C3990">
            <v>303272</v>
          </cell>
          <cell r="D3990" t="str">
            <v>San Antonio National High School</v>
          </cell>
          <cell r="E3990">
            <v>0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</row>
        <row r="3991">
          <cell r="C3991">
            <v>303276</v>
          </cell>
          <cell r="D3991" t="str">
            <v>Tambo National High School</v>
          </cell>
          <cell r="E3991">
            <v>0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</row>
        <row r="3992">
          <cell r="C3992">
            <v>303277</v>
          </cell>
          <cell r="D3992" t="str">
            <v>Mabato Provincial Community HS</v>
          </cell>
          <cell r="E3992">
            <v>0</v>
          </cell>
          <cell r="F3992">
            <v>0</v>
          </cell>
          <cell r="G3992">
            <v>0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0</v>
          </cell>
        </row>
        <row r="3993">
          <cell r="C3993">
            <v>303278</v>
          </cell>
          <cell r="D3993" t="str">
            <v>Crisostomo O. Retes National High School</v>
          </cell>
          <cell r="E3993">
            <v>0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0</v>
          </cell>
        </row>
        <row r="3994">
          <cell r="C3994">
            <v>303289</v>
          </cell>
          <cell r="D3994" t="str">
            <v>Tayasan National High School (Main)</v>
          </cell>
          <cell r="E3994">
            <v>0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</row>
        <row r="3995">
          <cell r="C3995">
            <v>303290</v>
          </cell>
          <cell r="D3995" t="str">
            <v>Bago National High School</v>
          </cell>
          <cell r="E3995">
            <v>0</v>
          </cell>
          <cell r="F3995">
            <v>0</v>
          </cell>
          <cell r="G3995">
            <v>0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0</v>
          </cell>
        </row>
        <row r="3996">
          <cell r="C3996">
            <v>303291</v>
          </cell>
          <cell r="D3996" t="str">
            <v>Valencia National High School (Valencia Tech. Sch.)</v>
          </cell>
          <cell r="E3996">
            <v>0</v>
          </cell>
          <cell r="F3996">
            <v>0</v>
          </cell>
          <cell r="G3996">
            <v>0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</row>
        <row r="3997">
          <cell r="C3997">
            <v>305593</v>
          </cell>
          <cell r="D3997" t="str">
            <v>Bangcal High School</v>
          </cell>
          <cell r="E3997">
            <v>0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</row>
        <row r="3998">
          <cell r="C3998">
            <v>312901</v>
          </cell>
          <cell r="D3998" t="str">
            <v>Maningcao National High School</v>
          </cell>
          <cell r="E3998">
            <v>0</v>
          </cell>
          <cell r="F3998">
            <v>0</v>
          </cell>
          <cell r="G3998">
            <v>0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</row>
        <row r="3999">
          <cell r="C3999">
            <v>312902</v>
          </cell>
          <cell r="D3999" t="str">
            <v>Sampiniton Provincial Community HS</v>
          </cell>
          <cell r="E3999">
            <v>0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</row>
        <row r="4000">
          <cell r="C4000">
            <v>312903</v>
          </cell>
          <cell r="D4000" t="str">
            <v>Kauswagan High School</v>
          </cell>
          <cell r="E4000">
            <v>0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</row>
        <row r="4001">
          <cell r="C4001">
            <v>312906</v>
          </cell>
          <cell r="D4001" t="str">
            <v>San Jose Provincial High School</v>
          </cell>
          <cell r="E4001">
            <v>0</v>
          </cell>
          <cell r="F4001">
            <v>0</v>
          </cell>
          <cell r="G4001">
            <v>0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</row>
        <row r="4002">
          <cell r="C4002">
            <v>312907</v>
          </cell>
          <cell r="D4002" t="str">
            <v>Enrique Villanueva HS</v>
          </cell>
          <cell r="E4002">
            <v>0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</row>
        <row r="4003">
          <cell r="C4003">
            <v>312908</v>
          </cell>
          <cell r="D4003" t="str">
            <v>Balugo National High School</v>
          </cell>
          <cell r="E4003">
            <v>0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</row>
        <row r="4004">
          <cell r="C4004">
            <v>312909</v>
          </cell>
          <cell r="D4004" t="str">
            <v>Apo Island High School</v>
          </cell>
          <cell r="E4004">
            <v>0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</row>
        <row r="4005">
          <cell r="C4005">
            <v>312912</v>
          </cell>
          <cell r="D4005" t="str">
            <v>Pedro R. Abul MHS</v>
          </cell>
          <cell r="E4005">
            <v>0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</row>
        <row r="4006">
          <cell r="C4006">
            <v>312913</v>
          </cell>
          <cell r="D4006" t="str">
            <v>Candugay HS (Siaton NHS Annex)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</row>
        <row r="4007">
          <cell r="C4007">
            <v>312914</v>
          </cell>
          <cell r="D4007" t="str">
            <v>Siaton Science HS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2</v>
          </cell>
          <cell r="J4007">
            <v>2</v>
          </cell>
          <cell r="K4007">
            <v>2</v>
          </cell>
          <cell r="L4007">
            <v>2</v>
          </cell>
        </row>
        <row r="4008">
          <cell r="C4008">
            <v>312916</v>
          </cell>
          <cell r="D4008" t="str">
            <v>Jose B. Cardenas MHS - Uptown Annex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</row>
        <row r="4009">
          <cell r="C4009">
            <v>312917</v>
          </cell>
          <cell r="D4009" t="str">
            <v>Cabcaban CHS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2</v>
          </cell>
          <cell r="J4009">
            <v>0</v>
          </cell>
          <cell r="K4009">
            <v>0</v>
          </cell>
          <cell r="L4009">
            <v>0</v>
          </cell>
        </row>
        <row r="4010">
          <cell r="C4010">
            <v>312918</v>
          </cell>
          <cell r="D4010" t="str">
            <v>Buntod High School</v>
          </cell>
          <cell r="E4010">
            <v>0</v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</row>
        <row r="4011">
          <cell r="C4011">
            <v>312919</v>
          </cell>
          <cell r="D4011" t="str">
            <v>Malongcay Dacu High School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</row>
        <row r="4012">
          <cell r="C4012">
            <v>312920</v>
          </cell>
          <cell r="D4012" t="str">
            <v>Dauin Science High School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0</v>
          </cell>
        </row>
        <row r="4013">
          <cell r="C4013">
            <v>312921</v>
          </cell>
          <cell r="D4013" t="str">
            <v>Froilan A. Alanano Memorial High School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</row>
        <row r="4014">
          <cell r="C4014">
            <v>312922</v>
          </cell>
          <cell r="D4014" t="str">
            <v>Jimalalud NHS - Tamao Ext.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</row>
        <row r="4015">
          <cell r="C4015">
            <v>312923</v>
          </cell>
          <cell r="D4015" t="str">
            <v>Canggohob High School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</row>
        <row r="4016">
          <cell r="C4016">
            <v>312924</v>
          </cell>
          <cell r="D4016" t="str">
            <v>Campanun-an Senior High School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</row>
        <row r="4017">
          <cell r="C4017">
            <v>312925</v>
          </cell>
          <cell r="D4017" t="str">
            <v>Cansal-ing Provincial Community High School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</row>
        <row r="4018">
          <cell r="C4018">
            <v>312927</v>
          </cell>
          <cell r="D4018" t="str">
            <v>Cambaloctot High School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</row>
        <row r="4019">
          <cell r="C4019">
            <v>312928</v>
          </cell>
          <cell r="D4019" t="str">
            <v>Siapo HS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</row>
        <row r="4020">
          <cell r="C4020">
            <v>312929</v>
          </cell>
          <cell r="D4020" t="str">
            <v>Cawitan High School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</row>
        <row r="4021">
          <cell r="C4021">
            <v>312930</v>
          </cell>
          <cell r="D4021" t="str">
            <v>Tamlang High School</v>
          </cell>
          <cell r="E4021">
            <v>0</v>
          </cell>
          <cell r="F4021">
            <v>0</v>
          </cell>
          <cell r="G4021">
            <v>0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</row>
        <row r="4022">
          <cell r="C4022">
            <v>312931</v>
          </cell>
          <cell r="D4022" t="str">
            <v>Nagbinlod High School</v>
          </cell>
          <cell r="E4022">
            <v>0</v>
          </cell>
          <cell r="F4022">
            <v>0</v>
          </cell>
          <cell r="G4022">
            <v>0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</row>
        <row r="4023">
          <cell r="C4023">
            <v>312932</v>
          </cell>
          <cell r="D4023" t="str">
            <v>Eligio T. Monte De Ramos High School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0</v>
          </cell>
        </row>
        <row r="4024">
          <cell r="C4024">
            <v>312933</v>
          </cell>
          <cell r="D4024" t="str">
            <v>Kakha High School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</row>
        <row r="4025">
          <cell r="C4025">
            <v>312934</v>
          </cell>
          <cell r="D4025" t="str">
            <v>San Miguel High School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</row>
        <row r="4026">
          <cell r="C4026">
            <v>312935</v>
          </cell>
          <cell r="D4026" t="str">
            <v>Sta. Catalina Science High School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1</v>
          </cell>
          <cell r="J4026">
            <v>2</v>
          </cell>
          <cell r="K4026">
            <v>0</v>
          </cell>
          <cell r="L4026">
            <v>0</v>
          </cell>
        </row>
        <row r="4027">
          <cell r="C4027">
            <v>312936</v>
          </cell>
          <cell r="D4027" t="str">
            <v>Nagbalaye HS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</row>
        <row r="4028">
          <cell r="C4028">
            <v>312937</v>
          </cell>
          <cell r="D4028" t="str">
            <v>Aurelia G. Merecido Memorial High School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</row>
        <row r="4029">
          <cell r="C4029">
            <v>312938</v>
          </cell>
          <cell r="D4029" t="str">
            <v>Paciente Cesar G. Cabrera HS (Napacao HS)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</row>
        <row r="4030">
          <cell r="C4030">
            <v>312939</v>
          </cell>
          <cell r="D4030" t="str">
            <v>Mantiquil Masaligan High School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</row>
        <row r="4031">
          <cell r="C4031">
            <v>312940</v>
          </cell>
          <cell r="D4031" t="str">
            <v>Cambonbon National High School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1</v>
          </cell>
          <cell r="J4031">
            <v>2</v>
          </cell>
          <cell r="K4031">
            <v>1</v>
          </cell>
          <cell r="L4031">
            <v>1</v>
          </cell>
        </row>
        <row r="4032">
          <cell r="C4032">
            <v>312941</v>
          </cell>
          <cell r="D4032" t="str">
            <v>Giligaon High School</v>
          </cell>
          <cell r="E4032">
            <v>0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</row>
        <row r="4033">
          <cell r="C4033">
            <v>312942</v>
          </cell>
          <cell r="D4033" t="str">
            <v>Sumaliring HS [Inalad HS]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</row>
        <row r="4034">
          <cell r="C4034">
            <v>312943</v>
          </cell>
          <cell r="D4034" t="str">
            <v>Bolocboloc High School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</row>
        <row r="4035">
          <cell r="C4035">
            <v>312944</v>
          </cell>
          <cell r="D4035" t="str">
            <v>Sibulan Science High School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</row>
        <row r="4036">
          <cell r="C4036">
            <v>312945</v>
          </cell>
          <cell r="D4036" t="str">
            <v>Sibulan NHS - Balugo Ext.</v>
          </cell>
          <cell r="E4036">
            <v>0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</row>
        <row r="4037">
          <cell r="C4037">
            <v>312946</v>
          </cell>
          <cell r="D4037" t="str">
            <v>DR. BENJAMIN T. LOCSIN HIGH SCHOOL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</row>
        <row r="4038">
          <cell r="C4038">
            <v>312947</v>
          </cell>
          <cell r="D4038" t="str">
            <v>Zamboanguita Science HS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</row>
        <row r="4039">
          <cell r="C4039">
            <v>312948</v>
          </cell>
          <cell r="D4039" t="str">
            <v>Tubigon High School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</row>
        <row r="4040">
          <cell r="C4040">
            <v>312949</v>
          </cell>
          <cell r="D4040" t="str">
            <v>Ayungon Science High School</v>
          </cell>
          <cell r="E4040">
            <v>0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</row>
        <row r="4041">
          <cell r="C4041">
            <v>312950</v>
          </cell>
          <cell r="D4041" t="str">
            <v>Tayasan National Science High School</v>
          </cell>
          <cell r="E4041">
            <v>0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4</v>
          </cell>
          <cell r="K4041">
            <v>0</v>
          </cell>
          <cell r="L4041">
            <v>4</v>
          </cell>
        </row>
        <row r="4042">
          <cell r="C4042">
            <v>312951</v>
          </cell>
          <cell r="D4042" t="str">
            <v>Mabinay Science High School</v>
          </cell>
          <cell r="E4042">
            <v>0</v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</row>
        <row r="4043">
          <cell r="C4043">
            <v>312953</v>
          </cell>
          <cell r="D4043" t="str">
            <v>Sibulan Night High School</v>
          </cell>
          <cell r="E4043">
            <v>0</v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</row>
        <row r="4044">
          <cell r="C4044">
            <v>312954</v>
          </cell>
          <cell r="D4044" t="str">
            <v>Malaiba HS</v>
          </cell>
          <cell r="E4044">
            <v>0</v>
          </cell>
          <cell r="F4044">
            <v>0</v>
          </cell>
          <cell r="G4044">
            <v>0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0</v>
          </cell>
        </row>
        <row r="4045">
          <cell r="C4045">
            <v>312955</v>
          </cell>
          <cell r="D4045" t="str">
            <v>Masulog HS</v>
          </cell>
          <cell r="E4045">
            <v>0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</row>
        <row r="4046">
          <cell r="C4046">
            <v>312956</v>
          </cell>
          <cell r="D4046" t="str">
            <v>Gregorio Elmaga MHS</v>
          </cell>
          <cell r="E4046">
            <v>0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0</v>
          </cell>
        </row>
        <row r="4047">
          <cell r="C4047">
            <v>312957</v>
          </cell>
          <cell r="D4047" t="str">
            <v>Amlan NHS-Jugno Campus</v>
          </cell>
          <cell r="E4047">
            <v>0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0</v>
          </cell>
        </row>
        <row r="4048">
          <cell r="C4048">
            <v>312958</v>
          </cell>
          <cell r="D4048" t="str">
            <v>Valencia National High School-Dobdob Ext.</v>
          </cell>
          <cell r="E4048">
            <v>0</v>
          </cell>
          <cell r="F4048">
            <v>0</v>
          </cell>
          <cell r="G4048">
            <v>0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</row>
        <row r="4049">
          <cell r="C4049">
            <v>312959</v>
          </cell>
          <cell r="D4049" t="str">
            <v>Mayaposi Community High School</v>
          </cell>
          <cell r="E4049">
            <v>0</v>
          </cell>
          <cell r="F4049">
            <v>0</v>
          </cell>
          <cell r="G4049">
            <v>0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</row>
        <row r="4050">
          <cell r="C4050">
            <v>312961</v>
          </cell>
          <cell r="D4050" t="str">
            <v>Manjuyod Science High School</v>
          </cell>
          <cell r="E4050">
            <v>0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</row>
        <row r="4051">
          <cell r="C4051">
            <v>312962</v>
          </cell>
          <cell r="D4051" t="str">
            <v>Ayungon NHS - Carol-an Extension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</row>
        <row r="4052">
          <cell r="C4052">
            <v>312963</v>
          </cell>
          <cell r="D4052" t="str">
            <v>Jose B. Cardenas MHS - Tabalogo Ext.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</row>
        <row r="4053">
          <cell r="C4053">
            <v>312964</v>
          </cell>
          <cell r="D4053" t="str">
            <v>Jose B. Cardenas Memorial High School - Bayog Ext.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</row>
        <row r="4054">
          <cell r="C4054">
            <v>312965</v>
          </cell>
          <cell r="D4054" t="str">
            <v>Jose B. Cardenas MHS - Pula Ext.</v>
          </cell>
          <cell r="E4054">
            <v>0</v>
          </cell>
          <cell r="F4054">
            <v>0</v>
          </cell>
          <cell r="G4054">
            <v>0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</row>
        <row r="4055">
          <cell r="C4055">
            <v>312966</v>
          </cell>
          <cell r="D4055" t="str">
            <v>Panciao High School</v>
          </cell>
          <cell r="E4055">
            <v>1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</row>
        <row r="4056">
          <cell r="C4056">
            <v>312967</v>
          </cell>
          <cell r="D4056" t="str">
            <v>Manlingay High School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</row>
        <row r="4057">
          <cell r="C4057">
            <v>312968</v>
          </cell>
          <cell r="D4057" t="str">
            <v>Palayuhan High School</v>
          </cell>
          <cell r="E4057">
            <v>0</v>
          </cell>
          <cell r="F4057">
            <v>0</v>
          </cell>
          <cell r="G4057">
            <v>0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</row>
        <row r="4058">
          <cell r="C4058">
            <v>312969</v>
          </cell>
          <cell r="D4058" t="str">
            <v>Mainit High School</v>
          </cell>
          <cell r="E4058">
            <v>0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0</v>
          </cell>
        </row>
        <row r="4059">
          <cell r="C4059">
            <v>312970</v>
          </cell>
          <cell r="D4059" t="str">
            <v>Caticugan HS</v>
          </cell>
          <cell r="E4059">
            <v>0</v>
          </cell>
          <cell r="F4059">
            <v>0</v>
          </cell>
          <cell r="G4059">
            <v>0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</row>
        <row r="4060">
          <cell r="C4060">
            <v>361077</v>
          </cell>
          <cell r="D4060" t="str">
            <v>Pulangbato National Senior High School</v>
          </cell>
          <cell r="E4060">
            <v>0</v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0</v>
          </cell>
        </row>
        <row r="4061">
          <cell r="C4061">
            <v>303293</v>
          </cell>
          <cell r="D4061" t="str">
            <v>Campalanas National High School</v>
          </cell>
          <cell r="E4061">
            <v>0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0</v>
          </cell>
        </row>
        <row r="4062">
          <cell r="C4062">
            <v>303294</v>
          </cell>
          <cell r="D4062" t="str">
            <v>Kinamandagan High School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</row>
        <row r="4063">
          <cell r="C4063">
            <v>303295</v>
          </cell>
          <cell r="D4063" t="str">
            <v>Leon Parami High School</v>
          </cell>
          <cell r="E4063">
            <v>0</v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</row>
        <row r="4064">
          <cell r="C4064">
            <v>303296</v>
          </cell>
          <cell r="D4064" t="str">
            <v>Cang-alwang National High School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</row>
        <row r="4065">
          <cell r="C4065">
            <v>303297</v>
          </cell>
          <cell r="D4065" t="str">
            <v>Enrique Villanueva National High School</v>
          </cell>
          <cell r="E4065">
            <v>0</v>
          </cell>
          <cell r="F4065">
            <v>0</v>
          </cell>
          <cell r="G4065">
            <v>0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0</v>
          </cell>
        </row>
        <row r="4066">
          <cell r="C4066">
            <v>303298</v>
          </cell>
          <cell r="D4066" t="str">
            <v>San Antonio National High School</v>
          </cell>
          <cell r="E4066">
            <v>0</v>
          </cell>
          <cell r="F4066">
            <v>0</v>
          </cell>
          <cell r="G4066">
            <v>0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</row>
        <row r="4067">
          <cell r="C4067">
            <v>303299</v>
          </cell>
          <cell r="D4067" t="str">
            <v>Ponong High School</v>
          </cell>
          <cell r="E4067">
            <v>0</v>
          </cell>
          <cell r="F4067">
            <v>0</v>
          </cell>
          <cell r="G4067">
            <v>0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</row>
        <row r="4068">
          <cell r="C4068">
            <v>303300</v>
          </cell>
          <cell r="D4068" t="str">
            <v>Tambisan National High School</v>
          </cell>
          <cell r="E4068">
            <v>0</v>
          </cell>
          <cell r="F4068">
            <v>0</v>
          </cell>
          <cell r="G4068">
            <v>0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0</v>
          </cell>
        </row>
        <row r="4069">
          <cell r="C4069">
            <v>303301</v>
          </cell>
          <cell r="D4069" t="str">
            <v>Siquijor Provincial Science High School</v>
          </cell>
          <cell r="E4069">
            <v>0</v>
          </cell>
          <cell r="F4069">
            <v>0</v>
          </cell>
          <cell r="G4069">
            <v>0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0</v>
          </cell>
        </row>
        <row r="4070">
          <cell r="C4070">
            <v>303302</v>
          </cell>
          <cell r="D4070" t="str">
            <v>Banban National High School</v>
          </cell>
          <cell r="E4070">
            <v>0</v>
          </cell>
          <cell r="F4070">
            <v>0</v>
          </cell>
          <cell r="G4070">
            <v>0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0</v>
          </cell>
        </row>
        <row r="4071">
          <cell r="C4071">
            <v>303303</v>
          </cell>
          <cell r="D4071" t="str">
            <v>BASAC NATIONAL HIGH SCHOOL</v>
          </cell>
          <cell r="E4071">
            <v>0</v>
          </cell>
          <cell r="F4071">
            <v>0</v>
          </cell>
          <cell r="G4071">
            <v>0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0</v>
          </cell>
        </row>
        <row r="4072">
          <cell r="C4072">
            <v>303304</v>
          </cell>
          <cell r="D4072" t="str">
            <v>Candaping National High School</v>
          </cell>
          <cell r="E4072">
            <v>0</v>
          </cell>
          <cell r="F4072">
            <v>0</v>
          </cell>
          <cell r="G4072">
            <v>0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0</v>
          </cell>
        </row>
        <row r="4073">
          <cell r="C4073">
            <v>303305</v>
          </cell>
          <cell r="D4073" t="str">
            <v>Catulayan National High School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</row>
        <row r="4074">
          <cell r="C4074">
            <v>303306</v>
          </cell>
          <cell r="D4074" t="str">
            <v>DepED-Lazi National Agricultural School</v>
          </cell>
          <cell r="E4074">
            <v>0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</row>
        <row r="4075">
          <cell r="C4075">
            <v>500232</v>
          </cell>
          <cell r="D4075" t="str">
            <v>Cabulihan Integrated School</v>
          </cell>
          <cell r="E4075">
            <v>0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0</v>
          </cell>
        </row>
        <row r="4076">
          <cell r="C4076">
            <v>303307</v>
          </cell>
          <cell r="D4076" t="str">
            <v>AWIHAO  NATIONAL HIGH SCHOOL</v>
          </cell>
          <cell r="E4076">
            <v>0</v>
          </cell>
          <cell r="F4076">
            <v>0</v>
          </cell>
          <cell r="G4076">
            <v>0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0</v>
          </cell>
        </row>
        <row r="4077">
          <cell r="C4077">
            <v>303308</v>
          </cell>
          <cell r="D4077" t="str">
            <v>Bato NHS</v>
          </cell>
          <cell r="E4077">
            <v>0</v>
          </cell>
          <cell r="F4077">
            <v>0</v>
          </cell>
          <cell r="G4077">
            <v>0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0</v>
          </cell>
        </row>
        <row r="4078">
          <cell r="C4078">
            <v>303309</v>
          </cell>
          <cell r="D4078" t="str">
            <v>Cantabaco NHS</v>
          </cell>
          <cell r="E4078">
            <v>0</v>
          </cell>
          <cell r="F4078">
            <v>0</v>
          </cell>
          <cell r="G4078">
            <v>0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0</v>
          </cell>
        </row>
        <row r="4079">
          <cell r="C4079">
            <v>303310</v>
          </cell>
          <cell r="D4079" t="str">
            <v>Don Andres Soriano NHS</v>
          </cell>
          <cell r="E4079">
            <v>0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0</v>
          </cell>
        </row>
        <row r="4080">
          <cell r="C4080">
            <v>303311</v>
          </cell>
          <cell r="D4080" t="str">
            <v>General Climaco NHS</v>
          </cell>
          <cell r="E4080">
            <v>0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</row>
        <row r="4081">
          <cell r="C4081">
            <v>303312</v>
          </cell>
          <cell r="D4081" t="str">
            <v>Magdugo National High School</v>
          </cell>
          <cell r="E4081">
            <v>0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</row>
        <row r="4082">
          <cell r="C4082">
            <v>303313</v>
          </cell>
          <cell r="D4082" t="str">
            <v>Matab-ang NHS</v>
          </cell>
          <cell r="E4082">
            <v>0</v>
          </cell>
          <cell r="F4082">
            <v>0</v>
          </cell>
          <cell r="G4082">
            <v>0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</row>
        <row r="4083">
          <cell r="C4083">
            <v>303314</v>
          </cell>
          <cell r="D4083" t="str">
            <v>Media Once National High School</v>
          </cell>
          <cell r="E4083">
            <v>0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</row>
        <row r="4084">
          <cell r="C4084">
            <v>303315</v>
          </cell>
          <cell r="D4084" t="str">
            <v>Toledo City Science High School</v>
          </cell>
          <cell r="E4084">
            <v>0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0</v>
          </cell>
        </row>
        <row r="4085">
          <cell r="C4085">
            <v>303316</v>
          </cell>
          <cell r="D4085" t="str">
            <v>Toledo National Vocational School</v>
          </cell>
          <cell r="E4085">
            <v>0</v>
          </cell>
          <cell r="F4085">
            <v>0</v>
          </cell>
          <cell r="G4085">
            <v>0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0</v>
          </cell>
        </row>
        <row r="4086">
          <cell r="C4086">
            <v>303317</v>
          </cell>
          <cell r="D4086" t="str">
            <v>Bunga NHS</v>
          </cell>
          <cell r="E4086">
            <v>0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</row>
        <row r="4087">
          <cell r="C4087">
            <v>303318</v>
          </cell>
          <cell r="D4087" t="str">
            <v>LURAY II NATIONAL HIGH SCHOOL (DAY &amp; NIGHT))</v>
          </cell>
          <cell r="E4087">
            <v>0</v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</row>
        <row r="4088">
          <cell r="C4088">
            <v>303217</v>
          </cell>
          <cell r="D4088" t="str">
            <v>Basay National High School</v>
          </cell>
          <cell r="E4088">
            <v>0</v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</row>
        <row r="4089">
          <cell r="C4089">
            <v>303218</v>
          </cell>
          <cell r="D4089" t="str">
            <v>Actin National High School</v>
          </cell>
          <cell r="E4089">
            <v>0</v>
          </cell>
          <cell r="F4089">
            <v>0</v>
          </cell>
          <cell r="G4089">
            <v>0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</row>
        <row r="4090">
          <cell r="C4090">
            <v>303219</v>
          </cell>
          <cell r="D4090" t="str">
            <v>Bal-os National High School</v>
          </cell>
          <cell r="E4090">
            <v>0</v>
          </cell>
          <cell r="F4090">
            <v>0</v>
          </cell>
          <cell r="G4090">
            <v>0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</row>
        <row r="4091">
          <cell r="C4091">
            <v>303220</v>
          </cell>
          <cell r="D4091" t="str">
            <v>Maglinao National High School</v>
          </cell>
          <cell r="E4091">
            <v>0</v>
          </cell>
          <cell r="F4091">
            <v>0</v>
          </cell>
          <cell r="G4091">
            <v>0</v>
          </cell>
          <cell r="H4091">
            <v>0</v>
          </cell>
          <cell r="I4091">
            <v>1</v>
          </cell>
          <cell r="J4091">
            <v>4</v>
          </cell>
          <cell r="K4091">
            <v>0</v>
          </cell>
          <cell r="L4091">
            <v>0</v>
          </cell>
        </row>
        <row r="4092">
          <cell r="C4092">
            <v>303221</v>
          </cell>
          <cell r="D4092" t="str">
            <v>Bayawan National High School</v>
          </cell>
          <cell r="E4092">
            <v>0</v>
          </cell>
          <cell r="F4092">
            <v>0</v>
          </cell>
          <cell r="G4092">
            <v>0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>
            <v>0</v>
          </cell>
        </row>
        <row r="4093">
          <cell r="C4093">
            <v>303227</v>
          </cell>
          <cell r="D4093" t="str">
            <v>Dawis National High School</v>
          </cell>
          <cell r="E4093">
            <v>0</v>
          </cell>
          <cell r="F4093">
            <v>0</v>
          </cell>
          <cell r="G4093">
            <v>0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</row>
        <row r="4094">
          <cell r="C4094">
            <v>303237</v>
          </cell>
          <cell r="D4094" t="str">
            <v>Kalumboyan National High School</v>
          </cell>
          <cell r="E4094">
            <v>0</v>
          </cell>
          <cell r="F4094">
            <v>0</v>
          </cell>
          <cell r="G4094">
            <v>0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0</v>
          </cell>
        </row>
        <row r="4095">
          <cell r="C4095">
            <v>303238</v>
          </cell>
          <cell r="D4095" t="str">
            <v>Bugay National High School</v>
          </cell>
          <cell r="E4095">
            <v>0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0</v>
          </cell>
        </row>
        <row r="4096">
          <cell r="C4096">
            <v>303239</v>
          </cell>
          <cell r="D4096" t="str">
            <v>Kalamtukan High School</v>
          </cell>
          <cell r="E4096">
            <v>0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</row>
        <row r="4097">
          <cell r="C4097">
            <v>303240</v>
          </cell>
          <cell r="D4097" t="str">
            <v>Manduaw National High School</v>
          </cell>
          <cell r="E4097">
            <v>0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</row>
        <row r="4098">
          <cell r="C4098">
            <v>303241</v>
          </cell>
          <cell r="D4098" t="str">
            <v>Tabuan Provincial Community High School</v>
          </cell>
          <cell r="E4098">
            <v>0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</row>
        <row r="4099">
          <cell r="C4099">
            <v>303242</v>
          </cell>
          <cell r="D4099" t="str">
            <v>Tayawan National High School</v>
          </cell>
          <cell r="E4099">
            <v>0</v>
          </cell>
          <cell r="F4099">
            <v>0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</row>
        <row r="4100">
          <cell r="C4100">
            <v>303254</v>
          </cell>
          <cell r="D4100" t="str">
            <v>NARRA National High School</v>
          </cell>
          <cell r="E4100">
            <v>0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</row>
        <row r="4101">
          <cell r="C4101">
            <v>303256</v>
          </cell>
          <cell r="D4101" t="str">
            <v>Omod National High School</v>
          </cell>
          <cell r="E4101">
            <v>0</v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</row>
        <row r="4102">
          <cell r="C4102">
            <v>321901</v>
          </cell>
          <cell r="D4102" t="str">
            <v>Banaybanay National High School</v>
          </cell>
          <cell r="E4102">
            <v>0</v>
          </cell>
          <cell r="F4102">
            <v>0</v>
          </cell>
          <cell r="G4102">
            <v>0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</row>
        <row r="4103">
          <cell r="C4103">
            <v>321902</v>
          </cell>
          <cell r="D4103" t="str">
            <v>Bayawan City Science and Technology Education Center - High School</v>
          </cell>
          <cell r="E4103">
            <v>0</v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</row>
        <row r="4104">
          <cell r="C4104">
            <v>321903</v>
          </cell>
          <cell r="D4104" t="str">
            <v>Minaba National High School</v>
          </cell>
          <cell r="E4104">
            <v>0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</row>
        <row r="4105">
          <cell r="C4105">
            <v>321904</v>
          </cell>
          <cell r="D4105" t="str">
            <v>Villasol High School</v>
          </cell>
          <cell r="E4105">
            <v>0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</row>
        <row r="4106">
          <cell r="C4106">
            <v>321905</v>
          </cell>
          <cell r="D4106" t="str">
            <v>Lapay High School</v>
          </cell>
          <cell r="E4106">
            <v>0</v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</row>
        <row r="4107">
          <cell r="C4107">
            <v>321906</v>
          </cell>
          <cell r="D4107" t="str">
            <v>San Jose National High School</v>
          </cell>
          <cell r="E4107">
            <v>0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</row>
        <row r="4108">
          <cell r="C4108">
            <v>321907</v>
          </cell>
          <cell r="D4108" t="str">
            <v>Atilano B. Cabangal Memorial High School</v>
          </cell>
          <cell r="E4108">
            <v>0</v>
          </cell>
          <cell r="F4108">
            <v>0</v>
          </cell>
          <cell r="G4108">
            <v>0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</row>
        <row r="4109">
          <cell r="C4109">
            <v>321908</v>
          </cell>
          <cell r="D4109" t="str">
            <v>Antonio M. Lacson, Sr. Memorial High School</v>
          </cell>
          <cell r="E4109">
            <v>0</v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</row>
        <row r="4110">
          <cell r="C4110">
            <v>321909</v>
          </cell>
          <cell r="D4110" t="str">
            <v>Malabugas HS</v>
          </cell>
          <cell r="E4110">
            <v>0</v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</row>
        <row r="4111">
          <cell r="C4111">
            <v>321910</v>
          </cell>
          <cell r="D4111" t="str">
            <v>Pagatban Senior High School</v>
          </cell>
          <cell r="E4111">
            <v>0</v>
          </cell>
          <cell r="F4111">
            <v>0</v>
          </cell>
          <cell r="G4111">
            <v>0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</row>
        <row r="4112">
          <cell r="C4112">
            <v>321911</v>
          </cell>
          <cell r="D4112" t="str">
            <v>Abundio Agarpao, Sr. Memorial High School</v>
          </cell>
          <cell r="E4112">
            <v>0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</row>
        <row r="4113">
          <cell r="C4113">
            <v>321912</v>
          </cell>
          <cell r="D4113" t="str">
            <v>Cansumalig High School</v>
          </cell>
          <cell r="E4113">
            <v>0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</row>
        <row r="4114">
          <cell r="C4114">
            <v>501131</v>
          </cell>
          <cell r="D4114" t="str">
            <v>Ali-is Integrated School</v>
          </cell>
          <cell r="E4114">
            <v>0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1</v>
          </cell>
          <cell r="K4114">
            <v>0</v>
          </cell>
          <cell r="L4114">
            <v>0</v>
          </cell>
        </row>
        <row r="4115">
          <cell r="C4115">
            <v>302956</v>
          </cell>
          <cell r="D4115" t="str">
            <v>Estefa O. Monte Memo. National High School</v>
          </cell>
          <cell r="E4115">
            <v>0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  <cell r="J4115">
            <v>0</v>
          </cell>
          <cell r="K4115">
            <v>1</v>
          </cell>
          <cell r="L4115">
            <v>0</v>
          </cell>
        </row>
        <row r="4116">
          <cell r="C4116">
            <v>302959</v>
          </cell>
          <cell r="D4116" t="str">
            <v>Elpidio H. Perez Memorial Technical-Vocational High School</v>
          </cell>
          <cell r="E4116">
            <v>0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</row>
        <row r="4117">
          <cell r="C4117">
            <v>302960</v>
          </cell>
          <cell r="D4117" t="str">
            <v>Sandayong Sur NHS</v>
          </cell>
          <cell r="E4117">
            <v>0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</row>
        <row r="4118">
          <cell r="C4118">
            <v>303036</v>
          </cell>
          <cell r="D4118" t="str">
            <v>Lawaan National High School</v>
          </cell>
          <cell r="E4118">
            <v>0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</row>
        <row r="4119">
          <cell r="C4119">
            <v>303037</v>
          </cell>
          <cell r="D4119" t="str">
            <v>Maslog National High School</v>
          </cell>
          <cell r="E4119">
            <v>0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</row>
        <row r="4120">
          <cell r="C4120">
            <v>303038</v>
          </cell>
          <cell r="D4120" t="str">
            <v>Nicolas U. Tiongko Memorial National High School</v>
          </cell>
          <cell r="E4120">
            <v>0</v>
          </cell>
          <cell r="F4120">
            <v>0</v>
          </cell>
          <cell r="G4120">
            <v>0</v>
          </cell>
          <cell r="H4120">
            <v>0</v>
          </cell>
          <cell r="I4120">
            <v>2</v>
          </cell>
          <cell r="J4120">
            <v>1</v>
          </cell>
          <cell r="K4120">
            <v>0</v>
          </cell>
          <cell r="L4120">
            <v>0</v>
          </cell>
        </row>
        <row r="4121">
          <cell r="C4121">
            <v>303039</v>
          </cell>
          <cell r="D4121" t="str">
            <v>Ramon M. Durano Sr. MNHS</v>
          </cell>
          <cell r="E4121">
            <v>0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</row>
        <row r="4122">
          <cell r="C4122">
            <v>322001</v>
          </cell>
          <cell r="D4122" t="str">
            <v>Ubaldo Iway Memo. NHS</v>
          </cell>
          <cell r="E4122">
            <v>0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</row>
        <row r="4123">
          <cell r="C4123">
            <v>322003</v>
          </cell>
          <cell r="D4123" t="str">
            <v>Ramon M. Durano Sr. Foundation - Science and Technology Education Center</v>
          </cell>
          <cell r="E4123">
            <v>0</v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</row>
        <row r="4124">
          <cell r="C4124">
            <v>322007</v>
          </cell>
          <cell r="D4124" t="str">
            <v>Baliang National High School</v>
          </cell>
          <cell r="E4124">
            <v>0</v>
          </cell>
          <cell r="F4124">
            <v>0</v>
          </cell>
          <cell r="G4124">
            <v>0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</row>
        <row r="4125">
          <cell r="C4125">
            <v>500041</v>
          </cell>
          <cell r="D4125" t="str">
            <v>Eduardo Gorre Memo. Integrated School</v>
          </cell>
          <cell r="E4125">
            <v>0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</row>
        <row r="4126">
          <cell r="C4126">
            <v>500787</v>
          </cell>
          <cell r="D4126" t="str">
            <v>Raymunda B. Hermosilla Integrated School</v>
          </cell>
          <cell r="E4126">
            <v>0</v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</row>
        <row r="4127">
          <cell r="C4127">
            <v>500790</v>
          </cell>
          <cell r="D4127" t="str">
            <v>Sta. Rosa Integrated School</v>
          </cell>
          <cell r="E4127">
            <v>0</v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</row>
        <row r="4128">
          <cell r="C4128">
            <v>302846</v>
          </cell>
          <cell r="D4128" t="str">
            <v>Dr. Cecilio Putong NHS (Bohol NHS)</v>
          </cell>
          <cell r="E4128">
            <v>0</v>
          </cell>
          <cell r="F4128">
            <v>0</v>
          </cell>
          <cell r="G4128">
            <v>2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1</v>
          </cell>
        </row>
        <row r="4129">
          <cell r="C4129">
            <v>302874</v>
          </cell>
          <cell r="D4129" t="str">
            <v>Manga National High School</v>
          </cell>
          <cell r="E4129">
            <v>0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</row>
        <row r="4130">
          <cell r="C4130">
            <v>302875</v>
          </cell>
          <cell r="D4130" t="str">
            <v>Mansasa National High School</v>
          </cell>
          <cell r="E4130">
            <v>0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</row>
        <row r="4131">
          <cell r="C4131">
            <v>302876</v>
          </cell>
          <cell r="D4131" t="str">
            <v>Tagbilaran City Science High School</v>
          </cell>
          <cell r="E4131">
            <v>0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</row>
        <row r="4132">
          <cell r="C4132">
            <v>312302</v>
          </cell>
          <cell r="D4132" t="str">
            <v>Cogon HS Evening Class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0</v>
          </cell>
        </row>
        <row r="4133">
          <cell r="C4133">
            <v>322102</v>
          </cell>
          <cell r="D4133" t="str">
            <v>San Isidro National High School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</row>
        <row r="4134">
          <cell r="C4134">
            <v>302971</v>
          </cell>
          <cell r="D4134" t="str">
            <v>Cansojong National High School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</row>
        <row r="4135">
          <cell r="C4135">
            <v>303019</v>
          </cell>
          <cell r="D4135" t="str">
            <v>Jaclupan National High School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</row>
        <row r="4136">
          <cell r="C4136">
            <v>303020</v>
          </cell>
          <cell r="D4136" t="str">
            <v>Pooc NHS (Jaclupan NHS - Pooc Ext.)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</row>
        <row r="4137">
          <cell r="C4137">
            <v>303040</v>
          </cell>
          <cell r="D4137" t="str">
            <v>Lawaan NHS, Talisay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</row>
        <row r="4138">
          <cell r="C4138">
            <v>303056</v>
          </cell>
          <cell r="D4138" t="str">
            <v>Mohon (Divino Amore) National High School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0</v>
          </cell>
        </row>
        <row r="4139">
          <cell r="C4139">
            <v>303088</v>
          </cell>
          <cell r="D4139" t="str">
            <v>San Roque NHS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0</v>
          </cell>
        </row>
        <row r="4140">
          <cell r="C4140">
            <v>303111</v>
          </cell>
          <cell r="D4140" t="str">
            <v>Tabunok National High School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</row>
        <row r="4141">
          <cell r="C4141">
            <v>303113</v>
          </cell>
          <cell r="D4141" t="str">
            <v>Talisay City National High School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5</v>
          </cell>
          <cell r="J4141">
            <v>14</v>
          </cell>
          <cell r="K4141">
            <v>0</v>
          </cell>
          <cell r="L4141">
            <v>0</v>
          </cell>
        </row>
        <row r="4142">
          <cell r="C4142">
            <v>322201</v>
          </cell>
          <cell r="D4142" t="str">
            <v>Maghaway National High School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</row>
        <row r="4143">
          <cell r="C4143">
            <v>322204</v>
          </cell>
          <cell r="D4143" t="str">
            <v>Bulacao National High School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</row>
        <row r="4144">
          <cell r="C4144">
            <v>322206</v>
          </cell>
          <cell r="D4144" t="str">
            <v>Lagtang Night HS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</row>
        <row r="4145">
          <cell r="C4145">
            <v>322208</v>
          </cell>
          <cell r="D4145" t="str">
            <v>Tapul National High School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</row>
        <row r="4146">
          <cell r="C4146">
            <v>303259</v>
          </cell>
          <cell r="D4146" t="str">
            <v>Pamplona NHS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0</v>
          </cell>
        </row>
        <row r="4147">
          <cell r="C4147">
            <v>303273</v>
          </cell>
          <cell r="D4147" t="str">
            <v>Sta. Agueda National High School</v>
          </cell>
          <cell r="E4147">
            <v>0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0</v>
          </cell>
        </row>
        <row r="4148">
          <cell r="C4148">
            <v>303274</v>
          </cell>
          <cell r="D4148" t="str">
            <v>Isidoro Salma MSHS (Balayong )</v>
          </cell>
          <cell r="E4148">
            <v>0</v>
          </cell>
          <cell r="F4148">
            <v>0</v>
          </cell>
          <cell r="G4148">
            <v>0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0</v>
          </cell>
        </row>
        <row r="4149">
          <cell r="C4149">
            <v>303279</v>
          </cell>
          <cell r="D4149" t="str">
            <v>Tanjay High School (Legislated)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0</v>
          </cell>
        </row>
        <row r="4150">
          <cell r="C4150">
            <v>303280</v>
          </cell>
          <cell r="D4150" t="str">
            <v>Tanjay NHS (Opao)</v>
          </cell>
          <cell r="E4150">
            <v>0</v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0</v>
          </cell>
        </row>
        <row r="4151">
          <cell r="C4151">
            <v>303282</v>
          </cell>
          <cell r="D4151" t="str">
            <v>Tanjay NHS (Polo)</v>
          </cell>
          <cell r="E4151">
            <v>0</v>
          </cell>
          <cell r="F4151">
            <v>0</v>
          </cell>
          <cell r="G4151">
            <v>0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0</v>
          </cell>
        </row>
        <row r="4152">
          <cell r="C4152">
            <v>303283</v>
          </cell>
          <cell r="D4152" t="str">
            <v>Tanjay City Science HS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0</v>
          </cell>
        </row>
        <row r="4153">
          <cell r="C4153">
            <v>303284</v>
          </cell>
          <cell r="D4153" t="str">
            <v>Lourdes Ledesma Del Prado MNHS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0</v>
          </cell>
        </row>
        <row r="4154">
          <cell r="C4154">
            <v>303285</v>
          </cell>
          <cell r="D4154" t="str">
            <v>Bahi-an High School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</v>
          </cell>
        </row>
        <row r="4155">
          <cell r="C4155">
            <v>303286</v>
          </cell>
          <cell r="D4155" t="str">
            <v>Novallas High School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0</v>
          </cell>
        </row>
        <row r="4156">
          <cell r="C4156">
            <v>303287</v>
          </cell>
          <cell r="D4156" t="str">
            <v>Lourdes L. del Prado MNHS (Pal-ew)</v>
          </cell>
          <cell r="E4156">
            <v>0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0</v>
          </cell>
        </row>
        <row r="4157">
          <cell r="C4157">
            <v>303288</v>
          </cell>
          <cell r="D4157" t="str">
            <v>Lourdes L. del Prado MNHS (Sto. Niño)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</row>
        <row r="4158">
          <cell r="C4158">
            <v>312905</v>
          </cell>
          <cell r="D4158" t="str">
            <v>Sta. Agueda NHS - Calicanan HS Ext.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0</v>
          </cell>
        </row>
        <row r="4159">
          <cell r="C4159">
            <v>312911</v>
          </cell>
          <cell r="D4159" t="str">
            <v>Hunop Community High School</v>
          </cell>
          <cell r="E4159">
            <v>0</v>
          </cell>
          <cell r="F4159">
            <v>0</v>
          </cell>
          <cell r="G4159">
            <v>0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</row>
        <row r="4160">
          <cell r="C4160">
            <v>312915</v>
          </cell>
          <cell r="D4160" t="str">
            <v>Inawasan PCHS</v>
          </cell>
          <cell r="E4160">
            <v>0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</row>
        <row r="4161">
          <cell r="C4161">
            <v>312926</v>
          </cell>
          <cell r="D4161" t="str">
            <v>Apolinario Gerarda Arnaiz HS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</row>
        <row r="4162">
          <cell r="C4162">
            <v>322301</v>
          </cell>
          <cell r="D4162" t="str">
            <v>Graciano Banogon HS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</row>
        <row r="4163">
          <cell r="C4163">
            <v>322302</v>
          </cell>
          <cell r="D4163" t="str">
            <v>San Miguel HS</v>
          </cell>
          <cell r="E4163">
            <v>0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</row>
        <row r="4164">
          <cell r="C4164">
            <v>322303</v>
          </cell>
          <cell r="D4164" t="str">
            <v>Nagsala HS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</row>
        <row r="4165">
          <cell r="C4165">
            <v>322304</v>
          </cell>
          <cell r="D4165" t="str">
            <v>Patricio Palomar Mem. HS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</row>
        <row r="4166">
          <cell r="C4166">
            <v>322305</v>
          </cell>
          <cell r="D4166" t="str">
            <v>Luca HS</v>
          </cell>
          <cell r="E4166">
            <v>0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0</v>
          </cell>
        </row>
        <row r="4167">
          <cell r="C4167">
            <v>322306</v>
          </cell>
          <cell r="D4167" t="str">
            <v>Namonbon HS</v>
          </cell>
          <cell r="E4167">
            <v>0</v>
          </cell>
          <cell r="F4167">
            <v>0</v>
          </cell>
          <cell r="G4167">
            <v>0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0</v>
          </cell>
        </row>
        <row r="4168">
          <cell r="C4168">
            <v>303213</v>
          </cell>
          <cell r="D4168" t="str">
            <v>Josefina T. Valencia National High School</v>
          </cell>
          <cell r="E4168">
            <v>0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</row>
        <row r="4169">
          <cell r="C4169">
            <v>303214</v>
          </cell>
          <cell r="D4169" t="str">
            <v>Dodong EscaÃ±o Memorial High School</v>
          </cell>
          <cell r="E4169">
            <v>0</v>
          </cell>
          <cell r="F4169">
            <v>0</v>
          </cell>
          <cell r="G4169">
            <v>0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0</v>
          </cell>
        </row>
        <row r="4170">
          <cell r="C4170">
            <v>303215</v>
          </cell>
          <cell r="D4170" t="str">
            <v>Lonoy National High School</v>
          </cell>
          <cell r="E4170">
            <v>0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0</v>
          </cell>
        </row>
        <row r="4171">
          <cell r="C4171">
            <v>303216</v>
          </cell>
          <cell r="D4171" t="str">
            <v>Bais City National Science High School</v>
          </cell>
          <cell r="E4171">
            <v>0</v>
          </cell>
          <cell r="F4171">
            <v>0</v>
          </cell>
          <cell r="G4171">
            <v>0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0</v>
          </cell>
        </row>
        <row r="4172">
          <cell r="C4172">
            <v>323001</v>
          </cell>
          <cell r="D4172" t="str">
            <v>Cabugan National High School</v>
          </cell>
          <cell r="E4172">
            <v>0</v>
          </cell>
          <cell r="F4172">
            <v>0</v>
          </cell>
          <cell r="G4172">
            <v>0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</row>
        <row r="4173">
          <cell r="C4173">
            <v>323002</v>
          </cell>
          <cell r="D4173" t="str">
            <v>Javier Laxina I Memorial HS</v>
          </cell>
          <cell r="E4173">
            <v>0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</row>
        <row r="4174">
          <cell r="C4174">
            <v>323003</v>
          </cell>
          <cell r="D4174" t="str">
            <v>Governor Julian L. Teves Memorial HS</v>
          </cell>
          <cell r="E4174">
            <v>0</v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0</v>
          </cell>
        </row>
        <row r="4175">
          <cell r="C4175">
            <v>323007</v>
          </cell>
          <cell r="D4175" t="str">
            <v>Mansangaban National High School</v>
          </cell>
          <cell r="E4175">
            <v>0</v>
          </cell>
          <cell r="F4175">
            <v>0</v>
          </cell>
          <cell r="G4175">
            <v>0</v>
          </cell>
          <cell r="H4175">
            <v>1</v>
          </cell>
          <cell r="I4175">
            <v>0</v>
          </cell>
          <cell r="J4175">
            <v>0</v>
          </cell>
          <cell r="K4175">
            <v>0</v>
          </cell>
          <cell r="L4175">
            <v>0</v>
          </cell>
        </row>
        <row r="4176">
          <cell r="C4176">
            <v>323008</v>
          </cell>
          <cell r="D4176" t="str">
            <v>OKIOT NATIONAL HIGH SCHOOL</v>
          </cell>
          <cell r="E4176">
            <v>0</v>
          </cell>
          <cell r="F4176">
            <v>0</v>
          </cell>
          <cell r="G4176">
            <v>0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0</v>
          </cell>
        </row>
        <row r="4177">
          <cell r="C4177">
            <v>323009</v>
          </cell>
          <cell r="D4177" t="str">
            <v>Tagpo National HS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2</v>
          </cell>
          <cell r="J4177">
            <v>1</v>
          </cell>
          <cell r="K4177">
            <v>0</v>
          </cell>
          <cell r="L4177">
            <v>0</v>
          </cell>
        </row>
        <row r="4178">
          <cell r="C4178">
            <v>323010</v>
          </cell>
          <cell r="D4178" t="str">
            <v>LUCILA C. YARED NATIONAL HIGH SCHOOL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0</v>
          </cell>
        </row>
        <row r="4179">
          <cell r="C4179">
            <v>323011</v>
          </cell>
          <cell r="D4179" t="str">
            <v>Bais City Olympia National High School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</row>
        <row r="4180">
          <cell r="C4180">
            <v>323012</v>
          </cell>
          <cell r="D4180" t="str">
            <v>Mayor Praxedes P. Villanueva II Memorial High School</v>
          </cell>
          <cell r="E4180">
            <v>0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0</v>
          </cell>
        </row>
        <row r="4181">
          <cell r="C4181">
            <v>323013</v>
          </cell>
          <cell r="D4181" t="str">
            <v>Tangculogan High School</v>
          </cell>
          <cell r="E4181">
            <v>0</v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</row>
        <row r="4182">
          <cell r="C4182">
            <v>303230</v>
          </cell>
          <cell r="D4182" t="str">
            <v>GUIHULNGAN NATIONAL AGRICULTURAL SCHOOL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</row>
        <row r="4183">
          <cell r="C4183">
            <v>303231</v>
          </cell>
          <cell r="D4183" t="str">
            <v>Guihulngan NHS - Poblacion</v>
          </cell>
          <cell r="E4183">
            <v>0</v>
          </cell>
          <cell r="F4183">
            <v>0</v>
          </cell>
          <cell r="G4183">
            <v>0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>
            <v>0</v>
          </cell>
        </row>
        <row r="4184">
          <cell r="C4184">
            <v>303232</v>
          </cell>
          <cell r="D4184" t="str">
            <v>Sandayao National High School</v>
          </cell>
          <cell r="E4184">
            <v>0</v>
          </cell>
          <cell r="F4184">
            <v>0</v>
          </cell>
          <cell r="G4184">
            <v>0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>
            <v>0</v>
          </cell>
        </row>
        <row r="4185">
          <cell r="C4185">
            <v>303233</v>
          </cell>
          <cell r="D4185" t="str">
            <v>Guihulngan NHS - Hilaitan</v>
          </cell>
          <cell r="E4185">
            <v>0</v>
          </cell>
          <cell r="F4185">
            <v>0</v>
          </cell>
          <cell r="G4185">
            <v>0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</row>
        <row r="4186">
          <cell r="C4186">
            <v>303275</v>
          </cell>
          <cell r="D4186" t="str">
            <v>Tagbino National High School</v>
          </cell>
          <cell r="E4186">
            <v>0</v>
          </cell>
          <cell r="F4186">
            <v>0</v>
          </cell>
          <cell r="G4186">
            <v>0</v>
          </cell>
          <cell r="H4186">
            <v>1</v>
          </cell>
          <cell r="I4186">
            <v>0</v>
          </cell>
          <cell r="J4186">
            <v>1</v>
          </cell>
          <cell r="K4186">
            <v>0</v>
          </cell>
          <cell r="L4186">
            <v>0</v>
          </cell>
        </row>
        <row r="4187">
          <cell r="C4187">
            <v>303292</v>
          </cell>
          <cell r="D4187" t="str">
            <v>Vallehermoso National High School</v>
          </cell>
          <cell r="E4187">
            <v>0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0</v>
          </cell>
        </row>
        <row r="4188">
          <cell r="C4188">
            <v>312904</v>
          </cell>
          <cell r="D4188" t="str">
            <v>Guba High School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</row>
        <row r="4189">
          <cell r="C4189">
            <v>312910</v>
          </cell>
          <cell r="D4189" t="str">
            <v>Trinidad National High School</v>
          </cell>
          <cell r="E4189">
            <v>0</v>
          </cell>
          <cell r="F4189">
            <v>0</v>
          </cell>
          <cell r="G4189">
            <v>0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0</v>
          </cell>
        </row>
        <row r="4190">
          <cell r="C4190">
            <v>312952</v>
          </cell>
          <cell r="D4190" t="str">
            <v>Guihulngan National High School-Poblacion (Linantuyan Annex)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</row>
        <row r="4191">
          <cell r="C4191">
            <v>312960</v>
          </cell>
          <cell r="D4191" t="str">
            <v>Pinucauan High School</v>
          </cell>
          <cell r="E4191">
            <v>0</v>
          </cell>
          <cell r="F4191">
            <v>0</v>
          </cell>
          <cell r="G4191">
            <v>0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</row>
        <row r="4192">
          <cell r="C4192">
            <v>324801</v>
          </cell>
          <cell r="D4192" t="str">
            <v>Magsaysay National High School</v>
          </cell>
          <cell r="E4192">
            <v>0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0</v>
          </cell>
        </row>
        <row r="4193">
          <cell r="C4193">
            <v>324802</v>
          </cell>
          <cell r="D4193" t="str">
            <v>P. Zamora National High School</v>
          </cell>
          <cell r="E4193">
            <v>0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</row>
        <row r="4194">
          <cell r="C4194">
            <v>324803</v>
          </cell>
          <cell r="D4194" t="str">
            <v>Buenavista National High School</v>
          </cell>
          <cell r="E4194">
            <v>0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</row>
        <row r="4195">
          <cell r="C4195">
            <v>324804</v>
          </cell>
          <cell r="D4195" t="str">
            <v>GNHS-Maculos Extension</v>
          </cell>
          <cell r="E4195">
            <v>0</v>
          </cell>
          <cell r="F4195">
            <v>0</v>
          </cell>
          <cell r="G4195">
            <v>0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0</v>
          </cell>
        </row>
        <row r="4196">
          <cell r="C4196">
            <v>324805</v>
          </cell>
          <cell r="D4196" t="str">
            <v>GNHS-Lip-o Extension</v>
          </cell>
          <cell r="E4196">
            <v>0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0</v>
          </cell>
        </row>
        <row r="4197">
          <cell r="C4197">
            <v>324806</v>
          </cell>
          <cell r="D4197" t="str">
            <v>GNHS-P, Binobohan Annex</v>
          </cell>
          <cell r="E4197">
            <v>0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</row>
        <row r="4198">
          <cell r="C4198">
            <v>302970</v>
          </cell>
          <cell r="D4198" t="str">
            <v>Can-asujan NHS</v>
          </cell>
          <cell r="E4198">
            <v>0</v>
          </cell>
          <cell r="F4198">
            <v>0</v>
          </cell>
          <cell r="G4198">
            <v>0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0</v>
          </cell>
        </row>
        <row r="4199">
          <cell r="C4199">
            <v>302972</v>
          </cell>
          <cell r="D4199" t="str">
            <v>Carcar Central National High School (Pob. Night)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</row>
        <row r="4200">
          <cell r="C4200">
            <v>303016</v>
          </cell>
          <cell r="D4200" t="str">
            <v>Maximino Noel Memorial National High School</v>
          </cell>
          <cell r="E4200">
            <v>0</v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</row>
        <row r="4201">
          <cell r="C4201">
            <v>303066</v>
          </cell>
          <cell r="D4201" t="str">
            <v>OCAÑA NATIONAL HIGH SCHOOL</v>
          </cell>
          <cell r="E4201">
            <v>0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</row>
        <row r="4202">
          <cell r="C4202">
            <v>303082</v>
          </cell>
          <cell r="D4202" t="str">
            <v>ROBERTO E. SATO MEMORIAL NATIONAL HIGH SCHOOL</v>
          </cell>
          <cell r="E4202">
            <v>0</v>
          </cell>
          <cell r="F4202">
            <v>0</v>
          </cell>
          <cell r="G4202">
            <v>0</v>
          </cell>
          <cell r="H4202">
            <v>0</v>
          </cell>
          <cell r="I4202">
            <v>2</v>
          </cell>
          <cell r="J4202">
            <v>6</v>
          </cell>
          <cell r="K4202">
            <v>2</v>
          </cell>
          <cell r="L4202">
            <v>6</v>
          </cell>
        </row>
        <row r="4203">
          <cell r="C4203">
            <v>303126</v>
          </cell>
          <cell r="D4203" t="str">
            <v>Valencia National Vocational HS</v>
          </cell>
          <cell r="E4203">
            <v>0</v>
          </cell>
          <cell r="F4203">
            <v>0</v>
          </cell>
          <cell r="G4203">
            <v>0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0</v>
          </cell>
        </row>
        <row r="4204">
          <cell r="C4204">
            <v>343971</v>
          </cell>
          <cell r="D4204" t="str">
            <v>Tuyom Senior High School</v>
          </cell>
          <cell r="E4204">
            <v>0</v>
          </cell>
          <cell r="F4204">
            <v>0</v>
          </cell>
          <cell r="G4204">
            <v>0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0</v>
          </cell>
        </row>
        <row r="4205">
          <cell r="C4205">
            <v>356059</v>
          </cell>
          <cell r="D4205" t="str">
            <v>Kalangyawon National High School</v>
          </cell>
          <cell r="E4205">
            <v>0</v>
          </cell>
          <cell r="F4205">
            <v>0</v>
          </cell>
          <cell r="G4205">
            <v>0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0</v>
          </cell>
        </row>
        <row r="4206">
          <cell r="C4206">
            <v>302930</v>
          </cell>
          <cell r="D4206" t="str">
            <v>Eduardo T. Oporto Memorial  National High School</v>
          </cell>
          <cell r="E4206">
            <v>0</v>
          </cell>
          <cell r="F4206">
            <v>0</v>
          </cell>
          <cell r="G4206">
            <v>0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0</v>
          </cell>
        </row>
        <row r="4207">
          <cell r="C4207">
            <v>302931</v>
          </cell>
          <cell r="D4207" t="str">
            <v>Binabag NHS</v>
          </cell>
          <cell r="E4207">
            <v>3</v>
          </cell>
          <cell r="F4207">
            <v>0</v>
          </cell>
          <cell r="G4207">
            <v>0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0</v>
          </cell>
        </row>
        <row r="4208">
          <cell r="C4208">
            <v>302932</v>
          </cell>
          <cell r="D4208" t="str">
            <v>Cayang NHS</v>
          </cell>
          <cell r="E4208">
            <v>0</v>
          </cell>
          <cell r="F4208">
            <v>0</v>
          </cell>
          <cell r="G4208">
            <v>0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0</v>
          </cell>
        </row>
        <row r="4209">
          <cell r="C4209">
            <v>302933</v>
          </cell>
          <cell r="D4209" t="str">
            <v>Don Potenciano Catarata MNHS</v>
          </cell>
          <cell r="E4209">
            <v>0</v>
          </cell>
          <cell r="F4209">
            <v>0</v>
          </cell>
          <cell r="G4209">
            <v>0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</row>
        <row r="4210">
          <cell r="C4210">
            <v>302934</v>
          </cell>
          <cell r="D4210" t="str">
            <v>Jovencio N. Masong NHS</v>
          </cell>
          <cell r="E4210">
            <v>0</v>
          </cell>
          <cell r="F4210">
            <v>0</v>
          </cell>
          <cell r="G4210">
            <v>0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</row>
        <row r="4211">
          <cell r="C4211">
            <v>302935</v>
          </cell>
          <cell r="D4211" t="str">
            <v>La Paz NHS</v>
          </cell>
          <cell r="E4211">
            <v>0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0</v>
          </cell>
        </row>
        <row r="4212">
          <cell r="C4212">
            <v>302936</v>
          </cell>
          <cell r="D4212" t="str">
            <v>Libertad NHS</v>
          </cell>
          <cell r="E4212">
            <v>0</v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</row>
        <row r="4213">
          <cell r="C4213">
            <v>302937</v>
          </cell>
          <cell r="D4213" t="str">
            <v>Odlot NHS</v>
          </cell>
          <cell r="E4213">
            <v>0</v>
          </cell>
          <cell r="F4213">
            <v>0</v>
          </cell>
          <cell r="G4213">
            <v>0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0</v>
          </cell>
        </row>
        <row r="4214">
          <cell r="C4214">
            <v>312405</v>
          </cell>
          <cell r="D4214" t="str">
            <v>Bartolome C.Pianar MNHS</v>
          </cell>
          <cell r="E4214">
            <v>0</v>
          </cell>
          <cell r="F4214">
            <v>0</v>
          </cell>
          <cell r="G4214">
            <v>0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</row>
        <row r="4215">
          <cell r="C4215">
            <v>312431</v>
          </cell>
          <cell r="D4215" t="str">
            <v>Anonang Sur Tabaco Frasco National High School</v>
          </cell>
          <cell r="E4215">
            <v>0</v>
          </cell>
          <cell r="F4215">
            <v>0</v>
          </cell>
          <cell r="G4215">
            <v>0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0</v>
          </cell>
        </row>
        <row r="4216">
          <cell r="C4216">
            <v>500407</v>
          </cell>
          <cell r="D4216" t="str">
            <v>City of Bogo Science and Arts Academy</v>
          </cell>
          <cell r="E4216">
            <v>0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</row>
        <row r="4217">
          <cell r="C4217">
            <v>500408</v>
          </cell>
          <cell r="D4217" t="str">
            <v>Don Celestino Martinez Sr. Taytayan IS</v>
          </cell>
          <cell r="E4217">
            <v>0</v>
          </cell>
          <cell r="F4217">
            <v>0</v>
          </cell>
          <cell r="G4217">
            <v>0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0</v>
          </cell>
        </row>
        <row r="4218">
          <cell r="C4218">
            <v>303121</v>
          </cell>
          <cell r="D4218" t="str">
            <v>Uling National High School</v>
          </cell>
          <cell r="E4218">
            <v>0</v>
          </cell>
          <cell r="F4218">
            <v>0</v>
          </cell>
          <cell r="G4218">
            <v>0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0</v>
          </cell>
        </row>
        <row r="4219">
          <cell r="C4219">
            <v>325301</v>
          </cell>
          <cell r="D4219" t="str">
            <v>Alpaco National High School</v>
          </cell>
          <cell r="E4219">
            <v>0</v>
          </cell>
          <cell r="F4219">
            <v>0</v>
          </cell>
          <cell r="G4219">
            <v>0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>
            <v>0</v>
          </cell>
        </row>
        <row r="4220">
          <cell r="C4220">
            <v>325303</v>
          </cell>
          <cell r="D4220" t="str">
            <v>Tinaan National High School</v>
          </cell>
          <cell r="E4220">
            <v>0</v>
          </cell>
          <cell r="F4220">
            <v>0</v>
          </cell>
          <cell r="G4220">
            <v>0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0</v>
          </cell>
        </row>
        <row r="4221">
          <cell r="C4221">
            <v>500218</v>
          </cell>
          <cell r="D4221" t="str">
            <v>Naga Special Education Center Elementary</v>
          </cell>
          <cell r="E4221">
            <v>0</v>
          </cell>
          <cell r="F4221">
            <v>0</v>
          </cell>
          <cell r="G4221">
            <v>0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0</v>
          </cell>
        </row>
        <row r="4222">
          <cell r="C4222">
            <v>303319</v>
          </cell>
          <cell r="D4222" t="str">
            <v>Almeria NHS</v>
          </cell>
          <cell r="E4222">
            <v>0</v>
          </cell>
          <cell r="F4222">
            <v>0</v>
          </cell>
          <cell r="G4222">
            <v>0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0</v>
          </cell>
        </row>
        <row r="4223">
          <cell r="C4223">
            <v>303320</v>
          </cell>
          <cell r="D4223" t="str">
            <v>Biliran National Agricultural High School</v>
          </cell>
          <cell r="E4223">
            <v>0</v>
          </cell>
          <cell r="F4223">
            <v>0</v>
          </cell>
          <cell r="G4223">
            <v>0</v>
          </cell>
          <cell r="H4223">
            <v>0</v>
          </cell>
          <cell r="I4223">
            <v>5</v>
          </cell>
          <cell r="J4223">
            <v>5</v>
          </cell>
          <cell r="K4223">
            <v>2</v>
          </cell>
          <cell r="L4223">
            <v>7</v>
          </cell>
        </row>
        <row r="4224">
          <cell r="C4224">
            <v>303321</v>
          </cell>
          <cell r="D4224" t="str">
            <v>Bool NHS</v>
          </cell>
          <cell r="E4224">
            <v>0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0</v>
          </cell>
        </row>
        <row r="4225">
          <cell r="C4225">
            <v>303322</v>
          </cell>
          <cell r="D4225" t="str">
            <v>Cabucgayan National School of Arts and Trade</v>
          </cell>
          <cell r="E4225">
            <v>0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</row>
        <row r="4226">
          <cell r="C4226">
            <v>303323</v>
          </cell>
          <cell r="D4226" t="str">
            <v>Cabucgayan NHS</v>
          </cell>
          <cell r="E4226">
            <v>0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</row>
        <row r="4227">
          <cell r="C4227">
            <v>303324</v>
          </cell>
          <cell r="D4227" t="str">
            <v>Culaba NVS</v>
          </cell>
          <cell r="E4227">
            <v>0</v>
          </cell>
          <cell r="F4227">
            <v>0</v>
          </cell>
          <cell r="G4227">
            <v>0</v>
          </cell>
          <cell r="H4227">
            <v>0</v>
          </cell>
          <cell r="I4227">
            <v>5</v>
          </cell>
          <cell r="J4227">
            <v>3</v>
          </cell>
          <cell r="K4227">
            <v>0</v>
          </cell>
          <cell r="L4227">
            <v>0</v>
          </cell>
        </row>
        <row r="4228">
          <cell r="C4228">
            <v>303325</v>
          </cell>
          <cell r="D4228" t="str">
            <v>Fidel M. Limpiado Sr. NHS</v>
          </cell>
          <cell r="E4228">
            <v>0</v>
          </cell>
          <cell r="F4228">
            <v>0</v>
          </cell>
          <cell r="G4228">
            <v>0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0</v>
          </cell>
        </row>
        <row r="4229">
          <cell r="C4229">
            <v>303326</v>
          </cell>
          <cell r="D4229" t="str">
            <v>Kawayan National High School</v>
          </cell>
          <cell r="E4229">
            <v>0</v>
          </cell>
          <cell r="F4229">
            <v>0</v>
          </cell>
          <cell r="G4229">
            <v>0</v>
          </cell>
          <cell r="H4229">
            <v>0</v>
          </cell>
          <cell r="I4229">
            <v>1</v>
          </cell>
          <cell r="J4229">
            <v>1</v>
          </cell>
          <cell r="K4229">
            <v>1</v>
          </cell>
          <cell r="L4229">
            <v>0</v>
          </cell>
        </row>
        <row r="4230">
          <cell r="C4230">
            <v>303327</v>
          </cell>
          <cell r="D4230" t="str">
            <v>Lucsoon NHS</v>
          </cell>
          <cell r="E4230">
            <v>0</v>
          </cell>
          <cell r="F4230">
            <v>0</v>
          </cell>
          <cell r="G4230">
            <v>0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0</v>
          </cell>
        </row>
        <row r="4231">
          <cell r="C4231">
            <v>303328</v>
          </cell>
          <cell r="D4231" t="str">
            <v>Caibiran National High School</v>
          </cell>
          <cell r="E4231">
            <v>0</v>
          </cell>
          <cell r="F4231">
            <v>0</v>
          </cell>
          <cell r="G4231">
            <v>0</v>
          </cell>
          <cell r="H4231">
            <v>0</v>
          </cell>
          <cell r="I4231">
            <v>3</v>
          </cell>
          <cell r="J4231">
            <v>9</v>
          </cell>
          <cell r="K4231">
            <v>0</v>
          </cell>
          <cell r="L4231">
            <v>0</v>
          </cell>
        </row>
        <row r="4232">
          <cell r="C4232">
            <v>303329</v>
          </cell>
          <cell r="D4232" t="str">
            <v>Maripipi NVS</v>
          </cell>
          <cell r="E4232">
            <v>0</v>
          </cell>
          <cell r="F4232">
            <v>0</v>
          </cell>
          <cell r="G4232">
            <v>0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0</v>
          </cell>
        </row>
        <row r="4233">
          <cell r="C4233">
            <v>303330</v>
          </cell>
          <cell r="D4233" t="str">
            <v>Naval National High School</v>
          </cell>
          <cell r="E4233">
            <v>0</v>
          </cell>
          <cell r="F4233">
            <v>0</v>
          </cell>
          <cell r="G4233">
            <v>0</v>
          </cell>
          <cell r="H4233">
            <v>0</v>
          </cell>
          <cell r="I4233">
            <v>4</v>
          </cell>
          <cell r="J4233">
            <v>7</v>
          </cell>
          <cell r="K4233">
            <v>1</v>
          </cell>
          <cell r="L4233">
            <v>1</v>
          </cell>
        </row>
        <row r="4234">
          <cell r="C4234">
            <v>303331</v>
          </cell>
          <cell r="D4234" t="str">
            <v>Naval School of Fisheries</v>
          </cell>
          <cell r="E4234">
            <v>0</v>
          </cell>
          <cell r="F4234">
            <v>0</v>
          </cell>
          <cell r="G4234">
            <v>0</v>
          </cell>
          <cell r="H4234">
            <v>0</v>
          </cell>
          <cell r="I4234">
            <v>3</v>
          </cell>
          <cell r="J4234">
            <v>20</v>
          </cell>
          <cell r="K4234">
            <v>1</v>
          </cell>
          <cell r="L4234">
            <v>0</v>
          </cell>
        </row>
        <row r="4235">
          <cell r="C4235">
            <v>303332</v>
          </cell>
          <cell r="D4235" t="str">
            <v>Tabunan National High School</v>
          </cell>
          <cell r="E4235">
            <v>0</v>
          </cell>
          <cell r="F4235">
            <v>0</v>
          </cell>
          <cell r="G4235">
            <v>0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0</v>
          </cell>
        </row>
        <row r="4236">
          <cell r="C4236">
            <v>303333</v>
          </cell>
          <cell r="D4236" t="str">
            <v>Tucdao National High School</v>
          </cell>
          <cell r="E4236">
            <v>0</v>
          </cell>
          <cell r="F4236">
            <v>0</v>
          </cell>
          <cell r="G4236">
            <v>0</v>
          </cell>
          <cell r="H4236">
            <v>0</v>
          </cell>
          <cell r="I4236">
            <v>8</v>
          </cell>
          <cell r="J4236">
            <v>11</v>
          </cell>
          <cell r="K4236">
            <v>0</v>
          </cell>
          <cell r="L4236">
            <v>0</v>
          </cell>
        </row>
        <row r="4237">
          <cell r="C4237">
            <v>303334</v>
          </cell>
          <cell r="D4237" t="str">
            <v>Viga National High School</v>
          </cell>
          <cell r="E4237">
            <v>0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</row>
        <row r="4238">
          <cell r="C4238">
            <v>313201</v>
          </cell>
          <cell r="D4238" t="str">
            <v>Western Biliran High School for the Arts and Culture</v>
          </cell>
          <cell r="E4238">
            <v>0</v>
          </cell>
          <cell r="F4238">
            <v>0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0</v>
          </cell>
        </row>
        <row r="4239">
          <cell r="C4239">
            <v>313202</v>
          </cell>
          <cell r="D4239" t="str">
            <v>Biliran Science High School</v>
          </cell>
          <cell r="E4239">
            <v>0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</row>
        <row r="4240">
          <cell r="C4240">
            <v>313203</v>
          </cell>
          <cell r="D4240" t="str">
            <v>ICT High School of Eastern Biliran</v>
          </cell>
          <cell r="E4240">
            <v>0</v>
          </cell>
          <cell r="F4240">
            <v>0</v>
          </cell>
          <cell r="G4240">
            <v>0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</row>
        <row r="4241">
          <cell r="C4241">
            <v>313204</v>
          </cell>
          <cell r="D4241" t="str">
            <v>Naval Night High School</v>
          </cell>
          <cell r="E4241">
            <v>0</v>
          </cell>
          <cell r="F4241">
            <v>0</v>
          </cell>
          <cell r="G4241">
            <v>0</v>
          </cell>
          <cell r="H4241">
            <v>0</v>
          </cell>
          <cell r="I4241">
            <v>2</v>
          </cell>
          <cell r="J4241">
            <v>4</v>
          </cell>
          <cell r="K4241">
            <v>0</v>
          </cell>
          <cell r="L4241">
            <v>1</v>
          </cell>
        </row>
        <row r="4242">
          <cell r="C4242">
            <v>303335</v>
          </cell>
          <cell r="D4242" t="str">
            <v>Abuyog National High School</v>
          </cell>
          <cell r="E4242">
            <v>0</v>
          </cell>
          <cell r="F4242">
            <v>0</v>
          </cell>
          <cell r="G4242">
            <v>0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</row>
        <row r="4243">
          <cell r="C4243">
            <v>303336</v>
          </cell>
          <cell r="D4243" t="str">
            <v>Alangalang National High School</v>
          </cell>
          <cell r="E4243">
            <v>0</v>
          </cell>
          <cell r="F4243">
            <v>0</v>
          </cell>
          <cell r="G4243">
            <v>0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</row>
        <row r="4244">
          <cell r="C4244">
            <v>303337</v>
          </cell>
          <cell r="D4244" t="str">
            <v>Alfredo Parilla National High School</v>
          </cell>
          <cell r="E4244">
            <v>0</v>
          </cell>
          <cell r="F4244">
            <v>0</v>
          </cell>
          <cell r="G4244">
            <v>0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</row>
        <row r="4245">
          <cell r="C4245">
            <v>303338</v>
          </cell>
          <cell r="D4245" t="str">
            <v>Anahawan National High School</v>
          </cell>
          <cell r="E4245">
            <v>0</v>
          </cell>
          <cell r="F4245">
            <v>0</v>
          </cell>
          <cell r="G4245">
            <v>0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</row>
        <row r="4246">
          <cell r="C4246">
            <v>303339</v>
          </cell>
          <cell r="D4246" t="str">
            <v>Anahaway National High School</v>
          </cell>
          <cell r="E4246">
            <v>0</v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  <cell r="J4246">
            <v>5</v>
          </cell>
          <cell r="K4246">
            <v>0</v>
          </cell>
          <cell r="L4246">
            <v>1</v>
          </cell>
        </row>
        <row r="4247">
          <cell r="C4247">
            <v>303340</v>
          </cell>
          <cell r="D4247" t="str">
            <v>Astorga National High School</v>
          </cell>
          <cell r="E4247">
            <v>0</v>
          </cell>
          <cell r="F4247">
            <v>0</v>
          </cell>
          <cell r="G4247">
            <v>0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</row>
        <row r="4248">
          <cell r="C4248">
            <v>303341</v>
          </cell>
          <cell r="D4248" t="str">
            <v>Asuncion S. Melgar National High School</v>
          </cell>
          <cell r="E4248">
            <v>0</v>
          </cell>
          <cell r="F4248">
            <v>0</v>
          </cell>
          <cell r="G4248">
            <v>0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0</v>
          </cell>
        </row>
        <row r="4249">
          <cell r="C4249">
            <v>303342</v>
          </cell>
          <cell r="D4249" t="str">
            <v>Atty. Roque A. Marcos Memorial School (La Paz NHS)</v>
          </cell>
          <cell r="E4249">
            <v>0</v>
          </cell>
          <cell r="F4249">
            <v>0</v>
          </cell>
          <cell r="G4249">
            <v>0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</row>
        <row r="4250">
          <cell r="C4250">
            <v>303343</v>
          </cell>
          <cell r="D4250" t="str">
            <v>Juan S. Tismo National High School (Babatngon National High School)</v>
          </cell>
          <cell r="E4250">
            <v>0</v>
          </cell>
          <cell r="F4250">
            <v>0</v>
          </cell>
          <cell r="G4250">
            <v>0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</row>
        <row r="4251">
          <cell r="C4251">
            <v>303344</v>
          </cell>
          <cell r="D4251" t="str">
            <v>Balocawehay National High School</v>
          </cell>
          <cell r="E4251">
            <v>0</v>
          </cell>
          <cell r="F4251">
            <v>0</v>
          </cell>
          <cell r="G4251">
            <v>0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0</v>
          </cell>
        </row>
        <row r="4252">
          <cell r="C4252">
            <v>303345</v>
          </cell>
          <cell r="D4252" t="str">
            <v>Balugo National High School</v>
          </cell>
          <cell r="E4252">
            <v>0</v>
          </cell>
          <cell r="F4252">
            <v>0</v>
          </cell>
          <cell r="G4252">
            <v>0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0</v>
          </cell>
        </row>
        <row r="4253">
          <cell r="C4253">
            <v>303346</v>
          </cell>
          <cell r="D4253" t="str">
            <v>Bato National High School</v>
          </cell>
          <cell r="E4253">
            <v>0</v>
          </cell>
          <cell r="F4253">
            <v>0</v>
          </cell>
          <cell r="G4253">
            <v>0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0</v>
          </cell>
        </row>
        <row r="4254">
          <cell r="C4254">
            <v>303347</v>
          </cell>
          <cell r="D4254" t="str">
            <v>Bato School of Fisheries</v>
          </cell>
          <cell r="E4254">
            <v>0</v>
          </cell>
          <cell r="F4254">
            <v>0</v>
          </cell>
          <cell r="G4254">
            <v>0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0</v>
          </cell>
        </row>
        <row r="4255">
          <cell r="C4255">
            <v>303350</v>
          </cell>
          <cell r="D4255" t="str">
            <v>Bontoc Senior High School</v>
          </cell>
          <cell r="E4255">
            <v>0</v>
          </cell>
          <cell r="F4255">
            <v>0</v>
          </cell>
          <cell r="G4255">
            <v>0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0</v>
          </cell>
        </row>
        <row r="4256">
          <cell r="C4256">
            <v>303352</v>
          </cell>
          <cell r="D4256" t="str">
            <v>Bung-aw National High School</v>
          </cell>
          <cell r="E4256">
            <v>0</v>
          </cell>
          <cell r="F4256">
            <v>0</v>
          </cell>
          <cell r="G4256">
            <v>0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0</v>
          </cell>
        </row>
        <row r="4257">
          <cell r="C4257">
            <v>303353</v>
          </cell>
          <cell r="D4257" t="str">
            <v>Burauen Comprehensive National High School</v>
          </cell>
          <cell r="E4257">
            <v>0</v>
          </cell>
          <cell r="F4257">
            <v>0</v>
          </cell>
          <cell r="G4257">
            <v>0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0</v>
          </cell>
        </row>
        <row r="4258">
          <cell r="C4258">
            <v>303354</v>
          </cell>
          <cell r="D4258" t="str">
            <v>Burauen National High School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0</v>
          </cell>
        </row>
        <row r="4259">
          <cell r="C4259">
            <v>303355</v>
          </cell>
          <cell r="D4259" t="str">
            <v>Cabacungan National High School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0</v>
          </cell>
        </row>
        <row r="4260">
          <cell r="C4260">
            <v>303356</v>
          </cell>
          <cell r="D4260" t="str">
            <v>Cahagnaan National High School</v>
          </cell>
          <cell r="E4260">
            <v>0</v>
          </cell>
          <cell r="F4260">
            <v>0</v>
          </cell>
          <cell r="G4260">
            <v>0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0</v>
          </cell>
        </row>
        <row r="4261">
          <cell r="C4261">
            <v>303357</v>
          </cell>
          <cell r="D4261" t="str">
            <v>Calingcaguing National High School</v>
          </cell>
          <cell r="E4261">
            <v>0</v>
          </cell>
          <cell r="F4261">
            <v>0</v>
          </cell>
          <cell r="G4261">
            <v>0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</row>
        <row r="4262">
          <cell r="C4262">
            <v>303358</v>
          </cell>
          <cell r="D4262" t="str">
            <v>Calubian National High School (Calubian Nat'l. Voc'l. School)</v>
          </cell>
          <cell r="E4262">
            <v>0</v>
          </cell>
          <cell r="F4262">
            <v>0</v>
          </cell>
          <cell r="G4262">
            <v>0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0</v>
          </cell>
        </row>
        <row r="4263">
          <cell r="C4263">
            <v>303359</v>
          </cell>
          <cell r="D4263" t="str">
            <v>Cantuhaon National High School</v>
          </cell>
          <cell r="E4263">
            <v>0</v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</row>
        <row r="4264">
          <cell r="C4264">
            <v>303361</v>
          </cell>
          <cell r="D4264" t="str">
            <v>Carigara National High School</v>
          </cell>
          <cell r="E4264">
            <v>0</v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0</v>
          </cell>
        </row>
        <row r="4265">
          <cell r="C4265">
            <v>303362</v>
          </cell>
          <cell r="D4265" t="str">
            <v>Carigara National Vocational School</v>
          </cell>
          <cell r="E4265">
            <v>0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0</v>
          </cell>
        </row>
        <row r="4266">
          <cell r="C4266">
            <v>303363</v>
          </cell>
          <cell r="D4266" t="str">
            <v>Celestino De Guzman Memorial National High School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0</v>
          </cell>
        </row>
        <row r="4267">
          <cell r="C4267">
            <v>303364</v>
          </cell>
          <cell r="D4267" t="str">
            <v>Conalum National High School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7</v>
          </cell>
          <cell r="K4267">
            <v>0</v>
          </cell>
          <cell r="L4267">
            <v>7</v>
          </cell>
        </row>
        <row r="4268">
          <cell r="C4268">
            <v>303365</v>
          </cell>
          <cell r="D4268" t="str">
            <v>Concepcion National High School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</row>
        <row r="4269">
          <cell r="C4269">
            <v>303366</v>
          </cell>
          <cell r="D4269" t="str">
            <v>Damulaan National High School</v>
          </cell>
          <cell r="E4269">
            <v>0</v>
          </cell>
          <cell r="F4269">
            <v>0</v>
          </cell>
          <cell r="G4269">
            <v>0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0</v>
          </cell>
        </row>
        <row r="4270">
          <cell r="C4270">
            <v>303367</v>
          </cell>
          <cell r="D4270" t="str">
            <v>Don Mariano Salvacion Memorial National High School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</row>
        <row r="4271">
          <cell r="C4271">
            <v>303368</v>
          </cell>
          <cell r="D4271" t="str">
            <v>Dr. Geronimo B. Zaldivar Memorial School of Fisheries</v>
          </cell>
          <cell r="E4271">
            <v>0</v>
          </cell>
          <cell r="F4271">
            <v>0</v>
          </cell>
          <cell r="G4271">
            <v>0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0</v>
          </cell>
        </row>
        <row r="4272">
          <cell r="C4272">
            <v>303369</v>
          </cell>
          <cell r="D4272" t="str">
            <v>Dulag National High School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0</v>
          </cell>
        </row>
        <row r="4273">
          <cell r="C4273">
            <v>303370</v>
          </cell>
          <cell r="D4273" t="str">
            <v>Esperanza National High School</v>
          </cell>
          <cell r="E4273">
            <v>0</v>
          </cell>
          <cell r="F4273">
            <v>0</v>
          </cell>
          <cell r="G4273">
            <v>0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</row>
        <row r="4274">
          <cell r="C4274">
            <v>303371</v>
          </cell>
          <cell r="D4274" t="str">
            <v>Granja-Kalinawan National High School</v>
          </cell>
          <cell r="E4274">
            <v>0</v>
          </cell>
          <cell r="F4274">
            <v>0</v>
          </cell>
          <cell r="G4274">
            <v>0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0</v>
          </cell>
        </row>
        <row r="4275">
          <cell r="C4275">
            <v>303372</v>
          </cell>
          <cell r="D4275" t="str">
            <v>Guinarona National High School</v>
          </cell>
          <cell r="E4275">
            <v>0</v>
          </cell>
          <cell r="F4275">
            <v>0</v>
          </cell>
          <cell r="G4275">
            <v>0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0</v>
          </cell>
        </row>
        <row r="4276">
          <cell r="C4276">
            <v>303373</v>
          </cell>
          <cell r="D4276" t="str">
            <v>Hampipila National High School</v>
          </cell>
          <cell r="E4276">
            <v>0</v>
          </cell>
          <cell r="F4276">
            <v>0</v>
          </cell>
          <cell r="G4276">
            <v>0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>
            <v>0</v>
          </cell>
        </row>
        <row r="4277">
          <cell r="C4277">
            <v>303374</v>
          </cell>
          <cell r="D4277" t="str">
            <v>Hilongos National Vocational School</v>
          </cell>
          <cell r="E4277">
            <v>0</v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0</v>
          </cell>
        </row>
        <row r="4278">
          <cell r="C4278">
            <v>303375</v>
          </cell>
          <cell r="D4278" t="str">
            <v>Hindang National High School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>
            <v>0</v>
          </cell>
        </row>
        <row r="4279">
          <cell r="C4279">
            <v>303376</v>
          </cell>
          <cell r="D4279" t="str">
            <v>Hitudpan National High School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0</v>
          </cell>
        </row>
        <row r="4280">
          <cell r="C4280">
            <v>303377</v>
          </cell>
          <cell r="D4280" t="str">
            <v>Inopacan  National High School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>
            <v>0</v>
          </cell>
        </row>
        <row r="4281">
          <cell r="C4281">
            <v>303378</v>
          </cell>
          <cell r="D4281" t="str">
            <v>Isabel National High School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0</v>
          </cell>
        </row>
        <row r="4282">
          <cell r="C4282">
            <v>303379</v>
          </cell>
          <cell r="D4282" t="str">
            <v>Javier National High School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0</v>
          </cell>
        </row>
        <row r="4283">
          <cell r="C4283">
            <v>303380</v>
          </cell>
          <cell r="D4283" t="str">
            <v>Juan Villablanca Memorial High School</v>
          </cell>
          <cell r="E4283">
            <v>0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0</v>
          </cell>
        </row>
        <row r="4284">
          <cell r="C4284">
            <v>303382</v>
          </cell>
          <cell r="D4284" t="str">
            <v>Justimbaste-Remandaban National High School</v>
          </cell>
          <cell r="E4284">
            <v>0</v>
          </cell>
          <cell r="F4284">
            <v>0</v>
          </cell>
          <cell r="G4284">
            <v>0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0</v>
          </cell>
        </row>
        <row r="4285">
          <cell r="C4285">
            <v>303383</v>
          </cell>
          <cell r="D4285" t="str">
            <v>Kananga National High School - Main</v>
          </cell>
          <cell r="E4285">
            <v>0</v>
          </cell>
          <cell r="F4285">
            <v>0</v>
          </cell>
          <cell r="G4285">
            <v>0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</row>
        <row r="4286">
          <cell r="C4286">
            <v>303385</v>
          </cell>
          <cell r="D4286" t="str">
            <v>Kikilo National High School</v>
          </cell>
          <cell r="E4286">
            <v>0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0</v>
          </cell>
        </row>
        <row r="4287">
          <cell r="C4287">
            <v>303386</v>
          </cell>
          <cell r="D4287" t="str">
            <v>Kiling National High School</v>
          </cell>
          <cell r="E4287">
            <v>0</v>
          </cell>
          <cell r="F4287">
            <v>0</v>
          </cell>
          <cell r="G4287">
            <v>0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0</v>
          </cell>
        </row>
        <row r="4288">
          <cell r="C4288">
            <v>303387</v>
          </cell>
          <cell r="D4288" t="str">
            <v>Leyte Agro-Industrial School</v>
          </cell>
          <cell r="E4288">
            <v>0</v>
          </cell>
          <cell r="F4288">
            <v>0</v>
          </cell>
          <cell r="G4288">
            <v>0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1</v>
          </cell>
        </row>
        <row r="4289">
          <cell r="C4289">
            <v>303388</v>
          </cell>
          <cell r="D4289" t="str">
            <v>Tanauan Sch. Of Craftsmanship &amp; Home Industries (LIT-Tanauan Campus)Campus</v>
          </cell>
          <cell r="E4289">
            <v>0</v>
          </cell>
          <cell r="F4289">
            <v>0</v>
          </cell>
          <cell r="G4289">
            <v>0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0</v>
          </cell>
        </row>
        <row r="4290">
          <cell r="C4290">
            <v>303389</v>
          </cell>
          <cell r="D4290" t="str">
            <v>Villaba National High School (LNCAST)</v>
          </cell>
          <cell r="E4290">
            <v>0</v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</row>
        <row r="4291">
          <cell r="C4291">
            <v>303390</v>
          </cell>
          <cell r="D4291" t="str">
            <v>Leyte National High School</v>
          </cell>
          <cell r="E4291">
            <v>0</v>
          </cell>
          <cell r="F4291">
            <v>0</v>
          </cell>
          <cell r="G4291">
            <v>0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0</v>
          </cell>
        </row>
        <row r="4292">
          <cell r="C4292">
            <v>303391</v>
          </cell>
          <cell r="D4292" t="str">
            <v>Daniel Z. Romualdez State Comprehensive School of Fisheries</v>
          </cell>
          <cell r="E4292">
            <v>0</v>
          </cell>
          <cell r="F4292">
            <v>0</v>
          </cell>
          <cell r="G4292">
            <v>0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0</v>
          </cell>
        </row>
        <row r="4293">
          <cell r="C4293">
            <v>303392</v>
          </cell>
          <cell r="D4293" t="str">
            <v>Alangalang Agro-Industrial School (LSU - Alangalang Campus)</v>
          </cell>
          <cell r="E4293">
            <v>0</v>
          </cell>
          <cell r="F4293">
            <v>0</v>
          </cell>
          <cell r="G4293">
            <v>0</v>
          </cell>
          <cell r="H4293">
            <v>0</v>
          </cell>
          <cell r="I4293">
            <v>2</v>
          </cell>
          <cell r="J4293">
            <v>7</v>
          </cell>
          <cell r="K4293">
            <v>0</v>
          </cell>
          <cell r="L4293">
            <v>2</v>
          </cell>
        </row>
        <row r="4294">
          <cell r="C4294">
            <v>303394</v>
          </cell>
          <cell r="D4294" t="str">
            <v>Libertad National High School</v>
          </cell>
          <cell r="E4294">
            <v>0</v>
          </cell>
          <cell r="F4294">
            <v>0</v>
          </cell>
          <cell r="G4294">
            <v>0</v>
          </cell>
          <cell r="H4294">
            <v>0</v>
          </cell>
          <cell r="I4294">
            <v>3</v>
          </cell>
          <cell r="J4294">
            <v>2</v>
          </cell>
          <cell r="K4294">
            <v>1</v>
          </cell>
          <cell r="L4294">
            <v>1</v>
          </cell>
        </row>
        <row r="4295">
          <cell r="C4295">
            <v>303395</v>
          </cell>
          <cell r="D4295" t="str">
            <v>Lim-ao National High School</v>
          </cell>
          <cell r="E4295">
            <v>0</v>
          </cell>
          <cell r="F4295">
            <v>0</v>
          </cell>
          <cell r="G4295">
            <v>0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0</v>
          </cell>
        </row>
        <row r="4296">
          <cell r="C4296">
            <v>303396</v>
          </cell>
          <cell r="D4296" t="str">
            <v>Lomonon National High School</v>
          </cell>
          <cell r="E4296">
            <v>0</v>
          </cell>
          <cell r="F4296">
            <v>0</v>
          </cell>
          <cell r="G4296">
            <v>0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0</v>
          </cell>
        </row>
        <row r="4297">
          <cell r="C4297">
            <v>303397</v>
          </cell>
          <cell r="D4297" t="str">
            <v>Macarthur National High School</v>
          </cell>
          <cell r="E4297">
            <v>0</v>
          </cell>
          <cell r="F4297">
            <v>0</v>
          </cell>
          <cell r="G4297">
            <v>0</v>
          </cell>
          <cell r="H4297">
            <v>0</v>
          </cell>
          <cell r="I4297">
            <v>2</v>
          </cell>
          <cell r="J4297">
            <v>5</v>
          </cell>
          <cell r="K4297">
            <v>2</v>
          </cell>
          <cell r="L4297">
            <v>5</v>
          </cell>
        </row>
        <row r="4298">
          <cell r="C4298">
            <v>303398</v>
          </cell>
          <cell r="D4298" t="str">
            <v>Mahaplag National High School</v>
          </cell>
          <cell r="E4298">
            <v>0</v>
          </cell>
          <cell r="F4298">
            <v>0</v>
          </cell>
          <cell r="G4298">
            <v>0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>
            <v>0</v>
          </cell>
        </row>
        <row r="4299">
          <cell r="C4299">
            <v>303399</v>
          </cell>
          <cell r="D4299" t="str">
            <v>Mahaplag National High School - Upper RA 7047</v>
          </cell>
          <cell r="E4299">
            <v>0</v>
          </cell>
          <cell r="F4299">
            <v>0</v>
          </cell>
          <cell r="G4299">
            <v>0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0</v>
          </cell>
        </row>
        <row r="4300">
          <cell r="C4300">
            <v>303401</v>
          </cell>
          <cell r="D4300" t="str">
            <v>Malibago National High School</v>
          </cell>
          <cell r="E4300">
            <v>0</v>
          </cell>
          <cell r="F4300">
            <v>0</v>
          </cell>
          <cell r="G4300">
            <v>0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>
            <v>0</v>
          </cell>
        </row>
        <row r="4301">
          <cell r="C4301">
            <v>303402</v>
          </cell>
          <cell r="D4301" t="str">
            <v>Marao National High School</v>
          </cell>
          <cell r="E4301">
            <v>0</v>
          </cell>
          <cell r="F4301">
            <v>0</v>
          </cell>
          <cell r="G4301">
            <v>0</v>
          </cell>
          <cell r="H4301">
            <v>0</v>
          </cell>
          <cell r="I4301">
            <v>0</v>
          </cell>
          <cell r="J4301">
            <v>2</v>
          </cell>
          <cell r="K4301">
            <v>0</v>
          </cell>
          <cell r="L4301">
            <v>1</v>
          </cell>
        </row>
        <row r="4302">
          <cell r="C4302">
            <v>303403</v>
          </cell>
          <cell r="D4302" t="str">
            <v>Marcelino R. Veloso National High School (Marcelino R. Veloso NHS)</v>
          </cell>
          <cell r="E4302">
            <v>0</v>
          </cell>
          <cell r="F4302">
            <v>0</v>
          </cell>
          <cell r="G4302">
            <v>0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>
            <v>0</v>
          </cell>
        </row>
        <row r="4303">
          <cell r="C4303">
            <v>303405</v>
          </cell>
          <cell r="D4303" t="str">
            <v>Matalom National High School</v>
          </cell>
          <cell r="E4303">
            <v>0</v>
          </cell>
          <cell r="F4303">
            <v>0</v>
          </cell>
          <cell r="G4303">
            <v>0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0</v>
          </cell>
        </row>
        <row r="4304">
          <cell r="C4304">
            <v>303406</v>
          </cell>
          <cell r="D4304" t="str">
            <v>Matlang National High School</v>
          </cell>
          <cell r="E4304">
            <v>0</v>
          </cell>
          <cell r="F4304">
            <v>0</v>
          </cell>
          <cell r="G4304">
            <v>0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0</v>
          </cell>
        </row>
        <row r="4305">
          <cell r="C4305">
            <v>303407</v>
          </cell>
          <cell r="D4305" t="str">
            <v>Mayorga National High School</v>
          </cell>
          <cell r="E4305">
            <v>0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9</v>
          </cell>
          <cell r="K4305">
            <v>0</v>
          </cell>
          <cell r="L4305">
            <v>1</v>
          </cell>
        </row>
        <row r="4306">
          <cell r="C4306">
            <v>303408</v>
          </cell>
          <cell r="D4306" t="str">
            <v>Merida Vocational School</v>
          </cell>
          <cell r="E4306">
            <v>0</v>
          </cell>
          <cell r="F4306">
            <v>0</v>
          </cell>
          <cell r="G4306">
            <v>0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0</v>
          </cell>
        </row>
        <row r="4307">
          <cell r="C4307">
            <v>303409</v>
          </cell>
          <cell r="D4307" t="str">
            <v>Calunangan National High School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0</v>
          </cell>
        </row>
        <row r="4308">
          <cell r="C4308">
            <v>303410</v>
          </cell>
          <cell r="D4308" t="str">
            <v>Puerto Bello National High School</v>
          </cell>
          <cell r="E4308">
            <v>0</v>
          </cell>
          <cell r="F4308">
            <v>0</v>
          </cell>
          <cell r="G4308">
            <v>0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0</v>
          </cell>
        </row>
        <row r="4309">
          <cell r="C4309">
            <v>303411</v>
          </cell>
          <cell r="D4309" t="str">
            <v>Muertegui National High School</v>
          </cell>
          <cell r="E4309">
            <v>0</v>
          </cell>
          <cell r="F4309">
            <v>0</v>
          </cell>
          <cell r="G4309">
            <v>0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0</v>
          </cell>
        </row>
        <row r="4310">
          <cell r="C4310">
            <v>303412</v>
          </cell>
          <cell r="D4310" t="str">
            <v>Naval National High School</v>
          </cell>
          <cell r="E4310">
            <v>0</v>
          </cell>
          <cell r="F4310">
            <v>0</v>
          </cell>
          <cell r="G4310">
            <v>0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0</v>
          </cell>
        </row>
        <row r="4311">
          <cell r="C4311">
            <v>303413</v>
          </cell>
          <cell r="D4311" t="str">
            <v>Pagsulhugon National High School</v>
          </cell>
          <cell r="E4311">
            <v>0</v>
          </cell>
          <cell r="F4311">
            <v>0</v>
          </cell>
          <cell r="G4311">
            <v>0</v>
          </cell>
          <cell r="H4311">
            <v>0</v>
          </cell>
          <cell r="I4311">
            <v>1</v>
          </cell>
          <cell r="J4311">
            <v>3</v>
          </cell>
          <cell r="K4311">
            <v>0</v>
          </cell>
          <cell r="L4311">
            <v>0</v>
          </cell>
        </row>
        <row r="4312">
          <cell r="C4312">
            <v>303414</v>
          </cell>
          <cell r="D4312" t="str">
            <v>Palale National High School</v>
          </cell>
          <cell r="E4312">
            <v>0</v>
          </cell>
          <cell r="F4312">
            <v>0</v>
          </cell>
          <cell r="G4312">
            <v>0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0</v>
          </cell>
        </row>
        <row r="4313">
          <cell r="C4313">
            <v>303415</v>
          </cell>
          <cell r="D4313" t="str">
            <v>Palo National High School</v>
          </cell>
          <cell r="E4313">
            <v>0</v>
          </cell>
          <cell r="F4313">
            <v>0</v>
          </cell>
          <cell r="G4313">
            <v>0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0</v>
          </cell>
        </row>
        <row r="4314">
          <cell r="C4314">
            <v>303416</v>
          </cell>
          <cell r="D4314" t="str">
            <v>Pastor Salazar National High School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0</v>
          </cell>
        </row>
        <row r="4315">
          <cell r="C4315">
            <v>303417</v>
          </cell>
          <cell r="D4315" t="str">
            <v>Patoc National High School</v>
          </cell>
          <cell r="E4315">
            <v>0</v>
          </cell>
          <cell r="F4315">
            <v>0</v>
          </cell>
          <cell r="G4315">
            <v>0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>
            <v>0</v>
          </cell>
        </row>
        <row r="4316">
          <cell r="C4316">
            <v>303418</v>
          </cell>
          <cell r="D4316" t="str">
            <v>Pinamopoan National High School</v>
          </cell>
          <cell r="E4316">
            <v>0</v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0</v>
          </cell>
        </row>
        <row r="4317">
          <cell r="C4317">
            <v>303421</v>
          </cell>
          <cell r="D4317" t="str">
            <v>Emeterio-Federica Gerez National High School</v>
          </cell>
          <cell r="E4317">
            <v>0</v>
          </cell>
          <cell r="F4317">
            <v>0</v>
          </cell>
          <cell r="G4317">
            <v>0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0</v>
          </cell>
        </row>
        <row r="4318">
          <cell r="C4318">
            <v>303422</v>
          </cell>
          <cell r="D4318" t="str">
            <v>San Francisco National High School</v>
          </cell>
          <cell r="E4318">
            <v>0</v>
          </cell>
          <cell r="F4318">
            <v>0</v>
          </cell>
          <cell r="G4318">
            <v>0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0</v>
          </cell>
        </row>
        <row r="4319">
          <cell r="C4319">
            <v>303423</v>
          </cell>
          <cell r="D4319" t="str">
            <v>San Isidro National High School</v>
          </cell>
          <cell r="E4319">
            <v>0</v>
          </cell>
          <cell r="F4319">
            <v>0</v>
          </cell>
          <cell r="G4319">
            <v>0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0</v>
          </cell>
        </row>
        <row r="4320">
          <cell r="C4320">
            <v>303424</v>
          </cell>
          <cell r="D4320" t="str">
            <v>San Joaquin National High School</v>
          </cell>
          <cell r="E4320">
            <v>0</v>
          </cell>
          <cell r="F4320">
            <v>0</v>
          </cell>
          <cell r="G4320">
            <v>0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0</v>
          </cell>
        </row>
        <row r="4321">
          <cell r="C4321">
            <v>303425</v>
          </cell>
          <cell r="D4321" t="str">
            <v>San Jose National High School</v>
          </cell>
          <cell r="E4321">
            <v>0</v>
          </cell>
          <cell r="F4321">
            <v>0</v>
          </cell>
          <cell r="G4321">
            <v>0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0</v>
          </cell>
        </row>
        <row r="4322">
          <cell r="C4322">
            <v>303426</v>
          </cell>
          <cell r="D4322" t="str">
            <v>San Miguel National High School</v>
          </cell>
          <cell r="E4322">
            <v>0</v>
          </cell>
          <cell r="F4322">
            <v>0</v>
          </cell>
          <cell r="G4322">
            <v>0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0</v>
          </cell>
        </row>
        <row r="4323">
          <cell r="C4323">
            <v>303428</v>
          </cell>
          <cell r="D4323" t="str">
            <v>Sta. Ana National High School</v>
          </cell>
          <cell r="E4323">
            <v>0</v>
          </cell>
          <cell r="F4323">
            <v>0</v>
          </cell>
          <cell r="G4323">
            <v>0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0</v>
          </cell>
        </row>
        <row r="4324">
          <cell r="C4324">
            <v>303429</v>
          </cell>
          <cell r="D4324" t="str">
            <v>Sta. Cruz National High School</v>
          </cell>
          <cell r="E4324">
            <v>0</v>
          </cell>
          <cell r="F4324">
            <v>0</v>
          </cell>
          <cell r="G4324">
            <v>0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0</v>
          </cell>
        </row>
        <row r="4325">
          <cell r="C4325">
            <v>303431</v>
          </cell>
          <cell r="D4325" t="str">
            <v>Sta. Margarita National High School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</row>
        <row r="4326">
          <cell r="C4326">
            <v>303432</v>
          </cell>
          <cell r="D4326" t="str">
            <v>Sta. Mesa National High School</v>
          </cell>
          <cell r="E4326">
            <v>0</v>
          </cell>
          <cell r="F4326">
            <v>0</v>
          </cell>
          <cell r="G4326">
            <v>0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0</v>
          </cell>
        </row>
        <row r="4327">
          <cell r="C4327">
            <v>303433</v>
          </cell>
          <cell r="D4327" t="str">
            <v>Sta. Rosa National High School</v>
          </cell>
          <cell r="E4327">
            <v>0</v>
          </cell>
          <cell r="F4327">
            <v>0</v>
          </cell>
          <cell r="G4327">
            <v>0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0</v>
          </cell>
        </row>
        <row r="4328">
          <cell r="C4328">
            <v>303434</v>
          </cell>
          <cell r="D4328" t="str">
            <v>Tabango National High School</v>
          </cell>
          <cell r="E4328">
            <v>0</v>
          </cell>
          <cell r="F4328">
            <v>0</v>
          </cell>
          <cell r="G4328">
            <v>0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</row>
        <row r="4329">
          <cell r="C4329">
            <v>303435</v>
          </cell>
          <cell r="D4329" t="str">
            <v>Taberna National High School</v>
          </cell>
          <cell r="E4329">
            <v>0</v>
          </cell>
          <cell r="F4329">
            <v>0</v>
          </cell>
          <cell r="G4329">
            <v>0</v>
          </cell>
          <cell r="H4329">
            <v>0</v>
          </cell>
          <cell r="I4329">
            <v>2</v>
          </cell>
          <cell r="J4329">
            <v>5</v>
          </cell>
          <cell r="K4329">
            <v>0</v>
          </cell>
          <cell r="L4329">
            <v>0</v>
          </cell>
        </row>
        <row r="4330">
          <cell r="C4330">
            <v>303436</v>
          </cell>
          <cell r="D4330" t="str">
            <v>Tahud National High School</v>
          </cell>
          <cell r="E4330">
            <v>0</v>
          </cell>
          <cell r="F4330">
            <v>0</v>
          </cell>
          <cell r="G4330">
            <v>0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</row>
        <row r="4331">
          <cell r="C4331">
            <v>303437</v>
          </cell>
          <cell r="D4331" t="str">
            <v>Tanauan National High School (San Roque NHS)</v>
          </cell>
          <cell r="E4331">
            <v>0</v>
          </cell>
          <cell r="F4331">
            <v>0</v>
          </cell>
          <cell r="G4331">
            <v>0</v>
          </cell>
          <cell r="H4331">
            <v>0</v>
          </cell>
          <cell r="I4331">
            <v>6</v>
          </cell>
          <cell r="J4331">
            <v>18</v>
          </cell>
          <cell r="K4331">
            <v>0</v>
          </cell>
          <cell r="L4331">
            <v>0</v>
          </cell>
        </row>
        <row r="4332">
          <cell r="C4332">
            <v>303438</v>
          </cell>
          <cell r="D4332" t="str">
            <v>Tinabilan National High School</v>
          </cell>
          <cell r="E4332">
            <v>0</v>
          </cell>
          <cell r="F4332">
            <v>0</v>
          </cell>
          <cell r="G4332">
            <v>0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>
            <v>0</v>
          </cell>
        </row>
        <row r="4333">
          <cell r="C4333">
            <v>303439</v>
          </cell>
          <cell r="D4333" t="str">
            <v>Tinago National High School</v>
          </cell>
          <cell r="E4333">
            <v>0</v>
          </cell>
          <cell r="F4333">
            <v>0</v>
          </cell>
          <cell r="G4333">
            <v>0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>
            <v>0</v>
          </cell>
        </row>
        <row r="4334">
          <cell r="C4334">
            <v>303440</v>
          </cell>
          <cell r="D4334" t="str">
            <v>Tolosa National High School</v>
          </cell>
          <cell r="E4334">
            <v>0</v>
          </cell>
          <cell r="F4334">
            <v>0</v>
          </cell>
          <cell r="G4334">
            <v>0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0</v>
          </cell>
        </row>
        <row r="4335">
          <cell r="C4335">
            <v>303441</v>
          </cell>
          <cell r="D4335" t="str">
            <v>Gregorio C. Catenza NHS (Tunga NHS)</v>
          </cell>
          <cell r="E4335">
            <v>0</v>
          </cell>
          <cell r="F4335">
            <v>0</v>
          </cell>
          <cell r="G4335">
            <v>0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</row>
        <row r="4336">
          <cell r="C4336">
            <v>303442</v>
          </cell>
          <cell r="D4336" t="str">
            <v>Villaba National Comprehensive High School</v>
          </cell>
          <cell r="E4336">
            <v>0</v>
          </cell>
          <cell r="F4336">
            <v>0</v>
          </cell>
          <cell r="G4336">
            <v>0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</row>
        <row r="4337">
          <cell r="C4337">
            <v>303443</v>
          </cell>
          <cell r="D4337" t="str">
            <v>Waterloo National High school</v>
          </cell>
          <cell r="E4337">
            <v>0</v>
          </cell>
          <cell r="F4337">
            <v>0</v>
          </cell>
          <cell r="G4337">
            <v>0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>
            <v>0</v>
          </cell>
        </row>
        <row r="4338">
          <cell r="C4338">
            <v>305521</v>
          </cell>
          <cell r="D4338" t="str">
            <v>Seguinon Stand Alone Senior High School</v>
          </cell>
          <cell r="E4338">
            <v>0</v>
          </cell>
          <cell r="F4338">
            <v>0</v>
          </cell>
          <cell r="G4338">
            <v>0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</row>
        <row r="4339">
          <cell r="C4339">
            <v>305522</v>
          </cell>
          <cell r="D4339" t="str">
            <v>Matag-ob Stand Alone Senior High School</v>
          </cell>
          <cell r="E4339">
            <v>0</v>
          </cell>
          <cell r="F4339">
            <v>0</v>
          </cell>
          <cell r="G4339">
            <v>0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</row>
        <row r="4340">
          <cell r="C4340">
            <v>305523</v>
          </cell>
          <cell r="D4340" t="str">
            <v>Sta. Fe Stand Alone Senior High School</v>
          </cell>
          <cell r="E4340">
            <v>0</v>
          </cell>
          <cell r="F4340">
            <v>0</v>
          </cell>
          <cell r="G4340">
            <v>0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</row>
        <row r="4341">
          <cell r="C4341">
            <v>313302</v>
          </cell>
          <cell r="D4341" t="str">
            <v>Isabel National Comprehensive High School</v>
          </cell>
          <cell r="E4341">
            <v>0</v>
          </cell>
          <cell r="F4341">
            <v>0</v>
          </cell>
          <cell r="G4341">
            <v>0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</row>
        <row r="4342">
          <cell r="C4342">
            <v>313303</v>
          </cell>
          <cell r="D4342" t="str">
            <v>Teofilo R. Macaso Memorial NHS</v>
          </cell>
          <cell r="E4342">
            <v>0</v>
          </cell>
          <cell r="F4342">
            <v>0</v>
          </cell>
          <cell r="G4342">
            <v>0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</row>
        <row r="4343">
          <cell r="C4343">
            <v>313304</v>
          </cell>
          <cell r="D4343" t="str">
            <v>Agapito Amado Memorial National High School</v>
          </cell>
          <cell r="E4343">
            <v>0</v>
          </cell>
          <cell r="F4343">
            <v>0</v>
          </cell>
          <cell r="G4343">
            <v>0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</row>
        <row r="4344">
          <cell r="C4344">
            <v>313305</v>
          </cell>
          <cell r="D4344" t="str">
            <v>Tanauan School of Arts and Trade</v>
          </cell>
          <cell r="E4344">
            <v>0</v>
          </cell>
          <cell r="F4344">
            <v>0</v>
          </cell>
          <cell r="G4344">
            <v>0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</row>
        <row r="4345">
          <cell r="C4345">
            <v>313306</v>
          </cell>
          <cell r="D4345" t="str">
            <v>Palompon National High School</v>
          </cell>
          <cell r="E4345">
            <v>0</v>
          </cell>
          <cell r="F4345">
            <v>0</v>
          </cell>
          <cell r="G4345">
            <v>0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</row>
        <row r="4346">
          <cell r="C4346">
            <v>313307</v>
          </cell>
          <cell r="D4346" t="str">
            <v>Jugaban National High School</v>
          </cell>
          <cell r="E4346">
            <v>0</v>
          </cell>
          <cell r="F4346">
            <v>0</v>
          </cell>
          <cell r="G4346">
            <v>0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</row>
        <row r="4347">
          <cell r="C4347">
            <v>313308</v>
          </cell>
          <cell r="D4347" t="str">
            <v>Juan V. Delantar National High School</v>
          </cell>
          <cell r="E4347">
            <v>0</v>
          </cell>
          <cell r="F4347">
            <v>0</v>
          </cell>
          <cell r="G4347">
            <v>0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>
            <v>0</v>
          </cell>
        </row>
        <row r="4348">
          <cell r="C4348">
            <v>313309</v>
          </cell>
          <cell r="D4348" t="str">
            <v>Gibacungan National High School</v>
          </cell>
          <cell r="E4348">
            <v>0</v>
          </cell>
          <cell r="F4348">
            <v>0</v>
          </cell>
          <cell r="G4348">
            <v>0</v>
          </cell>
          <cell r="H4348">
            <v>0</v>
          </cell>
          <cell r="I4348">
            <v>0</v>
          </cell>
          <cell r="J4348">
            <v>1</v>
          </cell>
          <cell r="K4348">
            <v>0</v>
          </cell>
          <cell r="L4348">
            <v>0</v>
          </cell>
        </row>
        <row r="4349">
          <cell r="C4349">
            <v>313313</v>
          </cell>
          <cell r="D4349" t="str">
            <v>Libertad National High School</v>
          </cell>
          <cell r="E4349">
            <v>0</v>
          </cell>
          <cell r="F4349">
            <v>0</v>
          </cell>
          <cell r="G4349">
            <v>0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0</v>
          </cell>
        </row>
        <row r="4350">
          <cell r="C4350">
            <v>313314</v>
          </cell>
          <cell r="D4350" t="str">
            <v>Polahongon National High School</v>
          </cell>
          <cell r="E4350">
            <v>0</v>
          </cell>
          <cell r="F4350">
            <v>0</v>
          </cell>
          <cell r="G4350">
            <v>0</v>
          </cell>
          <cell r="H4350">
            <v>0</v>
          </cell>
          <cell r="I4350">
            <v>0</v>
          </cell>
          <cell r="J4350">
            <v>3</v>
          </cell>
          <cell r="K4350">
            <v>0</v>
          </cell>
          <cell r="L4350">
            <v>3</v>
          </cell>
        </row>
        <row r="4351">
          <cell r="C4351">
            <v>313315</v>
          </cell>
          <cell r="D4351" t="str">
            <v>San Guillermo National High School</v>
          </cell>
          <cell r="E4351">
            <v>0</v>
          </cell>
          <cell r="F4351">
            <v>0</v>
          </cell>
          <cell r="G4351">
            <v>0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</row>
        <row r="4352">
          <cell r="C4352">
            <v>313317</v>
          </cell>
          <cell r="D4352" t="str">
            <v>Felix Caneja Lafuente National High School</v>
          </cell>
          <cell r="E4352">
            <v>0</v>
          </cell>
          <cell r="F4352">
            <v>0</v>
          </cell>
          <cell r="G4352">
            <v>0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</row>
        <row r="4353">
          <cell r="C4353">
            <v>313320</v>
          </cell>
          <cell r="D4353" t="str">
            <v>Buli National High School</v>
          </cell>
          <cell r="E4353">
            <v>0</v>
          </cell>
          <cell r="F4353">
            <v>0</v>
          </cell>
          <cell r="G4353">
            <v>0</v>
          </cell>
          <cell r="H4353">
            <v>0</v>
          </cell>
          <cell r="I4353">
            <v>0</v>
          </cell>
          <cell r="J4353">
            <v>2</v>
          </cell>
          <cell r="K4353">
            <v>0</v>
          </cell>
          <cell r="L4353">
            <v>0</v>
          </cell>
        </row>
        <row r="4354">
          <cell r="C4354">
            <v>313321</v>
          </cell>
          <cell r="D4354" t="str">
            <v>Cabatoan National High School</v>
          </cell>
          <cell r="E4354">
            <v>0</v>
          </cell>
          <cell r="F4354">
            <v>0</v>
          </cell>
          <cell r="G4354">
            <v>0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</row>
        <row r="4355">
          <cell r="C4355">
            <v>313324</v>
          </cell>
          <cell r="D4355" t="str">
            <v>Barugo National High School</v>
          </cell>
          <cell r="E4355">
            <v>0</v>
          </cell>
          <cell r="F4355">
            <v>0</v>
          </cell>
          <cell r="G4355">
            <v>0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</row>
        <row r="4356">
          <cell r="C4356">
            <v>313325</v>
          </cell>
          <cell r="D4356" t="str">
            <v>Hibunauan National High School</v>
          </cell>
          <cell r="E4356">
            <v>0</v>
          </cell>
          <cell r="F4356">
            <v>0</v>
          </cell>
          <cell r="G4356">
            <v>0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</row>
        <row r="4357">
          <cell r="C4357">
            <v>313327</v>
          </cell>
          <cell r="D4357" t="str">
            <v>Rizal National High School</v>
          </cell>
          <cell r="E4357">
            <v>0</v>
          </cell>
          <cell r="F4357">
            <v>0</v>
          </cell>
          <cell r="G4357">
            <v>0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</row>
        <row r="4358">
          <cell r="C4358">
            <v>313329</v>
          </cell>
          <cell r="D4358" t="str">
            <v>Capudlosan National High School</v>
          </cell>
          <cell r="E4358">
            <v>0</v>
          </cell>
          <cell r="F4358">
            <v>0</v>
          </cell>
          <cell r="G4358">
            <v>0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</row>
        <row r="4359">
          <cell r="C4359">
            <v>313330</v>
          </cell>
          <cell r="D4359" t="str">
            <v>Manaybanay National High School</v>
          </cell>
          <cell r="E4359">
            <v>0</v>
          </cell>
          <cell r="F4359">
            <v>0</v>
          </cell>
          <cell r="G4359">
            <v>0</v>
          </cell>
          <cell r="H4359">
            <v>0</v>
          </cell>
          <cell r="I4359">
            <v>1</v>
          </cell>
          <cell r="J4359">
            <v>6</v>
          </cell>
          <cell r="K4359">
            <v>1</v>
          </cell>
          <cell r="L4359">
            <v>6</v>
          </cell>
        </row>
        <row r="4360">
          <cell r="C4360">
            <v>313332</v>
          </cell>
          <cell r="D4360" t="str">
            <v>Buracan National High School</v>
          </cell>
          <cell r="E4360">
            <v>0</v>
          </cell>
          <cell r="F4360">
            <v>0</v>
          </cell>
          <cell r="G4360">
            <v>0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0</v>
          </cell>
        </row>
        <row r="4361">
          <cell r="C4361">
            <v>313333</v>
          </cell>
          <cell r="D4361" t="str">
            <v>Rizal National High School</v>
          </cell>
          <cell r="E4361">
            <v>0</v>
          </cell>
          <cell r="F4361">
            <v>0</v>
          </cell>
          <cell r="G4361">
            <v>0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>
            <v>0</v>
          </cell>
        </row>
        <row r="4362">
          <cell r="C4362">
            <v>313334</v>
          </cell>
          <cell r="D4362" t="str">
            <v>Putingbato, Cangag, Canandan, Consolacion St. Filomena National High School</v>
          </cell>
          <cell r="E4362">
            <v>0</v>
          </cell>
          <cell r="F4362">
            <v>0</v>
          </cell>
          <cell r="G4362">
            <v>0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</row>
        <row r="4363">
          <cell r="C4363">
            <v>313335</v>
          </cell>
          <cell r="D4363" t="str">
            <v>Palo National High School-Pawing Annex</v>
          </cell>
          <cell r="E4363">
            <v>0</v>
          </cell>
          <cell r="F4363">
            <v>0</v>
          </cell>
          <cell r="G4363">
            <v>0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</row>
        <row r="4364">
          <cell r="C4364">
            <v>313336</v>
          </cell>
          <cell r="D4364" t="str">
            <v>Bienvenido Guillera Celebre National High School</v>
          </cell>
          <cell r="E4364">
            <v>0</v>
          </cell>
          <cell r="F4364">
            <v>0</v>
          </cell>
          <cell r="G4364">
            <v>0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0</v>
          </cell>
        </row>
        <row r="4365">
          <cell r="C4365">
            <v>313337</v>
          </cell>
          <cell r="D4365" t="str">
            <v>Sta. Paz  Integrated  School</v>
          </cell>
          <cell r="E4365">
            <v>0</v>
          </cell>
          <cell r="F4365">
            <v>0</v>
          </cell>
          <cell r="G4365">
            <v>0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0</v>
          </cell>
        </row>
        <row r="4366">
          <cell r="C4366">
            <v>313340</v>
          </cell>
          <cell r="D4366" t="str">
            <v>Rafaelito Cabanas Martinez National High School</v>
          </cell>
          <cell r="E4366">
            <v>0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</row>
        <row r="4367">
          <cell r="C4367">
            <v>313341</v>
          </cell>
          <cell r="D4367" t="str">
            <v>Mariano Salazar National High School</v>
          </cell>
          <cell r="E4367">
            <v>0</v>
          </cell>
          <cell r="F4367">
            <v>0</v>
          </cell>
          <cell r="G4367">
            <v>0</v>
          </cell>
          <cell r="H4367">
            <v>0</v>
          </cell>
          <cell r="I4367">
            <v>0</v>
          </cell>
          <cell r="J4367">
            <v>1</v>
          </cell>
          <cell r="K4367">
            <v>0</v>
          </cell>
          <cell r="L4367">
            <v>1</v>
          </cell>
        </row>
        <row r="4368">
          <cell r="C4368">
            <v>313343</v>
          </cell>
          <cell r="D4368" t="str">
            <v>Macalpi-ay National High School</v>
          </cell>
          <cell r="E4368">
            <v>0</v>
          </cell>
          <cell r="F4368">
            <v>0</v>
          </cell>
          <cell r="G4368">
            <v>0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0</v>
          </cell>
        </row>
        <row r="4369">
          <cell r="C4369">
            <v>313344</v>
          </cell>
          <cell r="D4369" t="str">
            <v>Manlilisid National High School</v>
          </cell>
          <cell r="E4369">
            <v>0</v>
          </cell>
          <cell r="F4369">
            <v>0</v>
          </cell>
          <cell r="G4369">
            <v>0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0</v>
          </cell>
        </row>
        <row r="4370">
          <cell r="C4370">
            <v>313345</v>
          </cell>
          <cell r="D4370" t="str">
            <v>Sulpa National High School</v>
          </cell>
          <cell r="E4370">
            <v>0</v>
          </cell>
          <cell r="F4370">
            <v>0</v>
          </cell>
          <cell r="G4370">
            <v>0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0</v>
          </cell>
        </row>
        <row r="4371">
          <cell r="C4371">
            <v>313346</v>
          </cell>
          <cell r="D4371" t="str">
            <v>Euperfia Puda National High School</v>
          </cell>
          <cell r="E4371">
            <v>0</v>
          </cell>
          <cell r="F4371">
            <v>0</v>
          </cell>
          <cell r="G4371">
            <v>0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0</v>
          </cell>
        </row>
        <row r="4372">
          <cell r="C4372">
            <v>313398</v>
          </cell>
          <cell r="D4372" t="str">
            <v>Borseth National High School</v>
          </cell>
          <cell r="E4372">
            <v>0</v>
          </cell>
          <cell r="F4372">
            <v>0</v>
          </cell>
          <cell r="G4372">
            <v>0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0</v>
          </cell>
        </row>
        <row r="4373">
          <cell r="C4373">
            <v>500233</v>
          </cell>
          <cell r="D4373" t="str">
            <v>Calubian Integrated School</v>
          </cell>
          <cell r="E4373">
            <v>0</v>
          </cell>
          <cell r="F4373">
            <v>0</v>
          </cell>
          <cell r="G4373">
            <v>0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0</v>
          </cell>
        </row>
        <row r="4374">
          <cell r="C4374">
            <v>302079</v>
          </cell>
          <cell r="D4374" t="str">
            <v>Padre Burgos National Technical Vocational High School</v>
          </cell>
          <cell r="E4374">
            <v>0</v>
          </cell>
          <cell r="F4374">
            <v>0</v>
          </cell>
          <cell r="G4374">
            <v>0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0</v>
          </cell>
        </row>
        <row r="4375">
          <cell r="C4375">
            <v>303444</v>
          </cell>
          <cell r="D4375" t="str">
            <v>Anahawan National Vocational High Schoolchool</v>
          </cell>
          <cell r="E4375">
            <v>0</v>
          </cell>
          <cell r="F4375">
            <v>0</v>
          </cell>
          <cell r="G4375">
            <v>0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0</v>
          </cell>
        </row>
        <row r="4376">
          <cell r="C4376">
            <v>303446</v>
          </cell>
          <cell r="D4376" t="str">
            <v>Canipaan NHS</v>
          </cell>
          <cell r="E4376">
            <v>0</v>
          </cell>
          <cell r="F4376">
            <v>0</v>
          </cell>
          <cell r="G4376">
            <v>0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</row>
        <row r="4377">
          <cell r="C4377">
            <v>303447</v>
          </cell>
          <cell r="D4377" t="str">
            <v>Hinunangan National High School</v>
          </cell>
          <cell r="E4377">
            <v>0</v>
          </cell>
          <cell r="F4377">
            <v>0</v>
          </cell>
          <cell r="G4377">
            <v>0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>
            <v>0</v>
          </cell>
        </row>
        <row r="4378">
          <cell r="C4378">
            <v>303448</v>
          </cell>
          <cell r="D4378" t="str">
            <v>Concepcion National High School</v>
          </cell>
          <cell r="E4378">
            <v>0</v>
          </cell>
          <cell r="F4378">
            <v>0</v>
          </cell>
          <cell r="G4378">
            <v>0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0</v>
          </cell>
        </row>
        <row r="4379">
          <cell r="C4379">
            <v>303449</v>
          </cell>
          <cell r="D4379" t="str">
            <v>Consolacion National High School</v>
          </cell>
          <cell r="E4379">
            <v>0</v>
          </cell>
          <cell r="F4379">
            <v>0</v>
          </cell>
          <cell r="G4379">
            <v>0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</row>
        <row r="4380">
          <cell r="C4380">
            <v>303451</v>
          </cell>
          <cell r="D4380" t="str">
            <v>Divisoria NHS</v>
          </cell>
          <cell r="E4380">
            <v>0</v>
          </cell>
          <cell r="F4380">
            <v>0</v>
          </cell>
          <cell r="G4380">
            <v>0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0</v>
          </cell>
        </row>
        <row r="4381">
          <cell r="C4381">
            <v>303453</v>
          </cell>
          <cell r="D4381" t="str">
            <v>Don Agustin F. Escaño NHS</v>
          </cell>
          <cell r="E4381">
            <v>0</v>
          </cell>
          <cell r="F4381">
            <v>0</v>
          </cell>
          <cell r="G4381">
            <v>0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0</v>
          </cell>
        </row>
        <row r="4382">
          <cell r="C4382">
            <v>303455</v>
          </cell>
          <cell r="D4382" t="str">
            <v>Esperanza National High School</v>
          </cell>
          <cell r="E4382">
            <v>0</v>
          </cell>
          <cell r="F4382">
            <v>0</v>
          </cell>
          <cell r="G4382">
            <v>0</v>
          </cell>
          <cell r="H4382">
            <v>0</v>
          </cell>
          <cell r="I4382">
            <v>2</v>
          </cell>
          <cell r="J4382">
            <v>6</v>
          </cell>
          <cell r="K4382">
            <v>0</v>
          </cell>
          <cell r="L4382">
            <v>0</v>
          </cell>
        </row>
        <row r="4383">
          <cell r="C4383">
            <v>303456</v>
          </cell>
          <cell r="D4383" t="str">
            <v>Estela National High School</v>
          </cell>
          <cell r="E4383">
            <v>0</v>
          </cell>
          <cell r="F4383">
            <v>0</v>
          </cell>
          <cell r="G4383">
            <v>0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0</v>
          </cell>
        </row>
        <row r="4384">
          <cell r="C4384">
            <v>303458</v>
          </cell>
          <cell r="D4384" t="str">
            <v>Hilaan NHS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2</v>
          </cell>
          <cell r="K4384">
            <v>0</v>
          </cell>
          <cell r="L4384">
            <v>2</v>
          </cell>
        </row>
        <row r="4385">
          <cell r="C4385">
            <v>303459</v>
          </cell>
          <cell r="D4385" t="str">
            <v>Himay-angan NHS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</row>
        <row r="4386">
          <cell r="C4386">
            <v>303460</v>
          </cell>
          <cell r="D4386" t="str">
            <v>Himbangan National High School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</row>
        <row r="4387">
          <cell r="C4387">
            <v>303461</v>
          </cell>
          <cell r="D4387" t="str">
            <v>Hingatungan NHS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</row>
        <row r="4388">
          <cell r="C4388">
            <v>303462</v>
          </cell>
          <cell r="D4388" t="str">
            <v>Ichon National High School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</row>
        <row r="4389">
          <cell r="C4389">
            <v>303463</v>
          </cell>
          <cell r="D4389" t="str">
            <v>Libas NHS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</row>
        <row r="4390">
          <cell r="C4390">
            <v>303465</v>
          </cell>
          <cell r="D4390" t="str">
            <v>LIMASAWA NATIONAL HIGH SCHOOL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</row>
        <row r="4391">
          <cell r="C4391">
            <v>303466</v>
          </cell>
          <cell r="D4391" t="str">
            <v>Lungsodaan National High School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</row>
        <row r="4392">
          <cell r="C4392">
            <v>303470</v>
          </cell>
          <cell r="D4392" t="str">
            <v>Marayag National High School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0</v>
          </cell>
        </row>
        <row r="4393">
          <cell r="C4393">
            <v>303471</v>
          </cell>
          <cell r="D4393" t="str">
            <v>Mercedes NHS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</row>
        <row r="4394">
          <cell r="C4394">
            <v>303472</v>
          </cell>
          <cell r="D4394" t="str">
            <v>Rito Monte de Ramos Sr. MHS (Nahaong NHS)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0</v>
          </cell>
        </row>
        <row r="4395">
          <cell r="C4395">
            <v>303473</v>
          </cell>
          <cell r="D4395" t="str">
            <v>Nava NHS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0</v>
          </cell>
        </row>
        <row r="4396">
          <cell r="C4396">
            <v>303475</v>
          </cell>
          <cell r="D4396" t="str">
            <v>Paku NHS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  <cell r="I4396">
            <v>1</v>
          </cell>
          <cell r="J4396">
            <v>5</v>
          </cell>
          <cell r="K4396">
            <v>0</v>
          </cell>
          <cell r="L4396">
            <v>0</v>
          </cell>
        </row>
        <row r="4397">
          <cell r="C4397">
            <v>303476</v>
          </cell>
          <cell r="D4397" t="str">
            <v>Pintuyan National High School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0</v>
          </cell>
        </row>
        <row r="4398">
          <cell r="C4398">
            <v>303477</v>
          </cell>
          <cell r="D4398" t="str">
            <v>Pintuyan National Vocational High School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</row>
        <row r="4399">
          <cell r="C4399">
            <v>303478</v>
          </cell>
          <cell r="D4399" t="str">
            <v>Pinut-an National High School</v>
          </cell>
          <cell r="E4399">
            <v>0</v>
          </cell>
          <cell r="F4399">
            <v>0</v>
          </cell>
          <cell r="G4399">
            <v>0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</row>
        <row r="4400">
          <cell r="C4400">
            <v>303479</v>
          </cell>
          <cell r="D4400" t="str">
            <v>RIZAL NATIONAL HIGH SCHOOL</v>
          </cell>
          <cell r="E4400">
            <v>0</v>
          </cell>
          <cell r="F4400">
            <v>0</v>
          </cell>
          <cell r="G4400">
            <v>0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0</v>
          </cell>
        </row>
        <row r="4401">
          <cell r="C4401">
            <v>303480</v>
          </cell>
          <cell r="D4401" t="str">
            <v>San Isidro NHS</v>
          </cell>
          <cell r="E4401">
            <v>0</v>
          </cell>
          <cell r="F4401">
            <v>0</v>
          </cell>
          <cell r="G4401">
            <v>0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0</v>
          </cell>
        </row>
        <row r="4402">
          <cell r="C4402">
            <v>303481</v>
          </cell>
          <cell r="D4402" t="str">
            <v>San Juan NHS</v>
          </cell>
          <cell r="E4402">
            <v>0</v>
          </cell>
          <cell r="F4402">
            <v>0</v>
          </cell>
          <cell r="G4402">
            <v>0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0</v>
          </cell>
        </row>
        <row r="4403">
          <cell r="C4403">
            <v>303483</v>
          </cell>
          <cell r="D4403" t="str">
            <v>San Ricardo National High School</v>
          </cell>
          <cell r="E4403">
            <v>0</v>
          </cell>
          <cell r="F4403">
            <v>0</v>
          </cell>
          <cell r="G4403">
            <v>0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0</v>
          </cell>
        </row>
        <row r="4404">
          <cell r="C4404">
            <v>303485</v>
          </cell>
          <cell r="D4404" t="str">
            <v>San Roque National High School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0</v>
          </cell>
        </row>
        <row r="4405">
          <cell r="C4405">
            <v>303486</v>
          </cell>
          <cell r="D4405" t="str">
            <v>Silago NVHS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0</v>
          </cell>
        </row>
        <row r="4406">
          <cell r="C4406">
            <v>303487</v>
          </cell>
          <cell r="D4406" t="str">
            <v>Sogod National High School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0</v>
          </cell>
        </row>
        <row r="4407">
          <cell r="C4407">
            <v>303488</v>
          </cell>
          <cell r="D4407" t="str">
            <v>Sta. Cruz NHS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0</v>
          </cell>
        </row>
        <row r="4408">
          <cell r="C4408">
            <v>303489</v>
          </cell>
          <cell r="D4408" t="str">
            <v>Sta. Paz National High School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0</v>
          </cell>
        </row>
        <row r="4409">
          <cell r="C4409">
            <v>303490</v>
          </cell>
          <cell r="D4409" t="str">
            <v>Tambis NHS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0</v>
          </cell>
        </row>
        <row r="4410">
          <cell r="C4410">
            <v>303492</v>
          </cell>
          <cell r="D4410" t="str">
            <v>VILLA JACINTA NATIONAL VOCATIONAL HIGH SCHOOL</v>
          </cell>
          <cell r="E4410">
            <v>0</v>
          </cell>
          <cell r="F4410">
            <v>0</v>
          </cell>
          <cell r="G4410">
            <v>0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0</v>
          </cell>
        </row>
        <row r="4411">
          <cell r="C4411">
            <v>313403</v>
          </cell>
          <cell r="D4411" t="str">
            <v>Bontoc National High School</v>
          </cell>
          <cell r="E4411">
            <v>0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0</v>
          </cell>
        </row>
        <row r="4412">
          <cell r="C4412">
            <v>313407</v>
          </cell>
          <cell r="D4412" t="str">
            <v>New Guinsaugon National High School</v>
          </cell>
          <cell r="E4412">
            <v>0</v>
          </cell>
          <cell r="F4412">
            <v>0</v>
          </cell>
          <cell r="G4412">
            <v>0</v>
          </cell>
          <cell r="H4412">
            <v>0</v>
          </cell>
          <cell r="I4412">
            <v>2</v>
          </cell>
          <cell r="J4412">
            <v>9</v>
          </cell>
          <cell r="K4412">
            <v>2</v>
          </cell>
          <cell r="L4412">
            <v>9</v>
          </cell>
        </row>
        <row r="4413">
          <cell r="C4413">
            <v>313408</v>
          </cell>
          <cell r="D4413" t="str">
            <v>Katipunan NHS</v>
          </cell>
          <cell r="E4413">
            <v>0</v>
          </cell>
          <cell r="F4413">
            <v>0</v>
          </cell>
          <cell r="G4413">
            <v>0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0</v>
          </cell>
        </row>
        <row r="4414">
          <cell r="C4414">
            <v>313409</v>
          </cell>
          <cell r="D4414" t="str">
            <v>Liloan National Technical Vocational High School</v>
          </cell>
          <cell r="E4414">
            <v>0</v>
          </cell>
          <cell r="F4414">
            <v>0</v>
          </cell>
          <cell r="G4414">
            <v>0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>
            <v>0</v>
          </cell>
        </row>
        <row r="4415">
          <cell r="C4415">
            <v>313411</v>
          </cell>
          <cell r="D4415" t="str">
            <v>Libagon National High School</v>
          </cell>
          <cell r="E4415">
            <v>0</v>
          </cell>
          <cell r="F4415">
            <v>0</v>
          </cell>
          <cell r="G4415">
            <v>0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0</v>
          </cell>
        </row>
        <row r="4416">
          <cell r="C4416">
            <v>303493</v>
          </cell>
          <cell r="D4416" t="str">
            <v>Alugan National School of Craftsmanship and Home Industries</v>
          </cell>
          <cell r="E4416">
            <v>0</v>
          </cell>
          <cell r="F4416">
            <v>0</v>
          </cell>
          <cell r="G4416">
            <v>0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0</v>
          </cell>
        </row>
        <row r="4417">
          <cell r="C4417">
            <v>303494</v>
          </cell>
          <cell r="D4417" t="str">
            <v>Arteche National High School</v>
          </cell>
          <cell r="E4417">
            <v>0</v>
          </cell>
          <cell r="F4417">
            <v>0</v>
          </cell>
          <cell r="G4417">
            <v>0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0</v>
          </cell>
        </row>
        <row r="4418">
          <cell r="C4418">
            <v>303495</v>
          </cell>
          <cell r="D4418" t="str">
            <v>Balangkayan National High School</v>
          </cell>
          <cell r="E4418">
            <v>0</v>
          </cell>
          <cell r="F4418">
            <v>0</v>
          </cell>
          <cell r="G4418">
            <v>7</v>
          </cell>
          <cell r="H4418">
            <v>0</v>
          </cell>
          <cell r="I4418">
            <v>1</v>
          </cell>
          <cell r="J4418">
            <v>3</v>
          </cell>
          <cell r="K4418">
            <v>0</v>
          </cell>
          <cell r="L4418">
            <v>0</v>
          </cell>
        </row>
        <row r="4419">
          <cell r="C4419">
            <v>303499</v>
          </cell>
          <cell r="D4419" t="str">
            <v>Dolores National High School</v>
          </cell>
          <cell r="E4419">
            <v>0</v>
          </cell>
          <cell r="F4419">
            <v>0</v>
          </cell>
          <cell r="G4419">
            <v>0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0</v>
          </cell>
        </row>
        <row r="4420">
          <cell r="C4420">
            <v>303501</v>
          </cell>
          <cell r="D4420" t="str">
            <v>Gen. MacArthur National Agricultural School</v>
          </cell>
          <cell r="E4420">
            <v>0</v>
          </cell>
          <cell r="F4420">
            <v>0</v>
          </cell>
          <cell r="G4420">
            <v>0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0</v>
          </cell>
        </row>
        <row r="4421">
          <cell r="C4421">
            <v>303502</v>
          </cell>
          <cell r="D4421" t="str">
            <v>Giporlos National Trade School</v>
          </cell>
          <cell r="E4421">
            <v>0</v>
          </cell>
          <cell r="F4421">
            <v>0</v>
          </cell>
          <cell r="G4421">
            <v>0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0</v>
          </cell>
        </row>
        <row r="4422">
          <cell r="C4422">
            <v>303503</v>
          </cell>
          <cell r="D4422" t="str">
            <v>Guiuan National High School</v>
          </cell>
          <cell r="E4422">
            <v>0</v>
          </cell>
          <cell r="F4422">
            <v>0</v>
          </cell>
          <cell r="G4422">
            <v>0</v>
          </cell>
          <cell r="H4422">
            <v>1</v>
          </cell>
          <cell r="I4422">
            <v>0</v>
          </cell>
          <cell r="J4422">
            <v>0</v>
          </cell>
          <cell r="K4422">
            <v>1</v>
          </cell>
          <cell r="L4422">
            <v>0</v>
          </cell>
        </row>
        <row r="4423">
          <cell r="C4423">
            <v>303505</v>
          </cell>
          <cell r="D4423" t="str">
            <v>Pedro E. Candido Memorial National High School</v>
          </cell>
          <cell r="E4423">
            <v>0</v>
          </cell>
          <cell r="F4423">
            <v>0</v>
          </cell>
          <cell r="G4423">
            <v>0</v>
          </cell>
          <cell r="H4423">
            <v>0</v>
          </cell>
          <cell r="I4423">
            <v>1</v>
          </cell>
          <cell r="J4423">
            <v>8</v>
          </cell>
          <cell r="K4423">
            <v>1</v>
          </cell>
          <cell r="L4423">
            <v>7</v>
          </cell>
        </row>
        <row r="4424">
          <cell r="C4424">
            <v>303508</v>
          </cell>
          <cell r="D4424" t="str">
            <v>Homonhon National High School</v>
          </cell>
          <cell r="E4424">
            <v>0</v>
          </cell>
          <cell r="F4424">
            <v>0</v>
          </cell>
          <cell r="G4424">
            <v>0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0</v>
          </cell>
        </row>
        <row r="4425">
          <cell r="C4425">
            <v>303509</v>
          </cell>
          <cell r="D4425" t="str">
            <v>Homonhon National High School - Sulangan Annex</v>
          </cell>
          <cell r="E4425">
            <v>0</v>
          </cell>
          <cell r="F4425">
            <v>0</v>
          </cell>
          <cell r="G4425">
            <v>0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0</v>
          </cell>
        </row>
        <row r="4426">
          <cell r="C4426">
            <v>303510</v>
          </cell>
          <cell r="D4426" t="str">
            <v>Jipapad National High School</v>
          </cell>
          <cell r="E4426">
            <v>0</v>
          </cell>
          <cell r="F4426">
            <v>0</v>
          </cell>
          <cell r="G4426">
            <v>0</v>
          </cell>
          <cell r="H4426">
            <v>0</v>
          </cell>
          <cell r="I4426">
            <v>0</v>
          </cell>
          <cell r="J4426">
            <v>1</v>
          </cell>
          <cell r="K4426">
            <v>0</v>
          </cell>
          <cell r="L4426">
            <v>0</v>
          </cell>
        </row>
        <row r="4427">
          <cell r="C4427">
            <v>303512</v>
          </cell>
          <cell r="D4427" t="str">
            <v>Lawaan National School of Craftsmanship and Home Industries</v>
          </cell>
          <cell r="E4427">
            <v>0</v>
          </cell>
          <cell r="F4427">
            <v>0</v>
          </cell>
          <cell r="G4427">
            <v>0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0</v>
          </cell>
        </row>
        <row r="4428">
          <cell r="C4428">
            <v>303513</v>
          </cell>
          <cell r="D4428" t="str">
            <v>Llorente National High School</v>
          </cell>
          <cell r="E4428">
            <v>0</v>
          </cell>
          <cell r="F4428">
            <v>0</v>
          </cell>
          <cell r="G4428">
            <v>1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0</v>
          </cell>
        </row>
        <row r="4429">
          <cell r="C4429">
            <v>303515</v>
          </cell>
          <cell r="D4429" t="str">
            <v>Maslog National High School</v>
          </cell>
          <cell r="E4429">
            <v>0</v>
          </cell>
          <cell r="F4429">
            <v>0</v>
          </cell>
          <cell r="G4429">
            <v>0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0</v>
          </cell>
        </row>
        <row r="4430">
          <cell r="C4430">
            <v>303516</v>
          </cell>
          <cell r="D4430" t="str">
            <v>Matarinao School of Fisheries</v>
          </cell>
          <cell r="E4430">
            <v>0</v>
          </cell>
          <cell r="F4430">
            <v>0</v>
          </cell>
          <cell r="G4430">
            <v>0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0</v>
          </cell>
        </row>
        <row r="4431">
          <cell r="C4431">
            <v>303518</v>
          </cell>
          <cell r="D4431" t="str">
            <v>Mercedes National High School</v>
          </cell>
          <cell r="E4431">
            <v>0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</row>
        <row r="4432">
          <cell r="C4432">
            <v>303520</v>
          </cell>
          <cell r="D4432" t="str">
            <v>Oras National High School</v>
          </cell>
          <cell r="E4432">
            <v>0</v>
          </cell>
          <cell r="F4432">
            <v>0</v>
          </cell>
          <cell r="G4432">
            <v>0</v>
          </cell>
          <cell r="H4432">
            <v>0</v>
          </cell>
          <cell r="I4432">
            <v>14</v>
          </cell>
          <cell r="J4432">
            <v>17</v>
          </cell>
          <cell r="K4432">
            <v>10</v>
          </cell>
          <cell r="L4432">
            <v>12</v>
          </cell>
        </row>
        <row r="4433">
          <cell r="C4433">
            <v>303521</v>
          </cell>
          <cell r="D4433" t="str">
            <v>Quinapondan National High School</v>
          </cell>
          <cell r="E4433">
            <v>0</v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0</v>
          </cell>
        </row>
        <row r="4434">
          <cell r="C4434">
            <v>303523</v>
          </cell>
          <cell r="D4434" t="str">
            <v>Samar National Pilot Opportunity School of Agriculture</v>
          </cell>
          <cell r="E4434">
            <v>0</v>
          </cell>
          <cell r="F4434">
            <v>0</v>
          </cell>
          <cell r="G4434">
            <v>0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0</v>
          </cell>
        </row>
        <row r="4435">
          <cell r="C4435">
            <v>303524</v>
          </cell>
          <cell r="D4435" t="str">
            <v>San Julian National High School</v>
          </cell>
          <cell r="E4435">
            <v>0</v>
          </cell>
          <cell r="F4435">
            <v>0</v>
          </cell>
          <cell r="G4435">
            <v>0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0</v>
          </cell>
        </row>
        <row r="4436">
          <cell r="C4436">
            <v>303527</v>
          </cell>
          <cell r="D4436" t="str">
            <v>Sulat National High School</v>
          </cell>
          <cell r="E4436">
            <v>0</v>
          </cell>
          <cell r="F4436">
            <v>0</v>
          </cell>
          <cell r="G4436">
            <v>0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</row>
        <row r="4437">
          <cell r="C4437">
            <v>303529</v>
          </cell>
          <cell r="D4437" t="str">
            <v>Taft National High School</v>
          </cell>
          <cell r="E4437">
            <v>0</v>
          </cell>
          <cell r="F4437">
            <v>0</v>
          </cell>
          <cell r="G4437">
            <v>0</v>
          </cell>
          <cell r="H4437">
            <v>0</v>
          </cell>
          <cell r="I4437">
            <v>8</v>
          </cell>
          <cell r="J4437">
            <v>15</v>
          </cell>
          <cell r="K4437">
            <v>0</v>
          </cell>
          <cell r="L4437">
            <v>0</v>
          </cell>
        </row>
        <row r="4438">
          <cell r="C4438">
            <v>313501</v>
          </cell>
          <cell r="D4438" t="str">
            <v>Can-avid National High School</v>
          </cell>
          <cell r="E4438">
            <v>0</v>
          </cell>
          <cell r="F4438">
            <v>0</v>
          </cell>
          <cell r="G4438">
            <v>0</v>
          </cell>
          <cell r="H4438">
            <v>0</v>
          </cell>
          <cell r="I4438">
            <v>7</v>
          </cell>
          <cell r="J4438">
            <v>16</v>
          </cell>
          <cell r="K4438">
            <v>7</v>
          </cell>
          <cell r="L4438">
            <v>16</v>
          </cell>
        </row>
        <row r="4439">
          <cell r="C4439">
            <v>313502</v>
          </cell>
          <cell r="D4439" t="str">
            <v>Southern Samar National Comprehensive High School</v>
          </cell>
          <cell r="E4439">
            <v>0</v>
          </cell>
          <cell r="F4439">
            <v>0</v>
          </cell>
          <cell r="G4439">
            <v>0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>
            <v>0</v>
          </cell>
        </row>
        <row r="4440">
          <cell r="C4440">
            <v>313509</v>
          </cell>
          <cell r="D4440" t="str">
            <v>Salcedo Vocational High School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0</v>
          </cell>
        </row>
        <row r="4441">
          <cell r="C4441">
            <v>313514</v>
          </cell>
          <cell r="D4441" t="str">
            <v>Maydolong National High School</v>
          </cell>
          <cell r="E4441">
            <v>0</v>
          </cell>
          <cell r="F4441">
            <v>0</v>
          </cell>
          <cell r="G4441">
            <v>0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>
            <v>0</v>
          </cell>
        </row>
        <row r="4442">
          <cell r="C4442">
            <v>303530</v>
          </cell>
          <cell r="D4442" t="str">
            <v>Alegria NHS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0</v>
          </cell>
        </row>
        <row r="4443">
          <cell r="C4443">
            <v>303531</v>
          </cell>
          <cell r="D4443" t="str">
            <v>Allen National High School</v>
          </cell>
          <cell r="E4443">
            <v>0</v>
          </cell>
          <cell r="F4443">
            <v>0</v>
          </cell>
          <cell r="G4443">
            <v>0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>
            <v>0</v>
          </cell>
        </row>
        <row r="4444">
          <cell r="C4444">
            <v>303533</v>
          </cell>
          <cell r="D4444" t="str">
            <v>Batag NHS</v>
          </cell>
          <cell r="E4444">
            <v>0</v>
          </cell>
          <cell r="F4444">
            <v>0</v>
          </cell>
          <cell r="G4444">
            <v>0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0</v>
          </cell>
        </row>
        <row r="4445">
          <cell r="C4445">
            <v>303534</v>
          </cell>
          <cell r="D4445" t="str">
            <v>BIRI NATIONAL HIGH SCHOOL</v>
          </cell>
          <cell r="E4445">
            <v>0</v>
          </cell>
          <cell r="F4445">
            <v>0</v>
          </cell>
          <cell r="G4445">
            <v>0</v>
          </cell>
          <cell r="H4445">
            <v>0</v>
          </cell>
          <cell r="I4445">
            <v>5</v>
          </cell>
          <cell r="J4445">
            <v>5</v>
          </cell>
          <cell r="K4445">
            <v>0</v>
          </cell>
          <cell r="L4445">
            <v>0</v>
          </cell>
        </row>
        <row r="4446">
          <cell r="C4446">
            <v>303535</v>
          </cell>
          <cell r="D4446" t="str">
            <v>Bobon School for Philippine Craftsmen</v>
          </cell>
          <cell r="E4446">
            <v>0</v>
          </cell>
          <cell r="F4446">
            <v>0</v>
          </cell>
          <cell r="G4446">
            <v>0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0</v>
          </cell>
        </row>
        <row r="4447">
          <cell r="C4447">
            <v>303536</v>
          </cell>
          <cell r="D4447" t="str">
            <v>Buenavista NHS</v>
          </cell>
          <cell r="E4447">
            <v>0</v>
          </cell>
          <cell r="F4447">
            <v>0</v>
          </cell>
          <cell r="G4447">
            <v>0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0</v>
          </cell>
        </row>
        <row r="4448">
          <cell r="C4448">
            <v>303537</v>
          </cell>
          <cell r="D4448" t="str">
            <v>Cabacungan NHS</v>
          </cell>
          <cell r="E4448">
            <v>0</v>
          </cell>
          <cell r="F4448">
            <v>0</v>
          </cell>
          <cell r="G4448">
            <v>0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0</v>
          </cell>
        </row>
        <row r="4449">
          <cell r="C4449">
            <v>303538</v>
          </cell>
          <cell r="D4449" t="str">
            <v>Cahayagan NHS</v>
          </cell>
          <cell r="E4449">
            <v>0</v>
          </cell>
          <cell r="F4449">
            <v>0</v>
          </cell>
          <cell r="G4449">
            <v>0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>
            <v>0</v>
          </cell>
        </row>
        <row r="4450">
          <cell r="C4450">
            <v>303539</v>
          </cell>
          <cell r="D4450" t="str">
            <v>Capacujan NHS</v>
          </cell>
          <cell r="E4450">
            <v>0</v>
          </cell>
          <cell r="F4450">
            <v>0</v>
          </cell>
          <cell r="G4450">
            <v>0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>
            <v>0</v>
          </cell>
        </row>
        <row r="4451">
          <cell r="C4451">
            <v>303540</v>
          </cell>
          <cell r="D4451" t="str">
            <v>Capul Agro-Industrial School</v>
          </cell>
          <cell r="E4451">
            <v>0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0</v>
          </cell>
        </row>
        <row r="4452">
          <cell r="C4452">
            <v>303541</v>
          </cell>
          <cell r="D4452" t="str">
            <v>Catarman National High School</v>
          </cell>
          <cell r="E4452">
            <v>0</v>
          </cell>
          <cell r="F4452">
            <v>0</v>
          </cell>
          <cell r="G4452">
            <v>0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0</v>
          </cell>
        </row>
        <row r="4453">
          <cell r="C4453">
            <v>303543</v>
          </cell>
          <cell r="D4453" t="str">
            <v>Galutan NHS</v>
          </cell>
          <cell r="E4453">
            <v>0</v>
          </cell>
          <cell r="F4453">
            <v>0</v>
          </cell>
          <cell r="G4453">
            <v>0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0</v>
          </cell>
        </row>
        <row r="4454">
          <cell r="C4454">
            <v>303544</v>
          </cell>
          <cell r="D4454" t="str">
            <v>Catubig Valley NHS</v>
          </cell>
          <cell r="E4454">
            <v>0</v>
          </cell>
          <cell r="F4454">
            <v>0</v>
          </cell>
          <cell r="G4454">
            <v>0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>
            <v>0</v>
          </cell>
        </row>
        <row r="4455">
          <cell r="C4455">
            <v>303546</v>
          </cell>
          <cell r="D4455" t="str">
            <v>Don Juan F. Avalon National High School</v>
          </cell>
          <cell r="E4455">
            <v>0</v>
          </cell>
          <cell r="F4455">
            <v>0</v>
          </cell>
          <cell r="G4455">
            <v>0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>
            <v>0</v>
          </cell>
        </row>
        <row r="4456">
          <cell r="C4456">
            <v>303548</v>
          </cell>
          <cell r="D4456" t="str">
            <v>Eladio T. Balite Memorial School of Fisheries</v>
          </cell>
          <cell r="E4456">
            <v>0</v>
          </cell>
          <cell r="F4456">
            <v>0</v>
          </cell>
          <cell r="G4456">
            <v>0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0</v>
          </cell>
        </row>
        <row r="4457">
          <cell r="C4457">
            <v>303550</v>
          </cell>
          <cell r="D4457" t="str">
            <v>Francisca Dominice NHS</v>
          </cell>
          <cell r="E4457">
            <v>0</v>
          </cell>
          <cell r="F4457">
            <v>0</v>
          </cell>
          <cell r="G4457">
            <v>0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0</v>
          </cell>
        </row>
        <row r="4458">
          <cell r="C4458">
            <v>303551</v>
          </cell>
          <cell r="D4458" t="str">
            <v>Gala Vocational School</v>
          </cell>
          <cell r="E4458">
            <v>0</v>
          </cell>
          <cell r="F4458">
            <v>0</v>
          </cell>
          <cell r="G4458">
            <v>0</v>
          </cell>
          <cell r="H4458">
            <v>0</v>
          </cell>
          <cell r="I4458">
            <v>6</v>
          </cell>
          <cell r="J4458">
            <v>5</v>
          </cell>
          <cell r="K4458">
            <v>6</v>
          </cell>
          <cell r="L4458">
            <v>5</v>
          </cell>
        </row>
        <row r="4459">
          <cell r="C4459">
            <v>303552</v>
          </cell>
          <cell r="D4459" t="str">
            <v>Gamay National High School</v>
          </cell>
          <cell r="E4459">
            <v>0</v>
          </cell>
          <cell r="F4459">
            <v>0</v>
          </cell>
          <cell r="G4459">
            <v>0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>
            <v>0</v>
          </cell>
        </row>
        <row r="4460">
          <cell r="C4460">
            <v>303553</v>
          </cell>
          <cell r="D4460" t="str">
            <v>Bangon NHS</v>
          </cell>
          <cell r="E4460">
            <v>0</v>
          </cell>
          <cell r="F4460">
            <v>0</v>
          </cell>
          <cell r="G4460">
            <v>0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>
            <v>0</v>
          </cell>
        </row>
        <row r="4461">
          <cell r="C4461">
            <v>303554</v>
          </cell>
          <cell r="D4461" t="str">
            <v>Hibubullao NHS</v>
          </cell>
          <cell r="E4461">
            <v>0</v>
          </cell>
          <cell r="F4461">
            <v>0</v>
          </cell>
          <cell r="G4461">
            <v>0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0</v>
          </cell>
        </row>
        <row r="4462">
          <cell r="C4462">
            <v>303556</v>
          </cell>
          <cell r="D4462" t="str">
            <v>Laoang National Technical High School</v>
          </cell>
          <cell r="E4462">
            <v>0</v>
          </cell>
          <cell r="F4462">
            <v>0</v>
          </cell>
          <cell r="G4462">
            <v>0</v>
          </cell>
          <cell r="H4462">
            <v>0</v>
          </cell>
          <cell r="I4462">
            <v>2</v>
          </cell>
          <cell r="J4462">
            <v>3</v>
          </cell>
          <cell r="K4462">
            <v>4</v>
          </cell>
          <cell r="L4462">
            <v>4</v>
          </cell>
        </row>
        <row r="4463">
          <cell r="C4463">
            <v>303557</v>
          </cell>
          <cell r="D4463" t="str">
            <v>Laoang NHS</v>
          </cell>
          <cell r="E4463">
            <v>0</v>
          </cell>
          <cell r="F4463">
            <v>0</v>
          </cell>
          <cell r="G4463">
            <v>0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0</v>
          </cell>
        </row>
        <row r="4464">
          <cell r="C4464">
            <v>303559</v>
          </cell>
          <cell r="D4464" t="str">
            <v>Lorenzo S. Menzon AIS</v>
          </cell>
          <cell r="E4464">
            <v>0</v>
          </cell>
          <cell r="F4464">
            <v>0</v>
          </cell>
          <cell r="G4464">
            <v>0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>
            <v>0</v>
          </cell>
        </row>
        <row r="4465">
          <cell r="C4465">
            <v>303560</v>
          </cell>
          <cell r="D4465" t="str">
            <v>Las Navas National High School</v>
          </cell>
          <cell r="E4465">
            <v>0</v>
          </cell>
          <cell r="F4465">
            <v>0</v>
          </cell>
          <cell r="G4465">
            <v>0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>
            <v>0</v>
          </cell>
        </row>
        <row r="4466">
          <cell r="C4466">
            <v>303561</v>
          </cell>
          <cell r="D4466" t="str">
            <v>Basilio B. Chan Mem. Agricultural and Industrial Sch.</v>
          </cell>
          <cell r="E4466">
            <v>0</v>
          </cell>
          <cell r="F4466">
            <v>0</v>
          </cell>
          <cell r="G4466">
            <v>0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0</v>
          </cell>
        </row>
        <row r="4467">
          <cell r="C4467">
            <v>303564</v>
          </cell>
          <cell r="D4467" t="str">
            <v>Mapanas Agro-Industrial High School</v>
          </cell>
          <cell r="E4467">
            <v>0</v>
          </cell>
          <cell r="F4467">
            <v>0</v>
          </cell>
          <cell r="G4467">
            <v>0</v>
          </cell>
          <cell r="H4467">
            <v>0</v>
          </cell>
          <cell r="I4467">
            <v>5</v>
          </cell>
          <cell r="J4467">
            <v>6</v>
          </cell>
          <cell r="K4467">
            <v>5</v>
          </cell>
          <cell r="L4467">
            <v>6</v>
          </cell>
        </row>
        <row r="4468">
          <cell r="C4468">
            <v>303565</v>
          </cell>
          <cell r="D4468" t="str">
            <v>Marubay NHS</v>
          </cell>
          <cell r="E4468">
            <v>0</v>
          </cell>
          <cell r="F4468">
            <v>0</v>
          </cell>
          <cell r="G4468">
            <v>0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>
            <v>0</v>
          </cell>
        </row>
        <row r="4469">
          <cell r="C4469">
            <v>303566</v>
          </cell>
          <cell r="D4469" t="str">
            <v>Mondragon Agro-Ind'L HS</v>
          </cell>
          <cell r="E4469">
            <v>0</v>
          </cell>
          <cell r="F4469">
            <v>0</v>
          </cell>
          <cell r="G4469">
            <v>0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>
            <v>0</v>
          </cell>
        </row>
        <row r="4470">
          <cell r="C4470">
            <v>303567</v>
          </cell>
          <cell r="D4470" t="str">
            <v>Mongolbongol NHS</v>
          </cell>
          <cell r="E4470">
            <v>0</v>
          </cell>
          <cell r="F4470">
            <v>0</v>
          </cell>
          <cell r="G4470">
            <v>0</v>
          </cell>
          <cell r="H4470">
            <v>0</v>
          </cell>
          <cell r="I4470">
            <v>0</v>
          </cell>
          <cell r="J4470">
            <v>3</v>
          </cell>
          <cell r="K4470">
            <v>0</v>
          </cell>
          <cell r="L4470">
            <v>3</v>
          </cell>
        </row>
        <row r="4471">
          <cell r="C4471">
            <v>303568</v>
          </cell>
          <cell r="D4471" t="str">
            <v>Nenita National High School</v>
          </cell>
          <cell r="E4471">
            <v>0</v>
          </cell>
          <cell r="F4471">
            <v>0</v>
          </cell>
          <cell r="G4471">
            <v>0</v>
          </cell>
          <cell r="H4471">
            <v>0</v>
          </cell>
          <cell r="I4471">
            <v>1</v>
          </cell>
          <cell r="J4471">
            <v>4</v>
          </cell>
          <cell r="K4471">
            <v>1</v>
          </cell>
          <cell r="L4471">
            <v>4</v>
          </cell>
        </row>
        <row r="4472">
          <cell r="C4472">
            <v>303569</v>
          </cell>
          <cell r="D4472" t="str">
            <v>Pambujan NHS</v>
          </cell>
          <cell r="E4472">
            <v>0</v>
          </cell>
          <cell r="F4472">
            <v>0</v>
          </cell>
          <cell r="G4472">
            <v>0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>
            <v>0</v>
          </cell>
        </row>
        <row r="4473">
          <cell r="C4473">
            <v>303570</v>
          </cell>
          <cell r="D4473" t="str">
            <v>Polangi National HIgh School</v>
          </cell>
          <cell r="E4473">
            <v>0</v>
          </cell>
          <cell r="F4473">
            <v>0</v>
          </cell>
          <cell r="G4473">
            <v>0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0</v>
          </cell>
        </row>
        <row r="4474">
          <cell r="C4474">
            <v>303573</v>
          </cell>
          <cell r="D4474" t="str">
            <v>Rosario National High School</v>
          </cell>
          <cell r="E4474">
            <v>0</v>
          </cell>
          <cell r="F4474">
            <v>0</v>
          </cell>
          <cell r="G4474">
            <v>0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>
            <v>0</v>
          </cell>
        </row>
        <row r="4475">
          <cell r="C4475">
            <v>303575</v>
          </cell>
          <cell r="D4475" t="str">
            <v>San Antonio Agricultural &amp; Vocational Sch.</v>
          </cell>
          <cell r="E4475">
            <v>0</v>
          </cell>
          <cell r="F4475">
            <v>0</v>
          </cell>
          <cell r="G4475">
            <v>0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>
            <v>0</v>
          </cell>
        </row>
        <row r="4476">
          <cell r="C4476">
            <v>303576</v>
          </cell>
          <cell r="D4476" t="str">
            <v>San Antonio NHS</v>
          </cell>
          <cell r="E4476">
            <v>0</v>
          </cell>
          <cell r="F4476">
            <v>0</v>
          </cell>
          <cell r="G4476">
            <v>0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>
            <v>0</v>
          </cell>
        </row>
        <row r="4477">
          <cell r="C4477">
            <v>303577</v>
          </cell>
          <cell r="D4477" t="str">
            <v>San Isidro Agro-Industrial High School</v>
          </cell>
          <cell r="E4477">
            <v>0</v>
          </cell>
          <cell r="F4477">
            <v>0</v>
          </cell>
          <cell r="G4477">
            <v>0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0</v>
          </cell>
        </row>
        <row r="4478">
          <cell r="C4478">
            <v>303578</v>
          </cell>
          <cell r="D4478" t="str">
            <v>San Isidro NHS (San Isidro)</v>
          </cell>
          <cell r="E4478">
            <v>0</v>
          </cell>
          <cell r="F4478">
            <v>0</v>
          </cell>
          <cell r="G4478">
            <v>0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0</v>
          </cell>
        </row>
        <row r="4479">
          <cell r="C4479">
            <v>303580</v>
          </cell>
          <cell r="D4479" t="str">
            <v>San Jose Technical HS</v>
          </cell>
          <cell r="E4479">
            <v>0</v>
          </cell>
          <cell r="F4479">
            <v>0</v>
          </cell>
          <cell r="G4479">
            <v>0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0</v>
          </cell>
        </row>
        <row r="4480">
          <cell r="C4480">
            <v>303581</v>
          </cell>
          <cell r="D4480" t="str">
            <v>San Roque-Pambujan Vocational High School</v>
          </cell>
          <cell r="E4480">
            <v>0</v>
          </cell>
          <cell r="F4480">
            <v>0</v>
          </cell>
          <cell r="G4480">
            <v>0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>
            <v>0</v>
          </cell>
        </row>
        <row r="4481">
          <cell r="C4481">
            <v>303582</v>
          </cell>
          <cell r="D4481" t="str">
            <v>San Vicente School of Fisheries</v>
          </cell>
          <cell r="E4481">
            <v>0</v>
          </cell>
          <cell r="F4481">
            <v>0</v>
          </cell>
          <cell r="G4481">
            <v>0</v>
          </cell>
          <cell r="H4481">
            <v>0</v>
          </cell>
          <cell r="I4481">
            <v>2</v>
          </cell>
          <cell r="J4481">
            <v>3</v>
          </cell>
          <cell r="K4481">
            <v>2</v>
          </cell>
          <cell r="L4481">
            <v>2</v>
          </cell>
        </row>
        <row r="4482">
          <cell r="C4482">
            <v>303583</v>
          </cell>
          <cell r="D4482" t="str">
            <v>Silvino Lubos Vocational High School</v>
          </cell>
          <cell r="E4482">
            <v>0</v>
          </cell>
          <cell r="F4482">
            <v>0</v>
          </cell>
          <cell r="G4482">
            <v>0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0</v>
          </cell>
        </row>
        <row r="4483">
          <cell r="C4483">
            <v>303584</v>
          </cell>
          <cell r="D4483" t="str">
            <v>SUMOROY AGRO-INDUSTRIAL SCHOOL</v>
          </cell>
          <cell r="E4483">
            <v>0</v>
          </cell>
          <cell r="F4483">
            <v>0</v>
          </cell>
          <cell r="G4483">
            <v>0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>
            <v>0</v>
          </cell>
        </row>
        <row r="4484">
          <cell r="C4484">
            <v>303586</v>
          </cell>
          <cell r="D4484" t="str">
            <v>Vigo National High School</v>
          </cell>
          <cell r="E4484">
            <v>0</v>
          </cell>
          <cell r="F4484">
            <v>0</v>
          </cell>
          <cell r="G4484">
            <v>0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>
            <v>0</v>
          </cell>
        </row>
        <row r="4485">
          <cell r="C4485">
            <v>313602</v>
          </cell>
          <cell r="D4485" t="str">
            <v>Anito NHS</v>
          </cell>
          <cell r="E4485">
            <v>0</v>
          </cell>
          <cell r="F4485">
            <v>0</v>
          </cell>
          <cell r="G4485">
            <v>0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>
            <v>0</v>
          </cell>
        </row>
        <row r="4486">
          <cell r="C4486">
            <v>313603</v>
          </cell>
          <cell r="D4486" t="str">
            <v>Rawis National High School</v>
          </cell>
          <cell r="E4486">
            <v>0</v>
          </cell>
          <cell r="F4486">
            <v>0</v>
          </cell>
          <cell r="G4486">
            <v>0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0</v>
          </cell>
        </row>
        <row r="4487">
          <cell r="C4487">
            <v>313604</v>
          </cell>
          <cell r="D4487" t="str">
            <v>Bantayan NHS</v>
          </cell>
          <cell r="E4487">
            <v>0</v>
          </cell>
          <cell r="F4487">
            <v>0</v>
          </cell>
          <cell r="G4487">
            <v>0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0</v>
          </cell>
        </row>
        <row r="4488">
          <cell r="C4488">
            <v>313605</v>
          </cell>
          <cell r="D4488" t="str">
            <v>Leonardo M. Amigo High School</v>
          </cell>
          <cell r="E4488">
            <v>0</v>
          </cell>
          <cell r="F4488">
            <v>0</v>
          </cell>
          <cell r="G4488">
            <v>0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>
            <v>0</v>
          </cell>
        </row>
        <row r="4489">
          <cell r="C4489">
            <v>313609</v>
          </cell>
          <cell r="D4489" t="str">
            <v>Cabatuan NHS</v>
          </cell>
          <cell r="E4489">
            <v>0</v>
          </cell>
          <cell r="F4489">
            <v>0</v>
          </cell>
          <cell r="G4489">
            <v>0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>
            <v>0</v>
          </cell>
        </row>
        <row r="4490">
          <cell r="C4490">
            <v>313616</v>
          </cell>
          <cell r="D4490" t="str">
            <v>San Miguel National High School</v>
          </cell>
          <cell r="E4490">
            <v>0</v>
          </cell>
          <cell r="F4490">
            <v>0</v>
          </cell>
          <cell r="G4490">
            <v>0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0</v>
          </cell>
        </row>
        <row r="4491">
          <cell r="C4491">
            <v>313617</v>
          </cell>
          <cell r="D4491" t="str">
            <v>San Vicente National High School</v>
          </cell>
          <cell r="E4491">
            <v>0</v>
          </cell>
          <cell r="F4491">
            <v>0</v>
          </cell>
          <cell r="G4491">
            <v>0</v>
          </cell>
          <cell r="H4491">
            <v>0</v>
          </cell>
          <cell r="I4491">
            <v>0</v>
          </cell>
          <cell r="J4491">
            <v>0</v>
          </cell>
          <cell r="K4491">
            <v>0</v>
          </cell>
          <cell r="L4491">
            <v>0</v>
          </cell>
        </row>
        <row r="4492">
          <cell r="C4492">
            <v>313618</v>
          </cell>
          <cell r="D4492" t="str">
            <v>Balnasan National High School</v>
          </cell>
          <cell r="E4492">
            <v>0</v>
          </cell>
          <cell r="F4492">
            <v>0</v>
          </cell>
          <cell r="G4492">
            <v>0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>
            <v>0</v>
          </cell>
        </row>
        <row r="4493">
          <cell r="C4493">
            <v>313619</v>
          </cell>
          <cell r="D4493" t="str">
            <v>Romualdo T. Vicencio National High School</v>
          </cell>
          <cell r="E4493">
            <v>0</v>
          </cell>
          <cell r="F4493">
            <v>0</v>
          </cell>
          <cell r="G4493">
            <v>0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0</v>
          </cell>
        </row>
        <row r="4494">
          <cell r="C4494">
            <v>313621</v>
          </cell>
          <cell r="D4494" t="str">
            <v>Zoilo T. Lobos Memorial High School</v>
          </cell>
          <cell r="E4494">
            <v>0</v>
          </cell>
          <cell r="F4494">
            <v>0</v>
          </cell>
          <cell r="G4494">
            <v>0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0</v>
          </cell>
        </row>
        <row r="4495">
          <cell r="C4495">
            <v>313623</v>
          </cell>
          <cell r="D4495" t="str">
            <v>GUILLERMO C. ADRIATICO, SR. NATIONAL HIGH SCHOOL</v>
          </cell>
          <cell r="E4495">
            <v>0</v>
          </cell>
          <cell r="F4495">
            <v>0</v>
          </cell>
          <cell r="G4495">
            <v>0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0</v>
          </cell>
        </row>
        <row r="4496">
          <cell r="C4496">
            <v>313624</v>
          </cell>
          <cell r="D4496" t="str">
            <v>Oleras NHS</v>
          </cell>
          <cell r="E4496">
            <v>0</v>
          </cell>
          <cell r="F4496">
            <v>0</v>
          </cell>
          <cell r="G4496">
            <v>0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0</v>
          </cell>
        </row>
        <row r="4497">
          <cell r="C4497">
            <v>344946</v>
          </cell>
          <cell r="D4497" t="str">
            <v>Lope de Vega NHS (Stand Alone)</v>
          </cell>
          <cell r="E4497">
            <v>0</v>
          </cell>
          <cell r="F4497">
            <v>0</v>
          </cell>
          <cell r="G4497">
            <v>1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0</v>
          </cell>
        </row>
        <row r="4498">
          <cell r="C4498">
            <v>344947</v>
          </cell>
          <cell r="D4498" t="str">
            <v>Victoria SHS (Stand Alone)</v>
          </cell>
          <cell r="E4498">
            <v>0</v>
          </cell>
          <cell r="F4498">
            <v>0</v>
          </cell>
          <cell r="G4498">
            <v>0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0</v>
          </cell>
        </row>
        <row r="4499">
          <cell r="C4499">
            <v>303588</v>
          </cell>
          <cell r="D4499" t="str">
            <v>Almagro NHS</v>
          </cell>
          <cell r="E4499">
            <v>0</v>
          </cell>
          <cell r="F4499">
            <v>0</v>
          </cell>
          <cell r="G4499">
            <v>0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>
            <v>0</v>
          </cell>
        </row>
        <row r="4500">
          <cell r="C4500">
            <v>303589</v>
          </cell>
          <cell r="D4500" t="str">
            <v>Bagacay NHS</v>
          </cell>
          <cell r="E4500">
            <v>0</v>
          </cell>
          <cell r="F4500">
            <v>0</v>
          </cell>
          <cell r="G4500">
            <v>0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0</v>
          </cell>
        </row>
        <row r="4501">
          <cell r="C4501">
            <v>303590</v>
          </cell>
          <cell r="D4501" t="str">
            <v>Baquiw NHS</v>
          </cell>
          <cell r="E4501">
            <v>0</v>
          </cell>
          <cell r="F4501">
            <v>0</v>
          </cell>
          <cell r="G4501">
            <v>0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0</v>
          </cell>
        </row>
        <row r="4502">
          <cell r="C4502">
            <v>303591</v>
          </cell>
          <cell r="D4502" t="str">
            <v>Baras NHS</v>
          </cell>
          <cell r="E4502">
            <v>0</v>
          </cell>
          <cell r="F4502">
            <v>0</v>
          </cell>
          <cell r="G4502">
            <v>0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0</v>
          </cell>
        </row>
        <row r="4503">
          <cell r="C4503">
            <v>303592</v>
          </cell>
          <cell r="D4503" t="str">
            <v>BASEY NHS</v>
          </cell>
          <cell r="E4503">
            <v>0</v>
          </cell>
          <cell r="F4503">
            <v>0</v>
          </cell>
          <cell r="G4503">
            <v>0</v>
          </cell>
          <cell r="H4503">
            <v>0</v>
          </cell>
          <cell r="I4503">
            <v>9</v>
          </cell>
          <cell r="J4503">
            <v>13</v>
          </cell>
          <cell r="K4503">
            <v>7</v>
          </cell>
          <cell r="L4503">
            <v>7</v>
          </cell>
        </row>
        <row r="4504">
          <cell r="C4504">
            <v>303593</v>
          </cell>
          <cell r="D4504" t="str">
            <v>Burgos IS</v>
          </cell>
          <cell r="E4504">
            <v>0</v>
          </cell>
          <cell r="F4504">
            <v>0</v>
          </cell>
          <cell r="G4504">
            <v>0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0</v>
          </cell>
        </row>
        <row r="4505">
          <cell r="C4505">
            <v>303594</v>
          </cell>
          <cell r="D4505" t="str">
            <v>Old San Agustin NHS</v>
          </cell>
          <cell r="E4505">
            <v>0</v>
          </cell>
          <cell r="F4505">
            <v>0</v>
          </cell>
          <cell r="G4505">
            <v>0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0</v>
          </cell>
        </row>
        <row r="4506">
          <cell r="C4506">
            <v>303595</v>
          </cell>
          <cell r="D4506" t="str">
            <v>Birawan NHS</v>
          </cell>
          <cell r="E4506">
            <v>0</v>
          </cell>
          <cell r="F4506">
            <v>0</v>
          </cell>
          <cell r="G4506">
            <v>0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>
            <v>0</v>
          </cell>
        </row>
        <row r="4507">
          <cell r="C4507">
            <v>303596</v>
          </cell>
          <cell r="D4507" t="str">
            <v>Calapi NHS</v>
          </cell>
          <cell r="E4507">
            <v>0</v>
          </cell>
          <cell r="F4507">
            <v>0</v>
          </cell>
          <cell r="G4507">
            <v>0</v>
          </cell>
          <cell r="H4507">
            <v>0</v>
          </cell>
          <cell r="I4507">
            <v>1</v>
          </cell>
          <cell r="J4507">
            <v>2</v>
          </cell>
          <cell r="K4507">
            <v>3</v>
          </cell>
          <cell r="L4507">
            <v>3</v>
          </cell>
        </row>
        <row r="4508">
          <cell r="C4508">
            <v>303597</v>
          </cell>
          <cell r="D4508" t="str">
            <v>CALBIGA NHS</v>
          </cell>
          <cell r="E4508">
            <v>0</v>
          </cell>
          <cell r="F4508">
            <v>0</v>
          </cell>
          <cell r="G4508">
            <v>0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>
            <v>0</v>
          </cell>
        </row>
        <row r="4509">
          <cell r="C4509">
            <v>303598</v>
          </cell>
          <cell r="D4509" t="str">
            <v>Casandig NHS</v>
          </cell>
          <cell r="E4509">
            <v>0</v>
          </cell>
          <cell r="F4509">
            <v>0</v>
          </cell>
          <cell r="G4509">
            <v>0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0</v>
          </cell>
        </row>
        <row r="4510">
          <cell r="C4510">
            <v>303599</v>
          </cell>
          <cell r="D4510" t="str">
            <v>Clarencio Calagos Mem SOF</v>
          </cell>
          <cell r="E4510">
            <v>0</v>
          </cell>
          <cell r="F4510">
            <v>0</v>
          </cell>
          <cell r="G4510">
            <v>0</v>
          </cell>
          <cell r="H4510">
            <v>0</v>
          </cell>
          <cell r="I4510">
            <v>9</v>
          </cell>
          <cell r="J4510">
            <v>13</v>
          </cell>
          <cell r="K4510">
            <v>2</v>
          </cell>
          <cell r="L4510">
            <v>3</v>
          </cell>
        </row>
        <row r="4511">
          <cell r="C4511">
            <v>303600</v>
          </cell>
          <cell r="D4511" t="str">
            <v>Costa Rica National High School</v>
          </cell>
          <cell r="E4511">
            <v>0</v>
          </cell>
          <cell r="F4511">
            <v>0</v>
          </cell>
          <cell r="G4511">
            <v>0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0</v>
          </cell>
        </row>
        <row r="4512">
          <cell r="C4512">
            <v>303601</v>
          </cell>
          <cell r="D4512" t="str">
            <v>Daram NHS</v>
          </cell>
          <cell r="E4512">
            <v>0</v>
          </cell>
          <cell r="F4512">
            <v>0</v>
          </cell>
          <cell r="G4512">
            <v>0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</row>
        <row r="4513">
          <cell r="C4513">
            <v>303602</v>
          </cell>
          <cell r="D4513" t="str">
            <v>Mualbual  National High School</v>
          </cell>
          <cell r="E4513">
            <v>0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</row>
        <row r="4514">
          <cell r="C4514">
            <v>303603</v>
          </cell>
          <cell r="D4514" t="str">
            <v>Sua NHS</v>
          </cell>
          <cell r="E4514">
            <v>0</v>
          </cell>
          <cell r="F4514">
            <v>0</v>
          </cell>
          <cell r="G4514">
            <v>0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0</v>
          </cell>
        </row>
        <row r="4515">
          <cell r="C4515">
            <v>303605</v>
          </cell>
          <cell r="D4515" t="str">
            <v>Guintarcan NHS</v>
          </cell>
          <cell r="E4515">
            <v>0</v>
          </cell>
          <cell r="F4515">
            <v>0</v>
          </cell>
          <cell r="G4515">
            <v>0</v>
          </cell>
          <cell r="H4515">
            <v>0</v>
          </cell>
          <cell r="I4515">
            <v>0</v>
          </cell>
          <cell r="J4515">
            <v>3</v>
          </cell>
          <cell r="K4515">
            <v>0</v>
          </cell>
          <cell r="L4515">
            <v>3</v>
          </cell>
        </row>
        <row r="4516">
          <cell r="C4516">
            <v>303606</v>
          </cell>
          <cell r="D4516" t="str">
            <v>Hinabangan NHS</v>
          </cell>
          <cell r="E4516">
            <v>0</v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0</v>
          </cell>
        </row>
        <row r="4517">
          <cell r="C4517">
            <v>303607</v>
          </cell>
          <cell r="D4517" t="str">
            <v>Igot National High School</v>
          </cell>
          <cell r="E4517">
            <v>0</v>
          </cell>
          <cell r="F4517">
            <v>0</v>
          </cell>
          <cell r="G4517">
            <v>0</v>
          </cell>
          <cell r="H4517">
            <v>0</v>
          </cell>
          <cell r="I4517">
            <v>2</v>
          </cell>
          <cell r="J4517">
            <v>3</v>
          </cell>
          <cell r="K4517">
            <v>0</v>
          </cell>
          <cell r="L4517">
            <v>0</v>
          </cell>
        </row>
        <row r="4518">
          <cell r="C4518">
            <v>303608</v>
          </cell>
          <cell r="D4518" t="str">
            <v>Independencia NHS</v>
          </cell>
          <cell r="E4518">
            <v>0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0</v>
          </cell>
        </row>
        <row r="4519">
          <cell r="C4519">
            <v>303609</v>
          </cell>
          <cell r="D4519" t="str">
            <v>Jiabong National High School</v>
          </cell>
          <cell r="E4519">
            <v>0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0</v>
          </cell>
        </row>
        <row r="4520">
          <cell r="C4520">
            <v>303610</v>
          </cell>
          <cell r="D4520" t="str">
            <v>Lawaan NHS</v>
          </cell>
          <cell r="E4520">
            <v>0</v>
          </cell>
          <cell r="F4520">
            <v>0</v>
          </cell>
          <cell r="G4520">
            <v>0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>
            <v>0</v>
          </cell>
        </row>
        <row r="4521">
          <cell r="C4521">
            <v>303611</v>
          </cell>
          <cell r="D4521" t="str">
            <v>Marabut NHS</v>
          </cell>
          <cell r="E4521">
            <v>0</v>
          </cell>
          <cell r="F4521">
            <v>0</v>
          </cell>
          <cell r="G4521">
            <v>0</v>
          </cell>
          <cell r="H4521">
            <v>0</v>
          </cell>
          <cell r="I4521">
            <v>2</v>
          </cell>
          <cell r="J4521">
            <v>4</v>
          </cell>
          <cell r="K4521">
            <v>3</v>
          </cell>
          <cell r="L4521">
            <v>0</v>
          </cell>
        </row>
        <row r="4522">
          <cell r="C4522">
            <v>303612</v>
          </cell>
          <cell r="D4522" t="str">
            <v>Matuguinao National High School</v>
          </cell>
          <cell r="E4522">
            <v>0</v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0</v>
          </cell>
        </row>
        <row r="4523">
          <cell r="C4523">
            <v>303613</v>
          </cell>
          <cell r="D4523" t="str">
            <v>Motiong NHS</v>
          </cell>
          <cell r="E4523">
            <v>0</v>
          </cell>
          <cell r="F4523">
            <v>0</v>
          </cell>
          <cell r="G4523">
            <v>0</v>
          </cell>
          <cell r="H4523">
            <v>0</v>
          </cell>
          <cell r="I4523">
            <v>5</v>
          </cell>
          <cell r="J4523">
            <v>8</v>
          </cell>
          <cell r="K4523">
            <v>3</v>
          </cell>
          <cell r="L4523">
            <v>6</v>
          </cell>
        </row>
        <row r="4524">
          <cell r="C4524">
            <v>303614</v>
          </cell>
          <cell r="D4524" t="str">
            <v>Osmeña NHS</v>
          </cell>
          <cell r="E4524">
            <v>0</v>
          </cell>
          <cell r="F4524">
            <v>0</v>
          </cell>
          <cell r="G4524">
            <v>0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0</v>
          </cell>
        </row>
        <row r="4525">
          <cell r="C4525">
            <v>303615</v>
          </cell>
          <cell r="D4525" t="str">
            <v>Pagsanghan NHS</v>
          </cell>
          <cell r="E4525">
            <v>0</v>
          </cell>
          <cell r="F4525">
            <v>0</v>
          </cell>
          <cell r="G4525">
            <v>0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0</v>
          </cell>
        </row>
        <row r="4526">
          <cell r="C4526">
            <v>303616</v>
          </cell>
          <cell r="D4526" t="str">
            <v>Parasan NHS</v>
          </cell>
          <cell r="E4526">
            <v>0</v>
          </cell>
          <cell r="F4526">
            <v>0</v>
          </cell>
          <cell r="G4526">
            <v>0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0</v>
          </cell>
        </row>
        <row r="4527">
          <cell r="C4527">
            <v>303617</v>
          </cell>
          <cell r="D4527" t="str">
            <v>Pinabacdao NHS</v>
          </cell>
          <cell r="E4527">
            <v>0</v>
          </cell>
          <cell r="F4527">
            <v>0</v>
          </cell>
          <cell r="G4527">
            <v>0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>
            <v>0</v>
          </cell>
        </row>
        <row r="4528">
          <cell r="C4528">
            <v>303618</v>
          </cell>
          <cell r="D4528" t="str">
            <v>Ramon T. Diaz NHS</v>
          </cell>
          <cell r="E4528">
            <v>0</v>
          </cell>
          <cell r="F4528">
            <v>0</v>
          </cell>
          <cell r="G4528">
            <v>0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</row>
        <row r="4529">
          <cell r="C4529">
            <v>303619</v>
          </cell>
          <cell r="D4529" t="str">
            <v>Buenavista National High School</v>
          </cell>
          <cell r="E4529">
            <v>0</v>
          </cell>
          <cell r="F4529">
            <v>0</v>
          </cell>
          <cell r="G4529">
            <v>1</v>
          </cell>
          <cell r="H4529">
            <v>0</v>
          </cell>
          <cell r="I4529">
            <v>0</v>
          </cell>
          <cell r="J4529">
            <v>0</v>
          </cell>
          <cell r="K4529">
            <v>1</v>
          </cell>
          <cell r="L4529">
            <v>0</v>
          </cell>
        </row>
        <row r="4530">
          <cell r="C4530">
            <v>303625</v>
          </cell>
          <cell r="D4530" t="str">
            <v>SAN ANDRES NHS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>
            <v>0</v>
          </cell>
        </row>
        <row r="4531">
          <cell r="C4531">
            <v>303626</v>
          </cell>
          <cell r="D4531" t="str">
            <v>San Jose de Buan NHS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>
            <v>0</v>
          </cell>
        </row>
        <row r="4532">
          <cell r="C4532">
            <v>303627</v>
          </cell>
          <cell r="D4532" t="str">
            <v>San Sebastian NHS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>
            <v>0</v>
          </cell>
        </row>
        <row r="4533">
          <cell r="C4533">
            <v>303628</v>
          </cell>
          <cell r="D4533" t="str">
            <v>Simeon Ocdol NHS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>
            <v>0</v>
          </cell>
        </row>
        <row r="4534">
          <cell r="C4534">
            <v>303629</v>
          </cell>
          <cell r="D4534" t="str">
            <v>Sta. Margarita NHS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>
            <v>0</v>
          </cell>
        </row>
        <row r="4535">
          <cell r="C4535">
            <v>303630</v>
          </cell>
          <cell r="D4535" t="str">
            <v>Napuro NHS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0</v>
          </cell>
        </row>
        <row r="4536">
          <cell r="C4536">
            <v>303631</v>
          </cell>
          <cell r="D4536" t="str">
            <v>Sta. Rita NHS</v>
          </cell>
          <cell r="E4536">
            <v>0</v>
          </cell>
          <cell r="F4536">
            <v>0</v>
          </cell>
          <cell r="G4536">
            <v>0</v>
          </cell>
          <cell r="H4536">
            <v>0</v>
          </cell>
          <cell r="I4536">
            <v>1</v>
          </cell>
          <cell r="J4536">
            <v>4</v>
          </cell>
          <cell r="K4536">
            <v>5</v>
          </cell>
          <cell r="L4536">
            <v>0</v>
          </cell>
        </row>
        <row r="4537">
          <cell r="C4537">
            <v>303632</v>
          </cell>
          <cell r="D4537" t="str">
            <v>Sto. Nino NHS</v>
          </cell>
          <cell r="E4537">
            <v>0</v>
          </cell>
          <cell r="F4537">
            <v>0</v>
          </cell>
          <cell r="G4537">
            <v>0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0</v>
          </cell>
        </row>
        <row r="4538">
          <cell r="C4538">
            <v>303633</v>
          </cell>
          <cell r="D4538" t="str">
            <v>Tagapul-an NHS</v>
          </cell>
          <cell r="E4538">
            <v>0</v>
          </cell>
          <cell r="F4538">
            <v>0</v>
          </cell>
          <cell r="G4538">
            <v>0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0</v>
          </cell>
        </row>
        <row r="4539">
          <cell r="C4539">
            <v>303634</v>
          </cell>
          <cell r="D4539" t="str">
            <v>Tarangnan NHS</v>
          </cell>
          <cell r="E4539">
            <v>0</v>
          </cell>
          <cell r="F4539">
            <v>0</v>
          </cell>
          <cell r="G4539">
            <v>0</v>
          </cell>
          <cell r="H4539">
            <v>0</v>
          </cell>
          <cell r="I4539">
            <v>4</v>
          </cell>
          <cell r="J4539">
            <v>11</v>
          </cell>
          <cell r="K4539">
            <v>0</v>
          </cell>
          <cell r="L4539">
            <v>0</v>
          </cell>
        </row>
        <row r="4540">
          <cell r="C4540">
            <v>303635</v>
          </cell>
          <cell r="D4540" t="str">
            <v>OESTE NHS</v>
          </cell>
          <cell r="E4540">
            <v>0</v>
          </cell>
          <cell r="F4540">
            <v>0</v>
          </cell>
          <cell r="G4540">
            <v>0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0</v>
          </cell>
        </row>
        <row r="4541">
          <cell r="C4541">
            <v>303636</v>
          </cell>
          <cell r="D4541" t="str">
            <v>Tominamos IS</v>
          </cell>
          <cell r="E4541">
            <v>0</v>
          </cell>
          <cell r="F4541">
            <v>0</v>
          </cell>
          <cell r="G4541">
            <v>0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>
            <v>0</v>
          </cell>
        </row>
        <row r="4542">
          <cell r="C4542">
            <v>303637</v>
          </cell>
          <cell r="D4542" t="str">
            <v>Valeriano C. Yancha MAS</v>
          </cell>
          <cell r="E4542">
            <v>0</v>
          </cell>
          <cell r="F4542">
            <v>0</v>
          </cell>
          <cell r="G4542">
            <v>0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>
            <v>0</v>
          </cell>
        </row>
        <row r="4543">
          <cell r="C4543">
            <v>303638</v>
          </cell>
          <cell r="D4543" t="str">
            <v>Villahermosa NHS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</row>
        <row r="4544">
          <cell r="C4544">
            <v>303639</v>
          </cell>
          <cell r="D4544" t="str">
            <v>Villareal NHS</v>
          </cell>
          <cell r="E4544">
            <v>0</v>
          </cell>
          <cell r="F4544">
            <v>0</v>
          </cell>
          <cell r="G4544">
            <v>0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0</v>
          </cell>
        </row>
        <row r="4545">
          <cell r="C4545">
            <v>303640</v>
          </cell>
          <cell r="D4545" t="str">
            <v>Quintin Quijano SAS</v>
          </cell>
          <cell r="E4545">
            <v>0</v>
          </cell>
          <cell r="F4545">
            <v>0</v>
          </cell>
          <cell r="G4545">
            <v>0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0</v>
          </cell>
        </row>
        <row r="4546">
          <cell r="C4546">
            <v>303641</v>
          </cell>
          <cell r="D4546" t="str">
            <v>Wright NHS</v>
          </cell>
          <cell r="E4546">
            <v>0</v>
          </cell>
          <cell r="F4546">
            <v>0</v>
          </cell>
          <cell r="G4546">
            <v>0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>
            <v>0</v>
          </cell>
        </row>
        <row r="4547">
          <cell r="C4547">
            <v>303643</v>
          </cell>
          <cell r="D4547" t="str">
            <v>Zumarraga NHS</v>
          </cell>
          <cell r="E4547">
            <v>0</v>
          </cell>
          <cell r="F4547">
            <v>0</v>
          </cell>
          <cell r="G4547">
            <v>0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>
            <v>0</v>
          </cell>
        </row>
        <row r="4548">
          <cell r="C4548">
            <v>313702</v>
          </cell>
          <cell r="D4548" t="str">
            <v>Plaridel NHS</v>
          </cell>
          <cell r="E4548">
            <v>0</v>
          </cell>
          <cell r="F4548">
            <v>0</v>
          </cell>
          <cell r="G4548">
            <v>0</v>
          </cell>
          <cell r="H4548">
            <v>0</v>
          </cell>
          <cell r="I4548">
            <v>2</v>
          </cell>
          <cell r="J4548">
            <v>0</v>
          </cell>
          <cell r="K4548">
            <v>0</v>
          </cell>
          <cell r="L4548">
            <v>0</v>
          </cell>
        </row>
        <row r="4549">
          <cell r="C4549">
            <v>313703</v>
          </cell>
          <cell r="D4549" t="str">
            <v>Cabunga-an IS</v>
          </cell>
          <cell r="E4549">
            <v>0</v>
          </cell>
          <cell r="F4549">
            <v>0</v>
          </cell>
          <cell r="G4549">
            <v>0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>
            <v>0</v>
          </cell>
        </row>
        <row r="4550">
          <cell r="C4550">
            <v>313705</v>
          </cell>
          <cell r="D4550" t="str">
            <v>Rizal Integrated School</v>
          </cell>
          <cell r="E4550">
            <v>0</v>
          </cell>
          <cell r="F4550">
            <v>0</v>
          </cell>
          <cell r="G4550">
            <v>0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>
            <v>0</v>
          </cell>
        </row>
        <row r="4551">
          <cell r="C4551">
            <v>313707</v>
          </cell>
          <cell r="D4551" t="str">
            <v>Bioso IS</v>
          </cell>
          <cell r="E4551">
            <v>0</v>
          </cell>
          <cell r="F4551">
            <v>0</v>
          </cell>
          <cell r="G4551">
            <v>0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>
            <v>0</v>
          </cell>
        </row>
        <row r="4552">
          <cell r="C4552">
            <v>313708</v>
          </cell>
          <cell r="D4552" t="str">
            <v>San Jorge NHS</v>
          </cell>
          <cell r="E4552">
            <v>0</v>
          </cell>
          <cell r="F4552">
            <v>0</v>
          </cell>
          <cell r="G4552">
            <v>0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>
            <v>0</v>
          </cell>
        </row>
        <row r="4553">
          <cell r="C4553">
            <v>313709</v>
          </cell>
          <cell r="D4553" t="str">
            <v>Bakhaw NHS</v>
          </cell>
          <cell r="E4553">
            <v>0</v>
          </cell>
          <cell r="F4553">
            <v>0</v>
          </cell>
          <cell r="G4553">
            <v>0</v>
          </cell>
          <cell r="H4553">
            <v>0</v>
          </cell>
          <cell r="I4553">
            <v>0</v>
          </cell>
          <cell r="J4553">
            <v>0</v>
          </cell>
          <cell r="K4553">
            <v>0</v>
          </cell>
          <cell r="L4553">
            <v>0</v>
          </cell>
        </row>
        <row r="4554">
          <cell r="C4554">
            <v>313710</v>
          </cell>
          <cell r="D4554" t="str">
            <v>Cuyting Uy National High School</v>
          </cell>
          <cell r="E4554">
            <v>0</v>
          </cell>
          <cell r="F4554">
            <v>0</v>
          </cell>
          <cell r="G4554">
            <v>0</v>
          </cell>
          <cell r="H4554">
            <v>0</v>
          </cell>
          <cell r="I4554">
            <v>1</v>
          </cell>
          <cell r="J4554">
            <v>2</v>
          </cell>
          <cell r="K4554">
            <v>0</v>
          </cell>
          <cell r="L4554">
            <v>0</v>
          </cell>
        </row>
        <row r="4555">
          <cell r="C4555">
            <v>313711</v>
          </cell>
          <cell r="D4555" t="str">
            <v>Casapa National High School</v>
          </cell>
          <cell r="E4555">
            <v>0</v>
          </cell>
          <cell r="F4555">
            <v>0</v>
          </cell>
          <cell r="G4555">
            <v>0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0</v>
          </cell>
        </row>
        <row r="4556">
          <cell r="C4556">
            <v>313712</v>
          </cell>
          <cell r="D4556" t="str">
            <v>Piñaplata Integrated School</v>
          </cell>
          <cell r="E4556">
            <v>0</v>
          </cell>
          <cell r="F4556">
            <v>0</v>
          </cell>
          <cell r="G4556">
            <v>0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>
            <v>0</v>
          </cell>
        </row>
        <row r="4557">
          <cell r="C4557">
            <v>313715</v>
          </cell>
          <cell r="D4557" t="str">
            <v>San Fernando NHS</v>
          </cell>
          <cell r="E4557">
            <v>0</v>
          </cell>
          <cell r="F4557">
            <v>0</v>
          </cell>
          <cell r="G4557">
            <v>0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0</v>
          </cell>
        </row>
        <row r="4558">
          <cell r="C4558">
            <v>313717</v>
          </cell>
          <cell r="D4558" t="str">
            <v>Hinangutdan National High School</v>
          </cell>
          <cell r="E4558">
            <v>0</v>
          </cell>
          <cell r="F4558">
            <v>0</v>
          </cell>
          <cell r="G4558">
            <v>0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0</v>
          </cell>
        </row>
        <row r="4559">
          <cell r="C4559">
            <v>313718</v>
          </cell>
          <cell r="D4559" t="str">
            <v>Primitivo T. Torrechiva NHS</v>
          </cell>
          <cell r="E4559">
            <v>0</v>
          </cell>
          <cell r="F4559">
            <v>0</v>
          </cell>
          <cell r="G4559">
            <v>0</v>
          </cell>
          <cell r="H4559">
            <v>0</v>
          </cell>
          <cell r="I4559">
            <v>3</v>
          </cell>
          <cell r="J4559">
            <v>0</v>
          </cell>
          <cell r="K4559">
            <v>3</v>
          </cell>
          <cell r="L4559">
            <v>0</v>
          </cell>
        </row>
        <row r="4560">
          <cell r="C4560">
            <v>313719</v>
          </cell>
          <cell r="D4560" t="str">
            <v>Bagacay NHS</v>
          </cell>
          <cell r="E4560">
            <v>0</v>
          </cell>
          <cell r="F4560">
            <v>0</v>
          </cell>
          <cell r="G4560">
            <v>0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>
            <v>0</v>
          </cell>
        </row>
        <row r="4561">
          <cell r="C4561">
            <v>313721</v>
          </cell>
          <cell r="D4561" t="str">
            <v>San Isidro NHS</v>
          </cell>
          <cell r="E4561">
            <v>0</v>
          </cell>
          <cell r="F4561">
            <v>0</v>
          </cell>
          <cell r="G4561">
            <v>0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0</v>
          </cell>
        </row>
        <row r="4562">
          <cell r="C4562">
            <v>313722</v>
          </cell>
          <cell r="D4562" t="str">
            <v>Majacob Integrated School</v>
          </cell>
          <cell r="E4562">
            <v>0</v>
          </cell>
          <cell r="F4562">
            <v>0</v>
          </cell>
          <cell r="G4562">
            <v>0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>
            <v>0</v>
          </cell>
        </row>
        <row r="4563">
          <cell r="C4563">
            <v>313723</v>
          </cell>
          <cell r="D4563" t="str">
            <v>Parasanon NHS</v>
          </cell>
          <cell r="E4563">
            <v>0</v>
          </cell>
          <cell r="F4563">
            <v>0</v>
          </cell>
          <cell r="G4563">
            <v>0</v>
          </cell>
          <cell r="H4563">
            <v>0</v>
          </cell>
          <cell r="I4563">
            <v>0</v>
          </cell>
          <cell r="J4563">
            <v>0</v>
          </cell>
          <cell r="K4563">
            <v>0</v>
          </cell>
          <cell r="L4563">
            <v>0</v>
          </cell>
        </row>
        <row r="4564">
          <cell r="C4564">
            <v>313724</v>
          </cell>
          <cell r="D4564" t="str">
            <v>Balocawe Integrated School</v>
          </cell>
          <cell r="E4564">
            <v>0</v>
          </cell>
          <cell r="F4564">
            <v>0</v>
          </cell>
          <cell r="G4564">
            <v>0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>
            <v>0</v>
          </cell>
        </row>
        <row r="4565">
          <cell r="C4565">
            <v>313727</v>
          </cell>
          <cell r="D4565" t="str">
            <v>Mabini NHS</v>
          </cell>
          <cell r="E4565">
            <v>0</v>
          </cell>
          <cell r="F4565">
            <v>0</v>
          </cell>
          <cell r="G4565">
            <v>0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>
            <v>0</v>
          </cell>
        </row>
        <row r="4566">
          <cell r="C4566">
            <v>313728</v>
          </cell>
          <cell r="D4566" t="str">
            <v>Lamingao NHS</v>
          </cell>
          <cell r="E4566">
            <v>0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0</v>
          </cell>
        </row>
        <row r="4567">
          <cell r="C4567">
            <v>303644</v>
          </cell>
          <cell r="D4567" t="str">
            <v>Mag-ubay National High School</v>
          </cell>
          <cell r="E4567">
            <v>0</v>
          </cell>
          <cell r="F4567">
            <v>0</v>
          </cell>
          <cell r="G4567">
            <v>0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>
            <v>0</v>
          </cell>
        </row>
        <row r="4568">
          <cell r="C4568">
            <v>303645</v>
          </cell>
          <cell r="D4568" t="str">
            <v>Malaga National High School</v>
          </cell>
          <cell r="E4568">
            <v>0</v>
          </cell>
          <cell r="F4568">
            <v>0</v>
          </cell>
          <cell r="G4568">
            <v>0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>
            <v>0</v>
          </cell>
        </row>
        <row r="4569">
          <cell r="C4569">
            <v>303646</v>
          </cell>
          <cell r="D4569" t="str">
            <v>Oquendo National High School</v>
          </cell>
          <cell r="E4569">
            <v>0</v>
          </cell>
          <cell r="F4569">
            <v>0</v>
          </cell>
          <cell r="G4569">
            <v>0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>
            <v>0</v>
          </cell>
        </row>
        <row r="4570">
          <cell r="C4570">
            <v>303648</v>
          </cell>
          <cell r="D4570" t="str">
            <v>Pilar National Agricultural High School</v>
          </cell>
          <cell r="E4570">
            <v>0</v>
          </cell>
          <cell r="F4570">
            <v>0</v>
          </cell>
          <cell r="G4570">
            <v>0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>
            <v>0</v>
          </cell>
        </row>
        <row r="4571">
          <cell r="C4571">
            <v>303649</v>
          </cell>
          <cell r="D4571" t="str">
            <v>R. Lentejas Mem. School Of Fisheries</v>
          </cell>
          <cell r="E4571">
            <v>0</v>
          </cell>
          <cell r="F4571">
            <v>0</v>
          </cell>
          <cell r="G4571">
            <v>0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>
            <v>0</v>
          </cell>
        </row>
        <row r="4572">
          <cell r="C4572">
            <v>303650</v>
          </cell>
          <cell r="D4572" t="str">
            <v>San Joaquin National HIgh School</v>
          </cell>
          <cell r="E4572">
            <v>0</v>
          </cell>
          <cell r="F4572">
            <v>0</v>
          </cell>
          <cell r="G4572">
            <v>0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>
            <v>0</v>
          </cell>
        </row>
        <row r="4573">
          <cell r="C4573">
            <v>303651</v>
          </cell>
          <cell r="D4573" t="str">
            <v>San Policarpo National High School</v>
          </cell>
          <cell r="E4573">
            <v>0</v>
          </cell>
          <cell r="F4573">
            <v>0</v>
          </cell>
          <cell r="G4573">
            <v>0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>
            <v>0</v>
          </cell>
        </row>
        <row r="4574">
          <cell r="C4574">
            <v>303652</v>
          </cell>
          <cell r="D4574" t="str">
            <v>Tarabucan National High School</v>
          </cell>
          <cell r="E4574">
            <v>0</v>
          </cell>
          <cell r="F4574">
            <v>0</v>
          </cell>
          <cell r="G4574">
            <v>0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>
            <v>0</v>
          </cell>
        </row>
        <row r="4575">
          <cell r="C4575">
            <v>303653</v>
          </cell>
          <cell r="D4575" t="str">
            <v>Trinidad National High School-Main Campus</v>
          </cell>
          <cell r="E4575">
            <v>0</v>
          </cell>
          <cell r="F4575">
            <v>0</v>
          </cell>
          <cell r="G4575">
            <v>0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0</v>
          </cell>
        </row>
        <row r="4576">
          <cell r="C4576">
            <v>313801</v>
          </cell>
          <cell r="D4576" t="str">
            <v>Calbayog City National High School</v>
          </cell>
          <cell r="E4576">
            <v>0</v>
          </cell>
          <cell r="F4576">
            <v>0</v>
          </cell>
          <cell r="G4576">
            <v>0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>
            <v>0</v>
          </cell>
        </row>
        <row r="4577">
          <cell r="C4577">
            <v>313802</v>
          </cell>
          <cell r="D4577" t="str">
            <v>Migara National High School</v>
          </cell>
          <cell r="E4577">
            <v>0</v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0</v>
          </cell>
        </row>
        <row r="4578">
          <cell r="C4578">
            <v>313811</v>
          </cell>
          <cell r="D4578" t="str">
            <v>Malaga NHS - Pena I Annex School</v>
          </cell>
          <cell r="E4578">
            <v>0</v>
          </cell>
          <cell r="F4578">
            <v>0</v>
          </cell>
          <cell r="G4578">
            <v>0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>
            <v>0</v>
          </cell>
        </row>
        <row r="4579">
          <cell r="C4579">
            <v>344634</v>
          </cell>
          <cell r="D4579" t="str">
            <v>Calbayog Arts and Design School of Eastern Visayas</v>
          </cell>
          <cell r="E4579">
            <v>0</v>
          </cell>
          <cell r="F4579">
            <v>0</v>
          </cell>
          <cell r="G4579">
            <v>0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>
            <v>0</v>
          </cell>
        </row>
        <row r="4580">
          <cell r="C4580">
            <v>500238</v>
          </cell>
          <cell r="D4580" t="str">
            <v>Tabawan Integrated School</v>
          </cell>
          <cell r="E4580">
            <v>0</v>
          </cell>
          <cell r="F4580">
            <v>0</v>
          </cell>
          <cell r="G4580">
            <v>0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0</v>
          </cell>
        </row>
        <row r="4581">
          <cell r="C4581">
            <v>500807</v>
          </cell>
          <cell r="D4581" t="str">
            <v>Bagacay Integrated School</v>
          </cell>
          <cell r="E4581">
            <v>0</v>
          </cell>
          <cell r="F4581">
            <v>0</v>
          </cell>
          <cell r="G4581">
            <v>0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>
            <v>0</v>
          </cell>
        </row>
        <row r="4582">
          <cell r="C4582">
            <v>303654</v>
          </cell>
          <cell r="D4582" t="str">
            <v>Dolores National High School</v>
          </cell>
          <cell r="E4582">
            <v>0</v>
          </cell>
          <cell r="F4582">
            <v>0</v>
          </cell>
          <cell r="G4582">
            <v>0</v>
          </cell>
          <cell r="H4582">
            <v>0</v>
          </cell>
          <cell r="I4582">
            <v>1</v>
          </cell>
          <cell r="J4582">
            <v>10</v>
          </cell>
          <cell r="K4582">
            <v>1</v>
          </cell>
          <cell r="L4582">
            <v>10</v>
          </cell>
        </row>
        <row r="4583">
          <cell r="C4583">
            <v>303655</v>
          </cell>
          <cell r="D4583" t="str">
            <v>Ipil National High School</v>
          </cell>
          <cell r="E4583">
            <v>0</v>
          </cell>
          <cell r="F4583">
            <v>0</v>
          </cell>
          <cell r="G4583">
            <v>0</v>
          </cell>
          <cell r="H4583">
            <v>0</v>
          </cell>
          <cell r="I4583">
            <v>3</v>
          </cell>
          <cell r="J4583">
            <v>12</v>
          </cell>
          <cell r="K4583">
            <v>3</v>
          </cell>
          <cell r="L4583">
            <v>12</v>
          </cell>
        </row>
        <row r="4584">
          <cell r="C4584">
            <v>303656</v>
          </cell>
          <cell r="D4584" t="str">
            <v>Linao National High School</v>
          </cell>
          <cell r="E4584">
            <v>0</v>
          </cell>
          <cell r="F4584">
            <v>0</v>
          </cell>
          <cell r="G4584">
            <v>0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0</v>
          </cell>
        </row>
        <row r="4585">
          <cell r="C4585">
            <v>303657</v>
          </cell>
          <cell r="D4585" t="str">
            <v>Margen National High School</v>
          </cell>
          <cell r="E4585">
            <v>0</v>
          </cell>
          <cell r="F4585">
            <v>0</v>
          </cell>
          <cell r="G4585">
            <v>0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0</v>
          </cell>
        </row>
        <row r="4586">
          <cell r="C4586">
            <v>303660</v>
          </cell>
          <cell r="D4586" t="str">
            <v>Rustico Capahi Sr. Memorial National High School</v>
          </cell>
          <cell r="E4586">
            <v>0</v>
          </cell>
          <cell r="F4586">
            <v>0</v>
          </cell>
          <cell r="G4586">
            <v>0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>
            <v>0</v>
          </cell>
        </row>
        <row r="4587">
          <cell r="C4587">
            <v>303661</v>
          </cell>
          <cell r="D4587" t="str">
            <v>Genaro B. Lureñana National High School</v>
          </cell>
          <cell r="E4587">
            <v>0</v>
          </cell>
          <cell r="F4587">
            <v>0</v>
          </cell>
          <cell r="G4587">
            <v>0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>
            <v>0</v>
          </cell>
        </row>
        <row r="4588">
          <cell r="C4588">
            <v>303662</v>
          </cell>
          <cell r="D4588" t="str">
            <v>Valencia National High School</v>
          </cell>
          <cell r="E4588">
            <v>0</v>
          </cell>
          <cell r="F4588">
            <v>0</v>
          </cell>
          <cell r="G4588">
            <v>0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0</v>
          </cell>
        </row>
        <row r="4589">
          <cell r="C4589">
            <v>313901</v>
          </cell>
          <cell r="D4589" t="str">
            <v>Lilo-an National High School</v>
          </cell>
          <cell r="E4589">
            <v>0</v>
          </cell>
          <cell r="F4589">
            <v>0</v>
          </cell>
          <cell r="G4589">
            <v>0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0</v>
          </cell>
        </row>
        <row r="4590">
          <cell r="C4590">
            <v>313902</v>
          </cell>
          <cell r="D4590" t="str">
            <v>Pedro G. Bañez National High School</v>
          </cell>
          <cell r="E4590">
            <v>0</v>
          </cell>
          <cell r="F4590">
            <v>0</v>
          </cell>
          <cell r="G4590">
            <v>0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0</v>
          </cell>
        </row>
        <row r="4591">
          <cell r="C4591">
            <v>313903</v>
          </cell>
          <cell r="D4591" t="str">
            <v>Cabintan National High School</v>
          </cell>
          <cell r="E4591">
            <v>0</v>
          </cell>
          <cell r="F4591">
            <v>0</v>
          </cell>
          <cell r="G4591">
            <v>0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>
            <v>0</v>
          </cell>
        </row>
        <row r="4592">
          <cell r="C4592">
            <v>313904</v>
          </cell>
          <cell r="D4592" t="str">
            <v>Matica-a National High School</v>
          </cell>
          <cell r="E4592">
            <v>0</v>
          </cell>
          <cell r="F4592">
            <v>0</v>
          </cell>
          <cell r="G4592">
            <v>0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0</v>
          </cell>
        </row>
        <row r="4593">
          <cell r="C4593">
            <v>313905</v>
          </cell>
          <cell r="D4593" t="str">
            <v>Ormoc City Night High School</v>
          </cell>
          <cell r="E4593">
            <v>0</v>
          </cell>
          <cell r="F4593">
            <v>0</v>
          </cell>
          <cell r="G4593">
            <v>0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>
            <v>0</v>
          </cell>
        </row>
        <row r="4594">
          <cell r="C4594">
            <v>313906</v>
          </cell>
          <cell r="D4594" t="str">
            <v>Julian C. Gantuangco NHS</v>
          </cell>
          <cell r="E4594">
            <v>0</v>
          </cell>
          <cell r="F4594">
            <v>0</v>
          </cell>
          <cell r="G4594">
            <v>0</v>
          </cell>
          <cell r="H4594">
            <v>0</v>
          </cell>
          <cell r="I4594">
            <v>0</v>
          </cell>
          <cell r="J4594">
            <v>3</v>
          </cell>
          <cell r="K4594">
            <v>0</v>
          </cell>
          <cell r="L4594">
            <v>3</v>
          </cell>
        </row>
        <row r="4595">
          <cell r="C4595">
            <v>330523</v>
          </cell>
          <cell r="D4595" t="str">
            <v>Ormoc City Senior High School</v>
          </cell>
          <cell r="E4595">
            <v>0</v>
          </cell>
          <cell r="F4595">
            <v>0</v>
          </cell>
          <cell r="G4595">
            <v>0</v>
          </cell>
          <cell r="H4595">
            <v>0</v>
          </cell>
          <cell r="I4595">
            <v>0</v>
          </cell>
          <cell r="J4595">
            <v>0</v>
          </cell>
          <cell r="K4595">
            <v>0</v>
          </cell>
          <cell r="L4595">
            <v>0</v>
          </cell>
        </row>
        <row r="4596">
          <cell r="C4596">
            <v>344795</v>
          </cell>
          <cell r="D4596" t="str">
            <v>Ormoc City Regional Sports Academy</v>
          </cell>
          <cell r="E4596">
            <v>0</v>
          </cell>
          <cell r="F4596">
            <v>0</v>
          </cell>
          <cell r="G4596">
            <v>0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0</v>
          </cell>
        </row>
        <row r="4597">
          <cell r="C4597">
            <v>303663</v>
          </cell>
          <cell r="D4597" t="str">
            <v>Leyte National High School</v>
          </cell>
          <cell r="E4597">
            <v>0</v>
          </cell>
          <cell r="F4597">
            <v>0</v>
          </cell>
          <cell r="G4597">
            <v>0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>
            <v>0</v>
          </cell>
        </row>
        <row r="4598">
          <cell r="C4598">
            <v>303666</v>
          </cell>
          <cell r="D4598" t="str">
            <v>Sagkahan National High School</v>
          </cell>
          <cell r="E4598">
            <v>0</v>
          </cell>
          <cell r="F4598">
            <v>0</v>
          </cell>
          <cell r="G4598">
            <v>0</v>
          </cell>
          <cell r="H4598">
            <v>0</v>
          </cell>
          <cell r="I4598">
            <v>3</v>
          </cell>
          <cell r="J4598">
            <v>6</v>
          </cell>
          <cell r="K4598">
            <v>2</v>
          </cell>
          <cell r="L4598">
            <v>3</v>
          </cell>
        </row>
        <row r="4599">
          <cell r="C4599">
            <v>303667</v>
          </cell>
          <cell r="D4599" t="str">
            <v>San Jose National High School</v>
          </cell>
          <cell r="E4599">
            <v>0</v>
          </cell>
          <cell r="F4599">
            <v>0</v>
          </cell>
          <cell r="G4599">
            <v>0</v>
          </cell>
          <cell r="H4599">
            <v>0</v>
          </cell>
          <cell r="I4599">
            <v>0</v>
          </cell>
          <cell r="J4599">
            <v>0</v>
          </cell>
          <cell r="K4599">
            <v>0</v>
          </cell>
          <cell r="L4599">
            <v>0</v>
          </cell>
        </row>
        <row r="4600">
          <cell r="C4600">
            <v>303669</v>
          </cell>
          <cell r="D4600" t="str">
            <v>Tacloban National Agricultural School</v>
          </cell>
          <cell r="E4600">
            <v>0</v>
          </cell>
          <cell r="F4600">
            <v>0</v>
          </cell>
          <cell r="G4600">
            <v>0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0</v>
          </cell>
        </row>
        <row r="4601">
          <cell r="C4601">
            <v>314003</v>
          </cell>
          <cell r="D4601" t="str">
            <v>Antonio Balmes National High School</v>
          </cell>
          <cell r="E4601">
            <v>0</v>
          </cell>
          <cell r="F4601">
            <v>0</v>
          </cell>
          <cell r="G4601">
            <v>0</v>
          </cell>
          <cell r="H4601">
            <v>0</v>
          </cell>
          <cell r="I4601">
            <v>5</v>
          </cell>
          <cell r="J4601">
            <v>1</v>
          </cell>
          <cell r="K4601">
            <v>0</v>
          </cell>
          <cell r="L4601">
            <v>0</v>
          </cell>
        </row>
        <row r="4602">
          <cell r="C4602">
            <v>314004</v>
          </cell>
          <cell r="D4602" t="str">
            <v>Northern Tacloban City National High School</v>
          </cell>
          <cell r="E4602">
            <v>0</v>
          </cell>
          <cell r="F4602">
            <v>0</v>
          </cell>
          <cell r="G4602">
            <v>0</v>
          </cell>
          <cell r="H4602">
            <v>0</v>
          </cell>
          <cell r="I4602">
            <v>10</v>
          </cell>
          <cell r="J4602">
            <v>7</v>
          </cell>
          <cell r="K4602">
            <v>9</v>
          </cell>
          <cell r="L4602">
            <v>6</v>
          </cell>
        </row>
        <row r="4603">
          <cell r="C4603">
            <v>314005</v>
          </cell>
          <cell r="D4603" t="str">
            <v>Scandinavian National High School</v>
          </cell>
          <cell r="E4603">
            <v>0</v>
          </cell>
          <cell r="F4603">
            <v>0</v>
          </cell>
          <cell r="G4603">
            <v>0</v>
          </cell>
          <cell r="H4603">
            <v>0</v>
          </cell>
          <cell r="I4603">
            <v>4</v>
          </cell>
          <cell r="J4603">
            <v>3</v>
          </cell>
          <cell r="K4603">
            <v>4</v>
          </cell>
          <cell r="L4603">
            <v>3</v>
          </cell>
        </row>
        <row r="4604">
          <cell r="C4604">
            <v>330503</v>
          </cell>
          <cell r="D4604" t="str">
            <v>V&amp;G National High School</v>
          </cell>
          <cell r="E4604">
            <v>0</v>
          </cell>
          <cell r="F4604">
            <v>0</v>
          </cell>
          <cell r="G4604">
            <v>0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>
            <v>0</v>
          </cell>
        </row>
        <row r="4605">
          <cell r="C4605">
            <v>344881</v>
          </cell>
          <cell r="D4605" t="str">
            <v>Sto. Nino Senior High School</v>
          </cell>
          <cell r="E4605">
            <v>0</v>
          </cell>
          <cell r="F4605">
            <v>0</v>
          </cell>
          <cell r="G4605">
            <v>0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>
            <v>0</v>
          </cell>
        </row>
        <row r="4606">
          <cell r="C4606">
            <v>303454</v>
          </cell>
          <cell r="D4606" t="str">
            <v>Dongon NHS</v>
          </cell>
          <cell r="E4606">
            <v>0</v>
          </cell>
          <cell r="F4606">
            <v>0</v>
          </cell>
          <cell r="G4606">
            <v>0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>
            <v>0</v>
          </cell>
        </row>
        <row r="4607">
          <cell r="C4607">
            <v>303464</v>
          </cell>
          <cell r="D4607" t="str">
            <v>Libhu National High School</v>
          </cell>
          <cell r="E4607">
            <v>0</v>
          </cell>
          <cell r="F4607">
            <v>0</v>
          </cell>
          <cell r="G4607">
            <v>0</v>
          </cell>
          <cell r="H4607">
            <v>0</v>
          </cell>
          <cell r="I4607">
            <v>1</v>
          </cell>
          <cell r="J4607">
            <v>3</v>
          </cell>
          <cell r="K4607">
            <v>1</v>
          </cell>
          <cell r="L4607">
            <v>3</v>
          </cell>
        </row>
        <row r="4608">
          <cell r="C4608">
            <v>303467</v>
          </cell>
          <cell r="D4608" t="str">
            <v>Maasin Vocational High School</v>
          </cell>
          <cell r="E4608">
            <v>0</v>
          </cell>
          <cell r="F4608">
            <v>0</v>
          </cell>
          <cell r="G4608">
            <v>0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>
            <v>0</v>
          </cell>
        </row>
        <row r="4609">
          <cell r="C4609">
            <v>303469</v>
          </cell>
          <cell r="D4609" t="str">
            <v>Manhilo National High School</v>
          </cell>
          <cell r="E4609">
            <v>0</v>
          </cell>
          <cell r="F4609">
            <v>0</v>
          </cell>
          <cell r="G4609">
            <v>0</v>
          </cell>
          <cell r="H4609">
            <v>0</v>
          </cell>
          <cell r="I4609">
            <v>0</v>
          </cell>
          <cell r="J4609">
            <v>0</v>
          </cell>
          <cell r="K4609">
            <v>0</v>
          </cell>
          <cell r="L4609">
            <v>0</v>
          </cell>
        </row>
        <row r="4610">
          <cell r="C4610">
            <v>303474</v>
          </cell>
          <cell r="D4610" t="str">
            <v>Nonok Norte NHS</v>
          </cell>
          <cell r="E4610">
            <v>0</v>
          </cell>
          <cell r="F4610">
            <v>0</v>
          </cell>
          <cell r="G4610">
            <v>0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>
            <v>0</v>
          </cell>
        </row>
        <row r="4611">
          <cell r="C4611">
            <v>313401</v>
          </cell>
          <cell r="D4611" t="str">
            <v>Maasin City NHS</v>
          </cell>
          <cell r="E4611">
            <v>0</v>
          </cell>
          <cell r="F4611">
            <v>0</v>
          </cell>
          <cell r="G4611">
            <v>0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0</v>
          </cell>
        </row>
        <row r="4612">
          <cell r="C4612">
            <v>323101</v>
          </cell>
          <cell r="D4612" t="str">
            <v>Ibarra National High School</v>
          </cell>
          <cell r="E4612">
            <v>0</v>
          </cell>
          <cell r="F4612">
            <v>0</v>
          </cell>
          <cell r="G4612">
            <v>0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0</v>
          </cell>
        </row>
        <row r="4613">
          <cell r="C4613">
            <v>344781</v>
          </cell>
          <cell r="D4613" t="str">
            <v>Stand Alone SHS within San Rafael ES</v>
          </cell>
          <cell r="E4613">
            <v>0</v>
          </cell>
          <cell r="F4613">
            <v>0</v>
          </cell>
          <cell r="G4613">
            <v>0</v>
          </cell>
          <cell r="H4613">
            <v>0</v>
          </cell>
          <cell r="I4613">
            <v>3</v>
          </cell>
          <cell r="J4613">
            <v>4</v>
          </cell>
          <cell r="K4613">
            <v>3</v>
          </cell>
          <cell r="L4613">
            <v>4</v>
          </cell>
        </row>
        <row r="4614">
          <cell r="C4614">
            <v>303452</v>
          </cell>
          <cell r="D4614" t="str">
            <v>Catbalogan City Agro-Industrial School</v>
          </cell>
          <cell r="E4614">
            <v>0</v>
          </cell>
          <cell r="F4614">
            <v>0</v>
          </cell>
          <cell r="G4614">
            <v>0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>
            <v>0</v>
          </cell>
        </row>
        <row r="4615">
          <cell r="C4615">
            <v>303604</v>
          </cell>
          <cell r="D4615" t="str">
            <v>Eastern Visayas Regional Science High School</v>
          </cell>
          <cell r="E4615">
            <v>0</v>
          </cell>
          <cell r="F4615">
            <v>0</v>
          </cell>
          <cell r="G4615">
            <v>0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0</v>
          </cell>
        </row>
        <row r="4616">
          <cell r="C4616">
            <v>303620</v>
          </cell>
          <cell r="D4616" t="str">
            <v>Samar National School</v>
          </cell>
          <cell r="E4616">
            <v>0</v>
          </cell>
          <cell r="F4616">
            <v>0</v>
          </cell>
          <cell r="G4616">
            <v>0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0</v>
          </cell>
        </row>
        <row r="4617">
          <cell r="C4617">
            <v>303621</v>
          </cell>
          <cell r="D4617" t="str">
            <v>Guinsorongan NHS</v>
          </cell>
          <cell r="E4617">
            <v>0</v>
          </cell>
          <cell r="F4617">
            <v>0</v>
          </cell>
          <cell r="G4617">
            <v>0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0</v>
          </cell>
        </row>
        <row r="4618">
          <cell r="C4618">
            <v>303622</v>
          </cell>
          <cell r="D4618" t="str">
            <v>Antonio G. Tuason National High School</v>
          </cell>
          <cell r="E4618">
            <v>0</v>
          </cell>
          <cell r="F4618">
            <v>0</v>
          </cell>
          <cell r="G4618">
            <v>0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0</v>
          </cell>
        </row>
        <row r="4619">
          <cell r="C4619">
            <v>303623</v>
          </cell>
          <cell r="D4619" t="str">
            <v>Silanga NHS</v>
          </cell>
          <cell r="E4619">
            <v>0</v>
          </cell>
          <cell r="F4619">
            <v>0</v>
          </cell>
          <cell r="G4619">
            <v>0</v>
          </cell>
          <cell r="H4619">
            <v>0</v>
          </cell>
          <cell r="I4619">
            <v>5</v>
          </cell>
          <cell r="J4619">
            <v>13</v>
          </cell>
          <cell r="K4619">
            <v>5</v>
          </cell>
          <cell r="L4619">
            <v>13</v>
          </cell>
        </row>
        <row r="4620">
          <cell r="C4620">
            <v>313701</v>
          </cell>
          <cell r="D4620" t="str">
            <v>Catbalogan National Comprehensive High School</v>
          </cell>
          <cell r="E4620">
            <v>0</v>
          </cell>
          <cell r="F4620">
            <v>0</v>
          </cell>
          <cell r="G4620">
            <v>0</v>
          </cell>
          <cell r="H4620">
            <v>0</v>
          </cell>
          <cell r="I4620">
            <v>3</v>
          </cell>
          <cell r="J4620">
            <v>13</v>
          </cell>
          <cell r="K4620">
            <v>3</v>
          </cell>
          <cell r="L4620">
            <v>9</v>
          </cell>
        </row>
        <row r="4621">
          <cell r="C4621">
            <v>313706</v>
          </cell>
          <cell r="D4621" t="str">
            <v>Pangdan National High School</v>
          </cell>
          <cell r="E4621">
            <v>0</v>
          </cell>
          <cell r="F4621">
            <v>0</v>
          </cell>
          <cell r="G4621">
            <v>0</v>
          </cell>
          <cell r="H4621">
            <v>0</v>
          </cell>
          <cell r="I4621">
            <v>2</v>
          </cell>
          <cell r="J4621">
            <v>5</v>
          </cell>
          <cell r="K4621">
            <v>2</v>
          </cell>
          <cell r="L4621">
            <v>5</v>
          </cell>
        </row>
        <row r="4622">
          <cell r="C4622">
            <v>303500</v>
          </cell>
          <cell r="D4622" t="str">
            <v>E. Samar NCHS</v>
          </cell>
          <cell r="E4622">
            <v>0</v>
          </cell>
          <cell r="F4622">
            <v>0</v>
          </cell>
          <cell r="G4622">
            <v>0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>
            <v>0</v>
          </cell>
        </row>
        <row r="4623">
          <cell r="C4623">
            <v>303511</v>
          </cell>
          <cell r="D4623" t="str">
            <v>Lalawigan NHS</v>
          </cell>
          <cell r="E4623">
            <v>0</v>
          </cell>
          <cell r="F4623">
            <v>0</v>
          </cell>
          <cell r="G4623">
            <v>0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0</v>
          </cell>
        </row>
        <row r="4624">
          <cell r="C4624">
            <v>303525</v>
          </cell>
          <cell r="D4624" t="str">
            <v>Sta. Fe NHS</v>
          </cell>
          <cell r="E4624">
            <v>0</v>
          </cell>
          <cell r="F4624">
            <v>0</v>
          </cell>
          <cell r="G4624">
            <v>0</v>
          </cell>
          <cell r="H4624">
            <v>0</v>
          </cell>
          <cell r="I4624">
            <v>5</v>
          </cell>
          <cell r="J4624">
            <v>8</v>
          </cell>
          <cell r="K4624">
            <v>0</v>
          </cell>
          <cell r="L4624">
            <v>0</v>
          </cell>
        </row>
        <row r="4625">
          <cell r="C4625">
            <v>303526</v>
          </cell>
          <cell r="D4625" t="str">
            <v>Maypangdan NHS</v>
          </cell>
          <cell r="E4625">
            <v>0</v>
          </cell>
          <cell r="F4625">
            <v>0</v>
          </cell>
          <cell r="G4625">
            <v>0</v>
          </cell>
          <cell r="H4625">
            <v>0</v>
          </cell>
          <cell r="I4625">
            <v>4</v>
          </cell>
          <cell r="J4625">
            <v>8</v>
          </cell>
          <cell r="K4625">
            <v>0</v>
          </cell>
          <cell r="L4625">
            <v>0</v>
          </cell>
        </row>
        <row r="4626">
          <cell r="C4626">
            <v>313504</v>
          </cell>
          <cell r="D4626" t="str">
            <v>Benowangan NHS</v>
          </cell>
          <cell r="E4626">
            <v>0</v>
          </cell>
          <cell r="F4626">
            <v>0</v>
          </cell>
          <cell r="G4626">
            <v>0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>
            <v>0</v>
          </cell>
        </row>
        <row r="4627">
          <cell r="C4627">
            <v>313510</v>
          </cell>
          <cell r="D4627" t="str">
            <v>Calingatngan NHS</v>
          </cell>
          <cell r="E4627">
            <v>0</v>
          </cell>
          <cell r="F4627">
            <v>0</v>
          </cell>
          <cell r="G4627">
            <v>0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>
            <v>0</v>
          </cell>
        </row>
        <row r="4628">
          <cell r="C4628">
            <v>313515</v>
          </cell>
          <cell r="D4628" t="str">
            <v>Supt. Fidel E. Anacta, Sr. MHS</v>
          </cell>
          <cell r="E4628">
            <v>0</v>
          </cell>
          <cell r="F4628">
            <v>0</v>
          </cell>
          <cell r="G4628">
            <v>0</v>
          </cell>
          <cell r="H4628">
            <v>0</v>
          </cell>
          <cell r="I4628">
            <v>3</v>
          </cell>
          <cell r="J4628">
            <v>3</v>
          </cell>
          <cell r="K4628">
            <v>0</v>
          </cell>
          <cell r="L4628">
            <v>0</v>
          </cell>
        </row>
        <row r="4629">
          <cell r="C4629">
            <v>303349</v>
          </cell>
          <cell r="D4629" t="str">
            <v>Bitanhuan National High School</v>
          </cell>
          <cell r="E4629">
            <v>0</v>
          </cell>
          <cell r="F4629">
            <v>0</v>
          </cell>
          <cell r="G4629">
            <v>0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>
            <v>0</v>
          </cell>
        </row>
        <row r="4630">
          <cell r="C4630">
            <v>303351</v>
          </cell>
          <cell r="D4630" t="str">
            <v>Bunga National High School</v>
          </cell>
          <cell r="E4630">
            <v>0</v>
          </cell>
          <cell r="F4630">
            <v>0</v>
          </cell>
          <cell r="G4630">
            <v>0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>
            <v>0</v>
          </cell>
        </row>
        <row r="4631">
          <cell r="C4631">
            <v>303400</v>
          </cell>
          <cell r="D4631" t="str">
            <v>Makinhas National High School</v>
          </cell>
          <cell r="E4631">
            <v>0</v>
          </cell>
          <cell r="F4631">
            <v>0</v>
          </cell>
          <cell r="G4631">
            <v>0</v>
          </cell>
          <cell r="H4631">
            <v>0</v>
          </cell>
          <cell r="I4631">
            <v>0</v>
          </cell>
          <cell r="J4631">
            <v>0</v>
          </cell>
          <cell r="K4631">
            <v>0</v>
          </cell>
          <cell r="L4631">
            <v>0</v>
          </cell>
        </row>
        <row r="4632">
          <cell r="C4632">
            <v>303419</v>
          </cell>
          <cell r="D4632" t="str">
            <v>Plaridel National High School</v>
          </cell>
          <cell r="E4632">
            <v>0</v>
          </cell>
          <cell r="F4632">
            <v>0</v>
          </cell>
          <cell r="G4632">
            <v>0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>
            <v>0</v>
          </cell>
        </row>
        <row r="4633">
          <cell r="C4633">
            <v>303420</v>
          </cell>
          <cell r="D4633" t="str">
            <v>Pomponan National High School</v>
          </cell>
          <cell r="E4633">
            <v>0</v>
          </cell>
          <cell r="F4633">
            <v>0</v>
          </cell>
          <cell r="G4633">
            <v>0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0</v>
          </cell>
        </row>
        <row r="4634">
          <cell r="C4634">
            <v>313312</v>
          </cell>
          <cell r="D4634" t="str">
            <v>Mailhi National High School</v>
          </cell>
          <cell r="E4634">
            <v>0</v>
          </cell>
          <cell r="F4634">
            <v>0</v>
          </cell>
          <cell r="G4634">
            <v>0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0</v>
          </cell>
        </row>
        <row r="4635">
          <cell r="C4635">
            <v>313316</v>
          </cell>
          <cell r="D4635" t="str">
            <v>Baybay City National Night High School</v>
          </cell>
          <cell r="E4635">
            <v>0</v>
          </cell>
          <cell r="F4635">
            <v>0</v>
          </cell>
          <cell r="G4635">
            <v>0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>
            <v>0</v>
          </cell>
        </row>
        <row r="4636">
          <cell r="C4636">
            <v>313323</v>
          </cell>
          <cell r="D4636" t="str">
            <v>Ciabu National High School</v>
          </cell>
          <cell r="E4636">
            <v>0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0</v>
          </cell>
        </row>
        <row r="4637">
          <cell r="C4637">
            <v>327501</v>
          </cell>
          <cell r="D4637" t="str">
            <v>Banahao National High School</v>
          </cell>
          <cell r="E4637">
            <v>0</v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0</v>
          </cell>
        </row>
        <row r="4638">
          <cell r="C4638">
            <v>344593</v>
          </cell>
          <cell r="D4638" t="str">
            <v>Baybay City Senior High School</v>
          </cell>
          <cell r="E4638">
            <v>0</v>
          </cell>
          <cell r="F4638">
            <v>0</v>
          </cell>
          <cell r="G4638">
            <v>0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0</v>
          </cell>
        </row>
        <row r="4639">
          <cell r="C4639">
            <v>500672</v>
          </cell>
          <cell r="D4639" t="str">
            <v>Gabas Integrated School</v>
          </cell>
          <cell r="E4639">
            <v>0</v>
          </cell>
          <cell r="F4639">
            <v>0</v>
          </cell>
          <cell r="G4639">
            <v>0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0</v>
          </cell>
        </row>
        <row r="4640">
          <cell r="C4640">
            <v>500746</v>
          </cell>
          <cell r="D4640" t="str">
            <v>Mapgap Integrated School</v>
          </cell>
          <cell r="E4640">
            <v>0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0</v>
          </cell>
        </row>
        <row r="4641">
          <cell r="C4641">
            <v>303671</v>
          </cell>
          <cell r="D4641" t="str">
            <v>Bacong NHS</v>
          </cell>
          <cell r="E4641">
            <v>0</v>
          </cell>
          <cell r="F4641">
            <v>0</v>
          </cell>
          <cell r="G4641">
            <v>0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0</v>
          </cell>
        </row>
        <row r="4642">
          <cell r="C4642">
            <v>303672</v>
          </cell>
          <cell r="D4642" t="str">
            <v>Bacungan NHS</v>
          </cell>
          <cell r="E4642">
            <v>0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0</v>
          </cell>
        </row>
        <row r="4643">
          <cell r="C4643">
            <v>303674</v>
          </cell>
          <cell r="D4643" t="str">
            <v>Talinga National High School</v>
          </cell>
          <cell r="E4643">
            <v>0</v>
          </cell>
          <cell r="F4643">
            <v>0</v>
          </cell>
          <cell r="G4643">
            <v>0</v>
          </cell>
          <cell r="H4643">
            <v>0</v>
          </cell>
          <cell r="I4643">
            <v>1</v>
          </cell>
          <cell r="J4643">
            <v>0</v>
          </cell>
          <cell r="K4643">
            <v>1</v>
          </cell>
          <cell r="L4643">
            <v>0</v>
          </cell>
        </row>
        <row r="4644">
          <cell r="C4644">
            <v>303675</v>
          </cell>
          <cell r="D4644" t="str">
            <v>Tinuyop National High school</v>
          </cell>
          <cell r="E4644">
            <v>0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</row>
        <row r="4645">
          <cell r="C4645">
            <v>303676</v>
          </cell>
          <cell r="D4645" t="str">
            <v>Balakan NHS</v>
          </cell>
          <cell r="E4645">
            <v>0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</row>
        <row r="4646">
          <cell r="C4646">
            <v>303677</v>
          </cell>
          <cell r="D4646" t="str">
            <v>Baliguian NHS</v>
          </cell>
          <cell r="E4646">
            <v>0</v>
          </cell>
          <cell r="F4646">
            <v>0</v>
          </cell>
          <cell r="G4646">
            <v>0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>
            <v>0</v>
          </cell>
        </row>
        <row r="4647">
          <cell r="C4647">
            <v>303678</v>
          </cell>
          <cell r="D4647" t="str">
            <v>Bartolome  Lira, Sr. NHS</v>
          </cell>
          <cell r="E4647">
            <v>0</v>
          </cell>
          <cell r="F4647">
            <v>1</v>
          </cell>
          <cell r="G4647">
            <v>0</v>
          </cell>
          <cell r="H4647">
            <v>0</v>
          </cell>
          <cell r="I4647">
            <v>1</v>
          </cell>
          <cell r="J4647">
            <v>0</v>
          </cell>
          <cell r="K4647">
            <v>0</v>
          </cell>
          <cell r="L4647">
            <v>0</v>
          </cell>
        </row>
        <row r="4648">
          <cell r="C4648">
            <v>303679</v>
          </cell>
          <cell r="D4648" t="str">
            <v>Dilawa NHS</v>
          </cell>
          <cell r="E4648">
            <v>0</v>
          </cell>
          <cell r="F4648">
            <v>0</v>
          </cell>
          <cell r="G4648">
            <v>0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>
            <v>0</v>
          </cell>
        </row>
        <row r="4649">
          <cell r="C4649">
            <v>303680</v>
          </cell>
          <cell r="D4649" t="str">
            <v>DINASAN NATIONAL HIGH SCHOOL</v>
          </cell>
          <cell r="E4649">
            <v>0</v>
          </cell>
          <cell r="F4649">
            <v>0</v>
          </cell>
          <cell r="G4649">
            <v>0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>
            <v>0</v>
          </cell>
        </row>
        <row r="4650">
          <cell r="C4650">
            <v>303681</v>
          </cell>
          <cell r="D4650" t="str">
            <v>Bartolome Aripal Memorial NHS</v>
          </cell>
          <cell r="E4650">
            <v>0</v>
          </cell>
          <cell r="F4650">
            <v>0</v>
          </cell>
          <cell r="G4650">
            <v>0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>
            <v>0</v>
          </cell>
        </row>
        <row r="4651">
          <cell r="C4651">
            <v>303682</v>
          </cell>
          <cell r="D4651" t="str">
            <v>Dohinob NHS</v>
          </cell>
          <cell r="E4651">
            <v>0</v>
          </cell>
          <cell r="F4651">
            <v>0</v>
          </cell>
          <cell r="G4651">
            <v>0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</row>
        <row r="4652">
          <cell r="C4652">
            <v>303683</v>
          </cell>
          <cell r="D4652" t="str">
            <v>Dumalogdog National High School</v>
          </cell>
          <cell r="E4652">
            <v>0</v>
          </cell>
          <cell r="F4652">
            <v>0</v>
          </cell>
          <cell r="G4652">
            <v>0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>
            <v>0</v>
          </cell>
        </row>
        <row r="4653">
          <cell r="C4653">
            <v>303684</v>
          </cell>
          <cell r="D4653" t="str">
            <v>GODOD NATIONAL HIGH SCHOOL</v>
          </cell>
          <cell r="E4653">
            <v>0</v>
          </cell>
          <cell r="F4653">
            <v>0</v>
          </cell>
          <cell r="G4653">
            <v>0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>
            <v>0</v>
          </cell>
        </row>
        <row r="4654">
          <cell r="C4654">
            <v>303685</v>
          </cell>
          <cell r="D4654" t="str">
            <v>Raba National High School</v>
          </cell>
          <cell r="E4654">
            <v>0</v>
          </cell>
          <cell r="F4654">
            <v>0</v>
          </cell>
          <cell r="G4654">
            <v>0</v>
          </cell>
          <cell r="H4654">
            <v>0</v>
          </cell>
          <cell r="I4654">
            <v>0</v>
          </cell>
          <cell r="J4654">
            <v>0</v>
          </cell>
          <cell r="K4654">
            <v>0</v>
          </cell>
          <cell r="L4654">
            <v>0</v>
          </cell>
        </row>
        <row r="4655">
          <cell r="C4655">
            <v>303686</v>
          </cell>
          <cell r="D4655" t="str">
            <v>Gutalac NHS</v>
          </cell>
          <cell r="E4655">
            <v>0</v>
          </cell>
          <cell r="F4655">
            <v>0</v>
          </cell>
          <cell r="G4655">
            <v>0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>
            <v>0</v>
          </cell>
        </row>
        <row r="4656">
          <cell r="C4656">
            <v>303687</v>
          </cell>
          <cell r="D4656" t="str">
            <v>Canuto Enerio National High School</v>
          </cell>
          <cell r="E4656">
            <v>0</v>
          </cell>
          <cell r="F4656">
            <v>0</v>
          </cell>
          <cell r="G4656">
            <v>0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>
            <v>0</v>
          </cell>
        </row>
        <row r="4657">
          <cell r="C4657">
            <v>303688</v>
          </cell>
          <cell r="D4657" t="str">
            <v>Gutalac NHS Mamawan - Annex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>
            <v>0</v>
          </cell>
        </row>
        <row r="4658">
          <cell r="C4658">
            <v>303689</v>
          </cell>
          <cell r="D4658" t="str">
            <v>Julian Soriano Memorial Comprehensive High School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0</v>
          </cell>
        </row>
        <row r="4659">
          <cell r="C4659">
            <v>303690</v>
          </cell>
          <cell r="D4659" t="str">
            <v>Kalawit NHS</v>
          </cell>
          <cell r="E4659">
            <v>1</v>
          </cell>
          <cell r="F4659">
            <v>1</v>
          </cell>
          <cell r="G4659">
            <v>1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>
            <v>0</v>
          </cell>
        </row>
        <row r="4660">
          <cell r="C4660">
            <v>303691</v>
          </cell>
          <cell r="D4660" t="str">
            <v>Batayan NHS</v>
          </cell>
          <cell r="E4660">
            <v>0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>
            <v>0</v>
          </cell>
        </row>
        <row r="4661">
          <cell r="C4661">
            <v>303692</v>
          </cell>
          <cell r="D4661" t="str">
            <v>Kalawit NHS Annex - Pianon</v>
          </cell>
          <cell r="E4661">
            <v>0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>
            <v>0</v>
          </cell>
        </row>
        <row r="4662">
          <cell r="C4662">
            <v>303693</v>
          </cell>
          <cell r="D4662" t="str">
            <v>TUGOP NATIONAL HIGH SCHOOL</v>
          </cell>
          <cell r="E4662">
            <v>0</v>
          </cell>
          <cell r="F4662">
            <v>0</v>
          </cell>
          <cell r="G4662">
            <v>0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0</v>
          </cell>
        </row>
        <row r="4663">
          <cell r="C4663">
            <v>303694</v>
          </cell>
          <cell r="D4663" t="str">
            <v>Kanim NHS</v>
          </cell>
          <cell r="E4663">
            <v>0</v>
          </cell>
          <cell r="F4663">
            <v>0</v>
          </cell>
          <cell r="G4663">
            <v>0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>
            <v>0</v>
          </cell>
        </row>
        <row r="4664">
          <cell r="C4664">
            <v>303695</v>
          </cell>
          <cell r="D4664" t="str">
            <v>Sawang NHS</v>
          </cell>
          <cell r="E4664">
            <v>0</v>
          </cell>
          <cell r="F4664">
            <v>0</v>
          </cell>
          <cell r="G4664">
            <v>0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0</v>
          </cell>
        </row>
        <row r="4665">
          <cell r="C4665">
            <v>303696</v>
          </cell>
          <cell r="D4665" t="str">
            <v>Katipunan National High School</v>
          </cell>
          <cell r="E4665">
            <v>0</v>
          </cell>
          <cell r="F4665">
            <v>0</v>
          </cell>
          <cell r="G4665">
            <v>0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>
            <v>0</v>
          </cell>
        </row>
        <row r="4666">
          <cell r="C4666">
            <v>303697</v>
          </cell>
          <cell r="D4666" t="str">
            <v>Basagan National High School</v>
          </cell>
          <cell r="E4666">
            <v>0</v>
          </cell>
          <cell r="F4666">
            <v>0</v>
          </cell>
          <cell r="G4666">
            <v>4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0</v>
          </cell>
        </row>
        <row r="4667">
          <cell r="C4667">
            <v>303698</v>
          </cell>
          <cell r="D4667" t="str">
            <v>Don Teotimo Z. Ochotorena NHS</v>
          </cell>
          <cell r="E4667">
            <v>0</v>
          </cell>
          <cell r="F4667">
            <v>0</v>
          </cell>
          <cell r="G4667">
            <v>0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>
            <v>0</v>
          </cell>
        </row>
        <row r="4668">
          <cell r="C4668">
            <v>303701</v>
          </cell>
          <cell r="D4668" t="str">
            <v>Katipunan NHS -Sinuyak Annex</v>
          </cell>
          <cell r="E4668">
            <v>0</v>
          </cell>
          <cell r="F4668">
            <v>0</v>
          </cell>
          <cell r="G4668">
            <v>3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0</v>
          </cell>
        </row>
        <row r="4669">
          <cell r="C4669">
            <v>303702</v>
          </cell>
          <cell r="D4669" t="str">
            <v>Sitog National High School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0</v>
          </cell>
        </row>
        <row r="4670">
          <cell r="C4670">
            <v>303703</v>
          </cell>
          <cell r="D4670" t="str">
            <v>Kipit Agro-Fishery NHS</v>
          </cell>
          <cell r="E4670">
            <v>0</v>
          </cell>
          <cell r="F4670">
            <v>0</v>
          </cell>
          <cell r="G4670">
            <v>0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>
            <v>0</v>
          </cell>
        </row>
        <row r="4671">
          <cell r="C4671">
            <v>303704</v>
          </cell>
          <cell r="D4671" t="str">
            <v>La Libertad NHS</v>
          </cell>
          <cell r="E4671">
            <v>0</v>
          </cell>
          <cell r="F4671">
            <v>0</v>
          </cell>
          <cell r="G4671">
            <v>0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0</v>
          </cell>
        </row>
        <row r="4672">
          <cell r="C4672">
            <v>303705</v>
          </cell>
          <cell r="D4672" t="str">
            <v>Langatian NHS</v>
          </cell>
          <cell r="E4672">
            <v>0</v>
          </cell>
          <cell r="F4672">
            <v>0</v>
          </cell>
          <cell r="G4672">
            <v>0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>
            <v>0</v>
          </cell>
        </row>
        <row r="4673">
          <cell r="C4673">
            <v>303707</v>
          </cell>
          <cell r="D4673" t="str">
            <v>COMPRA NATIONAL HIGH SCHOOL</v>
          </cell>
          <cell r="E4673">
            <v>0</v>
          </cell>
          <cell r="F4673">
            <v>0</v>
          </cell>
          <cell r="G4673">
            <v>0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>
            <v>0</v>
          </cell>
        </row>
        <row r="4674">
          <cell r="C4674">
            <v>303708</v>
          </cell>
          <cell r="D4674" t="str">
            <v>Malayal NHS</v>
          </cell>
          <cell r="E4674">
            <v>0</v>
          </cell>
          <cell r="F4674">
            <v>0</v>
          </cell>
          <cell r="G4674">
            <v>0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>
            <v>0</v>
          </cell>
        </row>
        <row r="4675">
          <cell r="C4675">
            <v>303709</v>
          </cell>
          <cell r="D4675" t="str">
            <v>Manawan National High School</v>
          </cell>
          <cell r="E4675">
            <v>0</v>
          </cell>
          <cell r="F4675">
            <v>0</v>
          </cell>
          <cell r="G4675">
            <v>0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0</v>
          </cell>
        </row>
        <row r="4676">
          <cell r="C4676">
            <v>303710</v>
          </cell>
          <cell r="D4676" t="str">
            <v>Manukan NHS</v>
          </cell>
          <cell r="E4676">
            <v>0</v>
          </cell>
          <cell r="F4676">
            <v>0</v>
          </cell>
          <cell r="G4676">
            <v>0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>
            <v>0</v>
          </cell>
        </row>
        <row r="4677">
          <cell r="C4677">
            <v>303712</v>
          </cell>
          <cell r="D4677" t="str">
            <v>Marupay NHS</v>
          </cell>
          <cell r="E4677">
            <v>0</v>
          </cell>
          <cell r="F4677">
            <v>0</v>
          </cell>
          <cell r="G4677">
            <v>0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>
            <v>0</v>
          </cell>
        </row>
        <row r="4678">
          <cell r="C4678">
            <v>303713</v>
          </cell>
          <cell r="D4678" t="str">
            <v>Mutia NHS</v>
          </cell>
          <cell r="E4678">
            <v>0</v>
          </cell>
          <cell r="F4678">
            <v>0</v>
          </cell>
          <cell r="G4678">
            <v>0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>
            <v>0</v>
          </cell>
        </row>
        <row r="4679">
          <cell r="C4679">
            <v>303715</v>
          </cell>
          <cell r="D4679" t="str">
            <v>Pinan National High School</v>
          </cell>
          <cell r="E4679">
            <v>0</v>
          </cell>
          <cell r="F4679">
            <v>0</v>
          </cell>
          <cell r="G4679">
            <v>0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>
            <v>0</v>
          </cell>
        </row>
        <row r="4680">
          <cell r="C4680">
            <v>303716</v>
          </cell>
          <cell r="D4680" t="str">
            <v>Polanco NHS</v>
          </cell>
          <cell r="E4680">
            <v>0</v>
          </cell>
          <cell r="F4680">
            <v>0</v>
          </cell>
          <cell r="G4680">
            <v>0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>
            <v>0</v>
          </cell>
        </row>
        <row r="4681">
          <cell r="C4681">
            <v>303718</v>
          </cell>
          <cell r="D4681" t="str">
            <v>Silawe NHS</v>
          </cell>
          <cell r="E4681">
            <v>0</v>
          </cell>
          <cell r="F4681">
            <v>0</v>
          </cell>
          <cell r="G4681">
            <v>0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>
            <v>0</v>
          </cell>
        </row>
        <row r="4682">
          <cell r="C4682">
            <v>303719</v>
          </cell>
          <cell r="D4682" t="str">
            <v>Ponot NHS</v>
          </cell>
          <cell r="E4682">
            <v>0</v>
          </cell>
          <cell r="F4682">
            <v>0</v>
          </cell>
          <cell r="G4682">
            <v>0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0</v>
          </cell>
        </row>
        <row r="4683">
          <cell r="C4683">
            <v>303720</v>
          </cell>
          <cell r="D4683" t="str">
            <v>Rizal National High School</v>
          </cell>
          <cell r="E4683">
            <v>0</v>
          </cell>
          <cell r="F4683">
            <v>0</v>
          </cell>
          <cell r="G4683">
            <v>0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>
            <v>0</v>
          </cell>
        </row>
        <row r="4684">
          <cell r="C4684">
            <v>303721</v>
          </cell>
          <cell r="D4684" t="str">
            <v>Salug National High School</v>
          </cell>
          <cell r="E4684">
            <v>0</v>
          </cell>
          <cell r="F4684">
            <v>0</v>
          </cell>
          <cell r="G4684">
            <v>0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>
            <v>0</v>
          </cell>
        </row>
        <row r="4685">
          <cell r="C4685">
            <v>303723</v>
          </cell>
          <cell r="D4685" t="str">
            <v>San Isidro NHS</v>
          </cell>
          <cell r="E4685">
            <v>0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0</v>
          </cell>
        </row>
        <row r="4686">
          <cell r="C4686">
            <v>303724</v>
          </cell>
          <cell r="D4686" t="str">
            <v>San Jose NHS</v>
          </cell>
          <cell r="E4686">
            <v>0</v>
          </cell>
          <cell r="F4686">
            <v>0</v>
          </cell>
          <cell r="G4686">
            <v>0</v>
          </cell>
          <cell r="H4686">
            <v>0</v>
          </cell>
          <cell r="I4686">
            <v>1</v>
          </cell>
          <cell r="J4686">
            <v>0</v>
          </cell>
          <cell r="K4686">
            <v>0</v>
          </cell>
          <cell r="L4686">
            <v>0</v>
          </cell>
        </row>
        <row r="4687">
          <cell r="C4687">
            <v>303725</v>
          </cell>
          <cell r="D4687" t="str">
            <v>San Pedro National High School</v>
          </cell>
          <cell r="E4687">
            <v>0</v>
          </cell>
          <cell r="F4687">
            <v>0</v>
          </cell>
          <cell r="G4687">
            <v>0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0</v>
          </cell>
        </row>
        <row r="4688">
          <cell r="C4688">
            <v>303726</v>
          </cell>
          <cell r="D4688" t="str">
            <v>Sebaca NHS</v>
          </cell>
          <cell r="E4688">
            <v>0</v>
          </cell>
          <cell r="F4688">
            <v>0</v>
          </cell>
          <cell r="G4688">
            <v>0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0</v>
          </cell>
        </row>
        <row r="4689">
          <cell r="C4689">
            <v>303727</v>
          </cell>
          <cell r="D4689" t="str">
            <v>Seres NHS</v>
          </cell>
          <cell r="E4689">
            <v>0</v>
          </cell>
          <cell r="F4689">
            <v>0</v>
          </cell>
          <cell r="G4689">
            <v>0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>
            <v>0</v>
          </cell>
        </row>
        <row r="4690">
          <cell r="C4690">
            <v>303728</v>
          </cell>
          <cell r="D4690" t="str">
            <v>Sergio Osmena NHS</v>
          </cell>
          <cell r="E4690">
            <v>0</v>
          </cell>
          <cell r="F4690">
            <v>0</v>
          </cell>
          <cell r="G4690">
            <v>0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>
            <v>0</v>
          </cell>
        </row>
        <row r="4691">
          <cell r="C4691">
            <v>303729</v>
          </cell>
          <cell r="D4691" t="str">
            <v>Siari John H. Roemer NHS</v>
          </cell>
          <cell r="E4691">
            <v>0</v>
          </cell>
          <cell r="F4691">
            <v>0</v>
          </cell>
          <cell r="G4691">
            <v>3</v>
          </cell>
          <cell r="H4691">
            <v>0</v>
          </cell>
          <cell r="I4691">
            <v>0</v>
          </cell>
          <cell r="J4691">
            <v>3</v>
          </cell>
          <cell r="K4691">
            <v>0</v>
          </cell>
          <cell r="L4691">
            <v>0</v>
          </cell>
        </row>
        <row r="4692">
          <cell r="C4692">
            <v>303730</v>
          </cell>
          <cell r="D4692" t="str">
            <v>Siayan National High School</v>
          </cell>
          <cell r="E4692">
            <v>0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0</v>
          </cell>
        </row>
        <row r="4693">
          <cell r="C4693">
            <v>303732</v>
          </cell>
          <cell r="D4693" t="str">
            <v>Gunyan NHS</v>
          </cell>
          <cell r="E4693">
            <v>0</v>
          </cell>
          <cell r="F4693">
            <v>0</v>
          </cell>
          <cell r="G4693">
            <v>0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>
            <v>0</v>
          </cell>
        </row>
        <row r="4694">
          <cell r="C4694">
            <v>303734</v>
          </cell>
          <cell r="D4694" t="str">
            <v>Sibuco National High School</v>
          </cell>
          <cell r="E4694">
            <v>0</v>
          </cell>
          <cell r="F4694">
            <v>0</v>
          </cell>
          <cell r="G4694">
            <v>0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>
            <v>0</v>
          </cell>
        </row>
        <row r="4695">
          <cell r="C4695">
            <v>303737</v>
          </cell>
          <cell r="D4695" t="str">
            <v>Sibutad National High School</v>
          </cell>
          <cell r="E4695">
            <v>0</v>
          </cell>
          <cell r="F4695">
            <v>0</v>
          </cell>
          <cell r="G4695">
            <v>0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>
            <v>0</v>
          </cell>
        </row>
        <row r="4696">
          <cell r="C4696">
            <v>303738</v>
          </cell>
          <cell r="D4696" t="str">
            <v>SINDANGAN NATIONAL AGRICULTURAL SCHOOL</v>
          </cell>
          <cell r="E4696">
            <v>0</v>
          </cell>
          <cell r="F4696">
            <v>0</v>
          </cell>
          <cell r="G4696">
            <v>0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>
            <v>0</v>
          </cell>
        </row>
        <row r="4697">
          <cell r="C4697">
            <v>303739</v>
          </cell>
          <cell r="D4697" t="str">
            <v>Sindangan National High School</v>
          </cell>
          <cell r="E4697">
            <v>0</v>
          </cell>
          <cell r="F4697">
            <v>0</v>
          </cell>
          <cell r="G4697">
            <v>0</v>
          </cell>
          <cell r="H4697">
            <v>0</v>
          </cell>
          <cell r="I4697">
            <v>0</v>
          </cell>
          <cell r="J4697">
            <v>0</v>
          </cell>
          <cell r="K4697">
            <v>0</v>
          </cell>
          <cell r="L4697">
            <v>0</v>
          </cell>
        </row>
        <row r="4698">
          <cell r="C4698">
            <v>303740</v>
          </cell>
          <cell r="D4698" t="str">
            <v>Siocon National High School</v>
          </cell>
          <cell r="E4698">
            <v>0</v>
          </cell>
          <cell r="F4698">
            <v>0</v>
          </cell>
          <cell r="G4698">
            <v>0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>
            <v>0</v>
          </cell>
        </row>
        <row r="4699">
          <cell r="C4699">
            <v>303742</v>
          </cell>
          <cell r="D4699" t="str">
            <v>Sirawai National High School</v>
          </cell>
          <cell r="E4699">
            <v>0</v>
          </cell>
          <cell r="F4699">
            <v>0</v>
          </cell>
          <cell r="G4699">
            <v>2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>
            <v>0</v>
          </cell>
        </row>
        <row r="4700">
          <cell r="C4700">
            <v>303743</v>
          </cell>
          <cell r="D4700" t="str">
            <v>Dacon National High School (Sirawai NHS - Guban Annex)</v>
          </cell>
          <cell r="E4700">
            <v>0</v>
          </cell>
          <cell r="F4700">
            <v>0</v>
          </cell>
          <cell r="G4700">
            <v>0</v>
          </cell>
          <cell r="H4700">
            <v>0</v>
          </cell>
          <cell r="I4700">
            <v>0</v>
          </cell>
          <cell r="J4700">
            <v>0</v>
          </cell>
          <cell r="K4700">
            <v>0</v>
          </cell>
          <cell r="L4700">
            <v>0</v>
          </cell>
        </row>
        <row r="4701">
          <cell r="C4701">
            <v>303744</v>
          </cell>
          <cell r="D4701" t="str">
            <v>Sirawai NHS Annex - Piacan</v>
          </cell>
          <cell r="E4701">
            <v>0</v>
          </cell>
          <cell r="F4701">
            <v>0</v>
          </cell>
          <cell r="G4701">
            <v>0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>
            <v>0</v>
          </cell>
        </row>
        <row r="4702">
          <cell r="C4702">
            <v>303745</v>
          </cell>
          <cell r="D4702" t="str">
            <v>Tampilisan NHS</v>
          </cell>
          <cell r="E4702">
            <v>0</v>
          </cell>
          <cell r="F4702">
            <v>0</v>
          </cell>
          <cell r="G4702">
            <v>0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>
            <v>0</v>
          </cell>
        </row>
        <row r="4703">
          <cell r="C4703">
            <v>303748</v>
          </cell>
          <cell r="D4703" t="str">
            <v>Tampilisan NHS Annex - Situbo</v>
          </cell>
          <cell r="E4703">
            <v>0</v>
          </cell>
          <cell r="F4703">
            <v>3</v>
          </cell>
          <cell r="G4703">
            <v>0</v>
          </cell>
          <cell r="H4703">
            <v>0</v>
          </cell>
          <cell r="I4703">
            <v>0</v>
          </cell>
          <cell r="J4703">
            <v>3</v>
          </cell>
          <cell r="K4703">
            <v>0</v>
          </cell>
          <cell r="L4703">
            <v>0</v>
          </cell>
        </row>
        <row r="4704">
          <cell r="C4704">
            <v>303750</v>
          </cell>
          <cell r="D4704" t="str">
            <v>Ubay National High School</v>
          </cell>
          <cell r="E4704">
            <v>0</v>
          </cell>
          <cell r="F4704">
            <v>0</v>
          </cell>
          <cell r="G4704">
            <v>0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0</v>
          </cell>
        </row>
        <row r="4705">
          <cell r="C4705">
            <v>303751</v>
          </cell>
          <cell r="D4705" t="str">
            <v>Malintuboan National High School</v>
          </cell>
          <cell r="E4705">
            <v>0</v>
          </cell>
          <cell r="F4705">
            <v>0</v>
          </cell>
          <cell r="G4705">
            <v>0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>
            <v>0</v>
          </cell>
        </row>
        <row r="4706">
          <cell r="C4706">
            <v>303752</v>
          </cell>
          <cell r="D4706" t="str">
            <v>Jesus A. Ramos NHS</v>
          </cell>
          <cell r="E4706">
            <v>0</v>
          </cell>
          <cell r="F4706">
            <v>0</v>
          </cell>
          <cell r="G4706">
            <v>0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>
            <v>0</v>
          </cell>
        </row>
        <row r="4707">
          <cell r="C4707">
            <v>314103</v>
          </cell>
          <cell r="D4707" t="str">
            <v>Moliton National High School</v>
          </cell>
          <cell r="E4707">
            <v>0</v>
          </cell>
          <cell r="F4707">
            <v>2</v>
          </cell>
          <cell r="G4707">
            <v>0</v>
          </cell>
          <cell r="H4707">
            <v>0</v>
          </cell>
          <cell r="I4707">
            <v>2</v>
          </cell>
          <cell r="J4707">
            <v>0</v>
          </cell>
          <cell r="K4707">
            <v>0</v>
          </cell>
          <cell r="L4707">
            <v>0</v>
          </cell>
        </row>
        <row r="4708">
          <cell r="C4708">
            <v>314104</v>
          </cell>
          <cell r="D4708" t="str">
            <v>Matam NHS</v>
          </cell>
          <cell r="E4708">
            <v>0</v>
          </cell>
          <cell r="F4708">
            <v>0</v>
          </cell>
          <cell r="G4708">
            <v>0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>
            <v>0</v>
          </cell>
        </row>
        <row r="4709">
          <cell r="C4709">
            <v>314105</v>
          </cell>
          <cell r="D4709" t="str">
            <v>Polanco NHS Ext. - Isis</v>
          </cell>
          <cell r="E4709">
            <v>0</v>
          </cell>
          <cell r="F4709">
            <v>0</v>
          </cell>
          <cell r="G4709">
            <v>0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>
            <v>0</v>
          </cell>
        </row>
        <row r="4710">
          <cell r="C4710">
            <v>314107</v>
          </cell>
          <cell r="D4710" t="str">
            <v>Cawit-Cawit National High School</v>
          </cell>
          <cell r="E4710">
            <v>0</v>
          </cell>
          <cell r="F4710">
            <v>0</v>
          </cell>
          <cell r="G4710">
            <v>0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>
            <v>0</v>
          </cell>
        </row>
        <row r="4711">
          <cell r="C4711">
            <v>314108</v>
          </cell>
          <cell r="D4711" t="str">
            <v>Alam Mudja Sai NHS</v>
          </cell>
          <cell r="E4711">
            <v>0</v>
          </cell>
          <cell r="F4711">
            <v>0</v>
          </cell>
          <cell r="G4711">
            <v>0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>
            <v>0</v>
          </cell>
        </row>
        <row r="4712">
          <cell r="C4712">
            <v>314109</v>
          </cell>
          <cell r="D4712" t="str">
            <v>Canatuan National High School</v>
          </cell>
          <cell r="E4712">
            <v>0</v>
          </cell>
          <cell r="F4712">
            <v>0</v>
          </cell>
          <cell r="G4712">
            <v>0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0</v>
          </cell>
        </row>
        <row r="4713">
          <cell r="C4713">
            <v>314110</v>
          </cell>
          <cell r="D4713" t="str">
            <v>Polanco NHS Ext. - Lingasad</v>
          </cell>
          <cell r="E4713">
            <v>0</v>
          </cell>
          <cell r="F4713">
            <v>0</v>
          </cell>
          <cell r="G4713">
            <v>0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>
            <v>0</v>
          </cell>
        </row>
        <row r="4714">
          <cell r="C4714">
            <v>314111</v>
          </cell>
          <cell r="D4714" t="str">
            <v>Lapero NHS</v>
          </cell>
          <cell r="E4714">
            <v>0</v>
          </cell>
          <cell r="F4714">
            <v>0</v>
          </cell>
          <cell r="G4714">
            <v>0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>
            <v>0</v>
          </cell>
        </row>
        <row r="4715">
          <cell r="C4715">
            <v>314114</v>
          </cell>
          <cell r="D4715" t="str">
            <v>Binoni NHS</v>
          </cell>
          <cell r="E4715">
            <v>0</v>
          </cell>
          <cell r="F4715">
            <v>0</v>
          </cell>
          <cell r="G4715">
            <v>0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0</v>
          </cell>
        </row>
        <row r="4716">
          <cell r="C4716">
            <v>314115</v>
          </cell>
          <cell r="D4716" t="str">
            <v>SIANAN NATIONAL HIGH SCHOOL</v>
          </cell>
          <cell r="E4716">
            <v>0</v>
          </cell>
          <cell r="F4716">
            <v>0</v>
          </cell>
          <cell r="G4716">
            <v>0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0</v>
          </cell>
        </row>
        <row r="4717">
          <cell r="C4717">
            <v>314116</v>
          </cell>
          <cell r="D4717" t="str">
            <v>Gatas NHS</v>
          </cell>
          <cell r="E4717">
            <v>0</v>
          </cell>
          <cell r="F4717">
            <v>0</v>
          </cell>
          <cell r="G4717">
            <v>0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0</v>
          </cell>
        </row>
        <row r="4718">
          <cell r="C4718">
            <v>314118</v>
          </cell>
          <cell r="D4718" t="str">
            <v>Saluyong NHS</v>
          </cell>
          <cell r="E4718">
            <v>0</v>
          </cell>
          <cell r="F4718">
            <v>0</v>
          </cell>
          <cell r="G4718">
            <v>0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>
            <v>0</v>
          </cell>
        </row>
        <row r="4719">
          <cell r="C4719">
            <v>314119</v>
          </cell>
          <cell r="D4719" t="str">
            <v>Mutia National High School Extension - Alvenda</v>
          </cell>
          <cell r="E4719">
            <v>0</v>
          </cell>
          <cell r="F4719">
            <v>0</v>
          </cell>
          <cell r="G4719">
            <v>0</v>
          </cell>
          <cell r="H4719">
            <v>0</v>
          </cell>
          <cell r="I4719">
            <v>0</v>
          </cell>
          <cell r="J4719">
            <v>5</v>
          </cell>
          <cell r="K4719">
            <v>0</v>
          </cell>
          <cell r="L4719">
            <v>0</v>
          </cell>
        </row>
        <row r="4720">
          <cell r="C4720">
            <v>314120</v>
          </cell>
          <cell r="D4720" t="str">
            <v>Balas National High School</v>
          </cell>
          <cell r="E4720">
            <v>0</v>
          </cell>
          <cell r="F4720">
            <v>0</v>
          </cell>
          <cell r="G4720">
            <v>0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>
            <v>0</v>
          </cell>
        </row>
        <row r="4721">
          <cell r="C4721">
            <v>314121</v>
          </cell>
          <cell r="D4721" t="str">
            <v>Gutalac NHS Ext. - San Juan</v>
          </cell>
          <cell r="E4721">
            <v>0</v>
          </cell>
          <cell r="F4721">
            <v>0</v>
          </cell>
          <cell r="G4721">
            <v>0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>
            <v>0</v>
          </cell>
        </row>
        <row r="4722">
          <cell r="C4722">
            <v>314122</v>
          </cell>
          <cell r="D4722" t="str">
            <v>Gutalac NHS Ext. - Tipan</v>
          </cell>
          <cell r="E4722">
            <v>0</v>
          </cell>
          <cell r="F4722">
            <v>2</v>
          </cell>
          <cell r="G4722">
            <v>2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0</v>
          </cell>
        </row>
        <row r="4723">
          <cell r="C4723">
            <v>314124</v>
          </cell>
          <cell r="D4723" t="str">
            <v>Gutalac NHS-Panganuran Ext.</v>
          </cell>
          <cell r="E4723">
            <v>0</v>
          </cell>
          <cell r="F4723">
            <v>0</v>
          </cell>
          <cell r="G4723">
            <v>0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>
            <v>0</v>
          </cell>
        </row>
        <row r="4724">
          <cell r="C4724">
            <v>314126</v>
          </cell>
          <cell r="D4724" t="str">
            <v>Sergio Osmena NHS Ext. - Marapong</v>
          </cell>
          <cell r="E4724">
            <v>0</v>
          </cell>
          <cell r="F4724">
            <v>0</v>
          </cell>
          <cell r="G4724">
            <v>0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0</v>
          </cell>
        </row>
        <row r="4725">
          <cell r="C4725">
            <v>314128</v>
          </cell>
          <cell r="D4725" t="str">
            <v>MATIAS C. RANILLO NATIONAL HIGH SCHOOL</v>
          </cell>
          <cell r="E4725">
            <v>0</v>
          </cell>
          <cell r="F4725">
            <v>0</v>
          </cell>
          <cell r="G4725">
            <v>0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>
            <v>0</v>
          </cell>
        </row>
        <row r="4726">
          <cell r="C4726">
            <v>501156</v>
          </cell>
          <cell r="D4726" t="str">
            <v>Bulawan Integrated School</v>
          </cell>
          <cell r="E4726">
            <v>0</v>
          </cell>
          <cell r="F4726">
            <v>0</v>
          </cell>
          <cell r="G4726">
            <v>0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>
            <v>0</v>
          </cell>
        </row>
        <row r="4727">
          <cell r="C4727">
            <v>501210</v>
          </cell>
          <cell r="D4727" t="str">
            <v>Doña Natividad L. Macias Integrated School</v>
          </cell>
          <cell r="E4727">
            <v>0</v>
          </cell>
          <cell r="F4727">
            <v>0</v>
          </cell>
          <cell r="G4727">
            <v>0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>
            <v>0</v>
          </cell>
        </row>
        <row r="4728">
          <cell r="C4728">
            <v>303753</v>
          </cell>
          <cell r="D4728" t="str">
            <v>Antonio NHS</v>
          </cell>
          <cell r="E4728">
            <v>1</v>
          </cell>
          <cell r="F4728">
            <v>0</v>
          </cell>
          <cell r="G4728">
            <v>0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>
            <v>0</v>
          </cell>
        </row>
        <row r="4729">
          <cell r="C4729">
            <v>303754</v>
          </cell>
          <cell r="D4729" t="str">
            <v>Baganian NHS</v>
          </cell>
          <cell r="E4729">
            <v>0</v>
          </cell>
          <cell r="F4729">
            <v>0</v>
          </cell>
          <cell r="G4729">
            <v>0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0</v>
          </cell>
        </row>
        <row r="4730">
          <cell r="C4730">
            <v>303755</v>
          </cell>
          <cell r="D4730" t="str">
            <v>Bag-ong Kahayag NHS</v>
          </cell>
          <cell r="E4730">
            <v>0</v>
          </cell>
          <cell r="F4730">
            <v>0</v>
          </cell>
          <cell r="G4730">
            <v>0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>
            <v>0</v>
          </cell>
        </row>
        <row r="4731">
          <cell r="C4731">
            <v>303756</v>
          </cell>
          <cell r="D4731" t="str">
            <v>Balongating National High School</v>
          </cell>
          <cell r="E4731">
            <v>0</v>
          </cell>
          <cell r="F4731">
            <v>0</v>
          </cell>
          <cell r="G4731">
            <v>0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>
            <v>0</v>
          </cell>
        </row>
        <row r="4732">
          <cell r="C4732">
            <v>303757</v>
          </cell>
          <cell r="D4732" t="str">
            <v>Bayog National Technical Vocational High School</v>
          </cell>
          <cell r="E4732">
            <v>0</v>
          </cell>
          <cell r="F4732">
            <v>0</v>
          </cell>
          <cell r="G4732">
            <v>0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0</v>
          </cell>
        </row>
        <row r="4733">
          <cell r="C4733">
            <v>303758</v>
          </cell>
          <cell r="D4733" t="str">
            <v>Damit NHS</v>
          </cell>
          <cell r="E4733">
            <v>0</v>
          </cell>
          <cell r="F4733">
            <v>0</v>
          </cell>
          <cell r="G4733">
            <v>0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0</v>
          </cell>
        </row>
        <row r="4734">
          <cell r="C4734">
            <v>303759</v>
          </cell>
          <cell r="D4734" t="str">
            <v>Binuay NHS</v>
          </cell>
          <cell r="E4734">
            <v>0</v>
          </cell>
          <cell r="F4734">
            <v>0</v>
          </cell>
          <cell r="G4734">
            <v>0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>
            <v>0</v>
          </cell>
        </row>
        <row r="4735">
          <cell r="C4735">
            <v>303760</v>
          </cell>
          <cell r="D4735" t="str">
            <v>Bobuan NHS</v>
          </cell>
          <cell r="E4735">
            <v>0</v>
          </cell>
          <cell r="F4735">
            <v>0</v>
          </cell>
          <cell r="G4735">
            <v>0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0</v>
          </cell>
        </row>
        <row r="4736">
          <cell r="C4736">
            <v>303761</v>
          </cell>
          <cell r="D4736" t="str">
            <v>Bokong NHS</v>
          </cell>
          <cell r="E4736">
            <v>0</v>
          </cell>
          <cell r="F4736">
            <v>0</v>
          </cell>
          <cell r="G4736">
            <v>0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0</v>
          </cell>
        </row>
        <row r="4737">
          <cell r="C4737">
            <v>303764</v>
          </cell>
          <cell r="D4737" t="str">
            <v>Laureano Salusod NHS</v>
          </cell>
          <cell r="E4737">
            <v>0</v>
          </cell>
          <cell r="F4737">
            <v>0</v>
          </cell>
          <cell r="G4737">
            <v>2</v>
          </cell>
          <cell r="H4737">
            <v>0</v>
          </cell>
          <cell r="I4737">
            <v>1</v>
          </cell>
          <cell r="J4737">
            <v>1</v>
          </cell>
          <cell r="K4737">
            <v>0</v>
          </cell>
          <cell r="L4737">
            <v>0</v>
          </cell>
        </row>
        <row r="4738">
          <cell r="C4738">
            <v>303765</v>
          </cell>
          <cell r="D4738" t="str">
            <v>Cogon National High School</v>
          </cell>
          <cell r="E4738">
            <v>7</v>
          </cell>
          <cell r="F4738">
            <v>1</v>
          </cell>
          <cell r="G4738">
            <v>0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0</v>
          </cell>
        </row>
        <row r="4739">
          <cell r="C4739">
            <v>303766</v>
          </cell>
          <cell r="D4739" t="str">
            <v>Commonwealth NHS</v>
          </cell>
          <cell r="E4739">
            <v>0</v>
          </cell>
          <cell r="F4739">
            <v>0</v>
          </cell>
          <cell r="G4739">
            <v>0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>
            <v>0</v>
          </cell>
        </row>
        <row r="4740">
          <cell r="C4740">
            <v>303767</v>
          </cell>
          <cell r="D4740" t="str">
            <v>CONCEPCION NATIONAL HIGH SCHOOL</v>
          </cell>
          <cell r="E4740">
            <v>0</v>
          </cell>
          <cell r="F4740">
            <v>0</v>
          </cell>
          <cell r="G4740">
            <v>0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0</v>
          </cell>
        </row>
        <row r="4741">
          <cell r="C4741">
            <v>303768</v>
          </cell>
          <cell r="D4741" t="str">
            <v>Tabina National High School</v>
          </cell>
          <cell r="E4741">
            <v>0</v>
          </cell>
          <cell r="F4741">
            <v>0</v>
          </cell>
          <cell r="G4741">
            <v>0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>
            <v>0</v>
          </cell>
        </row>
        <row r="4742">
          <cell r="C4742">
            <v>303769</v>
          </cell>
          <cell r="D4742" t="str">
            <v>Culabay NHS</v>
          </cell>
          <cell r="E4742">
            <v>0</v>
          </cell>
          <cell r="F4742">
            <v>0</v>
          </cell>
          <cell r="G4742">
            <v>3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>
            <v>0</v>
          </cell>
        </row>
        <row r="4743">
          <cell r="C4743">
            <v>303770</v>
          </cell>
          <cell r="D4743" t="str">
            <v>Dimataling National High School</v>
          </cell>
          <cell r="E4743">
            <v>0</v>
          </cell>
          <cell r="F4743">
            <v>0</v>
          </cell>
          <cell r="G4743">
            <v>0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0</v>
          </cell>
        </row>
        <row r="4744">
          <cell r="C4744">
            <v>303771</v>
          </cell>
          <cell r="D4744" t="str">
            <v>Dinas NHS</v>
          </cell>
          <cell r="E4744">
            <v>0</v>
          </cell>
          <cell r="F4744">
            <v>0</v>
          </cell>
          <cell r="G4744">
            <v>0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0</v>
          </cell>
        </row>
        <row r="4745">
          <cell r="C4745">
            <v>303772</v>
          </cell>
          <cell r="D4745" t="str">
            <v>Dulop National High School</v>
          </cell>
          <cell r="E4745">
            <v>0</v>
          </cell>
          <cell r="F4745">
            <v>0</v>
          </cell>
          <cell r="G4745">
            <v>0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0</v>
          </cell>
        </row>
        <row r="4746">
          <cell r="C4746">
            <v>303773</v>
          </cell>
          <cell r="D4746" t="str">
            <v>Dumingag National High School</v>
          </cell>
          <cell r="E4746">
            <v>0</v>
          </cell>
          <cell r="F4746">
            <v>0</v>
          </cell>
          <cell r="G4746">
            <v>0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>
            <v>0</v>
          </cell>
        </row>
        <row r="4747">
          <cell r="C4747">
            <v>303774</v>
          </cell>
          <cell r="D4747" t="str">
            <v>Dumalinao NHS</v>
          </cell>
          <cell r="E4747">
            <v>0</v>
          </cell>
          <cell r="F4747">
            <v>0</v>
          </cell>
          <cell r="G4747">
            <v>0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>
            <v>0</v>
          </cell>
        </row>
        <row r="4748">
          <cell r="C4748">
            <v>303775</v>
          </cell>
          <cell r="D4748" t="str">
            <v>Esperanza Switch NHS</v>
          </cell>
          <cell r="E4748">
            <v>0</v>
          </cell>
          <cell r="F4748">
            <v>0</v>
          </cell>
          <cell r="G4748">
            <v>0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>
            <v>0</v>
          </cell>
        </row>
        <row r="4749">
          <cell r="C4749">
            <v>303776</v>
          </cell>
          <cell r="D4749" t="str">
            <v>Eugenia Andrin NHS</v>
          </cell>
          <cell r="E4749">
            <v>0</v>
          </cell>
          <cell r="F4749">
            <v>0</v>
          </cell>
          <cell r="G4749">
            <v>0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0</v>
          </cell>
        </row>
        <row r="4750">
          <cell r="C4750">
            <v>303777</v>
          </cell>
          <cell r="D4750" t="str">
            <v>Guinicolalay NHS</v>
          </cell>
          <cell r="E4750">
            <v>1</v>
          </cell>
          <cell r="F4750">
            <v>1</v>
          </cell>
          <cell r="G4750">
            <v>0</v>
          </cell>
          <cell r="H4750">
            <v>0</v>
          </cell>
          <cell r="I4750">
            <v>1</v>
          </cell>
          <cell r="J4750">
            <v>1</v>
          </cell>
          <cell r="K4750">
            <v>0</v>
          </cell>
          <cell r="L4750">
            <v>0</v>
          </cell>
        </row>
        <row r="4751">
          <cell r="C4751">
            <v>303778</v>
          </cell>
          <cell r="D4751" t="str">
            <v>Guipos NHS</v>
          </cell>
          <cell r="E4751">
            <v>0</v>
          </cell>
          <cell r="F4751">
            <v>0</v>
          </cell>
          <cell r="G4751">
            <v>0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0</v>
          </cell>
        </row>
        <row r="4752">
          <cell r="C4752">
            <v>303780</v>
          </cell>
          <cell r="D4752" t="str">
            <v>Aurora National High School</v>
          </cell>
          <cell r="E4752">
            <v>0</v>
          </cell>
          <cell r="F4752">
            <v>0</v>
          </cell>
          <cell r="G4752">
            <v>0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0</v>
          </cell>
        </row>
        <row r="4753">
          <cell r="C4753">
            <v>303781</v>
          </cell>
          <cell r="D4753" t="str">
            <v>Judge Edmundo Pinga NHS</v>
          </cell>
          <cell r="E4753">
            <v>0</v>
          </cell>
          <cell r="F4753">
            <v>0</v>
          </cell>
          <cell r="G4753">
            <v>0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0</v>
          </cell>
        </row>
        <row r="4754">
          <cell r="C4754">
            <v>303782</v>
          </cell>
          <cell r="D4754" t="str">
            <v>Kabatan National High School</v>
          </cell>
          <cell r="E4754">
            <v>0</v>
          </cell>
          <cell r="F4754">
            <v>0</v>
          </cell>
          <cell r="G4754">
            <v>2</v>
          </cell>
          <cell r="H4754">
            <v>0</v>
          </cell>
          <cell r="I4754">
            <v>1</v>
          </cell>
          <cell r="J4754">
            <v>1</v>
          </cell>
          <cell r="K4754">
            <v>1</v>
          </cell>
          <cell r="L4754">
            <v>1</v>
          </cell>
        </row>
        <row r="4755">
          <cell r="C4755">
            <v>303783</v>
          </cell>
          <cell r="D4755" t="str">
            <v>Kalian NHS</v>
          </cell>
          <cell r="E4755">
            <v>0</v>
          </cell>
          <cell r="F4755">
            <v>0</v>
          </cell>
          <cell r="G4755">
            <v>0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0</v>
          </cell>
        </row>
        <row r="4756">
          <cell r="C4756">
            <v>303784</v>
          </cell>
          <cell r="D4756" t="str">
            <v>Kumalarang NHS</v>
          </cell>
          <cell r="E4756">
            <v>0</v>
          </cell>
          <cell r="F4756">
            <v>0</v>
          </cell>
          <cell r="G4756">
            <v>0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0</v>
          </cell>
        </row>
        <row r="4757">
          <cell r="C4757">
            <v>303785</v>
          </cell>
          <cell r="D4757" t="str">
            <v>Picanan NHS</v>
          </cell>
          <cell r="E4757">
            <v>0</v>
          </cell>
          <cell r="F4757">
            <v>0</v>
          </cell>
          <cell r="G4757">
            <v>0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>
            <v>0</v>
          </cell>
        </row>
        <row r="4758">
          <cell r="C4758">
            <v>303786</v>
          </cell>
          <cell r="D4758" t="str">
            <v>Lantungan National High School</v>
          </cell>
          <cell r="E4758">
            <v>1</v>
          </cell>
          <cell r="F4758">
            <v>1</v>
          </cell>
          <cell r="G4758">
            <v>0</v>
          </cell>
          <cell r="H4758">
            <v>0</v>
          </cell>
          <cell r="I4758">
            <v>1</v>
          </cell>
          <cell r="J4758">
            <v>1</v>
          </cell>
          <cell r="K4758">
            <v>0</v>
          </cell>
          <cell r="L4758">
            <v>0</v>
          </cell>
        </row>
        <row r="4759">
          <cell r="C4759">
            <v>303787</v>
          </cell>
          <cell r="D4759" t="str">
            <v>Laperian National High School</v>
          </cell>
          <cell r="E4759">
            <v>0</v>
          </cell>
          <cell r="F4759">
            <v>0</v>
          </cell>
          <cell r="G4759">
            <v>0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>
            <v>0</v>
          </cell>
        </row>
        <row r="4760">
          <cell r="C4760">
            <v>303788</v>
          </cell>
          <cell r="D4760" t="str">
            <v>Lapuyan NHS</v>
          </cell>
          <cell r="E4760">
            <v>0</v>
          </cell>
          <cell r="F4760">
            <v>0</v>
          </cell>
          <cell r="G4760">
            <v>0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0</v>
          </cell>
        </row>
        <row r="4761">
          <cell r="C4761">
            <v>303789</v>
          </cell>
          <cell r="D4761" t="str">
            <v>Maruing NHS</v>
          </cell>
          <cell r="E4761">
            <v>0</v>
          </cell>
          <cell r="F4761">
            <v>0</v>
          </cell>
          <cell r="G4761">
            <v>0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>
            <v>0</v>
          </cell>
        </row>
        <row r="4762">
          <cell r="C4762">
            <v>303790</v>
          </cell>
          <cell r="D4762" t="str">
            <v>Legarda Dos NHS</v>
          </cell>
          <cell r="E4762">
            <v>0</v>
          </cell>
          <cell r="F4762">
            <v>0</v>
          </cell>
          <cell r="G4762">
            <v>0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0</v>
          </cell>
        </row>
        <row r="4763">
          <cell r="C4763">
            <v>303791</v>
          </cell>
          <cell r="D4763" t="str">
            <v>Betinan NHS</v>
          </cell>
          <cell r="E4763">
            <v>0</v>
          </cell>
          <cell r="F4763">
            <v>0</v>
          </cell>
          <cell r="G4763">
            <v>0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0</v>
          </cell>
        </row>
        <row r="4764">
          <cell r="C4764">
            <v>303792</v>
          </cell>
          <cell r="D4764" t="str">
            <v>Leonardo NHS</v>
          </cell>
          <cell r="E4764">
            <v>0</v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</row>
        <row r="4765">
          <cell r="C4765">
            <v>303793</v>
          </cell>
          <cell r="D4765" t="str">
            <v>Libertad NHS</v>
          </cell>
          <cell r="E4765">
            <v>0</v>
          </cell>
          <cell r="F4765">
            <v>2</v>
          </cell>
          <cell r="G4765">
            <v>0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0</v>
          </cell>
        </row>
        <row r="4766">
          <cell r="C4766">
            <v>303794</v>
          </cell>
          <cell r="D4766" t="str">
            <v>Lintugop National High School</v>
          </cell>
          <cell r="E4766">
            <v>0</v>
          </cell>
          <cell r="F4766">
            <v>0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0</v>
          </cell>
        </row>
        <row r="4767">
          <cell r="C4767">
            <v>303795</v>
          </cell>
          <cell r="D4767" t="str">
            <v>Maestro Cornelio S. Minor NHS</v>
          </cell>
          <cell r="E4767">
            <v>0</v>
          </cell>
          <cell r="F4767">
            <v>0</v>
          </cell>
          <cell r="G4767">
            <v>0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0</v>
          </cell>
        </row>
        <row r="4768">
          <cell r="C4768">
            <v>303796</v>
          </cell>
          <cell r="D4768" t="str">
            <v>Midsalip NHS- Main</v>
          </cell>
          <cell r="E4768">
            <v>0</v>
          </cell>
          <cell r="F4768">
            <v>0</v>
          </cell>
          <cell r="G4768">
            <v>0</v>
          </cell>
          <cell r="H4768">
            <v>0</v>
          </cell>
          <cell r="I4768">
            <v>0</v>
          </cell>
          <cell r="J4768">
            <v>2</v>
          </cell>
          <cell r="K4768">
            <v>0</v>
          </cell>
          <cell r="L4768">
            <v>1</v>
          </cell>
        </row>
        <row r="4769">
          <cell r="C4769">
            <v>303797</v>
          </cell>
          <cell r="D4769" t="str">
            <v>Molave Vocational Technical School</v>
          </cell>
          <cell r="E4769">
            <v>0</v>
          </cell>
          <cell r="F4769">
            <v>0</v>
          </cell>
          <cell r="G4769">
            <v>0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0</v>
          </cell>
        </row>
        <row r="4770">
          <cell r="C4770">
            <v>303799</v>
          </cell>
          <cell r="D4770" t="str">
            <v>New Labangan NHS</v>
          </cell>
          <cell r="E4770">
            <v>1</v>
          </cell>
          <cell r="F4770">
            <v>0</v>
          </cell>
          <cell r="G4770">
            <v>0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0</v>
          </cell>
        </row>
        <row r="4771">
          <cell r="C4771">
            <v>303800</v>
          </cell>
          <cell r="D4771" t="str">
            <v>Nilo NHS</v>
          </cell>
          <cell r="E4771">
            <v>0</v>
          </cell>
          <cell r="F4771">
            <v>0</v>
          </cell>
          <cell r="G4771">
            <v>0</v>
          </cell>
          <cell r="H4771">
            <v>0</v>
          </cell>
          <cell r="I4771">
            <v>1</v>
          </cell>
          <cell r="J4771">
            <v>2</v>
          </cell>
          <cell r="K4771">
            <v>1</v>
          </cell>
          <cell r="L4771">
            <v>2</v>
          </cell>
        </row>
        <row r="4772">
          <cell r="C4772">
            <v>303803</v>
          </cell>
          <cell r="D4772" t="str">
            <v>Mahayag School of Arts and Trade (Mahayag NHS)</v>
          </cell>
          <cell r="E4772">
            <v>0</v>
          </cell>
          <cell r="F4772">
            <v>0</v>
          </cell>
          <cell r="G4772">
            <v>0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0</v>
          </cell>
        </row>
        <row r="4773">
          <cell r="C4773">
            <v>303804</v>
          </cell>
          <cell r="D4773" t="str">
            <v>Paulino Dari NHS</v>
          </cell>
          <cell r="E4773">
            <v>0</v>
          </cell>
          <cell r="F4773">
            <v>0</v>
          </cell>
          <cell r="G4773">
            <v>0</v>
          </cell>
          <cell r="H4773">
            <v>0</v>
          </cell>
          <cell r="I4773">
            <v>0</v>
          </cell>
          <cell r="J4773">
            <v>0</v>
          </cell>
          <cell r="K4773">
            <v>0</v>
          </cell>
          <cell r="L4773">
            <v>0</v>
          </cell>
        </row>
        <row r="4774">
          <cell r="C4774">
            <v>303805</v>
          </cell>
          <cell r="D4774" t="str">
            <v>Panubigan NHS</v>
          </cell>
          <cell r="E4774">
            <v>0</v>
          </cell>
          <cell r="F4774">
            <v>0</v>
          </cell>
          <cell r="G4774">
            <v>0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>
            <v>0</v>
          </cell>
        </row>
        <row r="4775">
          <cell r="C4775">
            <v>303806</v>
          </cell>
          <cell r="D4775" t="str">
            <v>Payag NHS</v>
          </cell>
          <cell r="E4775">
            <v>1</v>
          </cell>
          <cell r="F4775">
            <v>1</v>
          </cell>
          <cell r="G4775">
            <v>0</v>
          </cell>
          <cell r="H4775">
            <v>0</v>
          </cell>
          <cell r="I4775">
            <v>0</v>
          </cell>
          <cell r="J4775">
            <v>2</v>
          </cell>
          <cell r="K4775">
            <v>0</v>
          </cell>
          <cell r="L4775">
            <v>0</v>
          </cell>
        </row>
        <row r="4776">
          <cell r="C4776">
            <v>303807</v>
          </cell>
          <cell r="D4776" t="str">
            <v>Proper Dimaya NHS</v>
          </cell>
          <cell r="E4776">
            <v>0</v>
          </cell>
          <cell r="F4776">
            <v>0</v>
          </cell>
          <cell r="G4776">
            <v>0</v>
          </cell>
          <cell r="H4776">
            <v>0</v>
          </cell>
          <cell r="I4776">
            <v>0</v>
          </cell>
          <cell r="J4776">
            <v>3</v>
          </cell>
          <cell r="K4776">
            <v>0</v>
          </cell>
          <cell r="L4776">
            <v>0</v>
          </cell>
        </row>
        <row r="4777">
          <cell r="C4777">
            <v>303808</v>
          </cell>
          <cell r="D4777" t="str">
            <v>Rebokon AVHS</v>
          </cell>
          <cell r="E4777">
            <v>0</v>
          </cell>
          <cell r="F4777">
            <v>0</v>
          </cell>
          <cell r="G4777">
            <v>0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0</v>
          </cell>
        </row>
        <row r="4778">
          <cell r="C4778">
            <v>303809</v>
          </cell>
          <cell r="D4778" t="str">
            <v>Sagacad NHS</v>
          </cell>
          <cell r="E4778">
            <v>0</v>
          </cell>
          <cell r="F4778">
            <v>0</v>
          </cell>
          <cell r="G4778">
            <v>0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>
            <v>0</v>
          </cell>
        </row>
        <row r="4779">
          <cell r="C4779">
            <v>303810</v>
          </cell>
          <cell r="D4779" t="str">
            <v>Saloagan NHS</v>
          </cell>
          <cell r="E4779">
            <v>0</v>
          </cell>
          <cell r="F4779">
            <v>0</v>
          </cell>
          <cell r="G4779">
            <v>0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0</v>
          </cell>
        </row>
        <row r="4780">
          <cell r="C4780">
            <v>303811</v>
          </cell>
          <cell r="D4780" t="str">
            <v>Tukuran Tech. Voc'l. HS</v>
          </cell>
          <cell r="E4780">
            <v>0</v>
          </cell>
          <cell r="F4780">
            <v>0</v>
          </cell>
          <cell r="G4780">
            <v>0</v>
          </cell>
          <cell r="H4780">
            <v>0</v>
          </cell>
          <cell r="I4780">
            <v>0</v>
          </cell>
          <cell r="J4780">
            <v>0</v>
          </cell>
          <cell r="K4780">
            <v>0</v>
          </cell>
          <cell r="L4780">
            <v>0</v>
          </cell>
        </row>
        <row r="4781">
          <cell r="C4781">
            <v>303812</v>
          </cell>
          <cell r="D4781" t="str">
            <v>San Jose NHS</v>
          </cell>
          <cell r="E4781">
            <v>0</v>
          </cell>
          <cell r="F4781">
            <v>0</v>
          </cell>
          <cell r="G4781">
            <v>0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>
            <v>0</v>
          </cell>
        </row>
        <row r="4782">
          <cell r="C4782">
            <v>303813</v>
          </cell>
          <cell r="D4782" t="str">
            <v>San Pablo NHS</v>
          </cell>
          <cell r="E4782">
            <v>0</v>
          </cell>
          <cell r="F4782">
            <v>0</v>
          </cell>
          <cell r="G4782">
            <v>0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0</v>
          </cell>
        </row>
        <row r="4783">
          <cell r="C4783">
            <v>303814</v>
          </cell>
          <cell r="D4783" t="str">
            <v>Sapa Anding Agricultural Vocational Technical School</v>
          </cell>
          <cell r="E4783">
            <v>0</v>
          </cell>
          <cell r="F4783">
            <v>0</v>
          </cell>
          <cell r="G4783">
            <v>0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0</v>
          </cell>
        </row>
        <row r="4784">
          <cell r="C4784">
            <v>303815</v>
          </cell>
          <cell r="D4784" t="str">
            <v>Simata NHS</v>
          </cell>
          <cell r="E4784">
            <v>0</v>
          </cell>
          <cell r="F4784">
            <v>0</v>
          </cell>
          <cell r="G4784">
            <v>0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0</v>
          </cell>
        </row>
        <row r="4785">
          <cell r="C4785">
            <v>303816</v>
          </cell>
          <cell r="D4785" t="str">
            <v>Parasan National High School</v>
          </cell>
          <cell r="E4785">
            <v>0</v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0</v>
          </cell>
        </row>
        <row r="4786">
          <cell r="C4786">
            <v>303817</v>
          </cell>
          <cell r="D4786" t="str">
            <v>Sominot National High School</v>
          </cell>
          <cell r="E4786">
            <v>0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>
            <v>0</v>
          </cell>
        </row>
        <row r="4787">
          <cell r="C4787">
            <v>303818</v>
          </cell>
          <cell r="D4787" t="str">
            <v>Subanen Agricultural NHS</v>
          </cell>
          <cell r="E4787">
            <v>0</v>
          </cell>
          <cell r="F4787">
            <v>0</v>
          </cell>
          <cell r="G4787">
            <v>0</v>
          </cell>
          <cell r="H4787">
            <v>1</v>
          </cell>
          <cell r="I4787">
            <v>0</v>
          </cell>
          <cell r="J4787">
            <v>3</v>
          </cell>
          <cell r="K4787">
            <v>3</v>
          </cell>
          <cell r="L4787">
            <v>4</v>
          </cell>
        </row>
        <row r="4788">
          <cell r="C4788">
            <v>303819</v>
          </cell>
          <cell r="D4788" t="str">
            <v>Tambulig NHS</v>
          </cell>
          <cell r="E4788">
            <v>1</v>
          </cell>
          <cell r="F4788">
            <v>0</v>
          </cell>
          <cell r="G4788">
            <v>1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>
            <v>0</v>
          </cell>
        </row>
        <row r="4789">
          <cell r="C4789">
            <v>303821</v>
          </cell>
          <cell r="D4789" t="str">
            <v>Tigbao NHS</v>
          </cell>
          <cell r="E4789">
            <v>0</v>
          </cell>
          <cell r="F4789">
            <v>0</v>
          </cell>
          <cell r="G4789">
            <v>0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0</v>
          </cell>
        </row>
        <row r="4790">
          <cell r="C4790">
            <v>303822</v>
          </cell>
          <cell r="D4790" t="str">
            <v>Toribio Minor NHS</v>
          </cell>
          <cell r="E4790">
            <v>0</v>
          </cell>
          <cell r="F4790">
            <v>0</v>
          </cell>
          <cell r="G4790">
            <v>0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>
            <v>0</v>
          </cell>
        </row>
        <row r="4791">
          <cell r="C4791">
            <v>303823</v>
          </cell>
          <cell r="D4791" t="str">
            <v>Vicenta C. Enerio National High School</v>
          </cell>
          <cell r="E4791">
            <v>0</v>
          </cell>
          <cell r="F4791">
            <v>0</v>
          </cell>
          <cell r="G4791">
            <v>0</v>
          </cell>
          <cell r="H4791">
            <v>1</v>
          </cell>
          <cell r="I4791">
            <v>1</v>
          </cell>
          <cell r="J4791">
            <v>0</v>
          </cell>
          <cell r="K4791">
            <v>0</v>
          </cell>
          <cell r="L4791">
            <v>0</v>
          </cell>
        </row>
        <row r="4792">
          <cell r="C4792">
            <v>314203</v>
          </cell>
          <cell r="D4792" t="str">
            <v>Boniao National High School</v>
          </cell>
          <cell r="E4792">
            <v>0</v>
          </cell>
          <cell r="F4792">
            <v>0</v>
          </cell>
          <cell r="G4792">
            <v>0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>
            <v>0</v>
          </cell>
        </row>
        <row r="4793">
          <cell r="C4793">
            <v>314204</v>
          </cell>
          <cell r="D4793" t="str">
            <v>Sumalig NHS</v>
          </cell>
          <cell r="E4793">
            <v>0</v>
          </cell>
          <cell r="F4793">
            <v>0</v>
          </cell>
          <cell r="G4793">
            <v>0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>
            <v>0</v>
          </cell>
        </row>
        <row r="4794">
          <cell r="C4794">
            <v>314207</v>
          </cell>
          <cell r="D4794" t="str">
            <v>Guling National High School</v>
          </cell>
          <cell r="E4794">
            <v>0</v>
          </cell>
          <cell r="F4794">
            <v>3</v>
          </cell>
          <cell r="G4794">
            <v>0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>
            <v>0</v>
          </cell>
        </row>
        <row r="4795">
          <cell r="C4795">
            <v>314208</v>
          </cell>
          <cell r="D4795" t="str">
            <v>Sagucan NHS</v>
          </cell>
          <cell r="E4795">
            <v>0</v>
          </cell>
          <cell r="F4795">
            <v>0</v>
          </cell>
          <cell r="G4795">
            <v>2</v>
          </cell>
          <cell r="H4795">
            <v>0</v>
          </cell>
          <cell r="I4795">
            <v>1</v>
          </cell>
          <cell r="J4795">
            <v>0</v>
          </cell>
          <cell r="K4795">
            <v>1</v>
          </cell>
          <cell r="L4795">
            <v>0</v>
          </cell>
        </row>
        <row r="4796">
          <cell r="C4796">
            <v>314212</v>
          </cell>
          <cell r="D4796" t="str">
            <v>Monte Alegre National High School</v>
          </cell>
          <cell r="E4796">
            <v>0</v>
          </cell>
          <cell r="F4796">
            <v>0</v>
          </cell>
          <cell r="G4796">
            <v>0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>
            <v>0</v>
          </cell>
        </row>
        <row r="4797">
          <cell r="C4797">
            <v>314216</v>
          </cell>
          <cell r="D4797" t="str">
            <v>Bulawan National High School</v>
          </cell>
          <cell r="E4797">
            <v>0</v>
          </cell>
          <cell r="F4797">
            <v>0</v>
          </cell>
          <cell r="G4797">
            <v>0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0</v>
          </cell>
        </row>
        <row r="4798">
          <cell r="C4798">
            <v>314217</v>
          </cell>
          <cell r="D4798" t="str">
            <v>Bibilik NHS</v>
          </cell>
          <cell r="E4798">
            <v>0</v>
          </cell>
          <cell r="F4798">
            <v>0</v>
          </cell>
          <cell r="G4798">
            <v>0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0</v>
          </cell>
        </row>
        <row r="4799">
          <cell r="C4799">
            <v>314218</v>
          </cell>
          <cell r="D4799" t="str">
            <v>Bag-ong Kauswagan NHS</v>
          </cell>
          <cell r="E4799">
            <v>0</v>
          </cell>
          <cell r="F4799">
            <v>0</v>
          </cell>
          <cell r="G4799">
            <v>0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0</v>
          </cell>
        </row>
        <row r="4800">
          <cell r="C4800">
            <v>314219</v>
          </cell>
          <cell r="D4800" t="str">
            <v>Malim NHS</v>
          </cell>
          <cell r="E4800">
            <v>0</v>
          </cell>
          <cell r="F4800">
            <v>0</v>
          </cell>
          <cell r="G4800">
            <v>0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>
            <v>0</v>
          </cell>
        </row>
        <row r="4801">
          <cell r="C4801">
            <v>314220</v>
          </cell>
          <cell r="D4801" t="str">
            <v>Teniapan NHS</v>
          </cell>
          <cell r="E4801">
            <v>0</v>
          </cell>
          <cell r="F4801">
            <v>0</v>
          </cell>
          <cell r="G4801">
            <v>0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>
            <v>0</v>
          </cell>
        </row>
        <row r="4802">
          <cell r="C4802">
            <v>314222</v>
          </cell>
          <cell r="D4802" t="str">
            <v>Golictop National High School</v>
          </cell>
          <cell r="E4802">
            <v>0</v>
          </cell>
          <cell r="F4802">
            <v>0</v>
          </cell>
          <cell r="G4802">
            <v>0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>
            <v>0</v>
          </cell>
        </row>
        <row r="4803">
          <cell r="C4803">
            <v>314223</v>
          </cell>
          <cell r="D4803" t="str">
            <v>Potenciano Solon Bandolon Memorial National High School</v>
          </cell>
          <cell r="E4803">
            <v>0</v>
          </cell>
          <cell r="F4803">
            <v>0</v>
          </cell>
          <cell r="G4803">
            <v>0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0</v>
          </cell>
        </row>
        <row r="4804">
          <cell r="C4804">
            <v>314224</v>
          </cell>
          <cell r="D4804" t="str">
            <v>Balintawak National High School</v>
          </cell>
          <cell r="E4804">
            <v>0</v>
          </cell>
          <cell r="F4804">
            <v>0</v>
          </cell>
          <cell r="G4804">
            <v>0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>
            <v>0</v>
          </cell>
        </row>
        <row r="4805">
          <cell r="C4805">
            <v>314228</v>
          </cell>
          <cell r="D4805" t="str">
            <v>Sapa Anding NHS - Ramon Magsaysay Extension</v>
          </cell>
          <cell r="E4805">
            <v>0</v>
          </cell>
          <cell r="F4805">
            <v>0</v>
          </cell>
          <cell r="G4805">
            <v>0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>
            <v>1</v>
          </cell>
        </row>
        <row r="4806">
          <cell r="C4806">
            <v>314229</v>
          </cell>
          <cell r="D4806" t="str">
            <v>Tiguha National High School</v>
          </cell>
          <cell r="E4806">
            <v>0</v>
          </cell>
          <cell r="F4806">
            <v>0</v>
          </cell>
          <cell r="G4806">
            <v>0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>
            <v>0</v>
          </cell>
        </row>
        <row r="4807">
          <cell r="C4807">
            <v>314231</v>
          </cell>
          <cell r="D4807" t="str">
            <v>Tambulig NHS - Lower Tiparak Annex</v>
          </cell>
          <cell r="E4807">
            <v>0</v>
          </cell>
          <cell r="F4807">
            <v>0</v>
          </cell>
          <cell r="G4807">
            <v>0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>
            <v>0</v>
          </cell>
        </row>
        <row r="4808">
          <cell r="C4808">
            <v>314233</v>
          </cell>
          <cell r="D4808" t="str">
            <v>Daniel C. Mantos NHS</v>
          </cell>
          <cell r="E4808">
            <v>0</v>
          </cell>
          <cell r="F4808">
            <v>0</v>
          </cell>
          <cell r="G4808">
            <v>0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>
            <v>0</v>
          </cell>
        </row>
        <row r="4809">
          <cell r="C4809">
            <v>314234</v>
          </cell>
          <cell r="D4809" t="str">
            <v>Dulop NHS - Bag-ong Valencia Extension</v>
          </cell>
          <cell r="E4809">
            <v>0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0</v>
          </cell>
        </row>
        <row r="4810">
          <cell r="C4810">
            <v>314237</v>
          </cell>
          <cell r="D4810" t="str">
            <v>Mecolong National High School</v>
          </cell>
          <cell r="E4810">
            <v>0</v>
          </cell>
          <cell r="F4810">
            <v>0</v>
          </cell>
          <cell r="G4810">
            <v>0</v>
          </cell>
          <cell r="H4810">
            <v>0</v>
          </cell>
          <cell r="I4810">
            <v>0</v>
          </cell>
          <cell r="J4810">
            <v>1</v>
          </cell>
          <cell r="K4810">
            <v>0</v>
          </cell>
          <cell r="L4810">
            <v>0</v>
          </cell>
        </row>
        <row r="4811">
          <cell r="C4811">
            <v>314239</v>
          </cell>
          <cell r="D4811" t="str">
            <v>Dao-an NHS</v>
          </cell>
          <cell r="E4811">
            <v>0</v>
          </cell>
          <cell r="F4811">
            <v>0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0</v>
          </cell>
        </row>
        <row r="4812">
          <cell r="C4812">
            <v>314240</v>
          </cell>
          <cell r="D4812" t="str">
            <v>Fatima NHS</v>
          </cell>
          <cell r="E4812">
            <v>0</v>
          </cell>
          <cell r="F4812">
            <v>0</v>
          </cell>
          <cell r="G4812">
            <v>0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>
            <v>0</v>
          </cell>
        </row>
        <row r="4813">
          <cell r="C4813">
            <v>314241</v>
          </cell>
          <cell r="D4813" t="str">
            <v>Libayoy NHS</v>
          </cell>
          <cell r="E4813">
            <v>0</v>
          </cell>
          <cell r="F4813">
            <v>0</v>
          </cell>
          <cell r="G4813">
            <v>0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>
            <v>0</v>
          </cell>
        </row>
        <row r="4814">
          <cell r="C4814">
            <v>314249</v>
          </cell>
          <cell r="D4814" t="str">
            <v>Poblacion Comprehensive NHS</v>
          </cell>
          <cell r="E4814">
            <v>0</v>
          </cell>
          <cell r="F4814">
            <v>0</v>
          </cell>
          <cell r="G4814">
            <v>1</v>
          </cell>
          <cell r="H4814">
            <v>0</v>
          </cell>
          <cell r="I4814">
            <v>0</v>
          </cell>
          <cell r="J4814">
            <v>1</v>
          </cell>
          <cell r="K4814">
            <v>0</v>
          </cell>
          <cell r="L4814">
            <v>0</v>
          </cell>
        </row>
        <row r="4815">
          <cell r="C4815">
            <v>314252</v>
          </cell>
          <cell r="D4815" t="str">
            <v>Locuban NHS</v>
          </cell>
          <cell r="E4815">
            <v>0</v>
          </cell>
          <cell r="F4815">
            <v>0</v>
          </cell>
          <cell r="G4815">
            <v>0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0</v>
          </cell>
        </row>
        <row r="4816">
          <cell r="C4816">
            <v>314255</v>
          </cell>
          <cell r="D4816" t="str">
            <v>Old Mirapao NHS</v>
          </cell>
          <cell r="E4816">
            <v>0</v>
          </cell>
          <cell r="F4816">
            <v>0</v>
          </cell>
          <cell r="G4816">
            <v>0</v>
          </cell>
          <cell r="H4816">
            <v>0</v>
          </cell>
          <cell r="I4816">
            <v>0</v>
          </cell>
          <cell r="J4816">
            <v>0</v>
          </cell>
          <cell r="K4816">
            <v>0</v>
          </cell>
          <cell r="L4816">
            <v>0</v>
          </cell>
        </row>
        <row r="4817">
          <cell r="C4817">
            <v>314257</v>
          </cell>
          <cell r="D4817" t="str">
            <v>Midsalip NHS - Buloron Extension</v>
          </cell>
          <cell r="E4817">
            <v>0</v>
          </cell>
          <cell r="F4817">
            <v>0</v>
          </cell>
          <cell r="G4817">
            <v>0</v>
          </cell>
          <cell r="H4817">
            <v>0</v>
          </cell>
          <cell r="I4817">
            <v>1</v>
          </cell>
          <cell r="J4817">
            <v>0</v>
          </cell>
          <cell r="K4817">
            <v>1</v>
          </cell>
          <cell r="L4817">
            <v>0</v>
          </cell>
        </row>
        <row r="4818">
          <cell r="C4818">
            <v>314263</v>
          </cell>
          <cell r="D4818" t="str">
            <v>Ma. Clara Lobregat NHS</v>
          </cell>
          <cell r="E4818">
            <v>0</v>
          </cell>
          <cell r="F4818">
            <v>0</v>
          </cell>
          <cell r="G4818">
            <v>0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0</v>
          </cell>
        </row>
        <row r="4819">
          <cell r="C4819">
            <v>345844</v>
          </cell>
          <cell r="D4819" t="str">
            <v>SHS in Labangan, Zamboanga Del Sur</v>
          </cell>
          <cell r="E4819">
            <v>0</v>
          </cell>
          <cell r="F4819">
            <v>0</v>
          </cell>
          <cell r="G4819">
            <v>0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>
            <v>0</v>
          </cell>
        </row>
        <row r="4820">
          <cell r="C4820">
            <v>501159</v>
          </cell>
          <cell r="D4820" t="str">
            <v>Bogo Calabat Integrated School</v>
          </cell>
          <cell r="E4820">
            <v>0</v>
          </cell>
          <cell r="F4820">
            <v>0</v>
          </cell>
          <cell r="G4820">
            <v>0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>
            <v>0</v>
          </cell>
        </row>
        <row r="4821">
          <cell r="C4821">
            <v>302764</v>
          </cell>
          <cell r="D4821" t="str">
            <v>Sandayong NHS</v>
          </cell>
          <cell r="E4821">
            <v>0</v>
          </cell>
          <cell r="F4821">
            <v>0</v>
          </cell>
          <cell r="G4821">
            <v>0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0</v>
          </cell>
        </row>
        <row r="4822">
          <cell r="C4822">
            <v>303824</v>
          </cell>
          <cell r="D4822" t="str">
            <v>Alicia NHS</v>
          </cell>
          <cell r="E4822">
            <v>0</v>
          </cell>
          <cell r="F4822">
            <v>0</v>
          </cell>
          <cell r="G4822">
            <v>0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>
            <v>0</v>
          </cell>
        </row>
        <row r="4823">
          <cell r="C4823">
            <v>303825</v>
          </cell>
          <cell r="D4823" t="str">
            <v>Dawa-Dawa NHS</v>
          </cell>
          <cell r="E4823">
            <v>0</v>
          </cell>
          <cell r="F4823">
            <v>0</v>
          </cell>
          <cell r="G4823">
            <v>0</v>
          </cell>
          <cell r="H4823">
            <v>0</v>
          </cell>
          <cell r="I4823">
            <v>2</v>
          </cell>
          <cell r="J4823">
            <v>9</v>
          </cell>
          <cell r="K4823">
            <v>0</v>
          </cell>
          <cell r="L4823">
            <v>0</v>
          </cell>
        </row>
        <row r="4824">
          <cell r="C4824">
            <v>303827</v>
          </cell>
          <cell r="D4824" t="str">
            <v>Francisco Ramos NHS</v>
          </cell>
          <cell r="E4824">
            <v>0</v>
          </cell>
          <cell r="F4824">
            <v>0</v>
          </cell>
          <cell r="G4824">
            <v>0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>
            <v>0</v>
          </cell>
        </row>
        <row r="4825">
          <cell r="C4825">
            <v>303828</v>
          </cell>
          <cell r="D4825" t="str">
            <v>Diplahan NHS</v>
          </cell>
          <cell r="E4825">
            <v>0</v>
          </cell>
          <cell r="F4825">
            <v>0</v>
          </cell>
          <cell r="G4825">
            <v>0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>
            <v>0</v>
          </cell>
        </row>
        <row r="4826">
          <cell r="C4826">
            <v>303829</v>
          </cell>
          <cell r="D4826" t="str">
            <v>Buug NHS</v>
          </cell>
          <cell r="E4826">
            <v>0</v>
          </cell>
          <cell r="F4826">
            <v>0</v>
          </cell>
          <cell r="G4826">
            <v>0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>
            <v>0</v>
          </cell>
        </row>
        <row r="4827">
          <cell r="C4827">
            <v>303830</v>
          </cell>
          <cell r="D4827" t="str">
            <v>Del Monte NHS</v>
          </cell>
          <cell r="E4827">
            <v>0</v>
          </cell>
          <cell r="F4827">
            <v>0</v>
          </cell>
          <cell r="G4827">
            <v>0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0</v>
          </cell>
        </row>
        <row r="4828">
          <cell r="C4828">
            <v>303834</v>
          </cell>
          <cell r="D4828" t="str">
            <v>Villacastor NHS</v>
          </cell>
          <cell r="E4828">
            <v>0</v>
          </cell>
          <cell r="F4828">
            <v>0</v>
          </cell>
          <cell r="G4828">
            <v>0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>
            <v>0</v>
          </cell>
        </row>
        <row r="4829">
          <cell r="C4829">
            <v>303835</v>
          </cell>
          <cell r="D4829" t="str">
            <v>Natan National High School</v>
          </cell>
          <cell r="E4829">
            <v>0</v>
          </cell>
          <cell r="F4829">
            <v>0</v>
          </cell>
          <cell r="G4829">
            <v>0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0</v>
          </cell>
        </row>
        <row r="4830">
          <cell r="C4830">
            <v>303836</v>
          </cell>
          <cell r="D4830" t="str">
            <v>Guintolan NHS</v>
          </cell>
          <cell r="E4830">
            <v>0</v>
          </cell>
          <cell r="F4830">
            <v>0</v>
          </cell>
          <cell r="G4830">
            <v>0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>
            <v>0</v>
          </cell>
        </row>
        <row r="4831">
          <cell r="C4831">
            <v>303837</v>
          </cell>
          <cell r="D4831" t="str">
            <v>Imelda NHS</v>
          </cell>
          <cell r="E4831">
            <v>0</v>
          </cell>
          <cell r="F4831">
            <v>0</v>
          </cell>
          <cell r="G4831">
            <v>0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>
            <v>0</v>
          </cell>
        </row>
        <row r="4832">
          <cell r="C4832">
            <v>303838</v>
          </cell>
          <cell r="D4832" t="str">
            <v>Ipil NHS</v>
          </cell>
          <cell r="E4832">
            <v>0</v>
          </cell>
          <cell r="F4832">
            <v>0</v>
          </cell>
          <cell r="G4832">
            <v>0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>
            <v>0</v>
          </cell>
        </row>
        <row r="4833">
          <cell r="C4833">
            <v>303839</v>
          </cell>
          <cell r="D4833" t="str">
            <v>Kabasalan NHS</v>
          </cell>
          <cell r="E4833">
            <v>0</v>
          </cell>
          <cell r="F4833">
            <v>0</v>
          </cell>
          <cell r="G4833">
            <v>0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>
            <v>0</v>
          </cell>
        </row>
        <row r="4834">
          <cell r="C4834">
            <v>303840</v>
          </cell>
          <cell r="D4834" t="str">
            <v>Kabasalan Sci. &amp; Tech. HS</v>
          </cell>
          <cell r="E4834">
            <v>0</v>
          </cell>
          <cell r="F4834">
            <v>0</v>
          </cell>
          <cell r="G4834">
            <v>0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>
            <v>0</v>
          </cell>
        </row>
        <row r="4835">
          <cell r="C4835">
            <v>303841</v>
          </cell>
          <cell r="D4835" t="str">
            <v>Kawayan NHS</v>
          </cell>
          <cell r="E4835">
            <v>0</v>
          </cell>
          <cell r="F4835">
            <v>0</v>
          </cell>
          <cell r="G4835">
            <v>0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>
            <v>0</v>
          </cell>
        </row>
        <row r="4836">
          <cell r="C4836">
            <v>303843</v>
          </cell>
          <cell r="D4836" t="str">
            <v>Laih-Batu NHS</v>
          </cell>
          <cell r="E4836">
            <v>0</v>
          </cell>
          <cell r="F4836">
            <v>0</v>
          </cell>
          <cell r="G4836">
            <v>0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0</v>
          </cell>
        </row>
        <row r="4837">
          <cell r="C4837">
            <v>303844</v>
          </cell>
          <cell r="D4837" t="str">
            <v>Makilas NHS</v>
          </cell>
          <cell r="E4837">
            <v>0</v>
          </cell>
          <cell r="F4837">
            <v>0</v>
          </cell>
          <cell r="G4837">
            <v>0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>
            <v>0</v>
          </cell>
        </row>
        <row r="4838">
          <cell r="C4838">
            <v>303845</v>
          </cell>
          <cell r="D4838" t="str">
            <v>Malangas NHS</v>
          </cell>
          <cell r="E4838">
            <v>0</v>
          </cell>
          <cell r="F4838">
            <v>0</v>
          </cell>
          <cell r="G4838">
            <v>0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>
            <v>0</v>
          </cell>
        </row>
        <row r="4839">
          <cell r="C4839">
            <v>303846</v>
          </cell>
          <cell r="D4839" t="str">
            <v>Catituan NHS</v>
          </cell>
          <cell r="E4839">
            <v>0</v>
          </cell>
          <cell r="F4839">
            <v>0</v>
          </cell>
          <cell r="G4839">
            <v>0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0</v>
          </cell>
        </row>
        <row r="4840">
          <cell r="C4840">
            <v>303848</v>
          </cell>
          <cell r="D4840" t="str">
            <v>Minsulao National High School</v>
          </cell>
          <cell r="E4840">
            <v>0</v>
          </cell>
          <cell r="F4840">
            <v>0</v>
          </cell>
          <cell r="G4840">
            <v>0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>
            <v>0</v>
          </cell>
        </row>
        <row r="4841">
          <cell r="C4841">
            <v>303849</v>
          </cell>
          <cell r="D4841" t="str">
            <v>Naga NHS</v>
          </cell>
          <cell r="E4841">
            <v>0</v>
          </cell>
          <cell r="F4841">
            <v>0</v>
          </cell>
          <cell r="G4841">
            <v>0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>
            <v>0</v>
          </cell>
        </row>
        <row r="4842">
          <cell r="C4842">
            <v>303851</v>
          </cell>
          <cell r="D4842" t="str">
            <v>Olutanga NHS</v>
          </cell>
          <cell r="E4842">
            <v>0</v>
          </cell>
          <cell r="F4842">
            <v>0</v>
          </cell>
          <cell r="G4842">
            <v>0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>
            <v>0</v>
          </cell>
        </row>
        <row r="4843">
          <cell r="C4843">
            <v>303852</v>
          </cell>
          <cell r="D4843" t="str">
            <v>Mabuhay NHS</v>
          </cell>
          <cell r="E4843">
            <v>0</v>
          </cell>
          <cell r="F4843">
            <v>0</v>
          </cell>
          <cell r="G4843">
            <v>0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>
            <v>0</v>
          </cell>
        </row>
        <row r="4844">
          <cell r="C4844">
            <v>303853</v>
          </cell>
          <cell r="D4844" t="str">
            <v>Palomoc NHS</v>
          </cell>
          <cell r="E4844">
            <v>0</v>
          </cell>
          <cell r="F4844">
            <v>0</v>
          </cell>
          <cell r="G4844">
            <v>0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>
            <v>0</v>
          </cell>
        </row>
        <row r="4845">
          <cell r="C4845">
            <v>303854</v>
          </cell>
          <cell r="D4845" t="str">
            <v>Zamboanga Sibugay NHS</v>
          </cell>
          <cell r="E4845">
            <v>0</v>
          </cell>
          <cell r="F4845">
            <v>0</v>
          </cell>
          <cell r="G4845">
            <v>0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>
            <v>0</v>
          </cell>
        </row>
        <row r="4846">
          <cell r="C4846">
            <v>303855</v>
          </cell>
          <cell r="D4846" t="str">
            <v>Bacalan National High School</v>
          </cell>
          <cell r="E4846">
            <v>0</v>
          </cell>
          <cell r="F4846">
            <v>0</v>
          </cell>
          <cell r="G4846">
            <v>0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0</v>
          </cell>
        </row>
        <row r="4847">
          <cell r="C4847">
            <v>303856</v>
          </cell>
          <cell r="D4847" t="str">
            <v>Payao NHS</v>
          </cell>
          <cell r="E4847">
            <v>0</v>
          </cell>
          <cell r="F4847">
            <v>0</v>
          </cell>
          <cell r="G4847">
            <v>0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0</v>
          </cell>
        </row>
        <row r="4848">
          <cell r="C4848">
            <v>303858</v>
          </cell>
          <cell r="D4848" t="str">
            <v>Bulawan NHS</v>
          </cell>
          <cell r="E4848">
            <v>0</v>
          </cell>
          <cell r="F4848">
            <v>0</v>
          </cell>
          <cell r="G4848">
            <v>0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>
            <v>0</v>
          </cell>
        </row>
        <row r="4849">
          <cell r="C4849">
            <v>303859</v>
          </cell>
          <cell r="D4849" t="str">
            <v>Pioneer NHS</v>
          </cell>
          <cell r="E4849">
            <v>0</v>
          </cell>
          <cell r="F4849">
            <v>0</v>
          </cell>
          <cell r="G4849">
            <v>0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0</v>
          </cell>
        </row>
        <row r="4850">
          <cell r="C4850">
            <v>303860</v>
          </cell>
          <cell r="D4850" t="str">
            <v>San Antonio NHS</v>
          </cell>
          <cell r="E4850">
            <v>0</v>
          </cell>
          <cell r="F4850">
            <v>0</v>
          </cell>
          <cell r="G4850">
            <v>0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0</v>
          </cell>
        </row>
        <row r="4851">
          <cell r="C4851">
            <v>303861</v>
          </cell>
          <cell r="D4851" t="str">
            <v>Sta. Clara NHS</v>
          </cell>
          <cell r="E4851">
            <v>0</v>
          </cell>
          <cell r="F4851">
            <v>0</v>
          </cell>
          <cell r="G4851">
            <v>0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>
            <v>0</v>
          </cell>
        </row>
        <row r="4852">
          <cell r="C4852">
            <v>303863</v>
          </cell>
          <cell r="D4852" t="str">
            <v>Sulo National High School</v>
          </cell>
          <cell r="E4852">
            <v>0</v>
          </cell>
          <cell r="F4852">
            <v>0</v>
          </cell>
          <cell r="G4852">
            <v>0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>
            <v>0</v>
          </cell>
        </row>
        <row r="4853">
          <cell r="C4853">
            <v>303864</v>
          </cell>
          <cell r="D4853" t="str">
            <v>Siay NHS</v>
          </cell>
          <cell r="E4853">
            <v>0</v>
          </cell>
          <cell r="F4853">
            <v>0</v>
          </cell>
          <cell r="G4853">
            <v>0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>
            <v>0</v>
          </cell>
        </row>
        <row r="4854">
          <cell r="C4854">
            <v>303865</v>
          </cell>
          <cell r="D4854" t="str">
            <v>Monching National High School</v>
          </cell>
          <cell r="E4854">
            <v>0</v>
          </cell>
          <cell r="F4854">
            <v>0</v>
          </cell>
          <cell r="G4854">
            <v>0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0</v>
          </cell>
        </row>
        <row r="4855">
          <cell r="C4855">
            <v>303866</v>
          </cell>
          <cell r="D4855" t="str">
            <v>Surabay NHS</v>
          </cell>
          <cell r="E4855">
            <v>0</v>
          </cell>
          <cell r="F4855">
            <v>0</v>
          </cell>
          <cell r="G4855">
            <v>0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>
            <v>0</v>
          </cell>
        </row>
        <row r="4856">
          <cell r="C4856">
            <v>303867</v>
          </cell>
          <cell r="D4856" t="str">
            <v>Malubal NHS</v>
          </cell>
          <cell r="E4856">
            <v>0</v>
          </cell>
          <cell r="F4856">
            <v>0</v>
          </cell>
          <cell r="G4856">
            <v>0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>
            <v>0</v>
          </cell>
        </row>
        <row r="4857">
          <cell r="C4857">
            <v>303868</v>
          </cell>
          <cell r="D4857" t="str">
            <v>San Fernandino NHS</v>
          </cell>
          <cell r="E4857">
            <v>0</v>
          </cell>
          <cell r="F4857">
            <v>0</v>
          </cell>
          <cell r="G4857">
            <v>0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>
            <v>0</v>
          </cell>
        </row>
        <row r="4858">
          <cell r="C4858">
            <v>303870</v>
          </cell>
          <cell r="D4858" t="str">
            <v>Talusan NHS</v>
          </cell>
          <cell r="E4858">
            <v>0</v>
          </cell>
          <cell r="F4858">
            <v>0</v>
          </cell>
          <cell r="G4858">
            <v>0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0</v>
          </cell>
        </row>
        <row r="4859">
          <cell r="C4859">
            <v>303872</v>
          </cell>
          <cell r="D4859" t="str">
            <v>Titay NHS</v>
          </cell>
          <cell r="E4859">
            <v>0</v>
          </cell>
          <cell r="F4859">
            <v>0</v>
          </cell>
          <cell r="G4859">
            <v>0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0</v>
          </cell>
        </row>
        <row r="4860">
          <cell r="C4860">
            <v>303873</v>
          </cell>
          <cell r="D4860" t="str">
            <v>Malagandis NHS</v>
          </cell>
          <cell r="E4860">
            <v>0</v>
          </cell>
          <cell r="F4860">
            <v>0</v>
          </cell>
          <cell r="G4860">
            <v>0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>
            <v>0</v>
          </cell>
        </row>
        <row r="4861">
          <cell r="C4861">
            <v>303874</v>
          </cell>
          <cell r="D4861" t="str">
            <v>Tungawan NHS</v>
          </cell>
          <cell r="E4861">
            <v>0</v>
          </cell>
          <cell r="F4861">
            <v>0</v>
          </cell>
          <cell r="G4861">
            <v>0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0</v>
          </cell>
        </row>
        <row r="4862">
          <cell r="C4862">
            <v>303875</v>
          </cell>
          <cell r="D4862" t="str">
            <v>San Isidro NHS</v>
          </cell>
          <cell r="E4862">
            <v>0</v>
          </cell>
          <cell r="F4862">
            <v>0</v>
          </cell>
          <cell r="G4862">
            <v>0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0</v>
          </cell>
        </row>
        <row r="4863">
          <cell r="C4863">
            <v>314301</v>
          </cell>
          <cell r="D4863" t="str">
            <v>Dalama NHS</v>
          </cell>
          <cell r="E4863">
            <v>0</v>
          </cell>
          <cell r="F4863">
            <v>0</v>
          </cell>
          <cell r="G4863">
            <v>0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>
            <v>0</v>
          </cell>
        </row>
        <row r="4864">
          <cell r="C4864">
            <v>314304</v>
          </cell>
          <cell r="D4864" t="str">
            <v>Sisay NHS</v>
          </cell>
          <cell r="E4864">
            <v>0</v>
          </cell>
          <cell r="F4864">
            <v>0</v>
          </cell>
          <cell r="G4864">
            <v>0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0</v>
          </cell>
        </row>
        <row r="4865">
          <cell r="C4865">
            <v>314305</v>
          </cell>
          <cell r="D4865" t="str">
            <v>Basalem NHS</v>
          </cell>
          <cell r="E4865">
            <v>0</v>
          </cell>
          <cell r="F4865">
            <v>0</v>
          </cell>
          <cell r="G4865">
            <v>0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>
            <v>1</v>
          </cell>
        </row>
        <row r="4866">
          <cell r="C4866">
            <v>314306</v>
          </cell>
          <cell r="D4866" t="str">
            <v>San Pedro NHS</v>
          </cell>
          <cell r="E4866">
            <v>0</v>
          </cell>
          <cell r="F4866">
            <v>0</v>
          </cell>
          <cell r="G4866">
            <v>0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>
            <v>0</v>
          </cell>
        </row>
        <row r="4867">
          <cell r="C4867">
            <v>314307</v>
          </cell>
          <cell r="D4867" t="str">
            <v>Tambanan National High School</v>
          </cell>
          <cell r="E4867">
            <v>0</v>
          </cell>
          <cell r="F4867">
            <v>0</v>
          </cell>
          <cell r="G4867">
            <v>0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>
            <v>0</v>
          </cell>
        </row>
        <row r="4868">
          <cell r="C4868">
            <v>314308</v>
          </cell>
          <cell r="D4868" t="str">
            <v>Laparay NHS</v>
          </cell>
          <cell r="E4868">
            <v>0</v>
          </cell>
          <cell r="F4868">
            <v>0</v>
          </cell>
          <cell r="G4868">
            <v>0</v>
          </cell>
          <cell r="H4868">
            <v>0</v>
          </cell>
          <cell r="I4868">
            <v>0</v>
          </cell>
          <cell r="J4868">
            <v>0</v>
          </cell>
          <cell r="K4868">
            <v>1</v>
          </cell>
          <cell r="L4868">
            <v>0</v>
          </cell>
        </row>
        <row r="4869">
          <cell r="C4869">
            <v>314309</v>
          </cell>
          <cell r="D4869" t="str">
            <v>Gango NHS</v>
          </cell>
          <cell r="E4869">
            <v>0</v>
          </cell>
          <cell r="F4869">
            <v>0</v>
          </cell>
          <cell r="G4869">
            <v>0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0</v>
          </cell>
        </row>
        <row r="4870">
          <cell r="C4870">
            <v>314311</v>
          </cell>
          <cell r="D4870" t="str">
            <v>Simbol National High School</v>
          </cell>
          <cell r="E4870">
            <v>0</v>
          </cell>
          <cell r="F4870">
            <v>0</v>
          </cell>
          <cell r="G4870">
            <v>0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0</v>
          </cell>
        </row>
        <row r="4871">
          <cell r="C4871">
            <v>314312</v>
          </cell>
          <cell r="D4871" t="str">
            <v>Timalang NHS</v>
          </cell>
          <cell r="E4871">
            <v>0</v>
          </cell>
          <cell r="F4871">
            <v>0</v>
          </cell>
          <cell r="G4871">
            <v>0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>
            <v>0</v>
          </cell>
        </row>
        <row r="4872">
          <cell r="C4872">
            <v>314313</v>
          </cell>
          <cell r="D4872" t="str">
            <v>Magdaup National High School</v>
          </cell>
          <cell r="E4872">
            <v>0</v>
          </cell>
          <cell r="F4872">
            <v>0</v>
          </cell>
          <cell r="G4872">
            <v>0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>
            <v>0</v>
          </cell>
        </row>
        <row r="4873">
          <cell r="C4873">
            <v>314314</v>
          </cell>
          <cell r="D4873" t="str">
            <v>Ditay NHS</v>
          </cell>
          <cell r="E4873">
            <v>0</v>
          </cell>
          <cell r="F4873">
            <v>0</v>
          </cell>
          <cell r="G4873">
            <v>0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>
            <v>0</v>
          </cell>
        </row>
        <row r="4874">
          <cell r="C4874">
            <v>314315</v>
          </cell>
          <cell r="D4874" t="str">
            <v>Mabuhay Agro-Industrial HS</v>
          </cell>
          <cell r="E4874">
            <v>0</v>
          </cell>
          <cell r="F4874">
            <v>0</v>
          </cell>
          <cell r="G4874">
            <v>0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0</v>
          </cell>
        </row>
        <row r="4875">
          <cell r="C4875">
            <v>314316</v>
          </cell>
          <cell r="D4875" t="str">
            <v>Camanga NHS</v>
          </cell>
          <cell r="E4875">
            <v>0</v>
          </cell>
          <cell r="F4875">
            <v>0</v>
          </cell>
          <cell r="G4875">
            <v>7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>
            <v>0</v>
          </cell>
        </row>
        <row r="4876">
          <cell r="C4876">
            <v>314319</v>
          </cell>
          <cell r="D4876" t="str">
            <v>Sto. Rosario National High School</v>
          </cell>
          <cell r="E4876">
            <v>0</v>
          </cell>
          <cell r="F4876">
            <v>0</v>
          </cell>
          <cell r="G4876">
            <v>0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>
            <v>0</v>
          </cell>
        </row>
        <row r="4877">
          <cell r="C4877">
            <v>314321</v>
          </cell>
          <cell r="D4877" t="str">
            <v>Palinta NHS</v>
          </cell>
          <cell r="E4877">
            <v>0</v>
          </cell>
          <cell r="F4877">
            <v>0</v>
          </cell>
          <cell r="G4877">
            <v>0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0</v>
          </cell>
        </row>
        <row r="4878">
          <cell r="C4878">
            <v>314322</v>
          </cell>
          <cell r="D4878" t="str">
            <v>Taway NHS</v>
          </cell>
          <cell r="E4878">
            <v>0</v>
          </cell>
          <cell r="F4878">
            <v>0</v>
          </cell>
          <cell r="G4878">
            <v>0</v>
          </cell>
          <cell r="H4878">
            <v>0</v>
          </cell>
          <cell r="I4878">
            <v>3</v>
          </cell>
          <cell r="J4878">
            <v>3</v>
          </cell>
          <cell r="K4878">
            <v>0</v>
          </cell>
          <cell r="L4878">
            <v>0</v>
          </cell>
        </row>
        <row r="4879">
          <cell r="C4879">
            <v>314323</v>
          </cell>
          <cell r="D4879" t="str">
            <v>Sta. Fe National High School</v>
          </cell>
          <cell r="E4879">
            <v>0</v>
          </cell>
          <cell r="F4879">
            <v>0</v>
          </cell>
          <cell r="G4879">
            <v>0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>
            <v>0</v>
          </cell>
        </row>
        <row r="4880">
          <cell r="C4880">
            <v>314324</v>
          </cell>
          <cell r="D4880" t="str">
            <v>Kitabog NHS</v>
          </cell>
          <cell r="E4880">
            <v>0</v>
          </cell>
          <cell r="F4880">
            <v>0</v>
          </cell>
          <cell r="G4880">
            <v>0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0</v>
          </cell>
        </row>
        <row r="4881">
          <cell r="C4881">
            <v>314325</v>
          </cell>
          <cell r="D4881" t="str">
            <v>Dionisio Lopez Sr. National High School</v>
          </cell>
          <cell r="E4881">
            <v>0</v>
          </cell>
          <cell r="F4881">
            <v>0</v>
          </cell>
          <cell r="G4881">
            <v>0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>
            <v>0</v>
          </cell>
        </row>
        <row r="4882">
          <cell r="C4882">
            <v>314326</v>
          </cell>
          <cell r="D4882" t="str">
            <v>Langon NHS</v>
          </cell>
          <cell r="E4882">
            <v>0</v>
          </cell>
          <cell r="F4882">
            <v>0</v>
          </cell>
          <cell r="G4882">
            <v>2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>
            <v>0</v>
          </cell>
        </row>
        <row r="4883">
          <cell r="C4883">
            <v>500241</v>
          </cell>
          <cell r="D4883" t="str">
            <v>Talairan IS</v>
          </cell>
          <cell r="E4883">
            <v>0</v>
          </cell>
          <cell r="F4883">
            <v>0</v>
          </cell>
          <cell r="G4883">
            <v>0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0</v>
          </cell>
        </row>
        <row r="4884">
          <cell r="C4884">
            <v>303876</v>
          </cell>
          <cell r="D4884" t="str">
            <v>Aseniero NHS</v>
          </cell>
          <cell r="E4884">
            <v>0</v>
          </cell>
          <cell r="F4884">
            <v>0</v>
          </cell>
          <cell r="G4884">
            <v>0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>
            <v>0</v>
          </cell>
        </row>
        <row r="4885">
          <cell r="C4885">
            <v>303877</v>
          </cell>
          <cell r="D4885" t="str">
            <v>Barcelona National High School</v>
          </cell>
          <cell r="E4885">
            <v>0</v>
          </cell>
          <cell r="F4885">
            <v>0</v>
          </cell>
          <cell r="G4885">
            <v>0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>
            <v>0</v>
          </cell>
        </row>
        <row r="4886">
          <cell r="C4886">
            <v>303878</v>
          </cell>
          <cell r="D4886" t="str">
            <v>Baylimango NHS</v>
          </cell>
          <cell r="E4886">
            <v>0</v>
          </cell>
          <cell r="F4886">
            <v>0</v>
          </cell>
          <cell r="G4886">
            <v>0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0</v>
          </cell>
        </row>
        <row r="4887">
          <cell r="C4887">
            <v>303879</v>
          </cell>
          <cell r="D4887" t="str">
            <v>Dakak National High School</v>
          </cell>
          <cell r="E4887">
            <v>0</v>
          </cell>
          <cell r="F4887">
            <v>0</v>
          </cell>
          <cell r="G4887">
            <v>0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>
            <v>0</v>
          </cell>
        </row>
        <row r="4888">
          <cell r="C4888">
            <v>303880</v>
          </cell>
          <cell r="D4888" t="str">
            <v>Dapitan City National High School</v>
          </cell>
          <cell r="E4888">
            <v>0</v>
          </cell>
          <cell r="F4888">
            <v>0</v>
          </cell>
          <cell r="G4888">
            <v>0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>
            <v>0</v>
          </cell>
        </row>
        <row r="4889">
          <cell r="C4889">
            <v>303881</v>
          </cell>
          <cell r="D4889" t="str">
            <v>Ilaya NHS</v>
          </cell>
          <cell r="E4889">
            <v>0</v>
          </cell>
          <cell r="F4889">
            <v>0</v>
          </cell>
          <cell r="G4889">
            <v>0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>
            <v>0</v>
          </cell>
        </row>
        <row r="4890">
          <cell r="C4890">
            <v>303883</v>
          </cell>
          <cell r="D4890" t="str">
            <v>Potungan NHS</v>
          </cell>
          <cell r="E4890">
            <v>0</v>
          </cell>
          <cell r="F4890">
            <v>0</v>
          </cell>
          <cell r="G4890">
            <v>0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0</v>
          </cell>
        </row>
        <row r="4891">
          <cell r="C4891">
            <v>303884</v>
          </cell>
          <cell r="D4891" t="str">
            <v>Sulangon NHS</v>
          </cell>
          <cell r="E4891">
            <v>0</v>
          </cell>
          <cell r="F4891">
            <v>0</v>
          </cell>
          <cell r="G4891">
            <v>0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>
            <v>0</v>
          </cell>
        </row>
        <row r="4892">
          <cell r="C4892">
            <v>500675</v>
          </cell>
          <cell r="D4892" t="str">
            <v>Kauswagan IS</v>
          </cell>
          <cell r="E4892">
            <v>0</v>
          </cell>
          <cell r="F4892">
            <v>0</v>
          </cell>
          <cell r="G4892">
            <v>0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>
            <v>0</v>
          </cell>
        </row>
        <row r="4893">
          <cell r="C4893">
            <v>303885</v>
          </cell>
          <cell r="D4893" t="str">
            <v>Alberto Q. Ubay Mem. Agro-Tech'l. Sci. HS</v>
          </cell>
          <cell r="E4893">
            <v>0</v>
          </cell>
          <cell r="F4893">
            <v>0</v>
          </cell>
          <cell r="G4893">
            <v>0</v>
          </cell>
          <cell r="H4893">
            <v>1</v>
          </cell>
          <cell r="I4893">
            <v>0</v>
          </cell>
          <cell r="J4893">
            <v>0</v>
          </cell>
          <cell r="K4893">
            <v>0</v>
          </cell>
          <cell r="L4893">
            <v>0</v>
          </cell>
        </row>
        <row r="4894">
          <cell r="C4894">
            <v>303886</v>
          </cell>
          <cell r="D4894" t="str">
            <v>Cogon NHS</v>
          </cell>
          <cell r="E4894">
            <v>0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0</v>
          </cell>
        </row>
        <row r="4895">
          <cell r="C4895">
            <v>303887</v>
          </cell>
          <cell r="D4895" t="str">
            <v>Dipolog City NHS (Barra)</v>
          </cell>
          <cell r="E4895">
            <v>0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0</v>
          </cell>
        </row>
        <row r="4896">
          <cell r="C4896">
            <v>303888</v>
          </cell>
          <cell r="D4896" t="str">
            <v>Galas NHS</v>
          </cell>
          <cell r="E4896">
            <v>0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>
            <v>0</v>
          </cell>
        </row>
        <row r="4897">
          <cell r="C4897">
            <v>303890</v>
          </cell>
          <cell r="D4897" t="str">
            <v>Pamansalan Eco. Tech. HS</v>
          </cell>
          <cell r="E4897">
            <v>0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>
            <v>0</v>
          </cell>
        </row>
        <row r="4898">
          <cell r="C4898">
            <v>303891</v>
          </cell>
          <cell r="D4898" t="str">
            <v>Punta National High School</v>
          </cell>
          <cell r="E4898">
            <v>0</v>
          </cell>
          <cell r="F4898">
            <v>0</v>
          </cell>
          <cell r="G4898">
            <v>0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0</v>
          </cell>
        </row>
        <row r="4899">
          <cell r="C4899">
            <v>303892</v>
          </cell>
          <cell r="D4899" t="str">
            <v>Sicayab National High School</v>
          </cell>
          <cell r="E4899">
            <v>0</v>
          </cell>
          <cell r="F4899">
            <v>0</v>
          </cell>
          <cell r="G4899">
            <v>0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0</v>
          </cell>
        </row>
        <row r="4900">
          <cell r="C4900">
            <v>303893</v>
          </cell>
          <cell r="D4900" t="str">
            <v>Zamboanga Norte NHS</v>
          </cell>
          <cell r="E4900">
            <v>0</v>
          </cell>
          <cell r="F4900">
            <v>0</v>
          </cell>
          <cell r="G4900">
            <v>2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>
            <v>0</v>
          </cell>
        </row>
        <row r="4901">
          <cell r="C4901">
            <v>500242</v>
          </cell>
          <cell r="D4901" t="str">
            <v>Upper Dicayas Integrated School</v>
          </cell>
          <cell r="E4901">
            <v>0</v>
          </cell>
          <cell r="F4901">
            <v>0</v>
          </cell>
          <cell r="G4901">
            <v>0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>
            <v>0</v>
          </cell>
        </row>
        <row r="4902">
          <cell r="C4902">
            <v>303894</v>
          </cell>
          <cell r="D4902" t="str">
            <v>Basilan NHS</v>
          </cell>
          <cell r="E4902">
            <v>0</v>
          </cell>
          <cell r="F4902">
            <v>0</v>
          </cell>
          <cell r="G4902">
            <v>0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>
            <v>0</v>
          </cell>
        </row>
        <row r="4903">
          <cell r="C4903">
            <v>303895</v>
          </cell>
          <cell r="D4903" t="str">
            <v>Malamawi National High School</v>
          </cell>
          <cell r="E4903">
            <v>0</v>
          </cell>
          <cell r="F4903">
            <v>0</v>
          </cell>
          <cell r="G4903">
            <v>0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>
            <v>0</v>
          </cell>
        </row>
        <row r="4904">
          <cell r="C4904">
            <v>303897</v>
          </cell>
          <cell r="D4904" t="str">
            <v>Begang NHS</v>
          </cell>
          <cell r="E4904">
            <v>0</v>
          </cell>
          <cell r="F4904">
            <v>0</v>
          </cell>
          <cell r="G4904">
            <v>0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>
            <v>0</v>
          </cell>
        </row>
        <row r="4905">
          <cell r="C4905">
            <v>303898</v>
          </cell>
          <cell r="D4905" t="str">
            <v>Tandung Ahas NHS</v>
          </cell>
          <cell r="E4905">
            <v>0</v>
          </cell>
          <cell r="F4905">
            <v>0</v>
          </cell>
          <cell r="G4905">
            <v>0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>
            <v>0</v>
          </cell>
        </row>
        <row r="4906">
          <cell r="C4906">
            <v>314601</v>
          </cell>
          <cell r="D4906" t="str">
            <v>Isabela City NHS</v>
          </cell>
          <cell r="E4906">
            <v>0</v>
          </cell>
          <cell r="F4906">
            <v>0</v>
          </cell>
          <cell r="G4906">
            <v>0</v>
          </cell>
          <cell r="H4906">
            <v>0</v>
          </cell>
          <cell r="I4906">
            <v>0</v>
          </cell>
          <cell r="J4906">
            <v>0</v>
          </cell>
          <cell r="K4906">
            <v>0</v>
          </cell>
          <cell r="L4906">
            <v>2</v>
          </cell>
        </row>
        <row r="4907">
          <cell r="C4907">
            <v>314602</v>
          </cell>
          <cell r="D4907" t="str">
            <v>Calvario Peak National High School</v>
          </cell>
          <cell r="E4907">
            <v>0</v>
          </cell>
          <cell r="F4907">
            <v>0</v>
          </cell>
          <cell r="G4907">
            <v>0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>
            <v>0</v>
          </cell>
        </row>
        <row r="4908">
          <cell r="C4908">
            <v>314603</v>
          </cell>
          <cell r="D4908" t="str">
            <v>Baluno National High School</v>
          </cell>
          <cell r="E4908">
            <v>0</v>
          </cell>
          <cell r="F4908">
            <v>0</v>
          </cell>
          <cell r="G4908">
            <v>0</v>
          </cell>
          <cell r="H4908">
            <v>0</v>
          </cell>
          <cell r="I4908">
            <v>0</v>
          </cell>
          <cell r="J4908">
            <v>0</v>
          </cell>
          <cell r="K4908">
            <v>0</v>
          </cell>
          <cell r="L4908">
            <v>0</v>
          </cell>
        </row>
        <row r="4909">
          <cell r="C4909">
            <v>500243</v>
          </cell>
          <cell r="D4909" t="str">
            <v>Geras Integrated School</v>
          </cell>
          <cell r="E4909">
            <v>0</v>
          </cell>
          <cell r="F4909">
            <v>0</v>
          </cell>
          <cell r="G4909">
            <v>0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>
            <v>0</v>
          </cell>
        </row>
        <row r="4910">
          <cell r="C4910">
            <v>303900</v>
          </cell>
          <cell r="D4910" t="str">
            <v>Ditoray NHS</v>
          </cell>
          <cell r="E4910">
            <v>0</v>
          </cell>
          <cell r="F4910">
            <v>0</v>
          </cell>
          <cell r="G4910">
            <v>0</v>
          </cell>
          <cell r="H4910">
            <v>0</v>
          </cell>
          <cell r="I4910">
            <v>0</v>
          </cell>
          <cell r="J4910">
            <v>0</v>
          </cell>
          <cell r="K4910">
            <v>0</v>
          </cell>
          <cell r="L4910">
            <v>0</v>
          </cell>
        </row>
        <row r="4911">
          <cell r="C4911">
            <v>303901</v>
          </cell>
          <cell r="D4911" t="str">
            <v>Lala National High School</v>
          </cell>
          <cell r="E4911">
            <v>0</v>
          </cell>
          <cell r="F4911">
            <v>0</v>
          </cell>
          <cell r="G4911">
            <v>0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0</v>
          </cell>
        </row>
        <row r="4912">
          <cell r="C4912">
            <v>303902</v>
          </cell>
          <cell r="D4912" t="str">
            <v>Lourdes National High School(R.A.:10125)</v>
          </cell>
          <cell r="E4912">
            <v>0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0</v>
          </cell>
        </row>
        <row r="4913">
          <cell r="C4913">
            <v>303903</v>
          </cell>
          <cell r="D4913" t="str">
            <v>Lison Valley NHS</v>
          </cell>
          <cell r="E4913">
            <v>0</v>
          </cell>
          <cell r="F4913">
            <v>0</v>
          </cell>
          <cell r="G4913">
            <v>0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0</v>
          </cell>
        </row>
        <row r="4914">
          <cell r="C4914">
            <v>303904</v>
          </cell>
          <cell r="D4914" t="str">
            <v>Manga NHS</v>
          </cell>
          <cell r="E4914">
            <v>0</v>
          </cell>
          <cell r="F4914">
            <v>0</v>
          </cell>
          <cell r="G4914">
            <v>0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0</v>
          </cell>
        </row>
        <row r="4915">
          <cell r="C4915">
            <v>303906</v>
          </cell>
          <cell r="D4915" t="str">
            <v>Pagadian City National Comprehensive High School</v>
          </cell>
          <cell r="E4915">
            <v>0</v>
          </cell>
          <cell r="F4915">
            <v>0</v>
          </cell>
          <cell r="G4915">
            <v>0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>
            <v>0</v>
          </cell>
        </row>
        <row r="4916">
          <cell r="C4916">
            <v>303907</v>
          </cell>
          <cell r="D4916" t="str">
            <v>Otto Lingue National High School</v>
          </cell>
          <cell r="E4916">
            <v>0</v>
          </cell>
          <cell r="F4916">
            <v>0</v>
          </cell>
          <cell r="G4916">
            <v>0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0</v>
          </cell>
        </row>
        <row r="4917">
          <cell r="C4917">
            <v>303908</v>
          </cell>
          <cell r="D4917" t="str">
            <v>Pagadian City NHS</v>
          </cell>
          <cell r="E4917">
            <v>0</v>
          </cell>
          <cell r="F4917">
            <v>0</v>
          </cell>
          <cell r="G4917">
            <v>0</v>
          </cell>
          <cell r="H4917">
            <v>0</v>
          </cell>
          <cell r="I4917">
            <v>3</v>
          </cell>
          <cell r="J4917">
            <v>4</v>
          </cell>
          <cell r="K4917">
            <v>0</v>
          </cell>
          <cell r="L4917">
            <v>0</v>
          </cell>
        </row>
        <row r="4918">
          <cell r="C4918">
            <v>303909</v>
          </cell>
          <cell r="D4918" t="str">
            <v>Tawagan Sur NHS</v>
          </cell>
          <cell r="E4918">
            <v>0</v>
          </cell>
          <cell r="F4918">
            <v>0</v>
          </cell>
          <cell r="G4918">
            <v>0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>
            <v>0</v>
          </cell>
        </row>
        <row r="4919">
          <cell r="C4919">
            <v>303911</v>
          </cell>
          <cell r="D4919" t="str">
            <v>ZAMBOANGA DEL SUR NATIONAL HIGH SCHOOL-SAN PEDRO ANNEX</v>
          </cell>
          <cell r="E4919">
            <v>0</v>
          </cell>
          <cell r="F4919">
            <v>0</v>
          </cell>
          <cell r="G4919">
            <v>0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0</v>
          </cell>
        </row>
        <row r="4920">
          <cell r="C4920">
            <v>303912</v>
          </cell>
          <cell r="D4920" t="str">
            <v>Sta. Lucia NHS (ZDS NHS, Sta. Lucia Annex)</v>
          </cell>
          <cell r="E4920">
            <v>0</v>
          </cell>
          <cell r="F4920">
            <v>0</v>
          </cell>
          <cell r="G4920">
            <v>0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>
            <v>0</v>
          </cell>
        </row>
        <row r="4921">
          <cell r="C4921">
            <v>303913</v>
          </cell>
          <cell r="D4921" t="str">
            <v>ZAMBOANGA DEL SUR SCHOOL OF ARTS AND TRADES</v>
          </cell>
          <cell r="E4921">
            <v>0</v>
          </cell>
          <cell r="F4921">
            <v>0</v>
          </cell>
          <cell r="G4921">
            <v>0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>
            <v>0</v>
          </cell>
        </row>
        <row r="4922">
          <cell r="C4922">
            <v>314701</v>
          </cell>
          <cell r="D4922" t="str">
            <v>Macasing NHS (PCNHS Annex, Macasing)</v>
          </cell>
          <cell r="E4922">
            <v>0</v>
          </cell>
          <cell r="F4922">
            <v>0</v>
          </cell>
          <cell r="G4922">
            <v>0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>
            <v>0</v>
          </cell>
        </row>
        <row r="4923">
          <cell r="C4923">
            <v>314702</v>
          </cell>
          <cell r="D4923" t="str">
            <v>Norberta Guillar Memorial NHS</v>
          </cell>
          <cell r="E4923">
            <v>0</v>
          </cell>
          <cell r="F4923">
            <v>0</v>
          </cell>
          <cell r="G4923">
            <v>0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>
            <v>0</v>
          </cell>
        </row>
        <row r="4924">
          <cell r="C4924">
            <v>314704</v>
          </cell>
          <cell r="D4924" t="str">
            <v>Pagadian City Science High School</v>
          </cell>
          <cell r="E4924">
            <v>0</v>
          </cell>
          <cell r="F4924">
            <v>0</v>
          </cell>
          <cell r="G4924">
            <v>0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0</v>
          </cell>
        </row>
        <row r="4925">
          <cell r="C4925">
            <v>314705</v>
          </cell>
          <cell r="D4925" t="str">
            <v>Co Tek Chun National Trade School</v>
          </cell>
          <cell r="E4925">
            <v>0</v>
          </cell>
          <cell r="F4925">
            <v>0</v>
          </cell>
          <cell r="G4925">
            <v>0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0</v>
          </cell>
        </row>
        <row r="4926">
          <cell r="C4926">
            <v>314706</v>
          </cell>
          <cell r="D4926" t="str">
            <v>Bulatok Integrated School</v>
          </cell>
          <cell r="E4926">
            <v>0</v>
          </cell>
          <cell r="F4926">
            <v>0</v>
          </cell>
          <cell r="G4926">
            <v>0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>
            <v>0</v>
          </cell>
        </row>
        <row r="4927">
          <cell r="C4927">
            <v>302765</v>
          </cell>
          <cell r="D4927" t="str">
            <v>Don Pablo A. Lorenzo Memorial SHS</v>
          </cell>
          <cell r="E4927">
            <v>0</v>
          </cell>
          <cell r="F4927">
            <v>0</v>
          </cell>
          <cell r="G4927">
            <v>0</v>
          </cell>
          <cell r="H4927">
            <v>0</v>
          </cell>
          <cell r="I4927">
            <v>0</v>
          </cell>
          <cell r="J4927">
            <v>0</v>
          </cell>
          <cell r="K4927">
            <v>0</v>
          </cell>
          <cell r="L4927">
            <v>0</v>
          </cell>
        </row>
        <row r="4928">
          <cell r="C4928">
            <v>303914</v>
          </cell>
          <cell r="D4928" t="str">
            <v>Arena Blanco NHS</v>
          </cell>
          <cell r="E4928">
            <v>0</v>
          </cell>
          <cell r="F4928">
            <v>0</v>
          </cell>
          <cell r="G4928">
            <v>0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>
            <v>0</v>
          </cell>
        </row>
        <row r="4929">
          <cell r="C4929">
            <v>303915</v>
          </cell>
          <cell r="D4929" t="str">
            <v>Ayala NHS</v>
          </cell>
          <cell r="E4929">
            <v>0</v>
          </cell>
          <cell r="F4929">
            <v>0</v>
          </cell>
          <cell r="G4929">
            <v>0</v>
          </cell>
          <cell r="H4929">
            <v>0</v>
          </cell>
          <cell r="I4929">
            <v>0</v>
          </cell>
          <cell r="J4929">
            <v>0</v>
          </cell>
          <cell r="K4929">
            <v>0</v>
          </cell>
          <cell r="L4929">
            <v>0</v>
          </cell>
        </row>
        <row r="4930">
          <cell r="C4930">
            <v>303916</v>
          </cell>
          <cell r="D4930" t="str">
            <v>Enerdino C. Coronel - Baluno NHS</v>
          </cell>
          <cell r="E4930">
            <v>0</v>
          </cell>
          <cell r="F4930">
            <v>0</v>
          </cell>
          <cell r="G4930">
            <v>0</v>
          </cell>
          <cell r="H4930">
            <v>0</v>
          </cell>
          <cell r="I4930">
            <v>0</v>
          </cell>
          <cell r="J4930">
            <v>0</v>
          </cell>
          <cell r="K4930">
            <v>0</v>
          </cell>
          <cell r="L4930">
            <v>0</v>
          </cell>
        </row>
        <row r="4931">
          <cell r="C4931">
            <v>303917</v>
          </cell>
          <cell r="D4931" t="str">
            <v>Bolong NHS</v>
          </cell>
          <cell r="E4931">
            <v>0</v>
          </cell>
          <cell r="F4931">
            <v>0</v>
          </cell>
          <cell r="G4931">
            <v>0</v>
          </cell>
          <cell r="H4931">
            <v>0</v>
          </cell>
          <cell r="I4931">
            <v>0</v>
          </cell>
          <cell r="J4931">
            <v>0</v>
          </cell>
          <cell r="K4931">
            <v>0</v>
          </cell>
          <cell r="L4931">
            <v>0</v>
          </cell>
        </row>
        <row r="4932">
          <cell r="C4932">
            <v>303918</v>
          </cell>
          <cell r="D4932" t="str">
            <v>Bunguiao NHS</v>
          </cell>
          <cell r="E4932">
            <v>0</v>
          </cell>
          <cell r="F4932">
            <v>0</v>
          </cell>
          <cell r="G4932">
            <v>0</v>
          </cell>
          <cell r="H4932">
            <v>0</v>
          </cell>
          <cell r="I4932">
            <v>0</v>
          </cell>
          <cell r="J4932">
            <v>0</v>
          </cell>
          <cell r="K4932">
            <v>0</v>
          </cell>
          <cell r="L4932">
            <v>0</v>
          </cell>
        </row>
        <row r="4933">
          <cell r="C4933">
            <v>303919</v>
          </cell>
          <cell r="D4933" t="str">
            <v>Cabaluay NHS</v>
          </cell>
          <cell r="E4933">
            <v>0</v>
          </cell>
          <cell r="F4933">
            <v>0</v>
          </cell>
          <cell r="G4933">
            <v>0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>
            <v>0</v>
          </cell>
        </row>
        <row r="4934">
          <cell r="C4934">
            <v>303920</v>
          </cell>
          <cell r="D4934" t="str">
            <v>Culianan NHS</v>
          </cell>
          <cell r="E4934">
            <v>0</v>
          </cell>
          <cell r="F4934">
            <v>0</v>
          </cell>
          <cell r="G4934">
            <v>0</v>
          </cell>
          <cell r="H4934">
            <v>0</v>
          </cell>
          <cell r="I4934">
            <v>0</v>
          </cell>
          <cell r="J4934">
            <v>0</v>
          </cell>
          <cell r="K4934">
            <v>0</v>
          </cell>
          <cell r="L4934">
            <v>0</v>
          </cell>
        </row>
        <row r="4935">
          <cell r="C4935">
            <v>303921</v>
          </cell>
          <cell r="D4935" t="str">
            <v>Curuan NHS</v>
          </cell>
          <cell r="E4935">
            <v>0</v>
          </cell>
          <cell r="F4935">
            <v>0</v>
          </cell>
          <cell r="G4935">
            <v>0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0</v>
          </cell>
        </row>
        <row r="4936">
          <cell r="C4936">
            <v>303922</v>
          </cell>
          <cell r="D4936" t="str">
            <v>Maria Clara L. Lobregat NHS</v>
          </cell>
          <cell r="E4936">
            <v>0</v>
          </cell>
          <cell r="F4936">
            <v>0</v>
          </cell>
          <cell r="G4936">
            <v>0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>
            <v>0</v>
          </cell>
        </row>
        <row r="4937">
          <cell r="C4937">
            <v>303924</v>
          </cell>
          <cell r="D4937" t="str">
            <v>Ramon Enriquez HS</v>
          </cell>
          <cell r="E4937">
            <v>0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</row>
        <row r="4938">
          <cell r="C4938">
            <v>303925</v>
          </cell>
          <cell r="D4938" t="str">
            <v>Sinubong NHS</v>
          </cell>
          <cell r="E4938">
            <v>0</v>
          </cell>
          <cell r="F4938">
            <v>0</v>
          </cell>
          <cell r="G4938">
            <v>0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>
            <v>0</v>
          </cell>
        </row>
        <row r="4939">
          <cell r="C4939">
            <v>303926</v>
          </cell>
          <cell r="D4939" t="str">
            <v>Limaong NHS</v>
          </cell>
          <cell r="E4939">
            <v>0</v>
          </cell>
          <cell r="F4939">
            <v>0</v>
          </cell>
          <cell r="G4939">
            <v>0</v>
          </cell>
          <cell r="H4939">
            <v>0</v>
          </cell>
          <cell r="I4939">
            <v>1</v>
          </cell>
          <cell r="J4939">
            <v>2</v>
          </cell>
          <cell r="K4939">
            <v>1</v>
          </cell>
          <cell r="L4939">
            <v>2</v>
          </cell>
        </row>
        <row r="4940">
          <cell r="C4940">
            <v>303927</v>
          </cell>
          <cell r="D4940" t="str">
            <v>Limpapa NHS</v>
          </cell>
          <cell r="E4940">
            <v>0</v>
          </cell>
          <cell r="F4940">
            <v>0</v>
          </cell>
          <cell r="G4940">
            <v>0</v>
          </cell>
          <cell r="H4940">
            <v>0</v>
          </cell>
          <cell r="I4940">
            <v>0</v>
          </cell>
          <cell r="J4940">
            <v>0</v>
          </cell>
          <cell r="K4940">
            <v>0</v>
          </cell>
          <cell r="L4940">
            <v>0</v>
          </cell>
        </row>
        <row r="4941">
          <cell r="C4941">
            <v>303928</v>
          </cell>
          <cell r="D4941" t="str">
            <v>Manicahan NHS</v>
          </cell>
          <cell r="E4941">
            <v>0</v>
          </cell>
          <cell r="F4941">
            <v>0</v>
          </cell>
          <cell r="G4941">
            <v>0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>
            <v>0</v>
          </cell>
        </row>
        <row r="4942">
          <cell r="C4942">
            <v>303929</v>
          </cell>
          <cell r="D4942" t="str">
            <v>Mercedes NHS</v>
          </cell>
          <cell r="E4942">
            <v>0</v>
          </cell>
          <cell r="F4942">
            <v>0</v>
          </cell>
          <cell r="G4942">
            <v>0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>
            <v>0</v>
          </cell>
        </row>
        <row r="4943">
          <cell r="C4943">
            <v>303930</v>
          </cell>
          <cell r="D4943" t="str">
            <v>Sangali NHS</v>
          </cell>
          <cell r="E4943">
            <v>0</v>
          </cell>
          <cell r="F4943">
            <v>0</v>
          </cell>
          <cell r="G4943">
            <v>0</v>
          </cell>
          <cell r="H4943">
            <v>0</v>
          </cell>
          <cell r="I4943">
            <v>0</v>
          </cell>
          <cell r="J4943">
            <v>0</v>
          </cell>
          <cell r="K4943">
            <v>0</v>
          </cell>
          <cell r="L4943">
            <v>0</v>
          </cell>
        </row>
        <row r="4944">
          <cell r="C4944">
            <v>303931</v>
          </cell>
          <cell r="D4944" t="str">
            <v>Sibulao NHS</v>
          </cell>
          <cell r="E4944">
            <v>0</v>
          </cell>
          <cell r="F4944">
            <v>0</v>
          </cell>
          <cell r="G4944">
            <v>0</v>
          </cell>
          <cell r="H4944">
            <v>0</v>
          </cell>
          <cell r="I4944">
            <v>0</v>
          </cell>
          <cell r="J4944">
            <v>0</v>
          </cell>
          <cell r="K4944">
            <v>0</v>
          </cell>
          <cell r="L4944">
            <v>0</v>
          </cell>
        </row>
        <row r="4945">
          <cell r="C4945">
            <v>303932</v>
          </cell>
          <cell r="D4945" t="str">
            <v>Sinunuc NHS</v>
          </cell>
          <cell r="E4945">
            <v>0</v>
          </cell>
          <cell r="F4945">
            <v>0</v>
          </cell>
          <cell r="G4945">
            <v>0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>
            <v>0</v>
          </cell>
        </row>
        <row r="4946">
          <cell r="C4946">
            <v>303933</v>
          </cell>
          <cell r="D4946" t="str">
            <v>Southcom NHS</v>
          </cell>
          <cell r="E4946">
            <v>0</v>
          </cell>
          <cell r="F4946">
            <v>0</v>
          </cell>
          <cell r="G4946">
            <v>0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>
            <v>0</v>
          </cell>
        </row>
        <row r="4947">
          <cell r="C4947">
            <v>303934</v>
          </cell>
          <cell r="D4947" t="str">
            <v>Tagasilay NHS</v>
          </cell>
          <cell r="E4947">
            <v>0</v>
          </cell>
          <cell r="F4947">
            <v>0</v>
          </cell>
          <cell r="G4947">
            <v>0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>
            <v>0</v>
          </cell>
        </row>
        <row r="4948">
          <cell r="C4948">
            <v>303935</v>
          </cell>
          <cell r="D4948" t="str">
            <v>Talisayan NHS</v>
          </cell>
          <cell r="E4948">
            <v>0</v>
          </cell>
          <cell r="F4948">
            <v>0</v>
          </cell>
          <cell r="G4948">
            <v>0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>
            <v>0</v>
          </cell>
        </row>
        <row r="4949">
          <cell r="C4949">
            <v>303936</v>
          </cell>
          <cell r="D4949" t="str">
            <v>Tictapul NHS</v>
          </cell>
          <cell r="E4949">
            <v>0</v>
          </cell>
          <cell r="F4949">
            <v>0</v>
          </cell>
          <cell r="G4949">
            <v>0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>
            <v>0</v>
          </cell>
        </row>
        <row r="4950">
          <cell r="C4950">
            <v>303937</v>
          </cell>
          <cell r="D4950" t="str">
            <v>Tolosa NHS</v>
          </cell>
          <cell r="E4950">
            <v>0</v>
          </cell>
          <cell r="F4950">
            <v>0</v>
          </cell>
          <cell r="G4950">
            <v>0</v>
          </cell>
          <cell r="H4950">
            <v>0</v>
          </cell>
          <cell r="I4950">
            <v>0</v>
          </cell>
          <cell r="J4950">
            <v>0</v>
          </cell>
          <cell r="K4950">
            <v>0</v>
          </cell>
          <cell r="L4950">
            <v>0</v>
          </cell>
        </row>
        <row r="4951">
          <cell r="C4951">
            <v>303939</v>
          </cell>
          <cell r="D4951" t="str">
            <v>Vitali NHS</v>
          </cell>
          <cell r="E4951">
            <v>0</v>
          </cell>
          <cell r="F4951">
            <v>0</v>
          </cell>
          <cell r="G4951">
            <v>0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0</v>
          </cell>
        </row>
        <row r="4952">
          <cell r="C4952">
            <v>303940</v>
          </cell>
          <cell r="D4952" t="str">
            <v>Zamboanga City HS, Main</v>
          </cell>
          <cell r="E4952">
            <v>0</v>
          </cell>
          <cell r="F4952">
            <v>0</v>
          </cell>
          <cell r="G4952">
            <v>0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>
            <v>0</v>
          </cell>
        </row>
        <row r="4953">
          <cell r="C4953">
            <v>303943</v>
          </cell>
          <cell r="D4953" t="str">
            <v>Regional Science HS</v>
          </cell>
          <cell r="E4953">
            <v>0</v>
          </cell>
          <cell r="F4953">
            <v>0</v>
          </cell>
          <cell r="G4953">
            <v>0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>
            <v>0</v>
          </cell>
        </row>
        <row r="4954">
          <cell r="C4954">
            <v>314801</v>
          </cell>
          <cell r="D4954" t="str">
            <v>Talon-Talon NHS</v>
          </cell>
          <cell r="E4954">
            <v>0</v>
          </cell>
          <cell r="F4954">
            <v>0</v>
          </cell>
          <cell r="G4954">
            <v>0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>
            <v>0</v>
          </cell>
        </row>
        <row r="4955">
          <cell r="C4955">
            <v>314802</v>
          </cell>
          <cell r="D4955" t="str">
            <v>Lubigan NHS, Curuan Annex</v>
          </cell>
          <cell r="E4955">
            <v>0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</row>
        <row r="4956">
          <cell r="C4956">
            <v>314803</v>
          </cell>
          <cell r="D4956" t="str">
            <v>Arena Blanco NHS- Landang Gua Annex</v>
          </cell>
          <cell r="E4956">
            <v>0</v>
          </cell>
          <cell r="F4956">
            <v>0</v>
          </cell>
          <cell r="G4956">
            <v>0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>
            <v>0</v>
          </cell>
        </row>
        <row r="4957">
          <cell r="C4957">
            <v>314804</v>
          </cell>
          <cell r="D4957" t="str">
            <v>Capisan NHS</v>
          </cell>
          <cell r="E4957">
            <v>0</v>
          </cell>
          <cell r="F4957">
            <v>0</v>
          </cell>
          <cell r="G4957">
            <v>0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>
            <v>0</v>
          </cell>
        </row>
        <row r="4958">
          <cell r="C4958">
            <v>314805</v>
          </cell>
          <cell r="D4958" t="str">
            <v>Recodo NHS</v>
          </cell>
          <cell r="E4958">
            <v>0</v>
          </cell>
          <cell r="F4958">
            <v>0</v>
          </cell>
          <cell r="G4958">
            <v>0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>
            <v>0</v>
          </cell>
        </row>
        <row r="4959">
          <cell r="C4959">
            <v>314807</v>
          </cell>
          <cell r="D4959" t="str">
            <v>Tulungatung NHS</v>
          </cell>
          <cell r="E4959">
            <v>0</v>
          </cell>
          <cell r="F4959">
            <v>0</v>
          </cell>
          <cell r="G4959">
            <v>0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>
            <v>0</v>
          </cell>
        </row>
        <row r="4960">
          <cell r="C4960">
            <v>314808</v>
          </cell>
          <cell r="D4960" t="str">
            <v>Pasonanca NHS</v>
          </cell>
          <cell r="E4960">
            <v>0</v>
          </cell>
          <cell r="F4960">
            <v>0</v>
          </cell>
          <cell r="G4960">
            <v>0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0</v>
          </cell>
        </row>
        <row r="4961">
          <cell r="C4961">
            <v>314809</v>
          </cell>
          <cell r="D4961" t="str">
            <v>San Roque NHS</v>
          </cell>
          <cell r="E4961">
            <v>0</v>
          </cell>
          <cell r="F4961">
            <v>0</v>
          </cell>
          <cell r="G4961">
            <v>0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>
            <v>0</v>
          </cell>
        </row>
        <row r="4962">
          <cell r="C4962">
            <v>345869</v>
          </cell>
          <cell r="D4962" t="str">
            <v>Baliwasan Senior High School - Stand Alone</v>
          </cell>
          <cell r="E4962">
            <v>0</v>
          </cell>
          <cell r="F4962">
            <v>0</v>
          </cell>
          <cell r="G4962">
            <v>0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>
            <v>0</v>
          </cell>
        </row>
        <row r="4963">
          <cell r="C4963">
            <v>500244</v>
          </cell>
          <cell r="D4963" t="str">
            <v>Mangusu Integrated School</v>
          </cell>
          <cell r="E4963">
            <v>0</v>
          </cell>
          <cell r="F4963">
            <v>0</v>
          </cell>
          <cell r="G4963">
            <v>0</v>
          </cell>
          <cell r="H4963">
            <v>0</v>
          </cell>
          <cell r="I4963">
            <v>1</v>
          </cell>
          <cell r="J4963">
            <v>3</v>
          </cell>
          <cell r="K4963">
            <v>0</v>
          </cell>
          <cell r="L4963">
            <v>0</v>
          </cell>
        </row>
        <row r="4964">
          <cell r="C4964">
            <v>501110</v>
          </cell>
          <cell r="D4964" t="str">
            <v>Manalipa Integrated School</v>
          </cell>
          <cell r="E4964">
            <v>0</v>
          </cell>
          <cell r="F4964">
            <v>0</v>
          </cell>
          <cell r="G4964">
            <v>0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>
            <v>0</v>
          </cell>
        </row>
        <row r="4965">
          <cell r="C4965">
            <v>501155</v>
          </cell>
          <cell r="D4965" t="str">
            <v>Tuan Datu Hj. Abdulla Nuño Integrated School</v>
          </cell>
          <cell r="E4965">
            <v>0</v>
          </cell>
          <cell r="F4965">
            <v>0</v>
          </cell>
          <cell r="G4965">
            <v>0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0</v>
          </cell>
        </row>
        <row r="4966">
          <cell r="C4966">
            <v>303946</v>
          </cell>
          <cell r="D4966" t="str">
            <v>Bangcud National High School</v>
          </cell>
          <cell r="E4966">
            <v>0</v>
          </cell>
          <cell r="F4966">
            <v>0</v>
          </cell>
          <cell r="G4966">
            <v>0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0</v>
          </cell>
        </row>
        <row r="4967">
          <cell r="C4967">
            <v>303950</v>
          </cell>
          <cell r="D4967" t="str">
            <v>Bukidnon NHS</v>
          </cell>
          <cell r="E4967">
            <v>0</v>
          </cell>
          <cell r="F4967">
            <v>0</v>
          </cell>
          <cell r="G4967">
            <v>0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>
            <v>0</v>
          </cell>
        </row>
        <row r="4968">
          <cell r="C4968">
            <v>303973</v>
          </cell>
          <cell r="D4968" t="str">
            <v>Managok NHS</v>
          </cell>
          <cell r="E4968">
            <v>0</v>
          </cell>
          <cell r="F4968">
            <v>0</v>
          </cell>
          <cell r="G4968">
            <v>0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>
            <v>0</v>
          </cell>
        </row>
        <row r="4969">
          <cell r="C4969">
            <v>303982</v>
          </cell>
          <cell r="D4969" t="str">
            <v>San Martin Agro-Industrial NHS</v>
          </cell>
          <cell r="E4969">
            <v>0</v>
          </cell>
          <cell r="F4969">
            <v>0</v>
          </cell>
          <cell r="G4969">
            <v>0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>
            <v>0</v>
          </cell>
        </row>
        <row r="4970">
          <cell r="C4970">
            <v>303984</v>
          </cell>
          <cell r="D4970" t="str">
            <v>Silae NHS</v>
          </cell>
          <cell r="E4970">
            <v>0</v>
          </cell>
          <cell r="F4970">
            <v>0</v>
          </cell>
          <cell r="G4970">
            <v>0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>
            <v>1</v>
          </cell>
        </row>
        <row r="4971">
          <cell r="C4971">
            <v>314904</v>
          </cell>
          <cell r="D4971" t="str">
            <v>Malaybalay City National Science HS</v>
          </cell>
          <cell r="E4971">
            <v>0</v>
          </cell>
          <cell r="F4971">
            <v>0</v>
          </cell>
          <cell r="G4971">
            <v>0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>
            <v>0</v>
          </cell>
        </row>
        <row r="4972">
          <cell r="C4972">
            <v>314905</v>
          </cell>
          <cell r="D4972" t="str">
            <v>ST. PETER NATIONAL HIGH SCHOOL</v>
          </cell>
          <cell r="E4972">
            <v>0</v>
          </cell>
          <cell r="F4972">
            <v>0</v>
          </cell>
          <cell r="G4972">
            <v>0</v>
          </cell>
          <cell r="H4972">
            <v>0</v>
          </cell>
          <cell r="I4972">
            <v>0</v>
          </cell>
          <cell r="J4972">
            <v>0</v>
          </cell>
          <cell r="K4972">
            <v>0</v>
          </cell>
          <cell r="L4972">
            <v>0</v>
          </cell>
        </row>
        <row r="4973">
          <cell r="C4973">
            <v>314914</v>
          </cell>
          <cell r="D4973" t="str">
            <v>Casisang NHS</v>
          </cell>
          <cell r="E4973">
            <v>0</v>
          </cell>
          <cell r="F4973">
            <v>0</v>
          </cell>
          <cell r="G4973">
            <v>0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>
            <v>4</v>
          </cell>
        </row>
        <row r="4974">
          <cell r="C4974">
            <v>314915</v>
          </cell>
          <cell r="D4974" t="str">
            <v>Kalasungay NHS</v>
          </cell>
          <cell r="E4974">
            <v>0</v>
          </cell>
          <cell r="F4974">
            <v>0</v>
          </cell>
          <cell r="G4974">
            <v>0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>
            <v>0</v>
          </cell>
        </row>
        <row r="4975">
          <cell r="C4975">
            <v>314916</v>
          </cell>
          <cell r="D4975" t="str">
            <v>Malaybalay City NHS</v>
          </cell>
          <cell r="E4975">
            <v>0</v>
          </cell>
          <cell r="F4975">
            <v>0</v>
          </cell>
          <cell r="G4975">
            <v>0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0</v>
          </cell>
        </row>
        <row r="4976">
          <cell r="C4976">
            <v>314920</v>
          </cell>
          <cell r="D4976" t="str">
            <v>Managok NHS - Miglamin Annex</v>
          </cell>
          <cell r="E4976">
            <v>0</v>
          </cell>
          <cell r="F4976">
            <v>0</v>
          </cell>
          <cell r="G4976">
            <v>0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0</v>
          </cell>
        </row>
        <row r="4977">
          <cell r="C4977">
            <v>325501</v>
          </cell>
          <cell r="D4977" t="str">
            <v>Managok NHS - Annex Lalawan</v>
          </cell>
          <cell r="E4977">
            <v>0</v>
          </cell>
          <cell r="F4977">
            <v>0</v>
          </cell>
          <cell r="G4977">
            <v>0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0</v>
          </cell>
        </row>
        <row r="4978">
          <cell r="C4978">
            <v>325503</v>
          </cell>
          <cell r="D4978" t="str">
            <v>Bukidnon NHS - Annex Imbayao</v>
          </cell>
          <cell r="E4978">
            <v>0</v>
          </cell>
          <cell r="F4978">
            <v>0</v>
          </cell>
          <cell r="G4978">
            <v>0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0</v>
          </cell>
        </row>
        <row r="4979">
          <cell r="C4979">
            <v>325504</v>
          </cell>
          <cell r="D4979" t="str">
            <v>Bukidnon NHS - Annex Dalwangan</v>
          </cell>
          <cell r="E4979">
            <v>0</v>
          </cell>
          <cell r="F4979">
            <v>0</v>
          </cell>
          <cell r="G4979">
            <v>0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>
            <v>0</v>
          </cell>
        </row>
        <row r="4980">
          <cell r="C4980">
            <v>325505</v>
          </cell>
          <cell r="D4980" t="str">
            <v>Apo Macote NHS</v>
          </cell>
          <cell r="E4980">
            <v>0</v>
          </cell>
          <cell r="F4980">
            <v>0</v>
          </cell>
          <cell r="G4980">
            <v>0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>
            <v>0</v>
          </cell>
        </row>
        <row r="4981">
          <cell r="C4981">
            <v>341061</v>
          </cell>
          <cell r="D4981" t="str">
            <v>SHS within Casisang CS</v>
          </cell>
          <cell r="E4981">
            <v>0</v>
          </cell>
          <cell r="F4981">
            <v>0</v>
          </cell>
          <cell r="G4981">
            <v>0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0</v>
          </cell>
        </row>
        <row r="4982">
          <cell r="C4982">
            <v>500245</v>
          </cell>
          <cell r="D4982" t="str">
            <v>Can-ayan IS</v>
          </cell>
          <cell r="E4982">
            <v>0</v>
          </cell>
          <cell r="F4982">
            <v>0</v>
          </cell>
          <cell r="G4982">
            <v>0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0</v>
          </cell>
        </row>
        <row r="4983">
          <cell r="C4983">
            <v>500409</v>
          </cell>
          <cell r="D4983" t="str">
            <v>Busdi IS</v>
          </cell>
          <cell r="E4983">
            <v>0</v>
          </cell>
          <cell r="F4983">
            <v>0</v>
          </cell>
          <cell r="G4983">
            <v>0</v>
          </cell>
          <cell r="H4983">
            <v>0</v>
          </cell>
          <cell r="I4983">
            <v>2</v>
          </cell>
          <cell r="J4983">
            <v>2</v>
          </cell>
          <cell r="K4983">
            <v>2</v>
          </cell>
          <cell r="L4983">
            <v>2</v>
          </cell>
        </row>
        <row r="4984">
          <cell r="C4984">
            <v>303944</v>
          </cell>
          <cell r="D4984" t="str">
            <v>Alae NHS</v>
          </cell>
          <cell r="E4984">
            <v>0</v>
          </cell>
          <cell r="F4984">
            <v>0</v>
          </cell>
          <cell r="G4984">
            <v>0</v>
          </cell>
          <cell r="H4984">
            <v>0</v>
          </cell>
          <cell r="I4984">
            <v>0</v>
          </cell>
          <cell r="J4984">
            <v>0</v>
          </cell>
          <cell r="K4984">
            <v>0</v>
          </cell>
          <cell r="L4984">
            <v>0</v>
          </cell>
        </row>
        <row r="4985">
          <cell r="C4985">
            <v>303945</v>
          </cell>
          <cell r="D4985" t="str">
            <v>Bacusanon National High School</v>
          </cell>
          <cell r="E4985">
            <v>0</v>
          </cell>
          <cell r="F4985">
            <v>0</v>
          </cell>
          <cell r="G4985">
            <v>0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>
            <v>0</v>
          </cell>
        </row>
        <row r="4986">
          <cell r="C4986">
            <v>303947</v>
          </cell>
          <cell r="D4986" t="str">
            <v>Baungon National High School</v>
          </cell>
          <cell r="E4986">
            <v>0</v>
          </cell>
          <cell r="F4986">
            <v>0</v>
          </cell>
          <cell r="G4986">
            <v>0</v>
          </cell>
          <cell r="H4986">
            <v>0</v>
          </cell>
          <cell r="I4986">
            <v>3</v>
          </cell>
          <cell r="J4986">
            <v>6</v>
          </cell>
          <cell r="K4986">
            <v>3</v>
          </cell>
          <cell r="L4986">
            <v>6</v>
          </cell>
        </row>
        <row r="4987">
          <cell r="C4987">
            <v>303948</v>
          </cell>
          <cell r="D4987" t="str">
            <v>Bocboc NHS</v>
          </cell>
          <cell r="E4987">
            <v>0</v>
          </cell>
          <cell r="F4987">
            <v>0</v>
          </cell>
          <cell r="G4987">
            <v>0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0</v>
          </cell>
        </row>
        <row r="4988">
          <cell r="C4988">
            <v>303949</v>
          </cell>
          <cell r="D4988" t="str">
            <v>Bugcaon NHS</v>
          </cell>
          <cell r="E4988">
            <v>0</v>
          </cell>
          <cell r="F4988">
            <v>0</v>
          </cell>
          <cell r="G4988">
            <v>0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>
            <v>0</v>
          </cell>
        </row>
        <row r="4989">
          <cell r="C4989">
            <v>303951</v>
          </cell>
          <cell r="D4989" t="str">
            <v>Bukidnon NSHI</v>
          </cell>
          <cell r="E4989">
            <v>0</v>
          </cell>
          <cell r="F4989">
            <v>0</v>
          </cell>
          <cell r="G4989">
            <v>0</v>
          </cell>
          <cell r="H4989">
            <v>0</v>
          </cell>
          <cell r="I4989">
            <v>0</v>
          </cell>
          <cell r="J4989">
            <v>0</v>
          </cell>
          <cell r="K4989">
            <v>0</v>
          </cell>
          <cell r="L4989">
            <v>0</v>
          </cell>
        </row>
        <row r="4990">
          <cell r="C4990">
            <v>303952</v>
          </cell>
          <cell r="D4990" t="str">
            <v>Cabulohan-Paradise NHS</v>
          </cell>
          <cell r="E4990">
            <v>0</v>
          </cell>
          <cell r="F4990">
            <v>0</v>
          </cell>
          <cell r="G4990">
            <v>0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>
            <v>0</v>
          </cell>
        </row>
        <row r="4991">
          <cell r="C4991">
            <v>303953</v>
          </cell>
          <cell r="D4991" t="str">
            <v>Dangcagan NHS</v>
          </cell>
          <cell r="E4991">
            <v>0</v>
          </cell>
          <cell r="F4991">
            <v>0</v>
          </cell>
          <cell r="G4991">
            <v>0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>
            <v>0</v>
          </cell>
        </row>
        <row r="4992">
          <cell r="C4992">
            <v>303954</v>
          </cell>
          <cell r="D4992" t="str">
            <v>Dologon NHS</v>
          </cell>
          <cell r="E4992">
            <v>0</v>
          </cell>
          <cell r="F4992">
            <v>0</v>
          </cell>
          <cell r="G4992">
            <v>0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0</v>
          </cell>
        </row>
        <row r="4993">
          <cell r="C4993">
            <v>303955</v>
          </cell>
          <cell r="D4993" t="str">
            <v>Halapitan National High School</v>
          </cell>
          <cell r="E4993">
            <v>0</v>
          </cell>
          <cell r="F4993">
            <v>0</v>
          </cell>
          <cell r="G4993">
            <v>0</v>
          </cell>
          <cell r="H4993">
            <v>0</v>
          </cell>
          <cell r="I4993">
            <v>3</v>
          </cell>
          <cell r="J4993">
            <v>5</v>
          </cell>
          <cell r="K4993">
            <v>0</v>
          </cell>
          <cell r="L4993">
            <v>0</v>
          </cell>
        </row>
        <row r="4994">
          <cell r="C4994">
            <v>303956</v>
          </cell>
          <cell r="D4994" t="str">
            <v>Impasugong NHS</v>
          </cell>
          <cell r="E4994">
            <v>0</v>
          </cell>
          <cell r="F4994">
            <v>0</v>
          </cell>
          <cell r="G4994">
            <v>0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>
            <v>0</v>
          </cell>
        </row>
        <row r="4995">
          <cell r="C4995">
            <v>303957</v>
          </cell>
          <cell r="D4995" t="str">
            <v>Kalabugao NHS</v>
          </cell>
          <cell r="E4995">
            <v>0</v>
          </cell>
          <cell r="F4995">
            <v>0</v>
          </cell>
          <cell r="G4995">
            <v>0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0</v>
          </cell>
        </row>
        <row r="4996">
          <cell r="C4996">
            <v>303958</v>
          </cell>
          <cell r="D4996" t="str">
            <v>Kalilangan National High School</v>
          </cell>
          <cell r="E4996">
            <v>0</v>
          </cell>
          <cell r="F4996">
            <v>0</v>
          </cell>
          <cell r="G4996">
            <v>0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0</v>
          </cell>
        </row>
        <row r="4997">
          <cell r="C4997">
            <v>303959</v>
          </cell>
          <cell r="D4997" t="str">
            <v>Kibatang National High School</v>
          </cell>
          <cell r="E4997">
            <v>0</v>
          </cell>
          <cell r="F4997">
            <v>0</v>
          </cell>
          <cell r="G4997">
            <v>0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0</v>
          </cell>
        </row>
        <row r="4998">
          <cell r="C4998">
            <v>303960</v>
          </cell>
          <cell r="D4998" t="str">
            <v>KIBAWE NATIONAL HIGH SCHOOL</v>
          </cell>
          <cell r="E4998">
            <v>0</v>
          </cell>
          <cell r="F4998">
            <v>0</v>
          </cell>
          <cell r="G4998">
            <v>0</v>
          </cell>
          <cell r="H4998">
            <v>0</v>
          </cell>
          <cell r="I4998">
            <v>6</v>
          </cell>
          <cell r="J4998">
            <v>7</v>
          </cell>
          <cell r="K4998">
            <v>6</v>
          </cell>
          <cell r="L4998">
            <v>7</v>
          </cell>
        </row>
        <row r="4999">
          <cell r="C4999">
            <v>303961</v>
          </cell>
          <cell r="D4999" t="str">
            <v>Kiburiao National High School</v>
          </cell>
          <cell r="E4999">
            <v>0</v>
          </cell>
          <cell r="F4999">
            <v>0</v>
          </cell>
          <cell r="G4999">
            <v>0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>
            <v>0</v>
          </cell>
        </row>
        <row r="5000">
          <cell r="C5000">
            <v>303962</v>
          </cell>
          <cell r="D5000" t="str">
            <v>Kimanait NHS</v>
          </cell>
          <cell r="E5000">
            <v>0</v>
          </cell>
          <cell r="F5000">
            <v>0</v>
          </cell>
          <cell r="G5000">
            <v>0</v>
          </cell>
          <cell r="H5000">
            <v>0</v>
          </cell>
          <cell r="I5000">
            <v>0</v>
          </cell>
          <cell r="J5000">
            <v>0</v>
          </cell>
          <cell r="K5000">
            <v>0</v>
          </cell>
          <cell r="L5000">
            <v>0</v>
          </cell>
        </row>
        <row r="5001">
          <cell r="C5001">
            <v>303963</v>
          </cell>
          <cell r="D5001" t="str">
            <v>Kitaotao NHS</v>
          </cell>
          <cell r="E5001">
            <v>0</v>
          </cell>
          <cell r="F5001">
            <v>0</v>
          </cell>
          <cell r="G5001">
            <v>0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0</v>
          </cell>
        </row>
        <row r="5002">
          <cell r="C5002">
            <v>303964</v>
          </cell>
          <cell r="D5002" t="str">
            <v>Kitubo National High School</v>
          </cell>
          <cell r="E5002">
            <v>0</v>
          </cell>
          <cell r="F5002">
            <v>0</v>
          </cell>
          <cell r="G5002">
            <v>0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>
            <v>0</v>
          </cell>
        </row>
        <row r="5003">
          <cell r="C5003">
            <v>303965</v>
          </cell>
          <cell r="D5003" t="str">
            <v>KUYA NATIONAL HIGH SCHOOL</v>
          </cell>
          <cell r="E5003">
            <v>0</v>
          </cell>
          <cell r="F5003">
            <v>0</v>
          </cell>
          <cell r="G5003">
            <v>0</v>
          </cell>
          <cell r="H5003">
            <v>0</v>
          </cell>
          <cell r="I5003">
            <v>0</v>
          </cell>
          <cell r="J5003">
            <v>2</v>
          </cell>
          <cell r="K5003">
            <v>0</v>
          </cell>
          <cell r="L5003">
            <v>0</v>
          </cell>
        </row>
        <row r="5004">
          <cell r="C5004">
            <v>303966</v>
          </cell>
          <cell r="D5004" t="str">
            <v>Lampanusan NHS</v>
          </cell>
          <cell r="E5004">
            <v>0</v>
          </cell>
          <cell r="F5004">
            <v>0</v>
          </cell>
          <cell r="G5004">
            <v>0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>
            <v>0</v>
          </cell>
        </row>
        <row r="5005">
          <cell r="C5005">
            <v>303967</v>
          </cell>
          <cell r="D5005" t="str">
            <v>Lantapan National High School</v>
          </cell>
          <cell r="E5005">
            <v>0</v>
          </cell>
          <cell r="F5005">
            <v>0</v>
          </cell>
          <cell r="G5005">
            <v>0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>
            <v>0</v>
          </cell>
        </row>
        <row r="5006">
          <cell r="C5006">
            <v>303968</v>
          </cell>
          <cell r="D5006" t="str">
            <v>Libona NHS</v>
          </cell>
          <cell r="E5006">
            <v>0</v>
          </cell>
          <cell r="F5006">
            <v>0</v>
          </cell>
          <cell r="G5006">
            <v>0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0</v>
          </cell>
        </row>
        <row r="5007">
          <cell r="C5007">
            <v>303969</v>
          </cell>
          <cell r="D5007" t="str">
            <v>Kinawe National High School</v>
          </cell>
          <cell r="E5007">
            <v>0</v>
          </cell>
          <cell r="F5007">
            <v>0</v>
          </cell>
          <cell r="G5007">
            <v>0</v>
          </cell>
          <cell r="H5007">
            <v>0</v>
          </cell>
          <cell r="I5007">
            <v>0</v>
          </cell>
          <cell r="J5007">
            <v>0</v>
          </cell>
          <cell r="K5007">
            <v>0</v>
          </cell>
          <cell r="L5007">
            <v>0</v>
          </cell>
        </row>
        <row r="5008">
          <cell r="C5008">
            <v>303971</v>
          </cell>
          <cell r="D5008" t="str">
            <v>Malinao National High School</v>
          </cell>
          <cell r="E5008">
            <v>0</v>
          </cell>
          <cell r="F5008">
            <v>0</v>
          </cell>
          <cell r="G5008">
            <v>0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>
            <v>0</v>
          </cell>
        </row>
        <row r="5009">
          <cell r="C5009">
            <v>303972</v>
          </cell>
          <cell r="D5009" t="str">
            <v>Malitbog Nat. Agr'I. HS</v>
          </cell>
          <cell r="E5009">
            <v>0</v>
          </cell>
          <cell r="F5009">
            <v>0</v>
          </cell>
          <cell r="G5009">
            <v>0</v>
          </cell>
          <cell r="H5009">
            <v>0</v>
          </cell>
          <cell r="I5009">
            <v>0</v>
          </cell>
          <cell r="J5009">
            <v>0</v>
          </cell>
          <cell r="K5009">
            <v>0</v>
          </cell>
          <cell r="L5009">
            <v>0</v>
          </cell>
        </row>
        <row r="5010">
          <cell r="C5010">
            <v>303974</v>
          </cell>
          <cell r="D5010" t="str">
            <v>Manolo Fortich NHS</v>
          </cell>
          <cell r="E5010">
            <v>0</v>
          </cell>
          <cell r="F5010">
            <v>0</v>
          </cell>
          <cell r="G5010">
            <v>0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0</v>
          </cell>
        </row>
        <row r="5011">
          <cell r="C5011">
            <v>303975</v>
          </cell>
          <cell r="D5011" t="str">
            <v>New Nongnongan NHS</v>
          </cell>
          <cell r="E5011">
            <v>0</v>
          </cell>
          <cell r="F5011">
            <v>0</v>
          </cell>
          <cell r="G5011">
            <v>0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>
            <v>0</v>
          </cell>
        </row>
        <row r="5012">
          <cell r="C5012">
            <v>303976</v>
          </cell>
          <cell r="D5012" t="str">
            <v>Old Damulog NHS</v>
          </cell>
          <cell r="E5012">
            <v>0</v>
          </cell>
          <cell r="F5012">
            <v>0</v>
          </cell>
          <cell r="G5012">
            <v>0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>
            <v>0</v>
          </cell>
        </row>
        <row r="5013">
          <cell r="C5013">
            <v>303977</v>
          </cell>
          <cell r="D5013" t="str">
            <v>Old Nongnongan NHS</v>
          </cell>
          <cell r="E5013">
            <v>0</v>
          </cell>
          <cell r="F5013">
            <v>0</v>
          </cell>
          <cell r="G5013">
            <v>0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>
            <v>0</v>
          </cell>
        </row>
        <row r="5014">
          <cell r="C5014">
            <v>303978</v>
          </cell>
          <cell r="D5014" t="str">
            <v>Pangantucan NHS</v>
          </cell>
          <cell r="E5014">
            <v>0</v>
          </cell>
          <cell r="F5014">
            <v>0</v>
          </cell>
          <cell r="G5014">
            <v>0</v>
          </cell>
          <cell r="H5014">
            <v>0</v>
          </cell>
          <cell r="I5014">
            <v>3</v>
          </cell>
          <cell r="J5014">
            <v>9</v>
          </cell>
          <cell r="K5014">
            <v>2</v>
          </cell>
          <cell r="L5014">
            <v>8</v>
          </cell>
        </row>
        <row r="5015">
          <cell r="C5015">
            <v>303979</v>
          </cell>
          <cell r="D5015" t="str">
            <v>Salawagan NHS</v>
          </cell>
          <cell r="E5015">
            <v>0</v>
          </cell>
          <cell r="F5015">
            <v>0</v>
          </cell>
          <cell r="G5015">
            <v>0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>
            <v>0</v>
          </cell>
        </row>
        <row r="5016">
          <cell r="C5016">
            <v>303980</v>
          </cell>
          <cell r="D5016" t="str">
            <v>San Andres National High School</v>
          </cell>
          <cell r="E5016">
            <v>0</v>
          </cell>
          <cell r="F5016">
            <v>0</v>
          </cell>
          <cell r="G5016">
            <v>0</v>
          </cell>
          <cell r="H5016">
            <v>0</v>
          </cell>
          <cell r="I5016">
            <v>0</v>
          </cell>
          <cell r="J5016">
            <v>0</v>
          </cell>
          <cell r="K5016">
            <v>0</v>
          </cell>
          <cell r="L5016">
            <v>0</v>
          </cell>
        </row>
        <row r="5017">
          <cell r="C5017">
            <v>303981</v>
          </cell>
          <cell r="D5017" t="str">
            <v>San Luis NHS</v>
          </cell>
          <cell r="E5017">
            <v>0</v>
          </cell>
          <cell r="F5017">
            <v>0</v>
          </cell>
          <cell r="G5017">
            <v>0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0</v>
          </cell>
        </row>
        <row r="5018">
          <cell r="C5018">
            <v>303983</v>
          </cell>
          <cell r="D5018" t="str">
            <v>Sankanan NHS</v>
          </cell>
          <cell r="E5018">
            <v>0</v>
          </cell>
          <cell r="F5018">
            <v>0</v>
          </cell>
          <cell r="G5018">
            <v>0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>
            <v>0</v>
          </cell>
        </row>
        <row r="5019">
          <cell r="C5019">
            <v>303985</v>
          </cell>
          <cell r="D5019" t="str">
            <v>Sinuda National High School</v>
          </cell>
          <cell r="E5019">
            <v>0</v>
          </cell>
          <cell r="F5019">
            <v>0</v>
          </cell>
          <cell r="G5019">
            <v>0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>
            <v>0</v>
          </cell>
        </row>
        <row r="5020">
          <cell r="C5020">
            <v>303986</v>
          </cell>
          <cell r="D5020" t="str">
            <v>Sumilao NHS</v>
          </cell>
          <cell r="E5020">
            <v>1</v>
          </cell>
          <cell r="F5020">
            <v>0</v>
          </cell>
          <cell r="G5020">
            <v>0</v>
          </cell>
          <cell r="H5020">
            <v>0</v>
          </cell>
          <cell r="I5020">
            <v>0</v>
          </cell>
          <cell r="J5020">
            <v>1</v>
          </cell>
          <cell r="K5020">
            <v>0</v>
          </cell>
          <cell r="L5020">
            <v>1</v>
          </cell>
        </row>
        <row r="5021">
          <cell r="C5021">
            <v>303987</v>
          </cell>
          <cell r="D5021" t="str">
            <v>Talakag NHS</v>
          </cell>
          <cell r="E5021">
            <v>0</v>
          </cell>
          <cell r="F5021">
            <v>0</v>
          </cell>
          <cell r="G5021">
            <v>0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>
            <v>0</v>
          </cell>
        </row>
        <row r="5022">
          <cell r="C5022">
            <v>314901</v>
          </cell>
          <cell r="D5022" t="str">
            <v>Dalirig NHS</v>
          </cell>
          <cell r="E5022">
            <v>0</v>
          </cell>
          <cell r="F5022">
            <v>0</v>
          </cell>
          <cell r="G5022">
            <v>0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0</v>
          </cell>
        </row>
        <row r="5023">
          <cell r="C5023">
            <v>314902</v>
          </cell>
          <cell r="D5023" t="str">
            <v>Langcataon NHS</v>
          </cell>
          <cell r="E5023">
            <v>0</v>
          </cell>
          <cell r="F5023">
            <v>0</v>
          </cell>
          <cell r="G5023">
            <v>0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>
            <v>0</v>
          </cell>
        </row>
        <row r="5024">
          <cell r="C5024">
            <v>314903</v>
          </cell>
          <cell r="D5024" t="str">
            <v>San Vicente National High School</v>
          </cell>
          <cell r="E5024">
            <v>0</v>
          </cell>
          <cell r="F5024">
            <v>0</v>
          </cell>
          <cell r="G5024">
            <v>0</v>
          </cell>
          <cell r="H5024">
            <v>0</v>
          </cell>
          <cell r="I5024">
            <v>1</v>
          </cell>
          <cell r="J5024">
            <v>5</v>
          </cell>
          <cell r="K5024">
            <v>1</v>
          </cell>
          <cell r="L5024">
            <v>5</v>
          </cell>
        </row>
        <row r="5025">
          <cell r="C5025">
            <v>314907</v>
          </cell>
          <cell r="D5025" t="str">
            <v>Little Baguio National High School</v>
          </cell>
          <cell r="E5025">
            <v>0</v>
          </cell>
          <cell r="F5025">
            <v>0</v>
          </cell>
          <cell r="G5025">
            <v>0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0</v>
          </cell>
        </row>
        <row r="5026">
          <cell r="C5026">
            <v>314908</v>
          </cell>
          <cell r="D5026" t="str">
            <v>Cabulohan-Paradise NHS - Townsite Annex</v>
          </cell>
          <cell r="E5026">
            <v>0</v>
          </cell>
          <cell r="F5026">
            <v>0</v>
          </cell>
          <cell r="G5026">
            <v>0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>
            <v>0</v>
          </cell>
        </row>
        <row r="5027">
          <cell r="C5027">
            <v>314910</v>
          </cell>
          <cell r="D5027" t="str">
            <v>Miaray National High School</v>
          </cell>
          <cell r="E5027">
            <v>0</v>
          </cell>
          <cell r="F5027">
            <v>0</v>
          </cell>
          <cell r="G5027">
            <v>0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0</v>
          </cell>
        </row>
        <row r="5028">
          <cell r="C5028">
            <v>314911</v>
          </cell>
          <cell r="D5028" t="str">
            <v>Bukidnon NSHI - San Miguel Annex</v>
          </cell>
          <cell r="E5028">
            <v>0</v>
          </cell>
          <cell r="F5028">
            <v>0</v>
          </cell>
          <cell r="G5028">
            <v>0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>
            <v>0</v>
          </cell>
        </row>
        <row r="5029">
          <cell r="C5029">
            <v>314912</v>
          </cell>
          <cell r="D5029" t="str">
            <v>Quezon National High School</v>
          </cell>
          <cell r="E5029">
            <v>0</v>
          </cell>
          <cell r="F5029">
            <v>0</v>
          </cell>
          <cell r="G5029">
            <v>0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>
            <v>0</v>
          </cell>
        </row>
        <row r="5030">
          <cell r="C5030">
            <v>314913</v>
          </cell>
          <cell r="D5030" t="str">
            <v>Don Carlos NHS</v>
          </cell>
          <cell r="E5030">
            <v>0</v>
          </cell>
          <cell r="F5030">
            <v>0</v>
          </cell>
          <cell r="G5030">
            <v>0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>
            <v>0</v>
          </cell>
        </row>
        <row r="5031">
          <cell r="C5031">
            <v>314918</v>
          </cell>
          <cell r="D5031" t="str">
            <v>KUYA NHS ANNEX- LA ROXAS</v>
          </cell>
          <cell r="E5031">
            <v>0</v>
          </cell>
          <cell r="F5031">
            <v>0</v>
          </cell>
          <cell r="G5031">
            <v>0</v>
          </cell>
          <cell r="H5031">
            <v>0</v>
          </cell>
          <cell r="I5031">
            <v>0</v>
          </cell>
          <cell r="J5031">
            <v>0</v>
          </cell>
          <cell r="K5031">
            <v>0</v>
          </cell>
          <cell r="L5031">
            <v>0</v>
          </cell>
        </row>
        <row r="5032">
          <cell r="C5032">
            <v>314919</v>
          </cell>
          <cell r="D5032" t="str">
            <v>Tikalaan National High School</v>
          </cell>
          <cell r="E5032">
            <v>0</v>
          </cell>
          <cell r="F5032">
            <v>0</v>
          </cell>
          <cell r="G5032">
            <v>0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0</v>
          </cell>
        </row>
        <row r="5033">
          <cell r="C5033">
            <v>314921</v>
          </cell>
          <cell r="D5033" t="str">
            <v>Dologon NHS - Kiharong Annex</v>
          </cell>
          <cell r="E5033">
            <v>0</v>
          </cell>
          <cell r="F5033">
            <v>0</v>
          </cell>
          <cell r="G5033">
            <v>0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0</v>
          </cell>
        </row>
        <row r="5034">
          <cell r="C5034">
            <v>314922</v>
          </cell>
          <cell r="D5034" t="str">
            <v>San Nicolas National High School</v>
          </cell>
          <cell r="E5034">
            <v>0</v>
          </cell>
          <cell r="F5034">
            <v>0</v>
          </cell>
          <cell r="G5034">
            <v>0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0</v>
          </cell>
        </row>
        <row r="5035">
          <cell r="C5035">
            <v>314923</v>
          </cell>
          <cell r="D5035" t="str">
            <v>Impasugong NHS-Kapitan Bayong Annex</v>
          </cell>
          <cell r="E5035">
            <v>0</v>
          </cell>
          <cell r="F5035">
            <v>0</v>
          </cell>
          <cell r="G5035">
            <v>0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>
            <v>0</v>
          </cell>
        </row>
        <row r="5036">
          <cell r="C5036">
            <v>314924</v>
          </cell>
          <cell r="D5036" t="str">
            <v>Sumilao NHS - Vista Villa Annex</v>
          </cell>
          <cell r="E5036">
            <v>0</v>
          </cell>
          <cell r="F5036">
            <v>0</v>
          </cell>
          <cell r="G5036">
            <v>0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>
            <v>0</v>
          </cell>
        </row>
        <row r="5037">
          <cell r="C5037">
            <v>314925</v>
          </cell>
          <cell r="D5037" t="str">
            <v>Baungon NHS - Danatag Annex</v>
          </cell>
          <cell r="E5037">
            <v>0</v>
          </cell>
          <cell r="F5037">
            <v>0</v>
          </cell>
          <cell r="G5037">
            <v>0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>
            <v>0</v>
          </cell>
        </row>
        <row r="5038">
          <cell r="C5038">
            <v>314926</v>
          </cell>
          <cell r="D5038" t="str">
            <v>San Andres NHS - Cabadiangan Annex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>
            <v>0</v>
          </cell>
        </row>
        <row r="5039">
          <cell r="C5039">
            <v>314927</v>
          </cell>
          <cell r="D5039" t="str">
            <v>Kiara National High School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  <cell r="I5039">
            <v>2</v>
          </cell>
          <cell r="J5039">
            <v>3</v>
          </cell>
          <cell r="K5039">
            <v>2</v>
          </cell>
          <cell r="L5039">
            <v>3</v>
          </cell>
        </row>
        <row r="5040">
          <cell r="C5040">
            <v>314928</v>
          </cell>
          <cell r="D5040" t="str">
            <v>Dologon NHS (San Roque Annex)</v>
          </cell>
          <cell r="E5040">
            <v>0</v>
          </cell>
          <cell r="F5040">
            <v>0</v>
          </cell>
          <cell r="G5040">
            <v>0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>
            <v>0</v>
          </cell>
        </row>
        <row r="5041">
          <cell r="C5041">
            <v>314929</v>
          </cell>
          <cell r="D5041" t="str">
            <v>Macapari NHS</v>
          </cell>
          <cell r="E5041">
            <v>0</v>
          </cell>
          <cell r="F5041">
            <v>0</v>
          </cell>
          <cell r="G5041">
            <v>0</v>
          </cell>
          <cell r="H5041">
            <v>0</v>
          </cell>
          <cell r="I5041">
            <v>3</v>
          </cell>
          <cell r="J5041">
            <v>3</v>
          </cell>
          <cell r="K5041">
            <v>0</v>
          </cell>
          <cell r="L5041">
            <v>0</v>
          </cell>
        </row>
        <row r="5042">
          <cell r="C5042">
            <v>314930</v>
          </cell>
          <cell r="D5042" t="str">
            <v>Apyao National High School</v>
          </cell>
          <cell r="E5042">
            <v>0</v>
          </cell>
          <cell r="F5042">
            <v>0</v>
          </cell>
          <cell r="G5042">
            <v>0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  <cell r="L5042">
            <v>0</v>
          </cell>
        </row>
        <row r="5043">
          <cell r="C5043">
            <v>314931</v>
          </cell>
          <cell r="D5043" t="str">
            <v>Kitaotao National High School - Digongan Annex</v>
          </cell>
          <cell r="E5043">
            <v>0</v>
          </cell>
          <cell r="F5043">
            <v>0</v>
          </cell>
          <cell r="G5043">
            <v>0</v>
          </cell>
          <cell r="H5043">
            <v>0</v>
          </cell>
          <cell r="I5043">
            <v>3</v>
          </cell>
          <cell r="J5043">
            <v>1</v>
          </cell>
          <cell r="K5043">
            <v>0</v>
          </cell>
          <cell r="L5043">
            <v>0</v>
          </cell>
        </row>
        <row r="5044">
          <cell r="C5044">
            <v>303989</v>
          </cell>
          <cell r="D5044" t="str">
            <v>Bonbon NHS</v>
          </cell>
          <cell r="E5044">
            <v>0</v>
          </cell>
          <cell r="F5044">
            <v>0</v>
          </cell>
          <cell r="G5044">
            <v>0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>
            <v>0</v>
          </cell>
        </row>
        <row r="5045">
          <cell r="C5045">
            <v>303990</v>
          </cell>
          <cell r="D5045" t="str">
            <v>Camiguin NHS</v>
          </cell>
          <cell r="E5045">
            <v>0</v>
          </cell>
          <cell r="F5045">
            <v>0</v>
          </cell>
          <cell r="G5045">
            <v>0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0</v>
          </cell>
        </row>
        <row r="5046">
          <cell r="C5046">
            <v>303991</v>
          </cell>
          <cell r="D5046" t="str">
            <v>Guinsiliban National High School</v>
          </cell>
          <cell r="E5046">
            <v>0</v>
          </cell>
          <cell r="F5046">
            <v>0</v>
          </cell>
          <cell r="G5046">
            <v>0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>
            <v>0</v>
          </cell>
        </row>
        <row r="5047">
          <cell r="C5047">
            <v>303992</v>
          </cell>
          <cell r="D5047" t="str">
            <v>Lawigan-Bura National High School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0</v>
          </cell>
        </row>
        <row r="5048">
          <cell r="C5048">
            <v>303993</v>
          </cell>
          <cell r="D5048" t="str">
            <v>Sixto A. Abao NHS</v>
          </cell>
          <cell r="E5048">
            <v>0</v>
          </cell>
          <cell r="F5048">
            <v>0</v>
          </cell>
          <cell r="G5048">
            <v>0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0</v>
          </cell>
        </row>
        <row r="5049">
          <cell r="C5049">
            <v>303994</v>
          </cell>
          <cell r="D5049" t="str">
            <v>Mambajao NHS</v>
          </cell>
          <cell r="E5049">
            <v>0</v>
          </cell>
          <cell r="F5049">
            <v>0</v>
          </cell>
          <cell r="G5049">
            <v>0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>
            <v>0</v>
          </cell>
        </row>
        <row r="5050">
          <cell r="C5050">
            <v>303995</v>
          </cell>
          <cell r="D5050" t="str">
            <v>Eulalio U. Pabillore National High Sschool</v>
          </cell>
          <cell r="E5050">
            <v>0</v>
          </cell>
          <cell r="F5050">
            <v>0</v>
          </cell>
          <cell r="G5050">
            <v>0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0</v>
          </cell>
        </row>
        <row r="5051">
          <cell r="C5051">
            <v>303996</v>
          </cell>
          <cell r="D5051" t="str">
            <v>Tupsan NHS</v>
          </cell>
          <cell r="E5051">
            <v>0</v>
          </cell>
          <cell r="F5051">
            <v>0</v>
          </cell>
          <cell r="G5051">
            <v>0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>
            <v>0</v>
          </cell>
        </row>
        <row r="5052">
          <cell r="C5052">
            <v>303997</v>
          </cell>
          <cell r="D5052" t="str">
            <v>Yumbing National High School</v>
          </cell>
          <cell r="E5052">
            <v>0</v>
          </cell>
          <cell r="F5052">
            <v>0</v>
          </cell>
          <cell r="G5052">
            <v>0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0</v>
          </cell>
        </row>
        <row r="5053">
          <cell r="C5053">
            <v>315001</v>
          </cell>
          <cell r="D5053" t="str">
            <v>Maac National High School</v>
          </cell>
          <cell r="E5053">
            <v>0</v>
          </cell>
          <cell r="F5053">
            <v>0</v>
          </cell>
          <cell r="G5053">
            <v>0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>
            <v>0</v>
          </cell>
        </row>
        <row r="5054">
          <cell r="C5054">
            <v>315003</v>
          </cell>
          <cell r="D5054" t="str">
            <v>Mahinog National High School II</v>
          </cell>
          <cell r="E5054">
            <v>0</v>
          </cell>
          <cell r="F5054">
            <v>0</v>
          </cell>
          <cell r="G5054">
            <v>0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>
            <v>0</v>
          </cell>
        </row>
        <row r="5055">
          <cell r="C5055">
            <v>500683</v>
          </cell>
          <cell r="D5055" t="str">
            <v>Alangilan Integrated School</v>
          </cell>
          <cell r="E5055">
            <v>0</v>
          </cell>
          <cell r="F5055">
            <v>0</v>
          </cell>
          <cell r="G5055">
            <v>0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>
            <v>0</v>
          </cell>
        </row>
        <row r="5056">
          <cell r="C5056">
            <v>500684</v>
          </cell>
          <cell r="D5056" t="str">
            <v>Bugang Integrated School</v>
          </cell>
          <cell r="E5056">
            <v>0</v>
          </cell>
          <cell r="F5056">
            <v>0</v>
          </cell>
          <cell r="G5056">
            <v>0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0</v>
          </cell>
        </row>
        <row r="5057">
          <cell r="C5057">
            <v>500685</v>
          </cell>
          <cell r="D5057" t="str">
            <v>Kuguita IS</v>
          </cell>
          <cell r="E5057">
            <v>0</v>
          </cell>
          <cell r="F5057">
            <v>0</v>
          </cell>
          <cell r="G5057">
            <v>0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0</v>
          </cell>
        </row>
        <row r="5058">
          <cell r="C5058">
            <v>500686</v>
          </cell>
          <cell r="D5058" t="str">
            <v>Sto. Niño Integrated School</v>
          </cell>
          <cell r="E5058">
            <v>0</v>
          </cell>
          <cell r="F5058">
            <v>0</v>
          </cell>
          <cell r="G5058">
            <v>0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>
            <v>0</v>
          </cell>
        </row>
        <row r="5059">
          <cell r="C5059">
            <v>303998</v>
          </cell>
          <cell r="D5059" t="str">
            <v>Baloi National High School</v>
          </cell>
          <cell r="E5059">
            <v>0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0</v>
          </cell>
        </row>
        <row r="5060">
          <cell r="C5060">
            <v>303999</v>
          </cell>
          <cell r="D5060" t="str">
            <v>Bansarvil NHS</v>
          </cell>
          <cell r="E5060">
            <v>0</v>
          </cell>
          <cell r="F5060">
            <v>0</v>
          </cell>
          <cell r="G5060">
            <v>0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0</v>
          </cell>
        </row>
        <row r="5061">
          <cell r="C5061">
            <v>304000</v>
          </cell>
          <cell r="D5061" t="str">
            <v>Binuni-Demologan NHS</v>
          </cell>
          <cell r="E5061">
            <v>0</v>
          </cell>
          <cell r="F5061">
            <v>0</v>
          </cell>
          <cell r="G5061">
            <v>0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0</v>
          </cell>
        </row>
        <row r="5062">
          <cell r="C5062">
            <v>304001</v>
          </cell>
          <cell r="D5062" t="str">
            <v>Diosdado Yap Sr. National High School</v>
          </cell>
          <cell r="E5062">
            <v>0</v>
          </cell>
          <cell r="F5062">
            <v>0</v>
          </cell>
          <cell r="G5062">
            <v>0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>
            <v>0</v>
          </cell>
        </row>
        <row r="5063">
          <cell r="C5063">
            <v>304002</v>
          </cell>
          <cell r="D5063" t="str">
            <v>Arsenio A. Quibranza NHS (LNNAIHS)</v>
          </cell>
          <cell r="E5063">
            <v>0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0</v>
          </cell>
        </row>
        <row r="5064">
          <cell r="C5064">
            <v>304003</v>
          </cell>
          <cell r="D5064" t="str">
            <v>Kapatagan NHS</v>
          </cell>
          <cell r="E5064">
            <v>0</v>
          </cell>
          <cell r="F5064">
            <v>0</v>
          </cell>
          <cell r="G5064">
            <v>0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0</v>
          </cell>
        </row>
        <row r="5065">
          <cell r="C5065">
            <v>304004</v>
          </cell>
          <cell r="D5065" t="str">
            <v>Lala NHS</v>
          </cell>
          <cell r="E5065">
            <v>0</v>
          </cell>
          <cell r="F5065">
            <v>0</v>
          </cell>
          <cell r="G5065">
            <v>0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0</v>
          </cell>
        </row>
        <row r="5066">
          <cell r="C5066">
            <v>304005</v>
          </cell>
          <cell r="D5066" t="str">
            <v>Lanao del Norte NCHS</v>
          </cell>
          <cell r="E5066">
            <v>0</v>
          </cell>
          <cell r="F5066">
            <v>0</v>
          </cell>
          <cell r="G5066">
            <v>0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>
            <v>0</v>
          </cell>
        </row>
        <row r="5067">
          <cell r="C5067">
            <v>304006</v>
          </cell>
          <cell r="D5067" t="str">
            <v>Placida Mequiabas Mem. NHS (Lapinig NHS)</v>
          </cell>
          <cell r="E5067">
            <v>0</v>
          </cell>
          <cell r="F5067">
            <v>0</v>
          </cell>
          <cell r="G5067">
            <v>0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>
            <v>0</v>
          </cell>
        </row>
        <row r="5068">
          <cell r="C5068">
            <v>304007</v>
          </cell>
          <cell r="D5068" t="str">
            <v>Liangan NHS</v>
          </cell>
          <cell r="E5068">
            <v>0</v>
          </cell>
          <cell r="F5068">
            <v>0</v>
          </cell>
          <cell r="G5068">
            <v>0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>
            <v>0</v>
          </cell>
        </row>
        <row r="5069">
          <cell r="C5069">
            <v>304008</v>
          </cell>
          <cell r="D5069" t="str">
            <v>Linamon NHS</v>
          </cell>
          <cell r="E5069">
            <v>0</v>
          </cell>
          <cell r="F5069">
            <v>0</v>
          </cell>
          <cell r="G5069">
            <v>0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>
            <v>0</v>
          </cell>
        </row>
        <row r="5070">
          <cell r="C5070">
            <v>304009</v>
          </cell>
          <cell r="D5070" t="str">
            <v>Magsaysay NHS</v>
          </cell>
          <cell r="E5070">
            <v>0</v>
          </cell>
          <cell r="F5070">
            <v>0</v>
          </cell>
          <cell r="G5070">
            <v>0</v>
          </cell>
          <cell r="H5070">
            <v>0</v>
          </cell>
          <cell r="I5070">
            <v>0</v>
          </cell>
          <cell r="J5070">
            <v>0</v>
          </cell>
          <cell r="K5070">
            <v>0</v>
          </cell>
          <cell r="L5070">
            <v>0</v>
          </cell>
        </row>
        <row r="5071">
          <cell r="C5071">
            <v>304010</v>
          </cell>
          <cell r="D5071" t="str">
            <v>Maigo NHS</v>
          </cell>
          <cell r="E5071">
            <v>0</v>
          </cell>
          <cell r="F5071">
            <v>0</v>
          </cell>
          <cell r="G5071">
            <v>0</v>
          </cell>
          <cell r="H5071">
            <v>0</v>
          </cell>
          <cell r="I5071">
            <v>8</v>
          </cell>
          <cell r="J5071">
            <v>8</v>
          </cell>
          <cell r="K5071">
            <v>8</v>
          </cell>
          <cell r="L5071">
            <v>8</v>
          </cell>
        </row>
        <row r="5072">
          <cell r="C5072">
            <v>304011</v>
          </cell>
          <cell r="D5072" t="str">
            <v>Marcela T. Mabanta NHS</v>
          </cell>
          <cell r="E5072">
            <v>0</v>
          </cell>
          <cell r="F5072">
            <v>0</v>
          </cell>
          <cell r="G5072">
            <v>1</v>
          </cell>
          <cell r="H5072">
            <v>0</v>
          </cell>
          <cell r="I5072">
            <v>1</v>
          </cell>
          <cell r="J5072">
            <v>0</v>
          </cell>
          <cell r="K5072">
            <v>0</v>
          </cell>
          <cell r="L5072">
            <v>0</v>
          </cell>
        </row>
        <row r="5073">
          <cell r="C5073">
            <v>304012</v>
          </cell>
          <cell r="D5073" t="str">
            <v>MATUNGAO NATIONAL HIGH SCHOOL</v>
          </cell>
          <cell r="E5073">
            <v>0</v>
          </cell>
          <cell r="F5073">
            <v>0</v>
          </cell>
          <cell r="G5073">
            <v>0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>
            <v>0</v>
          </cell>
        </row>
        <row r="5074">
          <cell r="C5074">
            <v>304013</v>
          </cell>
          <cell r="D5074" t="str">
            <v>Diego H. Patigayon NHS (Mukas NHS)</v>
          </cell>
          <cell r="E5074">
            <v>0</v>
          </cell>
          <cell r="F5074">
            <v>0</v>
          </cell>
          <cell r="G5074">
            <v>0</v>
          </cell>
          <cell r="H5074">
            <v>0</v>
          </cell>
          <cell r="I5074">
            <v>0</v>
          </cell>
          <cell r="J5074">
            <v>0</v>
          </cell>
          <cell r="K5074">
            <v>0</v>
          </cell>
          <cell r="L5074">
            <v>0</v>
          </cell>
        </row>
        <row r="5075">
          <cell r="C5075">
            <v>304014</v>
          </cell>
          <cell r="D5075" t="str">
            <v>Munai NHS</v>
          </cell>
          <cell r="E5075">
            <v>0</v>
          </cell>
          <cell r="F5075">
            <v>0</v>
          </cell>
          <cell r="G5075">
            <v>0</v>
          </cell>
          <cell r="H5075">
            <v>0</v>
          </cell>
          <cell r="I5075">
            <v>0</v>
          </cell>
          <cell r="J5075">
            <v>2</v>
          </cell>
          <cell r="K5075">
            <v>0</v>
          </cell>
          <cell r="L5075">
            <v>2</v>
          </cell>
        </row>
        <row r="5076">
          <cell r="C5076">
            <v>304015</v>
          </cell>
          <cell r="D5076" t="str">
            <v>Teofila C. Quibranza NHS (New Pualas NHS)</v>
          </cell>
          <cell r="E5076">
            <v>0</v>
          </cell>
          <cell r="F5076">
            <v>0</v>
          </cell>
          <cell r="G5076">
            <v>0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0</v>
          </cell>
        </row>
        <row r="5077">
          <cell r="C5077">
            <v>304016</v>
          </cell>
          <cell r="D5077" t="str">
            <v>Nunungan NHS</v>
          </cell>
          <cell r="E5077">
            <v>0</v>
          </cell>
          <cell r="F5077">
            <v>0</v>
          </cell>
          <cell r="G5077">
            <v>0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>
            <v>0</v>
          </cell>
        </row>
        <row r="5078">
          <cell r="C5078">
            <v>304017</v>
          </cell>
          <cell r="D5078" t="str">
            <v>Panoloon NHS</v>
          </cell>
          <cell r="E5078">
            <v>0</v>
          </cell>
          <cell r="F5078">
            <v>0</v>
          </cell>
          <cell r="G5078">
            <v>0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>
            <v>0</v>
          </cell>
        </row>
        <row r="5079">
          <cell r="C5079">
            <v>304018</v>
          </cell>
          <cell r="D5079" t="str">
            <v>Pantao Ragat Agro-Ind. HS</v>
          </cell>
          <cell r="E5079">
            <v>0</v>
          </cell>
          <cell r="F5079">
            <v>0</v>
          </cell>
          <cell r="G5079">
            <v>0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0</v>
          </cell>
        </row>
        <row r="5080">
          <cell r="C5080">
            <v>304019</v>
          </cell>
          <cell r="D5080" t="str">
            <v>Pantar NHS</v>
          </cell>
          <cell r="E5080">
            <v>0</v>
          </cell>
          <cell r="F5080">
            <v>0</v>
          </cell>
          <cell r="G5080">
            <v>0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0</v>
          </cell>
        </row>
        <row r="5081">
          <cell r="C5081">
            <v>304020</v>
          </cell>
          <cell r="D5081" t="str">
            <v>Geronima Cabrera NHS (Riverside NHS)</v>
          </cell>
          <cell r="E5081">
            <v>0</v>
          </cell>
          <cell r="F5081">
            <v>0</v>
          </cell>
          <cell r="G5081">
            <v>0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</row>
        <row r="5082">
          <cell r="C5082">
            <v>304021</v>
          </cell>
          <cell r="D5082" t="str">
            <v>Tagoloan NHS</v>
          </cell>
          <cell r="E5082">
            <v>0</v>
          </cell>
          <cell r="F5082">
            <v>0</v>
          </cell>
          <cell r="G5082">
            <v>1</v>
          </cell>
          <cell r="H5082">
            <v>0</v>
          </cell>
          <cell r="I5082">
            <v>0</v>
          </cell>
          <cell r="J5082">
            <v>1</v>
          </cell>
          <cell r="K5082">
            <v>0</v>
          </cell>
          <cell r="L5082">
            <v>0</v>
          </cell>
        </row>
        <row r="5083">
          <cell r="C5083">
            <v>304022</v>
          </cell>
          <cell r="D5083" t="str">
            <v>Andres Bersales, Sr. Nat'l. HS (Pandanan NHS)</v>
          </cell>
          <cell r="E5083">
            <v>0</v>
          </cell>
          <cell r="F5083">
            <v>0</v>
          </cell>
          <cell r="G5083">
            <v>0</v>
          </cell>
          <cell r="H5083">
            <v>0</v>
          </cell>
          <cell r="I5083">
            <v>2</v>
          </cell>
          <cell r="J5083">
            <v>2</v>
          </cell>
          <cell r="K5083">
            <v>2</v>
          </cell>
          <cell r="L5083">
            <v>2</v>
          </cell>
        </row>
        <row r="5084">
          <cell r="C5084">
            <v>304023</v>
          </cell>
          <cell r="D5084" t="str">
            <v>Salvador NHS (Salvador Trade HS)</v>
          </cell>
          <cell r="E5084">
            <v>0</v>
          </cell>
          <cell r="F5084">
            <v>0</v>
          </cell>
          <cell r="G5084">
            <v>0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>
            <v>0</v>
          </cell>
        </row>
        <row r="5085">
          <cell r="C5085">
            <v>315102</v>
          </cell>
          <cell r="D5085" t="str">
            <v>Lanao del Norte Provincial Science and Technology HS (former Malingao NHS (Annex New Pualas NHS)</v>
          </cell>
          <cell r="E5085">
            <v>0</v>
          </cell>
          <cell r="F5085">
            <v>0</v>
          </cell>
          <cell r="G5085">
            <v>0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>
            <v>0</v>
          </cell>
        </row>
        <row r="5086">
          <cell r="C5086">
            <v>315103</v>
          </cell>
          <cell r="D5086" t="str">
            <v>Tangcal NHS (Annex Magsaysay NHS)</v>
          </cell>
          <cell r="E5086">
            <v>0</v>
          </cell>
          <cell r="F5086">
            <v>0</v>
          </cell>
          <cell r="G5086">
            <v>0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>
            <v>0</v>
          </cell>
        </row>
        <row r="5087">
          <cell r="C5087">
            <v>315104</v>
          </cell>
          <cell r="D5087" t="str">
            <v>Poonapiagapo NHS(Annex Matungao NHS)</v>
          </cell>
          <cell r="E5087">
            <v>0</v>
          </cell>
          <cell r="F5087">
            <v>0</v>
          </cell>
          <cell r="G5087">
            <v>0</v>
          </cell>
          <cell r="H5087">
            <v>0</v>
          </cell>
          <cell r="I5087">
            <v>0</v>
          </cell>
          <cell r="J5087">
            <v>4</v>
          </cell>
          <cell r="K5087">
            <v>0</v>
          </cell>
          <cell r="L5087">
            <v>0</v>
          </cell>
        </row>
        <row r="5088">
          <cell r="C5088">
            <v>315106</v>
          </cell>
          <cell r="D5088" t="str">
            <v>Sultan Dimasangcay Mananggolo IS (Delabayan ES)</v>
          </cell>
          <cell r="E5088">
            <v>0</v>
          </cell>
          <cell r="F5088">
            <v>0</v>
          </cell>
          <cell r="G5088">
            <v>0</v>
          </cell>
          <cell r="H5088">
            <v>0</v>
          </cell>
          <cell r="I5088">
            <v>0</v>
          </cell>
          <cell r="J5088">
            <v>3</v>
          </cell>
          <cell r="K5088">
            <v>0</v>
          </cell>
          <cell r="L5088">
            <v>3</v>
          </cell>
        </row>
        <row r="5089">
          <cell r="C5089">
            <v>315110</v>
          </cell>
          <cell r="D5089" t="str">
            <v>SERGIO P. CERUJALES, JR. NHS</v>
          </cell>
          <cell r="E5089">
            <v>0</v>
          </cell>
          <cell r="F5089">
            <v>0</v>
          </cell>
          <cell r="G5089">
            <v>0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0</v>
          </cell>
        </row>
        <row r="5090">
          <cell r="C5090">
            <v>500248</v>
          </cell>
          <cell r="D5090" t="str">
            <v>Pagayawan IS</v>
          </cell>
          <cell r="E5090">
            <v>0</v>
          </cell>
          <cell r="F5090">
            <v>0</v>
          </cell>
          <cell r="G5090">
            <v>3</v>
          </cell>
          <cell r="H5090">
            <v>0</v>
          </cell>
          <cell r="I5090">
            <v>0</v>
          </cell>
          <cell r="J5090">
            <v>1</v>
          </cell>
          <cell r="K5090">
            <v>0</v>
          </cell>
          <cell r="L5090">
            <v>0</v>
          </cell>
        </row>
        <row r="5091">
          <cell r="C5091">
            <v>500249</v>
          </cell>
          <cell r="D5091" t="str">
            <v>Carusa Integrated School</v>
          </cell>
          <cell r="E5091">
            <v>0</v>
          </cell>
          <cell r="F5091">
            <v>0</v>
          </cell>
          <cell r="G5091">
            <v>3</v>
          </cell>
          <cell r="H5091">
            <v>0</v>
          </cell>
          <cell r="I5091">
            <v>0</v>
          </cell>
          <cell r="J5091">
            <v>1</v>
          </cell>
          <cell r="K5091">
            <v>1</v>
          </cell>
          <cell r="L5091">
            <v>1</v>
          </cell>
        </row>
        <row r="5092">
          <cell r="C5092">
            <v>500687</v>
          </cell>
          <cell r="D5092" t="str">
            <v>Dalama Integrated School</v>
          </cell>
          <cell r="E5092">
            <v>0</v>
          </cell>
          <cell r="F5092">
            <v>3</v>
          </cell>
          <cell r="G5092">
            <v>0</v>
          </cell>
          <cell r="H5092">
            <v>0</v>
          </cell>
          <cell r="I5092">
            <v>0</v>
          </cell>
          <cell r="J5092">
            <v>1</v>
          </cell>
          <cell r="K5092">
            <v>1</v>
          </cell>
          <cell r="L5092">
            <v>1</v>
          </cell>
        </row>
        <row r="5093">
          <cell r="C5093">
            <v>500688</v>
          </cell>
          <cell r="D5093" t="str">
            <v>Taguitic Integrated School</v>
          </cell>
          <cell r="E5093">
            <v>0</v>
          </cell>
          <cell r="F5093">
            <v>0</v>
          </cell>
          <cell r="G5093">
            <v>3</v>
          </cell>
          <cell r="H5093">
            <v>0</v>
          </cell>
          <cell r="I5093">
            <v>1</v>
          </cell>
          <cell r="J5093">
            <v>2</v>
          </cell>
          <cell r="K5093">
            <v>0</v>
          </cell>
          <cell r="L5093">
            <v>0</v>
          </cell>
        </row>
        <row r="5094">
          <cell r="C5094">
            <v>500689</v>
          </cell>
          <cell r="D5094" t="str">
            <v>Lala Proper ES</v>
          </cell>
          <cell r="E5094">
            <v>0</v>
          </cell>
          <cell r="F5094">
            <v>0</v>
          </cell>
          <cell r="G5094">
            <v>1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>
            <v>0</v>
          </cell>
        </row>
        <row r="5095">
          <cell r="C5095">
            <v>500690</v>
          </cell>
          <cell r="D5095" t="str">
            <v>Sultan Ali Dimaporo Memorial IS</v>
          </cell>
          <cell r="E5095">
            <v>0</v>
          </cell>
          <cell r="F5095">
            <v>0</v>
          </cell>
          <cell r="G5095">
            <v>0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>
            <v>0</v>
          </cell>
        </row>
        <row r="5096">
          <cell r="C5096">
            <v>500691</v>
          </cell>
          <cell r="D5096" t="str">
            <v>Sultan Naga Dimaporo Memorial Integrated School</v>
          </cell>
          <cell r="E5096">
            <v>0</v>
          </cell>
          <cell r="F5096">
            <v>0</v>
          </cell>
          <cell r="G5096">
            <v>0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>
            <v>0</v>
          </cell>
        </row>
        <row r="5097">
          <cell r="C5097">
            <v>501030</v>
          </cell>
          <cell r="D5097" t="str">
            <v>Samburon Integrated School</v>
          </cell>
          <cell r="E5097">
            <v>0</v>
          </cell>
          <cell r="F5097">
            <v>0</v>
          </cell>
          <cell r="G5097">
            <v>0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>
            <v>0</v>
          </cell>
        </row>
        <row r="5098">
          <cell r="C5098">
            <v>304024</v>
          </cell>
          <cell r="D5098" t="str">
            <v>Aloran Trade HS</v>
          </cell>
          <cell r="E5098">
            <v>0</v>
          </cell>
          <cell r="F5098">
            <v>0</v>
          </cell>
          <cell r="G5098">
            <v>0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>
            <v>0</v>
          </cell>
        </row>
        <row r="5099">
          <cell r="C5099">
            <v>304025</v>
          </cell>
          <cell r="D5099" t="str">
            <v>Baliangao SOF</v>
          </cell>
          <cell r="E5099">
            <v>0</v>
          </cell>
          <cell r="F5099">
            <v>0</v>
          </cell>
          <cell r="G5099">
            <v>0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>
            <v>0</v>
          </cell>
        </row>
        <row r="5100">
          <cell r="C5100">
            <v>304028</v>
          </cell>
          <cell r="D5100" t="str">
            <v>Bonifacio NHS</v>
          </cell>
          <cell r="E5100">
            <v>0</v>
          </cell>
          <cell r="F5100">
            <v>0</v>
          </cell>
          <cell r="G5100">
            <v>0</v>
          </cell>
          <cell r="H5100">
            <v>0</v>
          </cell>
          <cell r="I5100">
            <v>0</v>
          </cell>
          <cell r="J5100">
            <v>0</v>
          </cell>
          <cell r="K5100">
            <v>0</v>
          </cell>
          <cell r="L5100">
            <v>0</v>
          </cell>
        </row>
        <row r="5101">
          <cell r="C5101">
            <v>304030</v>
          </cell>
          <cell r="D5101" t="str">
            <v>Calamba CNHS</v>
          </cell>
          <cell r="E5101">
            <v>0</v>
          </cell>
          <cell r="F5101">
            <v>0</v>
          </cell>
          <cell r="G5101">
            <v>0</v>
          </cell>
          <cell r="H5101">
            <v>0</v>
          </cell>
          <cell r="I5101">
            <v>0</v>
          </cell>
          <cell r="J5101">
            <v>0</v>
          </cell>
          <cell r="K5101">
            <v>0</v>
          </cell>
          <cell r="L5101">
            <v>0</v>
          </cell>
        </row>
        <row r="5102">
          <cell r="C5102">
            <v>304031</v>
          </cell>
          <cell r="D5102" t="str">
            <v>Clarin NHS</v>
          </cell>
          <cell r="E5102">
            <v>0</v>
          </cell>
          <cell r="F5102">
            <v>0</v>
          </cell>
          <cell r="G5102">
            <v>0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>
            <v>0</v>
          </cell>
        </row>
        <row r="5103">
          <cell r="C5103">
            <v>304032</v>
          </cell>
          <cell r="D5103" t="str">
            <v>Congressman Hilarion J. Ramiro Jr. Memorial National High School</v>
          </cell>
          <cell r="E5103">
            <v>0</v>
          </cell>
          <cell r="F5103">
            <v>0</v>
          </cell>
          <cell r="G5103">
            <v>0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>
            <v>0</v>
          </cell>
        </row>
        <row r="5104">
          <cell r="C5104">
            <v>304033</v>
          </cell>
          <cell r="D5104" t="str">
            <v>Concepcion NHS</v>
          </cell>
          <cell r="E5104">
            <v>0</v>
          </cell>
          <cell r="F5104">
            <v>0</v>
          </cell>
          <cell r="G5104">
            <v>3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0</v>
          </cell>
        </row>
        <row r="5105">
          <cell r="C5105">
            <v>304034</v>
          </cell>
          <cell r="D5105" t="str">
            <v>Diwat National High School</v>
          </cell>
          <cell r="E5105">
            <v>0</v>
          </cell>
          <cell r="F5105">
            <v>0</v>
          </cell>
          <cell r="G5105">
            <v>0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0</v>
          </cell>
        </row>
        <row r="5106">
          <cell r="C5106">
            <v>304035</v>
          </cell>
          <cell r="D5106" t="str">
            <v>Don Victoriano NHS</v>
          </cell>
          <cell r="E5106">
            <v>0</v>
          </cell>
          <cell r="F5106">
            <v>0</v>
          </cell>
          <cell r="G5106">
            <v>0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0</v>
          </cell>
        </row>
        <row r="5107">
          <cell r="C5107">
            <v>304037</v>
          </cell>
          <cell r="D5107" t="str">
            <v>Jimenez NCHS</v>
          </cell>
          <cell r="E5107">
            <v>0</v>
          </cell>
          <cell r="F5107">
            <v>0</v>
          </cell>
          <cell r="G5107">
            <v>0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0</v>
          </cell>
        </row>
        <row r="5108">
          <cell r="C5108">
            <v>304038</v>
          </cell>
          <cell r="D5108" t="str">
            <v>Katipunan NHS</v>
          </cell>
          <cell r="E5108">
            <v>0</v>
          </cell>
          <cell r="F5108">
            <v>0</v>
          </cell>
          <cell r="G5108">
            <v>0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0</v>
          </cell>
        </row>
        <row r="5109">
          <cell r="C5109">
            <v>304039</v>
          </cell>
          <cell r="D5109" t="str">
            <v>Colambutan Bajo NHS</v>
          </cell>
          <cell r="E5109">
            <v>0</v>
          </cell>
          <cell r="F5109">
            <v>0</v>
          </cell>
          <cell r="G5109">
            <v>0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>
            <v>0</v>
          </cell>
        </row>
        <row r="5110">
          <cell r="C5110">
            <v>304040</v>
          </cell>
          <cell r="D5110" t="str">
            <v>LOOC NATIONAL HIGH SCHOOL</v>
          </cell>
          <cell r="E5110">
            <v>0</v>
          </cell>
          <cell r="F5110">
            <v>0</v>
          </cell>
          <cell r="G5110">
            <v>0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>
            <v>0</v>
          </cell>
        </row>
        <row r="5111">
          <cell r="C5111">
            <v>304042</v>
          </cell>
          <cell r="D5111" t="str">
            <v>Roque L. SU MNHS (Mabini NHS)</v>
          </cell>
          <cell r="E5111">
            <v>0</v>
          </cell>
          <cell r="F5111">
            <v>0</v>
          </cell>
          <cell r="G5111">
            <v>0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0</v>
          </cell>
        </row>
        <row r="5112">
          <cell r="C5112">
            <v>304043</v>
          </cell>
          <cell r="D5112" t="str">
            <v>Macalibre Alto NHS</v>
          </cell>
          <cell r="E5112">
            <v>0</v>
          </cell>
          <cell r="F5112">
            <v>0</v>
          </cell>
          <cell r="G5112">
            <v>0</v>
          </cell>
          <cell r="H5112">
            <v>0</v>
          </cell>
          <cell r="I5112">
            <v>0</v>
          </cell>
          <cell r="J5112">
            <v>0</v>
          </cell>
          <cell r="K5112">
            <v>0</v>
          </cell>
          <cell r="L5112">
            <v>0</v>
          </cell>
        </row>
        <row r="5113">
          <cell r="C5113">
            <v>304046</v>
          </cell>
          <cell r="D5113" t="str">
            <v>Nueva Vista National High School</v>
          </cell>
          <cell r="E5113">
            <v>0</v>
          </cell>
          <cell r="F5113">
            <v>0</v>
          </cell>
          <cell r="G5113">
            <v>0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>
            <v>0</v>
          </cell>
        </row>
        <row r="5114">
          <cell r="C5114">
            <v>304048</v>
          </cell>
          <cell r="D5114" t="str">
            <v>Panaon NHS</v>
          </cell>
          <cell r="E5114">
            <v>0</v>
          </cell>
          <cell r="F5114">
            <v>0</v>
          </cell>
          <cell r="G5114">
            <v>0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>
            <v>0</v>
          </cell>
        </row>
        <row r="5115">
          <cell r="C5115">
            <v>304051</v>
          </cell>
          <cell r="D5115" t="str">
            <v>Sapang Dalaga National High School</v>
          </cell>
          <cell r="E5115">
            <v>0</v>
          </cell>
          <cell r="F5115">
            <v>0</v>
          </cell>
          <cell r="G5115">
            <v>0</v>
          </cell>
          <cell r="H5115">
            <v>0</v>
          </cell>
          <cell r="I5115">
            <v>3</v>
          </cell>
          <cell r="J5115">
            <v>6</v>
          </cell>
          <cell r="K5115">
            <v>3</v>
          </cell>
          <cell r="L5115">
            <v>6</v>
          </cell>
        </row>
        <row r="5116">
          <cell r="C5116">
            <v>304055</v>
          </cell>
          <cell r="D5116" t="str">
            <v>Sinonoc NHS</v>
          </cell>
          <cell r="E5116">
            <v>0</v>
          </cell>
          <cell r="F5116">
            <v>0</v>
          </cell>
          <cell r="G5116">
            <v>0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0</v>
          </cell>
        </row>
        <row r="5117">
          <cell r="C5117">
            <v>304058</v>
          </cell>
          <cell r="D5117" t="str">
            <v>Tudela National Comprehensive High School</v>
          </cell>
          <cell r="E5117">
            <v>0</v>
          </cell>
          <cell r="F5117">
            <v>0</v>
          </cell>
          <cell r="G5117">
            <v>1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0</v>
          </cell>
        </row>
        <row r="5118">
          <cell r="C5118">
            <v>305578</v>
          </cell>
          <cell r="D5118" t="str">
            <v>Pisaan National High School</v>
          </cell>
          <cell r="E5118">
            <v>0</v>
          </cell>
          <cell r="F5118">
            <v>0</v>
          </cell>
          <cell r="G5118">
            <v>2</v>
          </cell>
          <cell r="H5118">
            <v>0</v>
          </cell>
          <cell r="I5118">
            <v>0</v>
          </cell>
          <cell r="J5118">
            <v>2</v>
          </cell>
          <cell r="K5118">
            <v>0</v>
          </cell>
          <cell r="L5118">
            <v>2</v>
          </cell>
        </row>
        <row r="5119">
          <cell r="C5119">
            <v>305579</v>
          </cell>
          <cell r="D5119" t="str">
            <v>Kanao-Kanao National High School</v>
          </cell>
          <cell r="E5119">
            <v>0</v>
          </cell>
          <cell r="F5119">
            <v>0</v>
          </cell>
          <cell r="G5119">
            <v>0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0</v>
          </cell>
        </row>
        <row r="5120">
          <cell r="C5120">
            <v>315201</v>
          </cell>
          <cell r="D5120" t="str">
            <v>Upper Usugan National Comprehensive High School</v>
          </cell>
          <cell r="E5120">
            <v>0</v>
          </cell>
          <cell r="F5120">
            <v>0</v>
          </cell>
          <cell r="G5120">
            <v>0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>
            <v>0</v>
          </cell>
        </row>
        <row r="5121">
          <cell r="C5121">
            <v>315203</v>
          </cell>
          <cell r="D5121" t="str">
            <v>Carmen IS</v>
          </cell>
          <cell r="E5121">
            <v>0</v>
          </cell>
          <cell r="F5121">
            <v>0</v>
          </cell>
          <cell r="G5121">
            <v>0</v>
          </cell>
          <cell r="H5121">
            <v>0</v>
          </cell>
          <cell r="I5121">
            <v>0</v>
          </cell>
          <cell r="J5121">
            <v>4</v>
          </cell>
          <cell r="K5121">
            <v>0</v>
          </cell>
          <cell r="L5121">
            <v>0</v>
          </cell>
        </row>
        <row r="5122">
          <cell r="C5122">
            <v>315204</v>
          </cell>
          <cell r="D5122" t="str">
            <v>Ignacio Tan MIS</v>
          </cell>
          <cell r="E5122">
            <v>0</v>
          </cell>
          <cell r="F5122">
            <v>0</v>
          </cell>
          <cell r="G5122">
            <v>0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>
            <v>0</v>
          </cell>
        </row>
        <row r="5123">
          <cell r="C5123">
            <v>315207</v>
          </cell>
          <cell r="D5123" t="str">
            <v>Sibugon IS</v>
          </cell>
          <cell r="E5123">
            <v>0</v>
          </cell>
          <cell r="F5123">
            <v>0</v>
          </cell>
          <cell r="G5123">
            <v>0</v>
          </cell>
          <cell r="H5123">
            <v>0</v>
          </cell>
          <cell r="I5123">
            <v>2</v>
          </cell>
          <cell r="J5123">
            <v>7</v>
          </cell>
          <cell r="K5123">
            <v>2</v>
          </cell>
          <cell r="L5123">
            <v>7</v>
          </cell>
        </row>
        <row r="5124">
          <cell r="C5124">
            <v>315208</v>
          </cell>
          <cell r="D5124" t="str">
            <v>Aquino IS</v>
          </cell>
          <cell r="E5124">
            <v>0</v>
          </cell>
          <cell r="F5124">
            <v>0</v>
          </cell>
          <cell r="G5124">
            <v>0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0</v>
          </cell>
        </row>
        <row r="5125">
          <cell r="C5125">
            <v>315211</v>
          </cell>
          <cell r="D5125" t="str">
            <v>Lampasan Integrated School</v>
          </cell>
          <cell r="E5125">
            <v>0</v>
          </cell>
          <cell r="F5125">
            <v>0</v>
          </cell>
          <cell r="G5125">
            <v>0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>
            <v>0</v>
          </cell>
        </row>
        <row r="5126">
          <cell r="C5126">
            <v>304059</v>
          </cell>
          <cell r="D5126" t="str">
            <v>Alubijid NCHS</v>
          </cell>
          <cell r="E5126">
            <v>0</v>
          </cell>
          <cell r="F5126">
            <v>0</v>
          </cell>
          <cell r="G5126">
            <v>0</v>
          </cell>
          <cell r="H5126">
            <v>0</v>
          </cell>
          <cell r="I5126">
            <v>0</v>
          </cell>
          <cell r="J5126">
            <v>0</v>
          </cell>
          <cell r="K5126">
            <v>0</v>
          </cell>
          <cell r="L5126">
            <v>0</v>
          </cell>
        </row>
        <row r="5127">
          <cell r="C5127">
            <v>304061</v>
          </cell>
          <cell r="D5127" t="str">
            <v>Baliwagan NHS</v>
          </cell>
          <cell r="E5127">
            <v>0</v>
          </cell>
          <cell r="F5127">
            <v>0</v>
          </cell>
          <cell r="G5127">
            <v>0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0</v>
          </cell>
        </row>
        <row r="5128">
          <cell r="C5128">
            <v>304062</v>
          </cell>
          <cell r="D5128" t="str">
            <v>Binuangan NHS</v>
          </cell>
          <cell r="E5128">
            <v>0</v>
          </cell>
          <cell r="F5128">
            <v>0</v>
          </cell>
          <cell r="G5128">
            <v>0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0</v>
          </cell>
        </row>
        <row r="5129">
          <cell r="C5129">
            <v>304063</v>
          </cell>
          <cell r="D5129" t="str">
            <v>Bobontugan NHS</v>
          </cell>
          <cell r="E5129">
            <v>0</v>
          </cell>
          <cell r="F5129">
            <v>0</v>
          </cell>
          <cell r="G5129">
            <v>0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0</v>
          </cell>
        </row>
        <row r="5130">
          <cell r="C5130">
            <v>304064</v>
          </cell>
          <cell r="D5130" t="str">
            <v>Cabalantian NHS</v>
          </cell>
          <cell r="E5130">
            <v>0</v>
          </cell>
          <cell r="F5130">
            <v>0</v>
          </cell>
          <cell r="G5130">
            <v>0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0</v>
          </cell>
        </row>
        <row r="5131">
          <cell r="C5131">
            <v>304066</v>
          </cell>
          <cell r="D5131" t="str">
            <v>Consuelo NHS</v>
          </cell>
          <cell r="E5131">
            <v>0</v>
          </cell>
          <cell r="F5131">
            <v>0</v>
          </cell>
          <cell r="G5131">
            <v>0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>
            <v>0</v>
          </cell>
        </row>
        <row r="5132">
          <cell r="C5132">
            <v>304069</v>
          </cell>
          <cell r="D5132" t="str">
            <v>Dr. Gerardo Sabal MNHS</v>
          </cell>
          <cell r="E5132">
            <v>0</v>
          </cell>
          <cell r="F5132">
            <v>140</v>
          </cell>
          <cell r="G5132">
            <v>0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>
            <v>0</v>
          </cell>
        </row>
        <row r="5133">
          <cell r="C5133">
            <v>304071</v>
          </cell>
          <cell r="D5133" t="str">
            <v>Hinaplanan NHS</v>
          </cell>
          <cell r="E5133">
            <v>0</v>
          </cell>
          <cell r="F5133">
            <v>0</v>
          </cell>
          <cell r="G5133">
            <v>0</v>
          </cell>
          <cell r="H5133">
            <v>0</v>
          </cell>
          <cell r="I5133">
            <v>0</v>
          </cell>
          <cell r="J5133">
            <v>0</v>
          </cell>
          <cell r="K5133">
            <v>0</v>
          </cell>
          <cell r="L5133">
            <v>0</v>
          </cell>
        </row>
        <row r="5134">
          <cell r="C5134">
            <v>304072</v>
          </cell>
          <cell r="D5134" t="str">
            <v>Initao NCHS</v>
          </cell>
          <cell r="E5134">
            <v>0</v>
          </cell>
          <cell r="F5134">
            <v>0</v>
          </cell>
          <cell r="G5134">
            <v>0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>
            <v>0</v>
          </cell>
        </row>
        <row r="5135">
          <cell r="C5135">
            <v>304073</v>
          </cell>
          <cell r="D5135" t="str">
            <v>Jasaan NHS</v>
          </cell>
          <cell r="E5135">
            <v>0</v>
          </cell>
          <cell r="F5135">
            <v>0</v>
          </cell>
          <cell r="G5135">
            <v>0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0</v>
          </cell>
        </row>
        <row r="5136">
          <cell r="C5136">
            <v>304074</v>
          </cell>
          <cell r="D5136" t="str">
            <v>Kalingagan NHS</v>
          </cell>
          <cell r="E5136">
            <v>0</v>
          </cell>
          <cell r="F5136">
            <v>0</v>
          </cell>
          <cell r="G5136">
            <v>0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>
            <v>0</v>
          </cell>
        </row>
        <row r="5137">
          <cell r="C5137">
            <v>304076</v>
          </cell>
          <cell r="D5137" t="str">
            <v>Kibungsod NHS</v>
          </cell>
          <cell r="E5137">
            <v>0</v>
          </cell>
          <cell r="F5137">
            <v>0</v>
          </cell>
          <cell r="G5137">
            <v>0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0</v>
          </cell>
        </row>
        <row r="5138">
          <cell r="C5138">
            <v>304077</v>
          </cell>
          <cell r="D5138" t="str">
            <v>Kinoguitan Nat'l Agricultural HS</v>
          </cell>
          <cell r="E5138">
            <v>0</v>
          </cell>
          <cell r="F5138">
            <v>0</v>
          </cell>
          <cell r="G5138">
            <v>0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0</v>
          </cell>
        </row>
        <row r="5139">
          <cell r="C5139">
            <v>304078</v>
          </cell>
          <cell r="D5139" t="str">
            <v>Laguindingan NHS</v>
          </cell>
          <cell r="E5139">
            <v>0</v>
          </cell>
          <cell r="F5139">
            <v>0</v>
          </cell>
          <cell r="G5139">
            <v>0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0</v>
          </cell>
        </row>
        <row r="5140">
          <cell r="C5140">
            <v>304079</v>
          </cell>
          <cell r="D5140" t="str">
            <v>Libertad NHS</v>
          </cell>
          <cell r="E5140">
            <v>0</v>
          </cell>
          <cell r="F5140">
            <v>0</v>
          </cell>
          <cell r="G5140">
            <v>0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>
            <v>0</v>
          </cell>
        </row>
        <row r="5141">
          <cell r="C5141">
            <v>304080</v>
          </cell>
          <cell r="D5141" t="str">
            <v>Looc NHS</v>
          </cell>
          <cell r="E5141">
            <v>0</v>
          </cell>
          <cell r="F5141">
            <v>0</v>
          </cell>
          <cell r="G5141">
            <v>0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>
            <v>0</v>
          </cell>
        </row>
        <row r="5142">
          <cell r="C5142">
            <v>304081</v>
          </cell>
          <cell r="D5142" t="str">
            <v>Lourdes Alubijid NHS</v>
          </cell>
          <cell r="E5142">
            <v>0</v>
          </cell>
          <cell r="F5142">
            <v>0</v>
          </cell>
          <cell r="G5142">
            <v>0</v>
          </cell>
          <cell r="H5142">
            <v>0</v>
          </cell>
          <cell r="I5142">
            <v>1</v>
          </cell>
          <cell r="J5142">
            <v>2</v>
          </cell>
          <cell r="K5142">
            <v>1</v>
          </cell>
          <cell r="L5142">
            <v>2</v>
          </cell>
        </row>
        <row r="5143">
          <cell r="C5143">
            <v>304083</v>
          </cell>
          <cell r="D5143" t="str">
            <v>Malagana NHS</v>
          </cell>
          <cell r="E5143">
            <v>0</v>
          </cell>
          <cell r="F5143">
            <v>0</v>
          </cell>
          <cell r="G5143">
            <v>0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>
            <v>0</v>
          </cell>
        </row>
        <row r="5144">
          <cell r="C5144">
            <v>304086</v>
          </cell>
          <cell r="D5144" t="str">
            <v>Matangad NHS</v>
          </cell>
          <cell r="E5144">
            <v>0</v>
          </cell>
          <cell r="F5144">
            <v>0</v>
          </cell>
          <cell r="G5144">
            <v>0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>
            <v>0</v>
          </cell>
        </row>
        <row r="5145">
          <cell r="C5145">
            <v>304087</v>
          </cell>
          <cell r="D5145" t="str">
            <v>Mat-i (Claveria) NHS</v>
          </cell>
          <cell r="E5145">
            <v>0</v>
          </cell>
          <cell r="F5145">
            <v>0</v>
          </cell>
          <cell r="G5145">
            <v>0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>
            <v>0</v>
          </cell>
        </row>
        <row r="5146">
          <cell r="C5146">
            <v>304088</v>
          </cell>
          <cell r="D5146" t="str">
            <v>Mat-i (Naawan) NHS</v>
          </cell>
          <cell r="E5146">
            <v>0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>
            <v>0</v>
          </cell>
        </row>
        <row r="5147">
          <cell r="C5147">
            <v>304089</v>
          </cell>
          <cell r="D5147" t="str">
            <v>Medina NCHS</v>
          </cell>
          <cell r="E5147">
            <v>0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0</v>
          </cell>
        </row>
        <row r="5148">
          <cell r="C5148">
            <v>304091</v>
          </cell>
          <cell r="D5148" t="str">
            <v>Mis. Or. Gen. CHS</v>
          </cell>
          <cell r="E5148">
            <v>0</v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0</v>
          </cell>
        </row>
        <row r="5149">
          <cell r="C5149">
            <v>304093</v>
          </cell>
          <cell r="D5149" t="str">
            <v>Talisayan NHS</v>
          </cell>
          <cell r="E5149">
            <v>0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0</v>
          </cell>
        </row>
        <row r="5150">
          <cell r="C5150">
            <v>304094</v>
          </cell>
          <cell r="D5150" t="str">
            <v>Opol NSTS</v>
          </cell>
          <cell r="E5150">
            <v>0</v>
          </cell>
          <cell r="F5150">
            <v>0</v>
          </cell>
          <cell r="G5150">
            <v>0</v>
          </cell>
          <cell r="H5150">
            <v>0</v>
          </cell>
          <cell r="I5150">
            <v>2</v>
          </cell>
          <cell r="J5150">
            <v>14</v>
          </cell>
          <cell r="K5150">
            <v>3</v>
          </cell>
          <cell r="L5150">
            <v>14</v>
          </cell>
        </row>
        <row r="5151">
          <cell r="C5151">
            <v>304095</v>
          </cell>
          <cell r="D5151" t="str">
            <v>Portulin NHS</v>
          </cell>
          <cell r="E5151">
            <v>0</v>
          </cell>
          <cell r="F5151">
            <v>0</v>
          </cell>
          <cell r="G5151">
            <v>0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0</v>
          </cell>
        </row>
        <row r="5152">
          <cell r="C5152">
            <v>304096</v>
          </cell>
          <cell r="D5152" t="str">
            <v>Salay NHS</v>
          </cell>
          <cell r="E5152">
            <v>0</v>
          </cell>
          <cell r="F5152">
            <v>0</v>
          </cell>
          <cell r="G5152">
            <v>0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>
            <v>0</v>
          </cell>
        </row>
        <row r="5153">
          <cell r="C5153">
            <v>304097</v>
          </cell>
          <cell r="D5153" t="str">
            <v>San Isidro NHS</v>
          </cell>
          <cell r="E5153">
            <v>0</v>
          </cell>
          <cell r="F5153">
            <v>0</v>
          </cell>
          <cell r="G5153">
            <v>0</v>
          </cell>
          <cell r="H5153">
            <v>0</v>
          </cell>
          <cell r="I5153">
            <v>1</v>
          </cell>
          <cell r="J5153">
            <v>1</v>
          </cell>
          <cell r="K5153">
            <v>1</v>
          </cell>
          <cell r="L5153">
            <v>1</v>
          </cell>
        </row>
        <row r="5154">
          <cell r="C5154">
            <v>304098</v>
          </cell>
          <cell r="D5154" t="str">
            <v>San Juan National High School</v>
          </cell>
          <cell r="E5154">
            <v>0</v>
          </cell>
          <cell r="F5154">
            <v>0</v>
          </cell>
          <cell r="G5154">
            <v>0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>
            <v>0</v>
          </cell>
        </row>
        <row r="5155">
          <cell r="C5155">
            <v>304099</v>
          </cell>
          <cell r="D5155" t="str">
            <v>Sta. Ana NHS</v>
          </cell>
          <cell r="E5155">
            <v>0</v>
          </cell>
          <cell r="F5155">
            <v>0</v>
          </cell>
          <cell r="G5155">
            <v>0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0</v>
          </cell>
        </row>
        <row r="5156">
          <cell r="C5156">
            <v>304101</v>
          </cell>
          <cell r="D5156" t="str">
            <v>Sugbongcogon NHS</v>
          </cell>
          <cell r="E5156">
            <v>0</v>
          </cell>
          <cell r="F5156">
            <v>0</v>
          </cell>
          <cell r="G5156">
            <v>0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>
            <v>0</v>
          </cell>
        </row>
        <row r="5157">
          <cell r="C5157">
            <v>315301</v>
          </cell>
          <cell r="D5157" t="str">
            <v>Bagocboc NHS</v>
          </cell>
          <cell r="E5157">
            <v>0</v>
          </cell>
          <cell r="F5157">
            <v>0</v>
          </cell>
          <cell r="G5157">
            <v>0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>
            <v>0</v>
          </cell>
        </row>
        <row r="5158">
          <cell r="C5158">
            <v>315302</v>
          </cell>
          <cell r="D5158" t="str">
            <v>Danao NHS</v>
          </cell>
          <cell r="E5158">
            <v>0</v>
          </cell>
          <cell r="F5158">
            <v>0</v>
          </cell>
          <cell r="G5158">
            <v>0</v>
          </cell>
          <cell r="H5158">
            <v>0</v>
          </cell>
          <cell r="I5158">
            <v>1</v>
          </cell>
          <cell r="J5158">
            <v>1</v>
          </cell>
          <cell r="K5158">
            <v>1</v>
          </cell>
          <cell r="L5158">
            <v>2</v>
          </cell>
        </row>
        <row r="5159">
          <cell r="C5159">
            <v>315304</v>
          </cell>
          <cell r="D5159" t="str">
            <v>Lumbo NHS</v>
          </cell>
          <cell r="E5159">
            <v>0</v>
          </cell>
          <cell r="F5159">
            <v>0</v>
          </cell>
          <cell r="G5159">
            <v>0</v>
          </cell>
          <cell r="H5159">
            <v>0</v>
          </cell>
          <cell r="I5159">
            <v>0</v>
          </cell>
          <cell r="J5159">
            <v>0</v>
          </cell>
          <cell r="K5159">
            <v>0</v>
          </cell>
          <cell r="L5159">
            <v>0</v>
          </cell>
        </row>
        <row r="5160">
          <cell r="C5160">
            <v>315306</v>
          </cell>
          <cell r="D5160" t="str">
            <v>Rosario NHS</v>
          </cell>
          <cell r="E5160">
            <v>0</v>
          </cell>
          <cell r="F5160">
            <v>0</v>
          </cell>
          <cell r="G5160">
            <v>0</v>
          </cell>
          <cell r="H5160">
            <v>0</v>
          </cell>
          <cell r="I5160">
            <v>1</v>
          </cell>
          <cell r="J5160">
            <v>3</v>
          </cell>
          <cell r="K5160">
            <v>0</v>
          </cell>
          <cell r="L5160">
            <v>0</v>
          </cell>
        </row>
        <row r="5161">
          <cell r="C5161">
            <v>315307</v>
          </cell>
          <cell r="D5161" t="str">
            <v>Manticao NHS</v>
          </cell>
          <cell r="E5161">
            <v>0</v>
          </cell>
          <cell r="F5161">
            <v>0</v>
          </cell>
          <cell r="G5161">
            <v>0</v>
          </cell>
          <cell r="H5161">
            <v>0</v>
          </cell>
          <cell r="I5161">
            <v>3</v>
          </cell>
          <cell r="J5161">
            <v>4</v>
          </cell>
          <cell r="K5161">
            <v>3</v>
          </cell>
          <cell r="L5161">
            <v>4</v>
          </cell>
        </row>
        <row r="5162">
          <cell r="C5162">
            <v>315309</v>
          </cell>
          <cell r="D5162" t="str">
            <v>Aposkahoy NHS</v>
          </cell>
          <cell r="E5162">
            <v>0</v>
          </cell>
          <cell r="F5162">
            <v>0</v>
          </cell>
          <cell r="G5162">
            <v>0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>
            <v>0</v>
          </cell>
        </row>
        <row r="5163">
          <cell r="C5163">
            <v>315315</v>
          </cell>
          <cell r="D5163" t="str">
            <v>Tambobong-Balacanas NHS</v>
          </cell>
          <cell r="E5163">
            <v>0</v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0</v>
          </cell>
        </row>
        <row r="5164">
          <cell r="C5164">
            <v>315317</v>
          </cell>
          <cell r="D5164" t="str">
            <v>Kalacapan NHS</v>
          </cell>
          <cell r="E5164">
            <v>0</v>
          </cell>
          <cell r="F5164">
            <v>0</v>
          </cell>
          <cell r="G5164">
            <v>0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>
            <v>0</v>
          </cell>
        </row>
        <row r="5165">
          <cell r="C5165">
            <v>341227</v>
          </cell>
          <cell r="D5165" t="str">
            <v>Balingasag Senior High School</v>
          </cell>
          <cell r="E5165">
            <v>0</v>
          </cell>
          <cell r="F5165">
            <v>0</v>
          </cell>
          <cell r="G5165">
            <v>0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>
            <v>0</v>
          </cell>
        </row>
        <row r="5166">
          <cell r="C5166">
            <v>341228</v>
          </cell>
          <cell r="D5166" t="str">
            <v>Mantangale Senior High School</v>
          </cell>
          <cell r="E5166">
            <v>0</v>
          </cell>
          <cell r="F5166">
            <v>0</v>
          </cell>
          <cell r="G5166">
            <v>0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0</v>
          </cell>
        </row>
        <row r="5167">
          <cell r="C5167">
            <v>341230</v>
          </cell>
          <cell r="D5167" t="str">
            <v>Maputi Senior High School</v>
          </cell>
          <cell r="E5167">
            <v>0</v>
          </cell>
          <cell r="F5167">
            <v>0</v>
          </cell>
          <cell r="G5167">
            <v>0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>
            <v>0</v>
          </cell>
        </row>
        <row r="5168">
          <cell r="C5168">
            <v>341231</v>
          </cell>
          <cell r="D5168" t="str">
            <v>Tagoloan Senior High School</v>
          </cell>
          <cell r="E5168">
            <v>0</v>
          </cell>
          <cell r="F5168">
            <v>0</v>
          </cell>
          <cell r="G5168">
            <v>0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>
            <v>0</v>
          </cell>
        </row>
        <row r="5169">
          <cell r="C5169">
            <v>341232</v>
          </cell>
          <cell r="D5169" t="str">
            <v>Villanueva Senior High School</v>
          </cell>
          <cell r="E5169">
            <v>0</v>
          </cell>
          <cell r="F5169">
            <v>0</v>
          </cell>
          <cell r="G5169">
            <v>0</v>
          </cell>
          <cell r="H5169">
            <v>0</v>
          </cell>
          <cell r="I5169">
            <v>2</v>
          </cell>
          <cell r="J5169">
            <v>4</v>
          </cell>
          <cell r="K5169">
            <v>0</v>
          </cell>
          <cell r="L5169">
            <v>0</v>
          </cell>
        </row>
        <row r="5170">
          <cell r="C5170">
            <v>341233</v>
          </cell>
          <cell r="D5170" t="str">
            <v>Kinoguitan Senior High School</v>
          </cell>
          <cell r="E5170">
            <v>0</v>
          </cell>
          <cell r="F5170">
            <v>0</v>
          </cell>
          <cell r="G5170">
            <v>0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0</v>
          </cell>
        </row>
        <row r="5171">
          <cell r="C5171">
            <v>341234</v>
          </cell>
          <cell r="D5171" t="str">
            <v>Lagonglong Senior High School</v>
          </cell>
          <cell r="E5171">
            <v>0</v>
          </cell>
          <cell r="F5171">
            <v>0</v>
          </cell>
          <cell r="G5171">
            <v>0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>
            <v>0</v>
          </cell>
        </row>
        <row r="5172">
          <cell r="C5172">
            <v>341235</v>
          </cell>
          <cell r="D5172" t="str">
            <v>Sta. Ines Senior High School</v>
          </cell>
          <cell r="E5172">
            <v>0</v>
          </cell>
          <cell r="F5172">
            <v>0</v>
          </cell>
          <cell r="G5172">
            <v>0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>
            <v>0</v>
          </cell>
        </row>
        <row r="5173">
          <cell r="C5173">
            <v>360847</v>
          </cell>
          <cell r="D5173" t="str">
            <v>Lugait Senior High School</v>
          </cell>
          <cell r="E5173">
            <v>0</v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0</v>
          </cell>
        </row>
        <row r="5174">
          <cell r="C5174">
            <v>360848</v>
          </cell>
          <cell r="D5174" t="str">
            <v>Esperanza Senior High School</v>
          </cell>
          <cell r="E5174">
            <v>0</v>
          </cell>
          <cell r="F5174">
            <v>0</v>
          </cell>
          <cell r="G5174">
            <v>0</v>
          </cell>
          <cell r="H5174">
            <v>0</v>
          </cell>
          <cell r="I5174">
            <v>0</v>
          </cell>
          <cell r="J5174">
            <v>0</v>
          </cell>
          <cell r="K5174">
            <v>0</v>
          </cell>
          <cell r="L5174">
            <v>0</v>
          </cell>
        </row>
        <row r="5175">
          <cell r="C5175">
            <v>500251</v>
          </cell>
          <cell r="D5175" t="str">
            <v>Lantad IS</v>
          </cell>
          <cell r="E5175">
            <v>0</v>
          </cell>
          <cell r="F5175">
            <v>0</v>
          </cell>
          <cell r="G5175">
            <v>0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0</v>
          </cell>
        </row>
        <row r="5176">
          <cell r="C5176">
            <v>304104</v>
          </cell>
          <cell r="D5176" t="str">
            <v>Agusan National High School</v>
          </cell>
          <cell r="E5176">
            <v>0</v>
          </cell>
          <cell r="F5176">
            <v>0</v>
          </cell>
          <cell r="G5176">
            <v>0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0</v>
          </cell>
        </row>
        <row r="5177">
          <cell r="C5177">
            <v>304105</v>
          </cell>
          <cell r="D5177" t="str">
            <v>Tablon National High School</v>
          </cell>
          <cell r="E5177">
            <v>0</v>
          </cell>
          <cell r="F5177">
            <v>0</v>
          </cell>
          <cell r="G5177">
            <v>0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0</v>
          </cell>
        </row>
        <row r="5178">
          <cell r="C5178">
            <v>304106</v>
          </cell>
          <cell r="D5178" t="str">
            <v>Bayabas National High School</v>
          </cell>
          <cell r="E5178">
            <v>0</v>
          </cell>
          <cell r="F5178">
            <v>0</v>
          </cell>
          <cell r="G5178">
            <v>0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>
            <v>0</v>
          </cell>
        </row>
        <row r="5179">
          <cell r="C5179">
            <v>304107</v>
          </cell>
          <cell r="D5179" t="str">
            <v>Bugo National High School</v>
          </cell>
          <cell r="E5179">
            <v>0</v>
          </cell>
          <cell r="F5179">
            <v>0</v>
          </cell>
          <cell r="G5179">
            <v>0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0</v>
          </cell>
        </row>
        <row r="5180">
          <cell r="C5180">
            <v>304108</v>
          </cell>
          <cell r="D5180" t="str">
            <v>Bulua National High School</v>
          </cell>
          <cell r="E5180">
            <v>0</v>
          </cell>
          <cell r="F5180">
            <v>0</v>
          </cell>
          <cell r="G5180">
            <v>0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0</v>
          </cell>
        </row>
        <row r="5181">
          <cell r="C5181">
            <v>304109</v>
          </cell>
          <cell r="D5181" t="str">
            <v>Canitoan National High School</v>
          </cell>
          <cell r="E5181">
            <v>0</v>
          </cell>
          <cell r="F5181">
            <v>0</v>
          </cell>
          <cell r="G5181">
            <v>0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>
            <v>0</v>
          </cell>
        </row>
        <row r="5182">
          <cell r="C5182">
            <v>304110</v>
          </cell>
          <cell r="D5182" t="str">
            <v>Pedro "Oloy" N. Roa, Sr. National High School</v>
          </cell>
          <cell r="E5182">
            <v>0</v>
          </cell>
          <cell r="F5182">
            <v>0</v>
          </cell>
          <cell r="G5182">
            <v>0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0</v>
          </cell>
        </row>
        <row r="5183">
          <cell r="C5183">
            <v>304111</v>
          </cell>
          <cell r="D5183" t="str">
            <v>CAGAYAN DE ORO NATIONAL HIGH SCHOOL</v>
          </cell>
          <cell r="E5183">
            <v>0</v>
          </cell>
          <cell r="F5183">
            <v>0</v>
          </cell>
          <cell r="G5183">
            <v>0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0</v>
          </cell>
        </row>
        <row r="5184">
          <cell r="C5184">
            <v>304112</v>
          </cell>
          <cell r="D5184" t="str">
            <v>Carmen National High School</v>
          </cell>
          <cell r="E5184">
            <v>0</v>
          </cell>
          <cell r="F5184">
            <v>0</v>
          </cell>
          <cell r="G5184">
            <v>0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>
            <v>0</v>
          </cell>
        </row>
        <row r="5185">
          <cell r="C5185">
            <v>304113</v>
          </cell>
          <cell r="D5185" t="str">
            <v>Angeles Sisters National High School</v>
          </cell>
          <cell r="E5185">
            <v>0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0</v>
          </cell>
        </row>
        <row r="5186">
          <cell r="C5186">
            <v>304114</v>
          </cell>
          <cell r="D5186" t="str">
            <v>Gusa Regional Science High School-X</v>
          </cell>
          <cell r="E5186">
            <v>0</v>
          </cell>
          <cell r="F5186">
            <v>0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0</v>
          </cell>
        </row>
        <row r="5187">
          <cell r="C5187">
            <v>304115</v>
          </cell>
          <cell r="D5187" t="str">
            <v>Gusa NHS-Cugman Annex</v>
          </cell>
          <cell r="E5187">
            <v>0</v>
          </cell>
          <cell r="F5187">
            <v>0</v>
          </cell>
          <cell r="G5187">
            <v>0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0</v>
          </cell>
        </row>
        <row r="5188">
          <cell r="C5188">
            <v>304116</v>
          </cell>
          <cell r="D5188" t="str">
            <v>Indahag National High School</v>
          </cell>
          <cell r="E5188">
            <v>0</v>
          </cell>
          <cell r="F5188">
            <v>0</v>
          </cell>
          <cell r="G5188">
            <v>0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>
            <v>0</v>
          </cell>
        </row>
        <row r="5189">
          <cell r="C5189">
            <v>304117</v>
          </cell>
          <cell r="D5189" t="str">
            <v>Iponan National High School</v>
          </cell>
          <cell r="E5189">
            <v>0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</row>
        <row r="5190">
          <cell r="C5190">
            <v>304118</v>
          </cell>
          <cell r="D5190" t="str">
            <v>Lapasan National High School</v>
          </cell>
          <cell r="E5190">
            <v>0</v>
          </cell>
          <cell r="F5190">
            <v>0</v>
          </cell>
          <cell r="G5190">
            <v>0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>
            <v>0</v>
          </cell>
        </row>
        <row r="5191">
          <cell r="C5191">
            <v>304119</v>
          </cell>
          <cell r="D5191" t="str">
            <v>Lumbia National High School</v>
          </cell>
          <cell r="E5191">
            <v>0</v>
          </cell>
          <cell r="F5191">
            <v>0</v>
          </cell>
          <cell r="G5191">
            <v>0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0</v>
          </cell>
        </row>
        <row r="5192">
          <cell r="C5192">
            <v>304120</v>
          </cell>
          <cell r="D5192" t="str">
            <v>Macabalan National High School</v>
          </cell>
          <cell r="E5192">
            <v>0</v>
          </cell>
          <cell r="F5192">
            <v>0</v>
          </cell>
          <cell r="G5192">
            <v>0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0</v>
          </cell>
        </row>
        <row r="5193">
          <cell r="C5193">
            <v>304121</v>
          </cell>
          <cell r="D5193" t="str">
            <v>Mambuaya National High School</v>
          </cell>
          <cell r="E5193">
            <v>0</v>
          </cell>
          <cell r="F5193">
            <v>0</v>
          </cell>
          <cell r="G5193">
            <v>0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0</v>
          </cell>
        </row>
        <row r="5194">
          <cell r="C5194">
            <v>304122</v>
          </cell>
          <cell r="D5194" t="str">
            <v>Mambuaya NHS-Bayanga Annex</v>
          </cell>
          <cell r="E5194">
            <v>0</v>
          </cell>
          <cell r="F5194">
            <v>0</v>
          </cell>
          <cell r="G5194">
            <v>0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>
            <v>0</v>
          </cell>
        </row>
        <row r="5195">
          <cell r="C5195">
            <v>304123</v>
          </cell>
          <cell r="D5195" t="str">
            <v>Tignapoloan NHS</v>
          </cell>
          <cell r="E5195">
            <v>0</v>
          </cell>
          <cell r="F5195">
            <v>0</v>
          </cell>
          <cell r="G5195">
            <v>0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0</v>
          </cell>
        </row>
        <row r="5196">
          <cell r="C5196">
            <v>304124</v>
          </cell>
          <cell r="D5196" t="str">
            <v>Puntod National High School</v>
          </cell>
          <cell r="E5196">
            <v>0</v>
          </cell>
          <cell r="F5196">
            <v>0</v>
          </cell>
          <cell r="G5196">
            <v>0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>
            <v>0</v>
          </cell>
        </row>
        <row r="5197">
          <cell r="C5197">
            <v>304125</v>
          </cell>
          <cell r="D5197" t="str">
            <v>Taglimao National High School</v>
          </cell>
          <cell r="E5197">
            <v>0</v>
          </cell>
          <cell r="F5197">
            <v>0</v>
          </cell>
          <cell r="G5197">
            <v>0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0</v>
          </cell>
        </row>
        <row r="5198">
          <cell r="C5198">
            <v>304126</v>
          </cell>
          <cell r="D5198" t="str">
            <v>Taglimao NHS-Besigan Annex</v>
          </cell>
          <cell r="E5198">
            <v>0</v>
          </cell>
          <cell r="F5198">
            <v>0</v>
          </cell>
          <cell r="G5198">
            <v>0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>
            <v>0</v>
          </cell>
        </row>
        <row r="5199">
          <cell r="C5199">
            <v>304127</v>
          </cell>
          <cell r="D5199" t="str">
            <v>Tagpangi National High School</v>
          </cell>
          <cell r="E5199">
            <v>0</v>
          </cell>
          <cell r="F5199">
            <v>0</v>
          </cell>
          <cell r="G5199">
            <v>0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>
            <v>0</v>
          </cell>
        </row>
        <row r="5200">
          <cell r="C5200">
            <v>304128</v>
          </cell>
          <cell r="D5200" t="str">
            <v>Tagpangi NHS-Tuburan Annex</v>
          </cell>
          <cell r="E5200">
            <v>0</v>
          </cell>
          <cell r="F5200">
            <v>0</v>
          </cell>
          <cell r="G5200">
            <v>0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>
            <v>0</v>
          </cell>
        </row>
        <row r="5201">
          <cell r="C5201">
            <v>315401</v>
          </cell>
          <cell r="D5201" t="str">
            <v>Balubal National High School</v>
          </cell>
          <cell r="E5201">
            <v>0</v>
          </cell>
          <cell r="F5201">
            <v>0</v>
          </cell>
          <cell r="G5201">
            <v>0</v>
          </cell>
          <cell r="H5201">
            <v>0</v>
          </cell>
          <cell r="I5201">
            <v>0</v>
          </cell>
          <cell r="J5201">
            <v>0</v>
          </cell>
          <cell r="K5201">
            <v>0</v>
          </cell>
          <cell r="L5201">
            <v>0</v>
          </cell>
        </row>
        <row r="5202">
          <cell r="C5202">
            <v>315402</v>
          </cell>
          <cell r="D5202" t="str">
            <v>Puerto National High School</v>
          </cell>
          <cell r="E5202">
            <v>0</v>
          </cell>
          <cell r="F5202">
            <v>0</v>
          </cell>
          <cell r="G5202">
            <v>0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>
            <v>0</v>
          </cell>
        </row>
        <row r="5203">
          <cell r="C5203">
            <v>315403</v>
          </cell>
          <cell r="D5203" t="str">
            <v>Cagayan de Oro NHS - Balulang Annex</v>
          </cell>
          <cell r="E5203">
            <v>0</v>
          </cell>
          <cell r="F5203">
            <v>0</v>
          </cell>
          <cell r="G5203">
            <v>0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>
            <v>0</v>
          </cell>
        </row>
        <row r="5204">
          <cell r="C5204">
            <v>315404</v>
          </cell>
          <cell r="D5204" t="str">
            <v>Camaman-an National High School</v>
          </cell>
          <cell r="E5204">
            <v>0</v>
          </cell>
          <cell r="F5204">
            <v>0</v>
          </cell>
          <cell r="G5204">
            <v>0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>
            <v>0</v>
          </cell>
        </row>
        <row r="5205">
          <cell r="C5205">
            <v>315405</v>
          </cell>
          <cell r="D5205" t="str">
            <v>Mambuaya NHS-Dansolihon Annex</v>
          </cell>
          <cell r="E5205">
            <v>0</v>
          </cell>
          <cell r="F5205">
            <v>0</v>
          </cell>
          <cell r="G5205">
            <v>0</v>
          </cell>
          <cell r="H5205">
            <v>0</v>
          </cell>
          <cell r="I5205">
            <v>1</v>
          </cell>
          <cell r="J5205">
            <v>2</v>
          </cell>
          <cell r="K5205">
            <v>1</v>
          </cell>
          <cell r="L5205">
            <v>2</v>
          </cell>
        </row>
        <row r="5206">
          <cell r="C5206">
            <v>315406</v>
          </cell>
          <cell r="D5206" t="str">
            <v>Taglimao NHS-Tumpagon Annex</v>
          </cell>
          <cell r="E5206">
            <v>0</v>
          </cell>
          <cell r="F5206">
            <v>0</v>
          </cell>
          <cell r="G5206">
            <v>0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0</v>
          </cell>
        </row>
        <row r="5207">
          <cell r="C5207">
            <v>315407</v>
          </cell>
          <cell r="D5207" t="str">
            <v>East Gusa National High School</v>
          </cell>
          <cell r="E5207">
            <v>0</v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</row>
        <row r="5208">
          <cell r="C5208">
            <v>315408</v>
          </cell>
          <cell r="D5208" t="str">
            <v>Gusa NHS - FS Catanico Annex</v>
          </cell>
          <cell r="E5208">
            <v>0</v>
          </cell>
          <cell r="F5208">
            <v>0</v>
          </cell>
          <cell r="G5208">
            <v>0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>
            <v>0</v>
          </cell>
        </row>
        <row r="5209">
          <cell r="C5209">
            <v>315409</v>
          </cell>
          <cell r="D5209" t="str">
            <v>Iponan NHS - San Simon Annex</v>
          </cell>
          <cell r="E5209">
            <v>0</v>
          </cell>
          <cell r="F5209">
            <v>0</v>
          </cell>
          <cell r="G5209">
            <v>0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0</v>
          </cell>
        </row>
        <row r="5210">
          <cell r="C5210">
            <v>315410</v>
          </cell>
          <cell r="D5210" t="str">
            <v>Macasandig National High School</v>
          </cell>
          <cell r="E5210">
            <v>0</v>
          </cell>
          <cell r="F5210">
            <v>0</v>
          </cell>
          <cell r="G5210">
            <v>0</v>
          </cell>
          <cell r="H5210">
            <v>0</v>
          </cell>
          <cell r="I5210">
            <v>1</v>
          </cell>
          <cell r="J5210">
            <v>8</v>
          </cell>
          <cell r="K5210">
            <v>0</v>
          </cell>
          <cell r="L5210">
            <v>0</v>
          </cell>
        </row>
        <row r="5211">
          <cell r="C5211">
            <v>315411</v>
          </cell>
          <cell r="D5211" t="str">
            <v>Kauswagan National High School</v>
          </cell>
          <cell r="E5211">
            <v>0</v>
          </cell>
          <cell r="F5211">
            <v>0</v>
          </cell>
          <cell r="G5211">
            <v>0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0</v>
          </cell>
        </row>
        <row r="5212">
          <cell r="C5212">
            <v>315412</v>
          </cell>
          <cell r="D5212" t="str">
            <v>Bonbon National High School</v>
          </cell>
          <cell r="E5212">
            <v>0</v>
          </cell>
          <cell r="F5212">
            <v>0</v>
          </cell>
          <cell r="G5212">
            <v>0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>
            <v>0</v>
          </cell>
        </row>
        <row r="5213">
          <cell r="C5213">
            <v>304129</v>
          </cell>
          <cell r="D5213" t="str">
            <v>Bal-ason NHS</v>
          </cell>
          <cell r="E5213">
            <v>0</v>
          </cell>
          <cell r="F5213">
            <v>0</v>
          </cell>
          <cell r="G5213">
            <v>0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0</v>
          </cell>
        </row>
        <row r="5214">
          <cell r="C5214">
            <v>304130</v>
          </cell>
          <cell r="D5214" t="str">
            <v>Gingoog City CNHS</v>
          </cell>
          <cell r="E5214">
            <v>0</v>
          </cell>
          <cell r="F5214">
            <v>0</v>
          </cell>
          <cell r="G5214">
            <v>0</v>
          </cell>
          <cell r="H5214">
            <v>7</v>
          </cell>
          <cell r="I5214">
            <v>4</v>
          </cell>
          <cell r="J5214">
            <v>3</v>
          </cell>
          <cell r="K5214">
            <v>4</v>
          </cell>
          <cell r="L5214">
            <v>3</v>
          </cell>
        </row>
        <row r="5215">
          <cell r="C5215">
            <v>304131</v>
          </cell>
          <cell r="D5215" t="str">
            <v>Gingoog City CNHS - BACKKISMI NHS Annex</v>
          </cell>
          <cell r="E5215">
            <v>0</v>
          </cell>
          <cell r="F5215">
            <v>0</v>
          </cell>
          <cell r="G5215">
            <v>0</v>
          </cell>
          <cell r="H5215">
            <v>0</v>
          </cell>
          <cell r="I5215">
            <v>0</v>
          </cell>
          <cell r="J5215">
            <v>0</v>
          </cell>
          <cell r="K5215">
            <v>0</v>
          </cell>
          <cell r="L5215">
            <v>0</v>
          </cell>
        </row>
        <row r="5216">
          <cell r="C5216">
            <v>304132</v>
          </cell>
          <cell r="D5216" t="str">
            <v>Kalipay National High School</v>
          </cell>
          <cell r="E5216">
            <v>0</v>
          </cell>
          <cell r="F5216">
            <v>0</v>
          </cell>
          <cell r="G5216">
            <v>0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0</v>
          </cell>
        </row>
        <row r="5217">
          <cell r="C5217">
            <v>304133</v>
          </cell>
          <cell r="D5217" t="str">
            <v>Malibud National High School</v>
          </cell>
          <cell r="E5217">
            <v>0</v>
          </cell>
          <cell r="F5217">
            <v>0</v>
          </cell>
          <cell r="G5217">
            <v>0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0</v>
          </cell>
        </row>
        <row r="5218">
          <cell r="C5218">
            <v>304134</v>
          </cell>
          <cell r="D5218" t="str">
            <v>Malinao National High School</v>
          </cell>
          <cell r="E5218">
            <v>0</v>
          </cell>
          <cell r="F5218">
            <v>0</v>
          </cell>
          <cell r="G5218">
            <v>0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0</v>
          </cell>
        </row>
        <row r="5219">
          <cell r="C5219">
            <v>304135</v>
          </cell>
          <cell r="D5219" t="str">
            <v>Mimbunga National High School</v>
          </cell>
          <cell r="E5219">
            <v>0</v>
          </cell>
          <cell r="F5219">
            <v>0</v>
          </cell>
          <cell r="G5219">
            <v>0</v>
          </cell>
          <cell r="H5219">
            <v>0</v>
          </cell>
          <cell r="I5219">
            <v>0</v>
          </cell>
          <cell r="J5219">
            <v>0</v>
          </cell>
          <cell r="K5219">
            <v>0</v>
          </cell>
          <cell r="L5219">
            <v>0</v>
          </cell>
        </row>
        <row r="5220">
          <cell r="C5220">
            <v>304136</v>
          </cell>
          <cell r="D5220" t="str">
            <v>Jacinto D. Malimas Sr. National High School</v>
          </cell>
          <cell r="E5220">
            <v>0</v>
          </cell>
          <cell r="F5220">
            <v>0</v>
          </cell>
          <cell r="G5220">
            <v>0</v>
          </cell>
          <cell r="H5220">
            <v>0</v>
          </cell>
          <cell r="I5220">
            <v>6</v>
          </cell>
          <cell r="J5220">
            <v>5</v>
          </cell>
          <cell r="K5220">
            <v>0</v>
          </cell>
          <cell r="L5220">
            <v>0</v>
          </cell>
        </row>
        <row r="5221">
          <cell r="C5221">
            <v>304137</v>
          </cell>
          <cell r="D5221" t="str">
            <v>San Luis National High School</v>
          </cell>
          <cell r="E5221">
            <v>0</v>
          </cell>
          <cell r="F5221">
            <v>0</v>
          </cell>
          <cell r="G5221">
            <v>0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>
            <v>0</v>
          </cell>
        </row>
        <row r="5222">
          <cell r="C5222">
            <v>315501</v>
          </cell>
          <cell r="D5222" t="str">
            <v>EUREKA NATIONAL HIGH SCHOOL</v>
          </cell>
          <cell r="E5222">
            <v>0</v>
          </cell>
          <cell r="F5222">
            <v>0</v>
          </cell>
          <cell r="G5222">
            <v>0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>
            <v>0</v>
          </cell>
        </row>
        <row r="5223">
          <cell r="C5223">
            <v>315502</v>
          </cell>
          <cell r="D5223" t="str">
            <v>Odiongan NHS - Talisay NHS Annex</v>
          </cell>
          <cell r="E5223">
            <v>0</v>
          </cell>
          <cell r="F5223">
            <v>0</v>
          </cell>
          <cell r="G5223">
            <v>0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0</v>
          </cell>
        </row>
        <row r="5224">
          <cell r="C5224">
            <v>315503</v>
          </cell>
          <cell r="D5224" t="str">
            <v>Gingoog City CNHS - LURISA NHS Annex</v>
          </cell>
          <cell r="E5224">
            <v>0</v>
          </cell>
          <cell r="F5224">
            <v>0</v>
          </cell>
          <cell r="G5224">
            <v>0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>
            <v>0</v>
          </cell>
        </row>
        <row r="5225">
          <cell r="C5225">
            <v>315504</v>
          </cell>
          <cell r="D5225" t="str">
            <v>Gingoog City CNHS - PUNDASAN NHS Annex</v>
          </cell>
          <cell r="E5225">
            <v>0</v>
          </cell>
          <cell r="F5225">
            <v>0</v>
          </cell>
          <cell r="G5225">
            <v>0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>
            <v>0</v>
          </cell>
        </row>
        <row r="5226">
          <cell r="C5226">
            <v>315505</v>
          </cell>
          <cell r="D5226" t="str">
            <v>Gingoog City CNHS - Anakan NHS Annex</v>
          </cell>
          <cell r="E5226">
            <v>0</v>
          </cell>
          <cell r="F5226">
            <v>0</v>
          </cell>
          <cell r="G5226">
            <v>0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0</v>
          </cell>
        </row>
        <row r="5227">
          <cell r="C5227">
            <v>315506</v>
          </cell>
          <cell r="D5227" t="str">
            <v>Kisandi National High School</v>
          </cell>
          <cell r="E5227">
            <v>0</v>
          </cell>
          <cell r="F5227">
            <v>0</v>
          </cell>
          <cell r="G5227">
            <v>0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>
            <v>0</v>
          </cell>
        </row>
        <row r="5228">
          <cell r="C5228">
            <v>315507</v>
          </cell>
          <cell r="D5228" t="str">
            <v>Lunao National High School</v>
          </cell>
          <cell r="E5228">
            <v>0</v>
          </cell>
          <cell r="F5228">
            <v>0</v>
          </cell>
          <cell r="G5228">
            <v>0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>
            <v>0</v>
          </cell>
        </row>
        <row r="5229">
          <cell r="C5229">
            <v>500800</v>
          </cell>
          <cell r="D5229" t="str">
            <v>Dukdokaan Integrated School - Elem</v>
          </cell>
          <cell r="E5229">
            <v>0</v>
          </cell>
          <cell r="F5229">
            <v>0</v>
          </cell>
          <cell r="G5229">
            <v>0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>
            <v>0</v>
          </cell>
        </row>
        <row r="5230">
          <cell r="C5230">
            <v>304138</v>
          </cell>
          <cell r="D5230" t="str">
            <v>Acelo C. Badelles, Sr. MHS (Tipanoy NHS)</v>
          </cell>
          <cell r="E5230">
            <v>0</v>
          </cell>
          <cell r="F5230">
            <v>0</v>
          </cell>
          <cell r="G5230">
            <v>0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0</v>
          </cell>
        </row>
        <row r="5231">
          <cell r="C5231">
            <v>304139</v>
          </cell>
          <cell r="D5231" t="str">
            <v>Acelo C. Badelles, Sr. MNHS - Abuno HS Annex</v>
          </cell>
          <cell r="E5231">
            <v>0</v>
          </cell>
          <cell r="F5231">
            <v>0</v>
          </cell>
          <cell r="G5231">
            <v>0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0</v>
          </cell>
        </row>
        <row r="5232">
          <cell r="C5232">
            <v>304140</v>
          </cell>
          <cell r="D5232" t="str">
            <v>Bunawan Agri. HS</v>
          </cell>
          <cell r="E5232">
            <v>0</v>
          </cell>
          <cell r="F5232">
            <v>0</v>
          </cell>
          <cell r="G5232">
            <v>0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>
            <v>0</v>
          </cell>
        </row>
        <row r="5233">
          <cell r="C5233">
            <v>304142</v>
          </cell>
          <cell r="D5233" t="str">
            <v>KABACSANAN NATIONAL HIGH SCHOOL</v>
          </cell>
          <cell r="E5233">
            <v>0</v>
          </cell>
          <cell r="F5233">
            <v>0</v>
          </cell>
          <cell r="G5233">
            <v>0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0</v>
          </cell>
        </row>
        <row r="5234">
          <cell r="C5234">
            <v>304143</v>
          </cell>
          <cell r="D5234" t="str">
            <v>Dalipuga National High School</v>
          </cell>
          <cell r="E5234">
            <v>0</v>
          </cell>
          <cell r="F5234">
            <v>0</v>
          </cell>
          <cell r="G5234">
            <v>0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>
            <v>0</v>
          </cell>
        </row>
        <row r="5235">
          <cell r="C5235">
            <v>304144</v>
          </cell>
          <cell r="D5235" t="str">
            <v>Dalipuga NHS - Hindang NHS Annex</v>
          </cell>
          <cell r="E5235">
            <v>0</v>
          </cell>
          <cell r="F5235">
            <v>0</v>
          </cell>
          <cell r="G5235">
            <v>0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>
            <v>0</v>
          </cell>
        </row>
        <row r="5236">
          <cell r="C5236">
            <v>304145</v>
          </cell>
          <cell r="D5236" t="str">
            <v>Iligan City NHS</v>
          </cell>
          <cell r="E5236">
            <v>0</v>
          </cell>
          <cell r="F5236">
            <v>0</v>
          </cell>
          <cell r="G5236">
            <v>0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>
            <v>0</v>
          </cell>
        </row>
        <row r="5237">
          <cell r="C5237">
            <v>304146</v>
          </cell>
          <cell r="D5237" t="str">
            <v>Iligan City East National HS (Sta. Filomena)</v>
          </cell>
          <cell r="E5237">
            <v>0</v>
          </cell>
          <cell r="F5237">
            <v>0</v>
          </cell>
          <cell r="G5237">
            <v>0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>
            <v>0</v>
          </cell>
        </row>
        <row r="5238">
          <cell r="C5238">
            <v>304147</v>
          </cell>
          <cell r="D5238" t="str">
            <v>KIWALAN NATIONAL HIGH SCHOOL</v>
          </cell>
          <cell r="E5238">
            <v>0</v>
          </cell>
          <cell r="F5238">
            <v>0</v>
          </cell>
          <cell r="G5238">
            <v>0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0</v>
          </cell>
        </row>
        <row r="5239">
          <cell r="C5239">
            <v>304148</v>
          </cell>
          <cell r="D5239" t="str">
            <v>Iligan City East HS - Santiago HS Annex</v>
          </cell>
          <cell r="E5239">
            <v>0</v>
          </cell>
          <cell r="F5239">
            <v>0</v>
          </cell>
          <cell r="G5239">
            <v>0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>
            <v>0</v>
          </cell>
        </row>
        <row r="5240">
          <cell r="C5240">
            <v>304149</v>
          </cell>
          <cell r="D5240" t="str">
            <v>Iligan City East High School - Hinaplanon Annex</v>
          </cell>
          <cell r="E5240">
            <v>0</v>
          </cell>
          <cell r="F5240">
            <v>0</v>
          </cell>
          <cell r="G5240">
            <v>0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>
            <v>0</v>
          </cell>
        </row>
        <row r="5241">
          <cell r="C5241">
            <v>304150</v>
          </cell>
          <cell r="D5241" t="str">
            <v>Iligan City NSOF</v>
          </cell>
          <cell r="E5241">
            <v>0</v>
          </cell>
          <cell r="F5241">
            <v>0</v>
          </cell>
          <cell r="G5241">
            <v>0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>
            <v>0</v>
          </cell>
        </row>
        <row r="5242">
          <cell r="C5242">
            <v>304151</v>
          </cell>
          <cell r="D5242" t="str">
            <v>Mainit High School</v>
          </cell>
          <cell r="E5242">
            <v>0</v>
          </cell>
          <cell r="F5242">
            <v>0</v>
          </cell>
          <cell r="G5242">
            <v>0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>
            <v>0</v>
          </cell>
        </row>
        <row r="5243">
          <cell r="C5243">
            <v>304152</v>
          </cell>
          <cell r="D5243" t="str">
            <v>Maria Cristina National High School</v>
          </cell>
          <cell r="E5243">
            <v>0</v>
          </cell>
          <cell r="F5243">
            <v>0</v>
          </cell>
          <cell r="G5243">
            <v>0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>
            <v>0</v>
          </cell>
        </row>
        <row r="5244">
          <cell r="C5244">
            <v>304153</v>
          </cell>
          <cell r="D5244" t="str">
            <v>Ditucalan National High School</v>
          </cell>
          <cell r="E5244">
            <v>0</v>
          </cell>
          <cell r="F5244">
            <v>0</v>
          </cell>
          <cell r="G5244">
            <v>0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>
            <v>0</v>
          </cell>
        </row>
        <row r="5245">
          <cell r="C5245">
            <v>304154</v>
          </cell>
          <cell r="D5245" t="str">
            <v>Esperidion F. Encabo I MHS (Pugaan NHS)</v>
          </cell>
          <cell r="E5245">
            <v>0</v>
          </cell>
          <cell r="F5245">
            <v>0</v>
          </cell>
          <cell r="G5245">
            <v>0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>
            <v>0</v>
          </cell>
        </row>
        <row r="5246">
          <cell r="C5246">
            <v>304155</v>
          </cell>
          <cell r="D5246" t="str">
            <v>Rogongon Agricultural High School</v>
          </cell>
          <cell r="E5246">
            <v>0</v>
          </cell>
          <cell r="F5246">
            <v>0</v>
          </cell>
          <cell r="G5246">
            <v>0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0</v>
          </cell>
        </row>
        <row r="5247">
          <cell r="C5247">
            <v>304156</v>
          </cell>
          <cell r="D5247" t="str">
            <v>Suarez National High School</v>
          </cell>
          <cell r="E5247">
            <v>0</v>
          </cell>
          <cell r="F5247">
            <v>0</v>
          </cell>
          <cell r="G5247">
            <v>0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0</v>
          </cell>
        </row>
        <row r="5248">
          <cell r="C5248">
            <v>304157</v>
          </cell>
          <cell r="D5248" t="str">
            <v>Tomas Cabili National High School</v>
          </cell>
          <cell r="E5248">
            <v>0</v>
          </cell>
          <cell r="F5248">
            <v>0</v>
          </cell>
          <cell r="G5248">
            <v>0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>
            <v>0</v>
          </cell>
        </row>
        <row r="5249">
          <cell r="C5249">
            <v>304158</v>
          </cell>
          <cell r="D5249" t="str">
            <v>Tomas Cabili NHS - Annex</v>
          </cell>
          <cell r="E5249">
            <v>0</v>
          </cell>
          <cell r="F5249">
            <v>0</v>
          </cell>
          <cell r="G5249">
            <v>0</v>
          </cell>
          <cell r="H5249">
            <v>0</v>
          </cell>
          <cell r="I5249">
            <v>0</v>
          </cell>
          <cell r="J5249">
            <v>0</v>
          </cell>
          <cell r="K5249">
            <v>0</v>
          </cell>
          <cell r="L5249">
            <v>0</v>
          </cell>
        </row>
        <row r="5250">
          <cell r="C5250">
            <v>304159</v>
          </cell>
          <cell r="D5250" t="str">
            <v>Tubaran NHS</v>
          </cell>
          <cell r="E5250">
            <v>0</v>
          </cell>
          <cell r="F5250">
            <v>0</v>
          </cell>
          <cell r="G5250">
            <v>0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0</v>
          </cell>
        </row>
        <row r="5251">
          <cell r="C5251">
            <v>304160</v>
          </cell>
          <cell r="D5251" t="str">
            <v>Tubaran NHS - Digkilaan HS Annex</v>
          </cell>
          <cell r="E5251">
            <v>0</v>
          </cell>
          <cell r="F5251">
            <v>0</v>
          </cell>
          <cell r="G5251">
            <v>0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>
            <v>0</v>
          </cell>
        </row>
        <row r="5252">
          <cell r="C5252">
            <v>315603</v>
          </cell>
          <cell r="D5252" t="str">
            <v>Iligan City NHS - Tambacan HS Annex</v>
          </cell>
          <cell r="E5252">
            <v>0</v>
          </cell>
          <cell r="F5252">
            <v>0</v>
          </cell>
          <cell r="G5252">
            <v>0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>
            <v>0</v>
          </cell>
        </row>
        <row r="5253">
          <cell r="C5253">
            <v>315606</v>
          </cell>
          <cell r="D5253" t="str">
            <v>Tubaran NHS (Lanipao Annex)</v>
          </cell>
          <cell r="E5253">
            <v>0</v>
          </cell>
          <cell r="F5253">
            <v>0</v>
          </cell>
          <cell r="G5253">
            <v>0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>
            <v>0</v>
          </cell>
        </row>
        <row r="5254">
          <cell r="C5254">
            <v>315609</v>
          </cell>
          <cell r="D5254" t="str">
            <v>Kalubihon High School</v>
          </cell>
          <cell r="E5254">
            <v>0</v>
          </cell>
          <cell r="F5254">
            <v>0</v>
          </cell>
          <cell r="G5254">
            <v>0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</row>
        <row r="5255">
          <cell r="C5255">
            <v>500696</v>
          </cell>
          <cell r="D5255" t="str">
            <v>Francisco Laya Memorial Integrated School</v>
          </cell>
          <cell r="E5255">
            <v>0</v>
          </cell>
          <cell r="F5255">
            <v>0</v>
          </cell>
          <cell r="G5255">
            <v>0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0</v>
          </cell>
        </row>
        <row r="5256">
          <cell r="C5256">
            <v>500698</v>
          </cell>
          <cell r="D5256" t="str">
            <v>Del Carmen Integrated School</v>
          </cell>
          <cell r="E5256">
            <v>0</v>
          </cell>
          <cell r="F5256">
            <v>0</v>
          </cell>
          <cell r="G5256">
            <v>0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>
            <v>0</v>
          </cell>
        </row>
        <row r="5257">
          <cell r="C5257">
            <v>304161</v>
          </cell>
          <cell r="D5257" t="str">
            <v>Labinay National High School</v>
          </cell>
          <cell r="E5257">
            <v>0</v>
          </cell>
          <cell r="F5257">
            <v>0</v>
          </cell>
          <cell r="G5257">
            <v>0</v>
          </cell>
          <cell r="H5257">
            <v>0</v>
          </cell>
          <cell r="I5257">
            <v>0</v>
          </cell>
          <cell r="J5257">
            <v>2</v>
          </cell>
          <cell r="K5257">
            <v>0</v>
          </cell>
          <cell r="L5257">
            <v>2</v>
          </cell>
        </row>
        <row r="5258">
          <cell r="C5258">
            <v>304162</v>
          </cell>
          <cell r="D5258" t="str">
            <v>Tabid National High School</v>
          </cell>
          <cell r="E5258">
            <v>0</v>
          </cell>
          <cell r="F5258">
            <v>0</v>
          </cell>
          <cell r="G5258">
            <v>0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0</v>
          </cell>
        </row>
        <row r="5259">
          <cell r="C5259">
            <v>304163</v>
          </cell>
          <cell r="D5259" t="str">
            <v>Labo National High School</v>
          </cell>
          <cell r="E5259">
            <v>0</v>
          </cell>
          <cell r="F5259">
            <v>0</v>
          </cell>
          <cell r="G5259">
            <v>0</v>
          </cell>
          <cell r="H5259">
            <v>0</v>
          </cell>
          <cell r="I5259">
            <v>2</v>
          </cell>
          <cell r="J5259">
            <v>3</v>
          </cell>
          <cell r="K5259">
            <v>2</v>
          </cell>
          <cell r="L5259">
            <v>3</v>
          </cell>
        </row>
        <row r="5260">
          <cell r="C5260">
            <v>304164</v>
          </cell>
          <cell r="D5260" t="str">
            <v>Jose Lim Ho National High School</v>
          </cell>
          <cell r="E5260">
            <v>0</v>
          </cell>
          <cell r="F5260">
            <v>0</v>
          </cell>
          <cell r="G5260">
            <v>0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>
            <v>0</v>
          </cell>
        </row>
        <row r="5261">
          <cell r="C5261">
            <v>304165</v>
          </cell>
          <cell r="D5261" t="str">
            <v>San Antonio National High School</v>
          </cell>
          <cell r="E5261">
            <v>0</v>
          </cell>
          <cell r="F5261">
            <v>0</v>
          </cell>
          <cell r="G5261">
            <v>0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>
            <v>0</v>
          </cell>
        </row>
        <row r="5262">
          <cell r="C5262">
            <v>304166</v>
          </cell>
          <cell r="D5262" t="str">
            <v>Montol National High School</v>
          </cell>
          <cell r="E5262">
            <v>0</v>
          </cell>
          <cell r="F5262">
            <v>0</v>
          </cell>
          <cell r="G5262">
            <v>0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>
            <v>0</v>
          </cell>
        </row>
        <row r="5263">
          <cell r="C5263">
            <v>304167</v>
          </cell>
          <cell r="D5263" t="str">
            <v>Ozamiz City National High School</v>
          </cell>
          <cell r="E5263">
            <v>0</v>
          </cell>
          <cell r="F5263">
            <v>0</v>
          </cell>
          <cell r="G5263">
            <v>0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0</v>
          </cell>
        </row>
        <row r="5264">
          <cell r="C5264">
            <v>304168</v>
          </cell>
          <cell r="D5264" t="str">
            <v>Ozamiz City School of Arts and Trades</v>
          </cell>
          <cell r="E5264">
            <v>0</v>
          </cell>
          <cell r="F5264">
            <v>0</v>
          </cell>
          <cell r="G5264">
            <v>0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>
            <v>0</v>
          </cell>
        </row>
        <row r="5265">
          <cell r="C5265">
            <v>304169</v>
          </cell>
          <cell r="D5265" t="str">
            <v>Pulot National High School</v>
          </cell>
          <cell r="E5265">
            <v>0</v>
          </cell>
          <cell r="F5265">
            <v>0</v>
          </cell>
          <cell r="G5265">
            <v>0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>
            <v>0</v>
          </cell>
        </row>
        <row r="5266">
          <cell r="C5266">
            <v>501209</v>
          </cell>
          <cell r="D5266" t="str">
            <v>Marcelino C. Regis Integrated School</v>
          </cell>
          <cell r="E5266">
            <v>0</v>
          </cell>
          <cell r="F5266">
            <v>0</v>
          </cell>
          <cell r="G5266">
            <v>0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>
            <v>0</v>
          </cell>
        </row>
        <row r="5267">
          <cell r="C5267">
            <v>304029</v>
          </cell>
          <cell r="D5267" t="str">
            <v>Bunga NHS</v>
          </cell>
          <cell r="E5267">
            <v>0</v>
          </cell>
          <cell r="F5267">
            <v>0</v>
          </cell>
          <cell r="G5267">
            <v>0</v>
          </cell>
          <cell r="H5267">
            <v>0</v>
          </cell>
          <cell r="I5267">
            <v>0</v>
          </cell>
          <cell r="J5267">
            <v>3</v>
          </cell>
          <cell r="K5267">
            <v>0</v>
          </cell>
          <cell r="L5267">
            <v>3</v>
          </cell>
        </row>
        <row r="5268">
          <cell r="C5268">
            <v>304044</v>
          </cell>
          <cell r="D5268" t="str">
            <v>Misamis Occidental Science and Technology High School</v>
          </cell>
          <cell r="E5268">
            <v>0</v>
          </cell>
          <cell r="F5268">
            <v>0</v>
          </cell>
          <cell r="G5268">
            <v>0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>
            <v>0</v>
          </cell>
        </row>
        <row r="5269">
          <cell r="C5269">
            <v>304045</v>
          </cell>
          <cell r="D5269" t="str">
            <v>Misamis Occidental NHS</v>
          </cell>
          <cell r="E5269">
            <v>0</v>
          </cell>
          <cell r="F5269">
            <v>0</v>
          </cell>
          <cell r="G5269">
            <v>0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>
            <v>0</v>
          </cell>
        </row>
        <row r="5270">
          <cell r="C5270">
            <v>304047</v>
          </cell>
          <cell r="D5270" t="str">
            <v>Oroquieta City National High School - Villaflor Campus</v>
          </cell>
          <cell r="E5270">
            <v>0</v>
          </cell>
          <cell r="F5270">
            <v>0</v>
          </cell>
          <cell r="G5270">
            <v>0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0</v>
          </cell>
        </row>
        <row r="5271">
          <cell r="C5271">
            <v>304052</v>
          </cell>
          <cell r="D5271" t="str">
            <v>Senote NHS</v>
          </cell>
          <cell r="E5271">
            <v>0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4</v>
          </cell>
          <cell r="K5271">
            <v>0</v>
          </cell>
          <cell r="L5271">
            <v>4</v>
          </cell>
        </row>
        <row r="5272">
          <cell r="C5272">
            <v>304057</v>
          </cell>
          <cell r="D5272" t="str">
            <v>Talairon NHS</v>
          </cell>
          <cell r="E5272">
            <v>0</v>
          </cell>
          <cell r="F5272">
            <v>0</v>
          </cell>
          <cell r="G5272">
            <v>0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>
            <v>0</v>
          </cell>
        </row>
        <row r="5273">
          <cell r="C5273">
            <v>500401</v>
          </cell>
          <cell r="D5273" t="str">
            <v>Mobod IS</v>
          </cell>
          <cell r="E5273">
            <v>0</v>
          </cell>
          <cell r="F5273">
            <v>0</v>
          </cell>
          <cell r="G5273">
            <v>0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>
            <v>0</v>
          </cell>
        </row>
        <row r="5274">
          <cell r="C5274">
            <v>304026</v>
          </cell>
          <cell r="D5274" t="str">
            <v>Banglay NHS</v>
          </cell>
          <cell r="E5274">
            <v>0</v>
          </cell>
          <cell r="F5274">
            <v>0</v>
          </cell>
          <cell r="G5274">
            <v>0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0</v>
          </cell>
        </row>
        <row r="5275">
          <cell r="C5275">
            <v>304027</v>
          </cell>
          <cell r="D5275" t="str">
            <v>Bongabong NHS</v>
          </cell>
          <cell r="E5275">
            <v>0</v>
          </cell>
          <cell r="F5275">
            <v>0</v>
          </cell>
          <cell r="G5275">
            <v>0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>
            <v>0</v>
          </cell>
        </row>
        <row r="5276">
          <cell r="C5276">
            <v>304041</v>
          </cell>
          <cell r="D5276" t="str">
            <v>Lorenzo Tan NHS</v>
          </cell>
          <cell r="E5276">
            <v>0</v>
          </cell>
          <cell r="F5276">
            <v>0</v>
          </cell>
          <cell r="G5276">
            <v>0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>
            <v>0</v>
          </cell>
        </row>
        <row r="5277">
          <cell r="C5277">
            <v>304050</v>
          </cell>
          <cell r="D5277" t="str">
            <v>Santa Maria NHS</v>
          </cell>
          <cell r="E5277">
            <v>0</v>
          </cell>
          <cell r="F5277">
            <v>0</v>
          </cell>
          <cell r="G5277">
            <v>0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>
            <v>0</v>
          </cell>
        </row>
        <row r="5278">
          <cell r="C5278">
            <v>304053</v>
          </cell>
          <cell r="D5278" t="str">
            <v>Silangit NHS</v>
          </cell>
          <cell r="E5278">
            <v>0</v>
          </cell>
          <cell r="F5278">
            <v>0</v>
          </cell>
          <cell r="G5278">
            <v>0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>
            <v>0</v>
          </cell>
        </row>
        <row r="5279">
          <cell r="C5279">
            <v>304054</v>
          </cell>
          <cell r="D5279" t="str">
            <v>Caniangan NHS</v>
          </cell>
          <cell r="E5279">
            <v>0</v>
          </cell>
          <cell r="F5279">
            <v>0</v>
          </cell>
          <cell r="G5279">
            <v>0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0</v>
          </cell>
        </row>
        <row r="5280">
          <cell r="C5280">
            <v>304056</v>
          </cell>
          <cell r="D5280" t="str">
            <v>Sumirap NHS</v>
          </cell>
          <cell r="E5280">
            <v>0</v>
          </cell>
          <cell r="F5280">
            <v>0</v>
          </cell>
          <cell r="G5280">
            <v>0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>
            <v>0</v>
          </cell>
        </row>
        <row r="5281">
          <cell r="C5281">
            <v>323301</v>
          </cell>
          <cell r="D5281" t="str">
            <v>Mayor Alfonso Tan High School</v>
          </cell>
          <cell r="E5281">
            <v>0</v>
          </cell>
          <cell r="F5281">
            <v>0</v>
          </cell>
          <cell r="G5281">
            <v>0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0</v>
          </cell>
        </row>
        <row r="5282">
          <cell r="C5282">
            <v>323302</v>
          </cell>
          <cell r="D5282" t="str">
            <v>Simasay NHS</v>
          </cell>
          <cell r="E5282">
            <v>0</v>
          </cell>
          <cell r="F5282">
            <v>0</v>
          </cell>
          <cell r="G5282">
            <v>0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0</v>
          </cell>
        </row>
        <row r="5283">
          <cell r="C5283">
            <v>500753</v>
          </cell>
          <cell r="D5283" t="str">
            <v>Maquilao Integrated School</v>
          </cell>
          <cell r="E5283">
            <v>0</v>
          </cell>
          <cell r="F5283">
            <v>0</v>
          </cell>
          <cell r="G5283">
            <v>0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0</v>
          </cell>
        </row>
        <row r="5284">
          <cell r="C5284">
            <v>303970</v>
          </cell>
          <cell r="D5284" t="str">
            <v>Lurugan National High School</v>
          </cell>
          <cell r="E5284">
            <v>0</v>
          </cell>
          <cell r="F5284">
            <v>0</v>
          </cell>
          <cell r="G5284">
            <v>0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>
            <v>0</v>
          </cell>
        </row>
        <row r="5285">
          <cell r="C5285">
            <v>303988</v>
          </cell>
          <cell r="D5285" t="str">
            <v>Valencia NHS</v>
          </cell>
          <cell r="E5285">
            <v>0</v>
          </cell>
          <cell r="F5285">
            <v>0</v>
          </cell>
          <cell r="G5285">
            <v>1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0</v>
          </cell>
        </row>
        <row r="5286">
          <cell r="C5286">
            <v>314906</v>
          </cell>
          <cell r="D5286" t="str">
            <v>Lilingayon National High School</v>
          </cell>
          <cell r="E5286">
            <v>0</v>
          </cell>
          <cell r="F5286">
            <v>0</v>
          </cell>
          <cell r="G5286">
            <v>0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>
            <v>0</v>
          </cell>
        </row>
        <row r="5287">
          <cell r="C5287">
            <v>314909</v>
          </cell>
          <cell r="D5287" t="str">
            <v>Guinuyoran National High School</v>
          </cell>
          <cell r="E5287">
            <v>0</v>
          </cell>
          <cell r="F5287">
            <v>0</v>
          </cell>
          <cell r="G5287">
            <v>2</v>
          </cell>
          <cell r="H5287">
            <v>0</v>
          </cell>
          <cell r="I5287">
            <v>0</v>
          </cell>
          <cell r="J5287">
            <v>1</v>
          </cell>
          <cell r="K5287">
            <v>0</v>
          </cell>
          <cell r="L5287">
            <v>0</v>
          </cell>
        </row>
        <row r="5288">
          <cell r="C5288">
            <v>323801</v>
          </cell>
          <cell r="D5288" t="str">
            <v>Tongantongan National High School</v>
          </cell>
          <cell r="E5288">
            <v>0</v>
          </cell>
          <cell r="F5288">
            <v>0</v>
          </cell>
          <cell r="G5288">
            <v>0</v>
          </cell>
          <cell r="H5288">
            <v>0</v>
          </cell>
          <cell r="I5288">
            <v>1</v>
          </cell>
          <cell r="J5288">
            <v>6</v>
          </cell>
          <cell r="K5288">
            <v>1</v>
          </cell>
          <cell r="L5288">
            <v>6</v>
          </cell>
        </row>
        <row r="5289">
          <cell r="C5289">
            <v>323802</v>
          </cell>
          <cell r="D5289" t="str">
            <v>Catumbalon National High School</v>
          </cell>
          <cell r="E5289">
            <v>0</v>
          </cell>
          <cell r="F5289">
            <v>0</v>
          </cell>
          <cell r="G5289">
            <v>0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>
            <v>0</v>
          </cell>
        </row>
        <row r="5290">
          <cell r="C5290">
            <v>323803</v>
          </cell>
          <cell r="D5290" t="str">
            <v>Concepcion National High School</v>
          </cell>
          <cell r="E5290">
            <v>0</v>
          </cell>
          <cell r="F5290">
            <v>0</v>
          </cell>
          <cell r="G5290">
            <v>1</v>
          </cell>
          <cell r="H5290">
            <v>0</v>
          </cell>
          <cell r="I5290">
            <v>1</v>
          </cell>
          <cell r="J5290">
            <v>0</v>
          </cell>
          <cell r="K5290">
            <v>0</v>
          </cell>
          <cell r="L5290">
            <v>0</v>
          </cell>
        </row>
        <row r="5291">
          <cell r="C5291">
            <v>500702</v>
          </cell>
          <cell r="D5291" t="str">
            <v>Banlag IS</v>
          </cell>
          <cell r="E5291">
            <v>0</v>
          </cell>
          <cell r="F5291">
            <v>0</v>
          </cell>
          <cell r="G5291">
            <v>0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>
            <v>0</v>
          </cell>
        </row>
        <row r="5292">
          <cell r="C5292">
            <v>500703</v>
          </cell>
          <cell r="D5292" t="str">
            <v>Dagatkidavao Integrated School</v>
          </cell>
          <cell r="E5292">
            <v>0</v>
          </cell>
          <cell r="F5292">
            <v>0</v>
          </cell>
          <cell r="G5292">
            <v>0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>
            <v>0</v>
          </cell>
        </row>
        <row r="5293">
          <cell r="C5293">
            <v>500704</v>
          </cell>
          <cell r="D5293" t="str">
            <v>LOURDES INTEGRATED SCHOOL</v>
          </cell>
          <cell r="E5293">
            <v>0</v>
          </cell>
          <cell r="F5293">
            <v>0</v>
          </cell>
          <cell r="G5293">
            <v>0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>
            <v>0</v>
          </cell>
        </row>
        <row r="5294">
          <cell r="C5294">
            <v>500705</v>
          </cell>
          <cell r="D5294" t="str">
            <v>Mt. Nebo Integrated School</v>
          </cell>
          <cell r="E5294">
            <v>0</v>
          </cell>
          <cell r="F5294">
            <v>0</v>
          </cell>
          <cell r="G5294">
            <v>0</v>
          </cell>
          <cell r="H5294">
            <v>0</v>
          </cell>
          <cell r="I5294">
            <v>0</v>
          </cell>
          <cell r="J5294">
            <v>3</v>
          </cell>
          <cell r="K5294">
            <v>0</v>
          </cell>
          <cell r="L5294">
            <v>0</v>
          </cell>
        </row>
        <row r="5295">
          <cell r="C5295">
            <v>304065</v>
          </cell>
          <cell r="D5295" t="str">
            <v>Cogon NHS</v>
          </cell>
          <cell r="E5295">
            <v>0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0</v>
          </cell>
        </row>
        <row r="5296">
          <cell r="C5296">
            <v>315305</v>
          </cell>
          <cell r="D5296" t="str">
            <v>MOLUGAN NATIONAL HIGH SCHOOL</v>
          </cell>
          <cell r="E5296">
            <v>0</v>
          </cell>
          <cell r="F5296">
            <v>0</v>
          </cell>
          <cell r="G5296">
            <v>0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>
            <v>0</v>
          </cell>
        </row>
        <row r="5297">
          <cell r="C5297">
            <v>315318</v>
          </cell>
          <cell r="D5297" t="str">
            <v>Hinigdaan NHS</v>
          </cell>
          <cell r="E5297">
            <v>0</v>
          </cell>
          <cell r="F5297">
            <v>0</v>
          </cell>
          <cell r="G5297">
            <v>0</v>
          </cell>
          <cell r="H5297">
            <v>0</v>
          </cell>
          <cell r="I5297">
            <v>0</v>
          </cell>
          <cell r="J5297">
            <v>0</v>
          </cell>
          <cell r="K5297">
            <v>0</v>
          </cell>
          <cell r="L5297">
            <v>0</v>
          </cell>
        </row>
        <row r="5298">
          <cell r="C5298">
            <v>300577</v>
          </cell>
          <cell r="D5298" t="str">
            <v>Bagong Silang NHS</v>
          </cell>
          <cell r="E5298">
            <v>0</v>
          </cell>
          <cell r="F5298">
            <v>0</v>
          </cell>
          <cell r="G5298">
            <v>0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>
            <v>0</v>
          </cell>
        </row>
        <row r="5299">
          <cell r="C5299">
            <v>300640</v>
          </cell>
          <cell r="D5299" t="str">
            <v>Camansi NHS</v>
          </cell>
          <cell r="E5299">
            <v>0</v>
          </cell>
          <cell r="F5299">
            <v>0</v>
          </cell>
          <cell r="G5299">
            <v>0</v>
          </cell>
          <cell r="H5299">
            <v>0</v>
          </cell>
          <cell r="I5299">
            <v>0</v>
          </cell>
          <cell r="J5299">
            <v>0</v>
          </cell>
          <cell r="K5299">
            <v>0</v>
          </cell>
          <cell r="L5299">
            <v>0</v>
          </cell>
        </row>
        <row r="5300">
          <cell r="C5300">
            <v>300667</v>
          </cell>
          <cell r="D5300" t="str">
            <v>Depot Ancestral Domain NHS</v>
          </cell>
          <cell r="E5300">
            <v>0</v>
          </cell>
          <cell r="F5300">
            <v>0</v>
          </cell>
          <cell r="G5300">
            <v>0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0</v>
          </cell>
        </row>
        <row r="5301">
          <cell r="C5301">
            <v>300927</v>
          </cell>
          <cell r="D5301" t="str">
            <v>Diosdado Macapagal NHS</v>
          </cell>
          <cell r="E5301">
            <v>0</v>
          </cell>
          <cell r="F5301">
            <v>0</v>
          </cell>
          <cell r="G5301">
            <v>0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>
            <v>0</v>
          </cell>
        </row>
        <row r="5302">
          <cell r="C5302">
            <v>301294</v>
          </cell>
          <cell r="D5302" t="str">
            <v>Libaylibay NHS</v>
          </cell>
          <cell r="E5302">
            <v>0</v>
          </cell>
          <cell r="F5302">
            <v>0</v>
          </cell>
          <cell r="G5302">
            <v>1</v>
          </cell>
          <cell r="H5302">
            <v>0</v>
          </cell>
          <cell r="I5302">
            <v>0</v>
          </cell>
          <cell r="J5302">
            <v>1</v>
          </cell>
          <cell r="K5302">
            <v>0</v>
          </cell>
          <cell r="L5302">
            <v>1</v>
          </cell>
        </row>
        <row r="5303">
          <cell r="C5303">
            <v>301358</v>
          </cell>
          <cell r="D5303" t="str">
            <v>Mabuhay NHS</v>
          </cell>
          <cell r="E5303">
            <v>0</v>
          </cell>
          <cell r="F5303">
            <v>0</v>
          </cell>
          <cell r="G5303">
            <v>0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>
            <v>0</v>
          </cell>
        </row>
        <row r="5304">
          <cell r="C5304">
            <v>301526</v>
          </cell>
          <cell r="D5304" t="str">
            <v>Pangi NHS</v>
          </cell>
          <cell r="E5304">
            <v>0</v>
          </cell>
          <cell r="F5304">
            <v>0</v>
          </cell>
          <cell r="G5304">
            <v>1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>
            <v>0</v>
          </cell>
        </row>
        <row r="5305">
          <cell r="C5305">
            <v>301585</v>
          </cell>
          <cell r="D5305" t="str">
            <v>Panibasan NHS</v>
          </cell>
          <cell r="E5305">
            <v>0</v>
          </cell>
          <cell r="F5305">
            <v>0</v>
          </cell>
          <cell r="G5305">
            <v>0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>
            <v>0</v>
          </cell>
        </row>
        <row r="5306">
          <cell r="C5306">
            <v>304172</v>
          </cell>
          <cell r="D5306" t="str">
            <v>Andili NHS</v>
          </cell>
          <cell r="E5306">
            <v>0</v>
          </cell>
          <cell r="F5306">
            <v>0</v>
          </cell>
          <cell r="G5306">
            <v>0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>
            <v>0</v>
          </cell>
        </row>
        <row r="5307">
          <cell r="C5307">
            <v>304173</v>
          </cell>
          <cell r="D5307" t="str">
            <v>Anibongan NHS</v>
          </cell>
          <cell r="E5307">
            <v>0</v>
          </cell>
          <cell r="F5307">
            <v>0</v>
          </cell>
          <cell r="G5307">
            <v>1</v>
          </cell>
          <cell r="H5307">
            <v>0</v>
          </cell>
          <cell r="I5307">
            <v>0</v>
          </cell>
          <cell r="J5307">
            <v>1</v>
          </cell>
          <cell r="K5307">
            <v>0</v>
          </cell>
          <cell r="L5307">
            <v>1</v>
          </cell>
        </row>
        <row r="5308">
          <cell r="C5308">
            <v>304174</v>
          </cell>
          <cell r="D5308" t="str">
            <v>Anitapan NHS</v>
          </cell>
          <cell r="E5308">
            <v>0</v>
          </cell>
          <cell r="F5308">
            <v>0</v>
          </cell>
          <cell r="G5308">
            <v>0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>
            <v>0</v>
          </cell>
        </row>
        <row r="5309">
          <cell r="C5309">
            <v>304175</v>
          </cell>
          <cell r="D5309" t="str">
            <v>Araibo NHS</v>
          </cell>
          <cell r="E5309">
            <v>0</v>
          </cell>
          <cell r="F5309">
            <v>0</v>
          </cell>
          <cell r="G5309">
            <v>0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>
            <v>0</v>
          </cell>
        </row>
        <row r="5310">
          <cell r="C5310">
            <v>304176</v>
          </cell>
          <cell r="D5310" t="str">
            <v>Babag NHS</v>
          </cell>
          <cell r="E5310">
            <v>0</v>
          </cell>
          <cell r="F5310">
            <v>0</v>
          </cell>
          <cell r="G5310">
            <v>0</v>
          </cell>
          <cell r="H5310">
            <v>0</v>
          </cell>
          <cell r="I5310">
            <v>4</v>
          </cell>
          <cell r="J5310">
            <v>2</v>
          </cell>
          <cell r="K5310">
            <v>1</v>
          </cell>
          <cell r="L5310">
            <v>1</v>
          </cell>
        </row>
        <row r="5311">
          <cell r="C5311">
            <v>304177</v>
          </cell>
          <cell r="D5311" t="str">
            <v>Bantacan NHS</v>
          </cell>
          <cell r="E5311">
            <v>0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0</v>
          </cell>
        </row>
        <row r="5312">
          <cell r="C5312">
            <v>304178</v>
          </cell>
          <cell r="D5312" t="str">
            <v>Bayabas NHS</v>
          </cell>
          <cell r="E5312">
            <v>0</v>
          </cell>
          <cell r="F5312">
            <v>0</v>
          </cell>
          <cell r="G5312">
            <v>0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0</v>
          </cell>
        </row>
        <row r="5313">
          <cell r="C5313">
            <v>304179</v>
          </cell>
          <cell r="D5313" t="str">
            <v>Bongabong NHS</v>
          </cell>
          <cell r="E5313">
            <v>0</v>
          </cell>
          <cell r="F5313">
            <v>0</v>
          </cell>
          <cell r="G5313">
            <v>0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0</v>
          </cell>
        </row>
        <row r="5314">
          <cell r="C5314">
            <v>304180</v>
          </cell>
          <cell r="D5314" t="str">
            <v>Camanlangan NHS</v>
          </cell>
          <cell r="E5314">
            <v>0</v>
          </cell>
          <cell r="F5314">
            <v>0</v>
          </cell>
          <cell r="G5314">
            <v>0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>
            <v>0</v>
          </cell>
        </row>
        <row r="5315">
          <cell r="C5315">
            <v>304181</v>
          </cell>
          <cell r="D5315" t="str">
            <v>Compostela NHS</v>
          </cell>
          <cell r="E5315">
            <v>0</v>
          </cell>
          <cell r="F5315">
            <v>0</v>
          </cell>
          <cell r="G5315">
            <v>0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0</v>
          </cell>
        </row>
        <row r="5316">
          <cell r="C5316">
            <v>304182</v>
          </cell>
          <cell r="D5316" t="str">
            <v>Mangayon NHS</v>
          </cell>
          <cell r="E5316">
            <v>0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0</v>
          </cell>
        </row>
        <row r="5317">
          <cell r="C5317">
            <v>304183</v>
          </cell>
          <cell r="D5317" t="str">
            <v>San Miguel NHS</v>
          </cell>
          <cell r="E5317">
            <v>0</v>
          </cell>
          <cell r="F5317">
            <v>0</v>
          </cell>
          <cell r="G5317">
            <v>0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>
            <v>0</v>
          </cell>
        </row>
        <row r="5318">
          <cell r="C5318">
            <v>304184</v>
          </cell>
          <cell r="D5318" t="str">
            <v>Consuelo M. Valderrama NHS</v>
          </cell>
          <cell r="E5318">
            <v>0</v>
          </cell>
          <cell r="F5318">
            <v>0</v>
          </cell>
          <cell r="G5318">
            <v>0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>
            <v>0</v>
          </cell>
        </row>
        <row r="5319">
          <cell r="C5319">
            <v>304185</v>
          </cell>
          <cell r="D5319" t="str">
            <v>Don Vicente Romualdez NHS</v>
          </cell>
          <cell r="E5319">
            <v>0</v>
          </cell>
          <cell r="F5319">
            <v>0</v>
          </cell>
          <cell r="G5319">
            <v>0</v>
          </cell>
          <cell r="H5319">
            <v>0</v>
          </cell>
          <cell r="I5319">
            <v>0</v>
          </cell>
          <cell r="J5319">
            <v>0</v>
          </cell>
          <cell r="K5319">
            <v>0</v>
          </cell>
          <cell r="L5319">
            <v>0</v>
          </cell>
        </row>
        <row r="5320">
          <cell r="C5320">
            <v>304186</v>
          </cell>
          <cell r="D5320" t="str">
            <v>Elizalde NHS</v>
          </cell>
          <cell r="E5320">
            <v>0</v>
          </cell>
          <cell r="F5320">
            <v>0</v>
          </cell>
          <cell r="G5320">
            <v>0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0</v>
          </cell>
        </row>
        <row r="5321">
          <cell r="C5321">
            <v>304187</v>
          </cell>
          <cell r="D5321" t="str">
            <v>Gabi NHS</v>
          </cell>
          <cell r="E5321">
            <v>0</v>
          </cell>
          <cell r="F5321">
            <v>0</v>
          </cell>
          <cell r="G5321">
            <v>0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>
            <v>0</v>
          </cell>
        </row>
        <row r="5322">
          <cell r="C5322">
            <v>304188</v>
          </cell>
          <cell r="D5322" t="str">
            <v>Kapatagan NHS</v>
          </cell>
          <cell r="E5322">
            <v>0</v>
          </cell>
          <cell r="F5322">
            <v>0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0</v>
          </cell>
        </row>
        <row r="5323">
          <cell r="C5323">
            <v>304189</v>
          </cell>
          <cell r="D5323" t="str">
            <v>Laak NHS</v>
          </cell>
          <cell r="E5323">
            <v>0</v>
          </cell>
          <cell r="F5323">
            <v>0</v>
          </cell>
          <cell r="G5323">
            <v>0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>
            <v>0</v>
          </cell>
        </row>
        <row r="5324">
          <cell r="C5324">
            <v>304190</v>
          </cell>
          <cell r="D5324" t="str">
            <v>Kidawa NHS</v>
          </cell>
          <cell r="E5324">
            <v>0</v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0</v>
          </cell>
        </row>
        <row r="5325">
          <cell r="C5325">
            <v>304191</v>
          </cell>
          <cell r="D5325" t="str">
            <v>Lorenzo S. Sarmiento Sr. NHS</v>
          </cell>
          <cell r="E5325">
            <v>0</v>
          </cell>
          <cell r="F5325">
            <v>0</v>
          </cell>
          <cell r="G5325">
            <v>0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0</v>
          </cell>
        </row>
        <row r="5326">
          <cell r="C5326">
            <v>304192</v>
          </cell>
          <cell r="D5326" t="str">
            <v>Mabini NHS</v>
          </cell>
          <cell r="E5326">
            <v>0</v>
          </cell>
          <cell r="F5326">
            <v>0</v>
          </cell>
          <cell r="G5326">
            <v>0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>
            <v>0</v>
          </cell>
        </row>
        <row r="5327">
          <cell r="C5327">
            <v>304193</v>
          </cell>
          <cell r="D5327" t="str">
            <v>Atty. Orlando S. Rimando NHS</v>
          </cell>
          <cell r="E5327">
            <v>0</v>
          </cell>
          <cell r="F5327">
            <v>0</v>
          </cell>
          <cell r="G5327">
            <v>1</v>
          </cell>
          <cell r="H5327">
            <v>0</v>
          </cell>
          <cell r="I5327">
            <v>0</v>
          </cell>
          <cell r="J5327">
            <v>1</v>
          </cell>
          <cell r="K5327">
            <v>0</v>
          </cell>
          <cell r="L5327">
            <v>0</v>
          </cell>
        </row>
        <row r="5328">
          <cell r="C5328">
            <v>304194</v>
          </cell>
          <cell r="D5328" t="str">
            <v>Mainit NHS</v>
          </cell>
          <cell r="E5328">
            <v>0</v>
          </cell>
          <cell r="F5328">
            <v>0</v>
          </cell>
          <cell r="G5328">
            <v>0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>
            <v>0</v>
          </cell>
        </row>
        <row r="5329">
          <cell r="C5329">
            <v>304195</v>
          </cell>
          <cell r="D5329" t="str">
            <v>Manat NHS</v>
          </cell>
          <cell r="E5329">
            <v>0</v>
          </cell>
          <cell r="F5329">
            <v>0</v>
          </cell>
          <cell r="G5329">
            <v>0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>
            <v>0</v>
          </cell>
        </row>
        <row r="5330">
          <cell r="C5330">
            <v>304196</v>
          </cell>
          <cell r="D5330" t="str">
            <v>Maparat NHS</v>
          </cell>
          <cell r="E5330">
            <v>0</v>
          </cell>
          <cell r="F5330">
            <v>0</v>
          </cell>
          <cell r="G5330">
            <v>0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>
            <v>0</v>
          </cell>
        </row>
        <row r="5331">
          <cell r="C5331">
            <v>304197</v>
          </cell>
          <cell r="D5331" t="str">
            <v>Mapawa NHS</v>
          </cell>
          <cell r="E5331">
            <v>0</v>
          </cell>
          <cell r="F5331">
            <v>0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0</v>
          </cell>
        </row>
        <row r="5332">
          <cell r="C5332">
            <v>304198</v>
          </cell>
          <cell r="D5332" t="str">
            <v>Maragusan NHS</v>
          </cell>
          <cell r="E5332">
            <v>0</v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0</v>
          </cell>
        </row>
        <row r="5333">
          <cell r="C5333">
            <v>304199</v>
          </cell>
          <cell r="D5333" t="str">
            <v>Monkayo NHS</v>
          </cell>
          <cell r="E5333">
            <v>0</v>
          </cell>
          <cell r="F5333">
            <v>0</v>
          </cell>
          <cell r="G5333">
            <v>0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0</v>
          </cell>
        </row>
        <row r="5334">
          <cell r="C5334">
            <v>304200</v>
          </cell>
          <cell r="D5334" t="str">
            <v>Awao NHS</v>
          </cell>
          <cell r="E5334">
            <v>0</v>
          </cell>
          <cell r="F5334">
            <v>0</v>
          </cell>
          <cell r="G5334">
            <v>0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>
            <v>0</v>
          </cell>
        </row>
        <row r="5335">
          <cell r="C5335">
            <v>304201</v>
          </cell>
          <cell r="D5335" t="str">
            <v>Pasian NHS</v>
          </cell>
          <cell r="E5335">
            <v>0</v>
          </cell>
          <cell r="F5335">
            <v>0</v>
          </cell>
          <cell r="G5335">
            <v>0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>
            <v>0</v>
          </cell>
        </row>
        <row r="5336">
          <cell r="C5336">
            <v>304202</v>
          </cell>
          <cell r="D5336" t="str">
            <v>Montevista NHS</v>
          </cell>
          <cell r="E5336">
            <v>0</v>
          </cell>
          <cell r="F5336">
            <v>0</v>
          </cell>
          <cell r="G5336">
            <v>0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0</v>
          </cell>
        </row>
        <row r="5337">
          <cell r="C5337">
            <v>304203</v>
          </cell>
          <cell r="D5337" t="str">
            <v>Montevista NHS - Annex (DNAS Campus)</v>
          </cell>
          <cell r="E5337">
            <v>0</v>
          </cell>
          <cell r="F5337">
            <v>0</v>
          </cell>
          <cell r="G5337">
            <v>0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>
            <v>0</v>
          </cell>
        </row>
        <row r="5338">
          <cell r="C5338">
            <v>304204</v>
          </cell>
          <cell r="D5338" t="str">
            <v>Mayaon NHS</v>
          </cell>
          <cell r="E5338">
            <v>0</v>
          </cell>
          <cell r="F5338">
            <v>0</v>
          </cell>
          <cell r="G5338">
            <v>0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>
            <v>0</v>
          </cell>
        </row>
        <row r="5339">
          <cell r="C5339">
            <v>304205</v>
          </cell>
          <cell r="D5339" t="str">
            <v>Nabunturan NCHS</v>
          </cell>
          <cell r="E5339">
            <v>0</v>
          </cell>
          <cell r="F5339">
            <v>0</v>
          </cell>
          <cell r="G5339">
            <v>0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0</v>
          </cell>
        </row>
        <row r="5340">
          <cell r="C5340">
            <v>304206</v>
          </cell>
          <cell r="D5340" t="str">
            <v>New Bataan NHS</v>
          </cell>
          <cell r="E5340">
            <v>1</v>
          </cell>
          <cell r="F5340">
            <v>0</v>
          </cell>
          <cell r="G5340">
            <v>0</v>
          </cell>
          <cell r="H5340">
            <v>0</v>
          </cell>
          <cell r="I5340">
            <v>1</v>
          </cell>
          <cell r="J5340">
            <v>0</v>
          </cell>
          <cell r="K5340">
            <v>0</v>
          </cell>
          <cell r="L5340">
            <v>0</v>
          </cell>
        </row>
        <row r="5341">
          <cell r="C5341">
            <v>304207</v>
          </cell>
          <cell r="D5341" t="str">
            <v>Paloc NHS</v>
          </cell>
          <cell r="E5341">
            <v>0</v>
          </cell>
          <cell r="F5341">
            <v>0</v>
          </cell>
          <cell r="G5341">
            <v>0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>
            <v>0</v>
          </cell>
        </row>
        <row r="5342">
          <cell r="C5342">
            <v>304208</v>
          </cell>
          <cell r="D5342" t="str">
            <v>Pantukan NHS</v>
          </cell>
          <cell r="E5342">
            <v>0</v>
          </cell>
          <cell r="F5342">
            <v>0</v>
          </cell>
          <cell r="G5342">
            <v>0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>
            <v>0</v>
          </cell>
        </row>
        <row r="5343">
          <cell r="C5343">
            <v>304209</v>
          </cell>
          <cell r="D5343" t="str">
            <v>Tagugpo NHS</v>
          </cell>
          <cell r="E5343">
            <v>0</v>
          </cell>
          <cell r="F5343">
            <v>0</v>
          </cell>
          <cell r="G5343">
            <v>0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>
            <v>0</v>
          </cell>
        </row>
        <row r="5344">
          <cell r="C5344">
            <v>304210</v>
          </cell>
          <cell r="D5344" t="str">
            <v>Siocon NHS</v>
          </cell>
          <cell r="E5344">
            <v>0</v>
          </cell>
          <cell r="F5344">
            <v>0</v>
          </cell>
          <cell r="G5344">
            <v>0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>
            <v>0</v>
          </cell>
        </row>
        <row r="5345">
          <cell r="C5345">
            <v>304211</v>
          </cell>
          <cell r="D5345" t="str">
            <v>Tambongon NHS</v>
          </cell>
          <cell r="E5345">
            <v>0</v>
          </cell>
          <cell r="F5345">
            <v>0</v>
          </cell>
          <cell r="G5345">
            <v>0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>
            <v>0</v>
          </cell>
        </row>
        <row r="5346">
          <cell r="C5346">
            <v>304212</v>
          </cell>
          <cell r="D5346" t="str">
            <v>Tubo-Tubo NHS</v>
          </cell>
          <cell r="E5346">
            <v>0</v>
          </cell>
          <cell r="F5346">
            <v>0</v>
          </cell>
          <cell r="G5346">
            <v>0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>
            <v>0</v>
          </cell>
        </row>
        <row r="5347">
          <cell r="C5347">
            <v>304213</v>
          </cell>
          <cell r="D5347" t="str">
            <v>Tupaz NHS</v>
          </cell>
          <cell r="E5347">
            <v>0</v>
          </cell>
          <cell r="F5347">
            <v>0</v>
          </cell>
          <cell r="G5347">
            <v>0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>
            <v>0</v>
          </cell>
        </row>
        <row r="5348">
          <cell r="C5348">
            <v>304214</v>
          </cell>
          <cell r="D5348" t="str">
            <v>Union NHS</v>
          </cell>
          <cell r="E5348">
            <v>0</v>
          </cell>
          <cell r="F5348">
            <v>0</v>
          </cell>
          <cell r="G5348">
            <v>0</v>
          </cell>
          <cell r="H5348">
            <v>0</v>
          </cell>
          <cell r="I5348">
            <v>1</v>
          </cell>
          <cell r="J5348">
            <v>1</v>
          </cell>
          <cell r="K5348">
            <v>0</v>
          </cell>
          <cell r="L5348">
            <v>0</v>
          </cell>
        </row>
        <row r="5349">
          <cell r="C5349">
            <v>315801</v>
          </cell>
          <cell r="D5349" t="str">
            <v>Casoon NHS</v>
          </cell>
          <cell r="E5349">
            <v>0</v>
          </cell>
          <cell r="F5349">
            <v>1</v>
          </cell>
          <cell r="G5349">
            <v>0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0</v>
          </cell>
        </row>
        <row r="5350">
          <cell r="C5350">
            <v>315802</v>
          </cell>
          <cell r="D5350" t="str">
            <v>Nuevo Iloco NHS</v>
          </cell>
          <cell r="E5350">
            <v>0</v>
          </cell>
          <cell r="F5350">
            <v>0</v>
          </cell>
          <cell r="G5350">
            <v>0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>
            <v>0</v>
          </cell>
        </row>
        <row r="5351">
          <cell r="C5351">
            <v>315803</v>
          </cell>
          <cell r="D5351" t="str">
            <v>Tuboran NHS</v>
          </cell>
          <cell r="E5351">
            <v>0</v>
          </cell>
          <cell r="F5351">
            <v>0</v>
          </cell>
          <cell r="G5351">
            <v>0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0</v>
          </cell>
        </row>
        <row r="5352">
          <cell r="C5352">
            <v>315804</v>
          </cell>
          <cell r="D5352" t="str">
            <v>Melale NHS</v>
          </cell>
          <cell r="E5352">
            <v>0</v>
          </cell>
          <cell r="F5352">
            <v>0</v>
          </cell>
          <cell r="G5352">
            <v>0</v>
          </cell>
          <cell r="H5352">
            <v>2</v>
          </cell>
          <cell r="I5352">
            <v>0</v>
          </cell>
          <cell r="J5352">
            <v>2</v>
          </cell>
          <cell r="K5352">
            <v>0</v>
          </cell>
          <cell r="L5352">
            <v>0</v>
          </cell>
        </row>
        <row r="5353">
          <cell r="C5353">
            <v>315805</v>
          </cell>
          <cell r="D5353" t="str">
            <v>Pindasan NHS</v>
          </cell>
          <cell r="E5353">
            <v>0</v>
          </cell>
          <cell r="F5353">
            <v>0</v>
          </cell>
          <cell r="G5353">
            <v>0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>
            <v>0</v>
          </cell>
        </row>
        <row r="5354">
          <cell r="C5354">
            <v>315806</v>
          </cell>
          <cell r="D5354" t="str">
            <v>Kao NHS</v>
          </cell>
          <cell r="E5354">
            <v>0</v>
          </cell>
          <cell r="F5354">
            <v>0</v>
          </cell>
          <cell r="G5354">
            <v>0</v>
          </cell>
          <cell r="H5354">
            <v>0</v>
          </cell>
          <cell r="I5354">
            <v>0</v>
          </cell>
          <cell r="J5354">
            <v>0</v>
          </cell>
          <cell r="K5354">
            <v>0</v>
          </cell>
          <cell r="L5354">
            <v>0</v>
          </cell>
        </row>
        <row r="5355">
          <cell r="C5355">
            <v>315807</v>
          </cell>
          <cell r="D5355" t="str">
            <v>Magnaga NHS</v>
          </cell>
          <cell r="E5355">
            <v>0</v>
          </cell>
          <cell r="F5355">
            <v>0</v>
          </cell>
          <cell r="G5355">
            <v>0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>
            <v>0</v>
          </cell>
        </row>
        <row r="5356">
          <cell r="C5356">
            <v>315808</v>
          </cell>
          <cell r="D5356" t="str">
            <v>Ulip NHS</v>
          </cell>
          <cell r="E5356">
            <v>0</v>
          </cell>
          <cell r="F5356">
            <v>0</v>
          </cell>
          <cell r="G5356">
            <v>0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0</v>
          </cell>
        </row>
        <row r="5357">
          <cell r="C5357">
            <v>315809</v>
          </cell>
          <cell r="D5357" t="str">
            <v>Union NHS-Mt. Diwata HS Annex</v>
          </cell>
          <cell r="E5357">
            <v>0</v>
          </cell>
          <cell r="F5357">
            <v>0</v>
          </cell>
          <cell r="G5357">
            <v>0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>
            <v>0</v>
          </cell>
        </row>
        <row r="5358">
          <cell r="C5358">
            <v>315811</v>
          </cell>
          <cell r="D5358" t="str">
            <v>New Leyte NHS</v>
          </cell>
          <cell r="E5358">
            <v>0</v>
          </cell>
          <cell r="F5358">
            <v>0</v>
          </cell>
          <cell r="G5358">
            <v>0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0</v>
          </cell>
        </row>
        <row r="5359">
          <cell r="C5359">
            <v>315812</v>
          </cell>
          <cell r="D5359" t="str">
            <v>San Antonio NHS</v>
          </cell>
          <cell r="E5359">
            <v>0</v>
          </cell>
          <cell r="F5359">
            <v>0</v>
          </cell>
          <cell r="G5359">
            <v>0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0</v>
          </cell>
        </row>
        <row r="5360">
          <cell r="C5360">
            <v>315813</v>
          </cell>
          <cell r="D5360" t="str">
            <v>Langgawisan NHS</v>
          </cell>
          <cell r="E5360">
            <v>0</v>
          </cell>
          <cell r="F5360">
            <v>0</v>
          </cell>
          <cell r="G5360">
            <v>0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0</v>
          </cell>
        </row>
        <row r="5361">
          <cell r="C5361">
            <v>315814</v>
          </cell>
          <cell r="D5361" t="str">
            <v>Andap NHS</v>
          </cell>
          <cell r="E5361">
            <v>0</v>
          </cell>
          <cell r="F5361">
            <v>0</v>
          </cell>
          <cell r="G5361">
            <v>0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0</v>
          </cell>
        </row>
        <row r="5362">
          <cell r="C5362">
            <v>315815</v>
          </cell>
          <cell r="D5362" t="str">
            <v>New Albay NHS</v>
          </cell>
          <cell r="E5362">
            <v>0</v>
          </cell>
          <cell r="F5362">
            <v>0</v>
          </cell>
          <cell r="G5362">
            <v>0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0</v>
          </cell>
        </row>
        <row r="5363">
          <cell r="C5363">
            <v>315816</v>
          </cell>
          <cell r="D5363" t="str">
            <v>Napnapan NHS</v>
          </cell>
          <cell r="E5363">
            <v>0</v>
          </cell>
          <cell r="F5363">
            <v>0</v>
          </cell>
          <cell r="G5363">
            <v>0</v>
          </cell>
          <cell r="H5363">
            <v>0</v>
          </cell>
          <cell r="I5363">
            <v>0</v>
          </cell>
          <cell r="J5363">
            <v>2</v>
          </cell>
          <cell r="K5363">
            <v>0</v>
          </cell>
          <cell r="L5363">
            <v>1</v>
          </cell>
        </row>
        <row r="5364">
          <cell r="C5364">
            <v>315818</v>
          </cell>
          <cell r="D5364" t="str">
            <v>New Sibonga NHS</v>
          </cell>
          <cell r="E5364">
            <v>0</v>
          </cell>
          <cell r="F5364">
            <v>0</v>
          </cell>
          <cell r="G5364">
            <v>0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0</v>
          </cell>
        </row>
        <row r="5365">
          <cell r="C5365">
            <v>315819</v>
          </cell>
          <cell r="D5365" t="str">
            <v>Bango NHS</v>
          </cell>
          <cell r="E5365">
            <v>0</v>
          </cell>
          <cell r="F5365">
            <v>0</v>
          </cell>
          <cell r="G5365">
            <v>0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>
            <v>0</v>
          </cell>
        </row>
        <row r="5366">
          <cell r="C5366">
            <v>315820</v>
          </cell>
          <cell r="D5366" t="str">
            <v>Corazon C. Aquino NHS</v>
          </cell>
          <cell r="E5366">
            <v>0</v>
          </cell>
          <cell r="F5366">
            <v>0</v>
          </cell>
          <cell r="G5366">
            <v>0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>
            <v>0</v>
          </cell>
        </row>
        <row r="5367">
          <cell r="C5367">
            <v>315822</v>
          </cell>
          <cell r="D5367" t="str">
            <v>Golden Valley NHS</v>
          </cell>
          <cell r="E5367">
            <v>0</v>
          </cell>
          <cell r="F5367">
            <v>0</v>
          </cell>
          <cell r="G5367">
            <v>0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0</v>
          </cell>
        </row>
        <row r="5368">
          <cell r="C5368">
            <v>315823</v>
          </cell>
          <cell r="D5368" t="str">
            <v>New Kapatagan NHS</v>
          </cell>
          <cell r="E5368">
            <v>0</v>
          </cell>
          <cell r="F5368">
            <v>0</v>
          </cell>
          <cell r="G5368">
            <v>0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>
            <v>0</v>
          </cell>
        </row>
        <row r="5369">
          <cell r="C5369">
            <v>301773</v>
          </cell>
          <cell r="D5369" t="str">
            <v>Dugayan NHS</v>
          </cell>
          <cell r="E5369">
            <v>0</v>
          </cell>
          <cell r="F5369">
            <v>0</v>
          </cell>
          <cell r="G5369">
            <v>0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>
            <v>0</v>
          </cell>
        </row>
        <row r="5370">
          <cell r="C5370">
            <v>301775</v>
          </cell>
          <cell r="D5370" t="str">
            <v>Benigno Q. Martir NHS</v>
          </cell>
          <cell r="E5370">
            <v>0</v>
          </cell>
          <cell r="F5370">
            <v>0</v>
          </cell>
          <cell r="G5370">
            <v>0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0</v>
          </cell>
        </row>
        <row r="5371">
          <cell r="C5371">
            <v>304215</v>
          </cell>
          <cell r="D5371" t="str">
            <v>Alejal National High School</v>
          </cell>
          <cell r="E5371">
            <v>0</v>
          </cell>
          <cell r="F5371">
            <v>0</v>
          </cell>
          <cell r="G5371">
            <v>0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>
            <v>0</v>
          </cell>
        </row>
        <row r="5372">
          <cell r="C5372">
            <v>304217</v>
          </cell>
          <cell r="D5372" t="str">
            <v>Asuncion National High School</v>
          </cell>
          <cell r="E5372">
            <v>0</v>
          </cell>
          <cell r="F5372">
            <v>0</v>
          </cell>
          <cell r="G5372">
            <v>0</v>
          </cell>
          <cell r="H5372">
            <v>0</v>
          </cell>
          <cell r="I5372">
            <v>8</v>
          </cell>
          <cell r="J5372">
            <v>13</v>
          </cell>
          <cell r="K5372">
            <v>8</v>
          </cell>
          <cell r="L5372">
            <v>13</v>
          </cell>
        </row>
        <row r="5373">
          <cell r="C5373">
            <v>304218</v>
          </cell>
          <cell r="D5373" t="str">
            <v>Sagayen NHS</v>
          </cell>
          <cell r="E5373">
            <v>0</v>
          </cell>
          <cell r="F5373">
            <v>0</v>
          </cell>
          <cell r="G5373">
            <v>1</v>
          </cell>
          <cell r="H5373">
            <v>0</v>
          </cell>
          <cell r="I5373">
            <v>0</v>
          </cell>
          <cell r="J5373">
            <v>0</v>
          </cell>
          <cell r="K5373">
            <v>1</v>
          </cell>
          <cell r="L5373">
            <v>0</v>
          </cell>
        </row>
        <row r="5374">
          <cell r="C5374">
            <v>304219</v>
          </cell>
          <cell r="D5374" t="str">
            <v>Balagunan National High School</v>
          </cell>
          <cell r="E5374">
            <v>0</v>
          </cell>
          <cell r="F5374">
            <v>0</v>
          </cell>
          <cell r="G5374">
            <v>0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0</v>
          </cell>
        </row>
        <row r="5375">
          <cell r="C5375">
            <v>304221</v>
          </cell>
          <cell r="D5375" t="str">
            <v>Antonio V. Fruto Sr. NHS</v>
          </cell>
          <cell r="E5375">
            <v>0</v>
          </cell>
          <cell r="F5375">
            <v>0</v>
          </cell>
          <cell r="G5375">
            <v>0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>
            <v>0</v>
          </cell>
        </row>
        <row r="5376">
          <cell r="C5376">
            <v>304222</v>
          </cell>
          <cell r="D5376" t="str">
            <v>Carmen NHS</v>
          </cell>
          <cell r="E5376">
            <v>0</v>
          </cell>
          <cell r="F5376">
            <v>0</v>
          </cell>
          <cell r="G5376">
            <v>0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>
            <v>0</v>
          </cell>
        </row>
        <row r="5377">
          <cell r="C5377">
            <v>304224</v>
          </cell>
          <cell r="D5377" t="str">
            <v>Datu Balong NHS</v>
          </cell>
          <cell r="E5377">
            <v>0</v>
          </cell>
          <cell r="F5377">
            <v>0</v>
          </cell>
          <cell r="G5377">
            <v>0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>
            <v>0</v>
          </cell>
        </row>
        <row r="5378">
          <cell r="C5378">
            <v>304228</v>
          </cell>
          <cell r="D5378" t="str">
            <v>Doña Carmen Soriano National High School</v>
          </cell>
          <cell r="E5378">
            <v>0</v>
          </cell>
          <cell r="F5378">
            <v>0</v>
          </cell>
          <cell r="G5378">
            <v>0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0</v>
          </cell>
        </row>
        <row r="5379">
          <cell r="C5379">
            <v>304229</v>
          </cell>
          <cell r="D5379" t="str">
            <v>Dujali National High School</v>
          </cell>
          <cell r="E5379">
            <v>0</v>
          </cell>
          <cell r="F5379">
            <v>0</v>
          </cell>
          <cell r="G5379">
            <v>0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>
            <v>0</v>
          </cell>
        </row>
        <row r="5380">
          <cell r="C5380">
            <v>304230</v>
          </cell>
          <cell r="D5380" t="str">
            <v>Tanglaw NHS</v>
          </cell>
          <cell r="E5380">
            <v>0</v>
          </cell>
          <cell r="F5380">
            <v>0</v>
          </cell>
          <cell r="G5380">
            <v>0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>
            <v>0</v>
          </cell>
        </row>
        <row r="5381">
          <cell r="C5381">
            <v>304233</v>
          </cell>
          <cell r="D5381" t="str">
            <v>Kapalong National High School</v>
          </cell>
          <cell r="E5381">
            <v>1</v>
          </cell>
          <cell r="F5381">
            <v>0</v>
          </cell>
          <cell r="G5381">
            <v>0</v>
          </cell>
          <cell r="H5381">
            <v>0</v>
          </cell>
          <cell r="I5381">
            <v>8</v>
          </cell>
          <cell r="J5381">
            <v>14</v>
          </cell>
          <cell r="K5381">
            <v>1</v>
          </cell>
          <cell r="L5381">
            <v>0</v>
          </cell>
        </row>
        <row r="5382">
          <cell r="C5382">
            <v>304234</v>
          </cell>
          <cell r="D5382" t="str">
            <v>Baltazar Nicor Valenzuela NHS</v>
          </cell>
          <cell r="E5382">
            <v>0</v>
          </cell>
          <cell r="F5382">
            <v>0</v>
          </cell>
          <cell r="G5382">
            <v>0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0</v>
          </cell>
        </row>
        <row r="5383">
          <cell r="C5383">
            <v>304235</v>
          </cell>
          <cell r="D5383" t="str">
            <v>Sua-on National High School</v>
          </cell>
          <cell r="E5383">
            <v>0</v>
          </cell>
          <cell r="F5383">
            <v>0</v>
          </cell>
          <cell r="G5383">
            <v>0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>
            <v>0</v>
          </cell>
        </row>
        <row r="5384">
          <cell r="C5384">
            <v>304237</v>
          </cell>
          <cell r="D5384" t="str">
            <v>Kimamon National High School</v>
          </cell>
          <cell r="E5384">
            <v>0</v>
          </cell>
          <cell r="F5384">
            <v>0</v>
          </cell>
          <cell r="G5384">
            <v>0</v>
          </cell>
          <cell r="H5384">
            <v>0</v>
          </cell>
          <cell r="I5384">
            <v>0</v>
          </cell>
          <cell r="J5384">
            <v>0</v>
          </cell>
          <cell r="K5384">
            <v>0</v>
          </cell>
          <cell r="L5384">
            <v>0</v>
          </cell>
        </row>
        <row r="5385">
          <cell r="C5385">
            <v>304239</v>
          </cell>
          <cell r="D5385" t="str">
            <v>Limbaan NHS</v>
          </cell>
          <cell r="E5385">
            <v>0</v>
          </cell>
          <cell r="F5385">
            <v>0</v>
          </cell>
          <cell r="G5385">
            <v>0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>
            <v>0</v>
          </cell>
        </row>
        <row r="5386">
          <cell r="C5386">
            <v>304240</v>
          </cell>
          <cell r="D5386" t="str">
            <v>Linao National High School</v>
          </cell>
          <cell r="E5386">
            <v>0</v>
          </cell>
          <cell r="F5386">
            <v>0</v>
          </cell>
          <cell r="G5386">
            <v>0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>
            <v>0</v>
          </cell>
        </row>
        <row r="5387">
          <cell r="C5387">
            <v>304241</v>
          </cell>
          <cell r="D5387" t="str">
            <v>Luna National High School</v>
          </cell>
          <cell r="E5387">
            <v>0</v>
          </cell>
          <cell r="F5387">
            <v>0</v>
          </cell>
          <cell r="G5387">
            <v>0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>
            <v>0</v>
          </cell>
        </row>
        <row r="5388">
          <cell r="C5388">
            <v>304242</v>
          </cell>
          <cell r="D5388" t="str">
            <v>Mabantao National High School</v>
          </cell>
          <cell r="E5388">
            <v>0</v>
          </cell>
          <cell r="F5388">
            <v>0</v>
          </cell>
          <cell r="G5388">
            <v>0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>
            <v>0</v>
          </cell>
        </row>
        <row r="5389">
          <cell r="C5389">
            <v>304243</v>
          </cell>
          <cell r="D5389" t="str">
            <v>Semong National High School</v>
          </cell>
          <cell r="E5389">
            <v>0</v>
          </cell>
          <cell r="F5389">
            <v>0</v>
          </cell>
          <cell r="G5389">
            <v>0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0</v>
          </cell>
        </row>
        <row r="5390">
          <cell r="C5390">
            <v>304244</v>
          </cell>
          <cell r="D5390" t="str">
            <v>MABUHAY NATIONAL HIGH SCHOOL</v>
          </cell>
          <cell r="E5390">
            <v>0</v>
          </cell>
          <cell r="F5390">
            <v>0</v>
          </cell>
          <cell r="G5390">
            <v>0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0</v>
          </cell>
        </row>
        <row r="5391">
          <cell r="C5391">
            <v>304246</v>
          </cell>
          <cell r="D5391" t="str">
            <v>Marsman NHS</v>
          </cell>
          <cell r="E5391">
            <v>0</v>
          </cell>
          <cell r="F5391">
            <v>0</v>
          </cell>
          <cell r="G5391">
            <v>0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>
            <v>0</v>
          </cell>
        </row>
        <row r="5392">
          <cell r="C5392">
            <v>304248</v>
          </cell>
          <cell r="D5392" t="str">
            <v>New Corella National High School</v>
          </cell>
          <cell r="E5392">
            <v>0</v>
          </cell>
          <cell r="F5392">
            <v>0</v>
          </cell>
          <cell r="G5392">
            <v>1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>
            <v>0</v>
          </cell>
        </row>
        <row r="5393">
          <cell r="C5393">
            <v>304249</v>
          </cell>
          <cell r="D5393" t="str">
            <v>Mesaoy NHS</v>
          </cell>
          <cell r="E5393">
            <v>0</v>
          </cell>
          <cell r="F5393">
            <v>0</v>
          </cell>
          <cell r="G5393">
            <v>0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>
            <v>0</v>
          </cell>
        </row>
        <row r="5394">
          <cell r="C5394">
            <v>304251</v>
          </cell>
          <cell r="D5394" t="str">
            <v>Sawata NHS</v>
          </cell>
          <cell r="E5394">
            <v>0</v>
          </cell>
          <cell r="F5394">
            <v>0</v>
          </cell>
          <cell r="G5394">
            <v>0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0</v>
          </cell>
        </row>
        <row r="5395">
          <cell r="C5395">
            <v>304252</v>
          </cell>
          <cell r="D5395" t="str">
            <v>Sonlon NHS</v>
          </cell>
          <cell r="E5395">
            <v>0</v>
          </cell>
          <cell r="F5395">
            <v>0</v>
          </cell>
          <cell r="G5395">
            <v>0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>
            <v>0</v>
          </cell>
        </row>
        <row r="5396">
          <cell r="C5396">
            <v>304254</v>
          </cell>
          <cell r="D5396" t="str">
            <v>Sto Tomas NHS</v>
          </cell>
          <cell r="E5396">
            <v>0</v>
          </cell>
          <cell r="F5396">
            <v>0</v>
          </cell>
          <cell r="G5396">
            <v>0</v>
          </cell>
          <cell r="H5396">
            <v>0</v>
          </cell>
          <cell r="I5396">
            <v>0</v>
          </cell>
          <cell r="J5396">
            <v>0</v>
          </cell>
          <cell r="K5396">
            <v>0</v>
          </cell>
          <cell r="L5396">
            <v>0</v>
          </cell>
        </row>
        <row r="5397">
          <cell r="C5397">
            <v>304255</v>
          </cell>
          <cell r="D5397" t="str">
            <v>La Libertad National High School</v>
          </cell>
          <cell r="E5397">
            <v>0</v>
          </cell>
          <cell r="F5397">
            <v>0</v>
          </cell>
          <cell r="G5397">
            <v>0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0</v>
          </cell>
        </row>
        <row r="5398">
          <cell r="C5398">
            <v>304256</v>
          </cell>
          <cell r="D5398" t="str">
            <v>Salvacion NHS</v>
          </cell>
          <cell r="E5398">
            <v>0</v>
          </cell>
          <cell r="F5398">
            <v>0</v>
          </cell>
          <cell r="G5398">
            <v>0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0</v>
          </cell>
        </row>
        <row r="5399">
          <cell r="C5399">
            <v>304257</v>
          </cell>
          <cell r="D5399" t="str">
            <v>Sto. Nino NHS</v>
          </cell>
          <cell r="E5399">
            <v>0</v>
          </cell>
          <cell r="F5399">
            <v>0</v>
          </cell>
          <cell r="G5399">
            <v>0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>
            <v>0</v>
          </cell>
        </row>
        <row r="5400">
          <cell r="C5400">
            <v>304258</v>
          </cell>
          <cell r="D5400" t="str">
            <v>Datu Jose A. Libayao Memorial NHS</v>
          </cell>
          <cell r="E5400">
            <v>0</v>
          </cell>
          <cell r="F5400">
            <v>0</v>
          </cell>
          <cell r="G5400">
            <v>0</v>
          </cell>
          <cell r="H5400">
            <v>0</v>
          </cell>
          <cell r="I5400">
            <v>1</v>
          </cell>
          <cell r="J5400">
            <v>2</v>
          </cell>
          <cell r="K5400">
            <v>0</v>
          </cell>
          <cell r="L5400">
            <v>0</v>
          </cell>
        </row>
        <row r="5401">
          <cell r="C5401">
            <v>305508</v>
          </cell>
          <cell r="D5401" t="str">
            <v>Ramon S. Segundo Sr. NHS</v>
          </cell>
          <cell r="E5401">
            <v>0</v>
          </cell>
          <cell r="F5401">
            <v>0</v>
          </cell>
          <cell r="G5401">
            <v>1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>
            <v>0</v>
          </cell>
        </row>
        <row r="5402">
          <cell r="C5402">
            <v>315901</v>
          </cell>
          <cell r="D5402" t="str">
            <v>Tubod National High School</v>
          </cell>
          <cell r="E5402">
            <v>0</v>
          </cell>
          <cell r="F5402">
            <v>0</v>
          </cell>
          <cell r="G5402">
            <v>0</v>
          </cell>
          <cell r="H5402">
            <v>0</v>
          </cell>
          <cell r="I5402">
            <v>1</v>
          </cell>
          <cell r="J5402">
            <v>7</v>
          </cell>
          <cell r="K5402">
            <v>1</v>
          </cell>
          <cell r="L5402">
            <v>7</v>
          </cell>
        </row>
        <row r="5403">
          <cell r="C5403">
            <v>315902</v>
          </cell>
          <cell r="D5403" t="str">
            <v>Tulalian NHS</v>
          </cell>
          <cell r="E5403">
            <v>0</v>
          </cell>
          <cell r="F5403">
            <v>0</v>
          </cell>
          <cell r="G5403">
            <v>0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0</v>
          </cell>
        </row>
        <row r="5404">
          <cell r="C5404">
            <v>315903</v>
          </cell>
          <cell r="D5404" t="str">
            <v>Anibongan NHS</v>
          </cell>
          <cell r="E5404">
            <v>0</v>
          </cell>
          <cell r="F5404">
            <v>0</v>
          </cell>
          <cell r="G5404">
            <v>0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>
            <v>0</v>
          </cell>
        </row>
        <row r="5405">
          <cell r="C5405">
            <v>315904</v>
          </cell>
          <cell r="D5405" t="str">
            <v>La Paz National High School</v>
          </cell>
          <cell r="E5405">
            <v>0</v>
          </cell>
          <cell r="F5405">
            <v>0</v>
          </cell>
          <cell r="G5405">
            <v>0</v>
          </cell>
          <cell r="H5405">
            <v>0</v>
          </cell>
          <cell r="I5405">
            <v>1</v>
          </cell>
          <cell r="J5405">
            <v>1</v>
          </cell>
          <cell r="K5405">
            <v>0</v>
          </cell>
          <cell r="L5405">
            <v>0</v>
          </cell>
        </row>
        <row r="5406">
          <cell r="C5406">
            <v>315905</v>
          </cell>
          <cell r="D5406" t="str">
            <v>Dagohoy National High School</v>
          </cell>
          <cell r="E5406">
            <v>0</v>
          </cell>
          <cell r="F5406">
            <v>0</v>
          </cell>
          <cell r="G5406">
            <v>0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0</v>
          </cell>
        </row>
        <row r="5407">
          <cell r="C5407">
            <v>315906</v>
          </cell>
          <cell r="D5407" t="str">
            <v>Pinamuno National High School</v>
          </cell>
          <cell r="E5407">
            <v>0</v>
          </cell>
          <cell r="F5407">
            <v>0</v>
          </cell>
          <cell r="G5407">
            <v>0</v>
          </cell>
          <cell r="H5407">
            <v>0</v>
          </cell>
          <cell r="I5407">
            <v>0</v>
          </cell>
          <cell r="J5407">
            <v>1</v>
          </cell>
          <cell r="K5407">
            <v>0</v>
          </cell>
          <cell r="L5407">
            <v>0</v>
          </cell>
        </row>
        <row r="5408">
          <cell r="C5408">
            <v>315907</v>
          </cell>
          <cell r="D5408" t="str">
            <v>Sta. Fe National High School</v>
          </cell>
          <cell r="E5408">
            <v>0</v>
          </cell>
          <cell r="F5408">
            <v>0</v>
          </cell>
          <cell r="G5408">
            <v>0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>
            <v>0</v>
          </cell>
        </row>
        <row r="5409">
          <cell r="C5409">
            <v>341449</v>
          </cell>
          <cell r="D5409" t="str">
            <v>Davao del Norte Regional Sports Academy</v>
          </cell>
          <cell r="E5409">
            <v>0</v>
          </cell>
          <cell r="F5409">
            <v>0</v>
          </cell>
          <cell r="G5409">
            <v>0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0</v>
          </cell>
        </row>
        <row r="5410">
          <cell r="C5410">
            <v>500450</v>
          </cell>
          <cell r="D5410" t="str">
            <v>Kinamayan IS</v>
          </cell>
          <cell r="E5410">
            <v>0</v>
          </cell>
          <cell r="F5410">
            <v>0</v>
          </cell>
          <cell r="G5410">
            <v>0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>
            <v>0</v>
          </cell>
        </row>
        <row r="5411">
          <cell r="C5411">
            <v>500452</v>
          </cell>
          <cell r="D5411" t="str">
            <v>Kapatagan Integrated School</v>
          </cell>
          <cell r="E5411">
            <v>0</v>
          </cell>
          <cell r="F5411">
            <v>0</v>
          </cell>
          <cell r="G5411">
            <v>0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0</v>
          </cell>
        </row>
        <row r="5412">
          <cell r="C5412">
            <v>500789</v>
          </cell>
          <cell r="D5412" t="str">
            <v>Sampao IS</v>
          </cell>
          <cell r="E5412">
            <v>0</v>
          </cell>
          <cell r="F5412">
            <v>0</v>
          </cell>
          <cell r="G5412">
            <v>1</v>
          </cell>
          <cell r="H5412">
            <v>0</v>
          </cell>
          <cell r="I5412">
            <v>0</v>
          </cell>
          <cell r="J5412">
            <v>0</v>
          </cell>
          <cell r="K5412">
            <v>1</v>
          </cell>
          <cell r="L5412">
            <v>0</v>
          </cell>
        </row>
        <row r="5413">
          <cell r="C5413">
            <v>500847</v>
          </cell>
          <cell r="D5413" t="str">
            <v>Gupitan Integrated School</v>
          </cell>
          <cell r="E5413">
            <v>0</v>
          </cell>
          <cell r="F5413">
            <v>1</v>
          </cell>
          <cell r="G5413">
            <v>0</v>
          </cell>
          <cell r="H5413">
            <v>0</v>
          </cell>
          <cell r="I5413">
            <v>1</v>
          </cell>
          <cell r="J5413">
            <v>0</v>
          </cell>
          <cell r="K5413">
            <v>0</v>
          </cell>
          <cell r="L5413">
            <v>0</v>
          </cell>
        </row>
        <row r="5414">
          <cell r="C5414">
            <v>500849</v>
          </cell>
          <cell r="D5414" t="str">
            <v>Macgum Integrated School</v>
          </cell>
          <cell r="E5414">
            <v>0</v>
          </cell>
          <cell r="F5414">
            <v>0</v>
          </cell>
          <cell r="G5414">
            <v>0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0</v>
          </cell>
        </row>
        <row r="5415">
          <cell r="C5415">
            <v>500852</v>
          </cell>
          <cell r="D5415" t="str">
            <v>Magwawa Integrated School</v>
          </cell>
          <cell r="E5415">
            <v>0</v>
          </cell>
          <cell r="F5415">
            <v>0</v>
          </cell>
          <cell r="G5415">
            <v>0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>
            <v>0</v>
          </cell>
        </row>
        <row r="5416">
          <cell r="C5416">
            <v>304263</v>
          </cell>
          <cell r="D5416" t="str">
            <v>Federico Yap National High School</v>
          </cell>
          <cell r="E5416">
            <v>0</v>
          </cell>
          <cell r="F5416">
            <v>0</v>
          </cell>
          <cell r="G5416">
            <v>1</v>
          </cell>
          <cell r="H5416">
            <v>0</v>
          </cell>
          <cell r="I5416">
            <v>1</v>
          </cell>
          <cell r="J5416">
            <v>0</v>
          </cell>
          <cell r="K5416">
            <v>1</v>
          </cell>
          <cell r="L5416">
            <v>0</v>
          </cell>
        </row>
        <row r="5417">
          <cell r="C5417">
            <v>304265</v>
          </cell>
          <cell r="D5417" t="str">
            <v>Barayong National High School</v>
          </cell>
          <cell r="E5417">
            <v>0</v>
          </cell>
          <cell r="F5417">
            <v>0</v>
          </cell>
          <cell r="G5417">
            <v>0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>
            <v>0</v>
          </cell>
        </row>
        <row r="5418">
          <cell r="C5418">
            <v>304270</v>
          </cell>
          <cell r="D5418" t="str">
            <v>Davao Del Sur SOF</v>
          </cell>
          <cell r="E5418">
            <v>0</v>
          </cell>
          <cell r="F5418">
            <v>0</v>
          </cell>
          <cell r="G5418">
            <v>0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>
            <v>0</v>
          </cell>
        </row>
        <row r="5419">
          <cell r="C5419">
            <v>304274</v>
          </cell>
          <cell r="D5419" t="str">
            <v>Gov. N. Llanos NHS</v>
          </cell>
          <cell r="E5419">
            <v>0</v>
          </cell>
          <cell r="F5419">
            <v>0</v>
          </cell>
          <cell r="G5419">
            <v>0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>
            <v>0</v>
          </cell>
        </row>
        <row r="5420">
          <cell r="C5420">
            <v>304275</v>
          </cell>
          <cell r="D5420" t="str">
            <v>Hagonoy National High School</v>
          </cell>
          <cell r="E5420">
            <v>0</v>
          </cell>
          <cell r="F5420">
            <v>0</v>
          </cell>
          <cell r="G5420">
            <v>0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>
            <v>0</v>
          </cell>
        </row>
        <row r="5421">
          <cell r="C5421">
            <v>304277</v>
          </cell>
          <cell r="D5421" t="str">
            <v>Ihan NHS</v>
          </cell>
          <cell r="E5421">
            <v>0</v>
          </cell>
          <cell r="F5421">
            <v>0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0</v>
          </cell>
        </row>
        <row r="5422">
          <cell r="C5422">
            <v>304278</v>
          </cell>
          <cell r="D5422" t="str">
            <v>Inawayan National High School</v>
          </cell>
          <cell r="E5422">
            <v>0</v>
          </cell>
          <cell r="F5422">
            <v>2</v>
          </cell>
          <cell r="G5422">
            <v>0</v>
          </cell>
          <cell r="H5422">
            <v>0</v>
          </cell>
          <cell r="I5422">
            <v>1</v>
          </cell>
          <cell r="J5422">
            <v>0</v>
          </cell>
          <cell r="K5422">
            <v>1</v>
          </cell>
          <cell r="L5422">
            <v>0</v>
          </cell>
        </row>
        <row r="5423">
          <cell r="C5423">
            <v>304279</v>
          </cell>
          <cell r="D5423" t="str">
            <v>Sibulan National High School</v>
          </cell>
          <cell r="E5423">
            <v>0</v>
          </cell>
          <cell r="F5423">
            <v>0</v>
          </cell>
          <cell r="G5423">
            <v>0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>
            <v>0</v>
          </cell>
        </row>
        <row r="5424">
          <cell r="C5424">
            <v>304280</v>
          </cell>
          <cell r="D5424" t="str">
            <v>Tudaya National High School</v>
          </cell>
          <cell r="E5424">
            <v>0</v>
          </cell>
          <cell r="F5424">
            <v>0</v>
          </cell>
          <cell r="G5424">
            <v>0</v>
          </cell>
          <cell r="H5424">
            <v>0</v>
          </cell>
          <cell r="I5424">
            <v>1</v>
          </cell>
          <cell r="J5424">
            <v>0</v>
          </cell>
          <cell r="K5424">
            <v>1</v>
          </cell>
          <cell r="L5424">
            <v>0</v>
          </cell>
        </row>
        <row r="5425">
          <cell r="C5425">
            <v>304284</v>
          </cell>
          <cell r="D5425" t="str">
            <v>Lower Bala NHS</v>
          </cell>
          <cell r="E5425">
            <v>0</v>
          </cell>
          <cell r="F5425">
            <v>0</v>
          </cell>
          <cell r="G5425">
            <v>0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>
            <v>0</v>
          </cell>
        </row>
        <row r="5426">
          <cell r="C5426">
            <v>304285</v>
          </cell>
          <cell r="D5426" t="str">
            <v>Pedro A. Arches NHS</v>
          </cell>
          <cell r="E5426">
            <v>0</v>
          </cell>
          <cell r="F5426">
            <v>0</v>
          </cell>
          <cell r="G5426">
            <v>0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>
            <v>0</v>
          </cell>
        </row>
        <row r="5427">
          <cell r="C5427">
            <v>304286</v>
          </cell>
          <cell r="D5427" t="str">
            <v>Marber NHS</v>
          </cell>
          <cell r="E5427">
            <v>1</v>
          </cell>
          <cell r="F5427">
            <v>3</v>
          </cell>
          <cell r="G5427">
            <v>0</v>
          </cell>
          <cell r="H5427">
            <v>0</v>
          </cell>
          <cell r="I5427">
            <v>1</v>
          </cell>
          <cell r="J5427">
            <v>2</v>
          </cell>
          <cell r="K5427">
            <v>0</v>
          </cell>
          <cell r="L5427">
            <v>0</v>
          </cell>
        </row>
        <row r="5428">
          <cell r="C5428">
            <v>304288</v>
          </cell>
          <cell r="D5428" t="str">
            <v>Matanao National High School</v>
          </cell>
          <cell r="E5428">
            <v>0</v>
          </cell>
          <cell r="F5428">
            <v>0</v>
          </cell>
          <cell r="G5428">
            <v>0</v>
          </cell>
          <cell r="H5428">
            <v>0</v>
          </cell>
          <cell r="I5428">
            <v>13</v>
          </cell>
          <cell r="J5428">
            <v>22</v>
          </cell>
          <cell r="K5428">
            <v>13</v>
          </cell>
          <cell r="L5428">
            <v>12</v>
          </cell>
        </row>
        <row r="5429">
          <cell r="C5429">
            <v>304289</v>
          </cell>
          <cell r="D5429" t="str">
            <v>Bangkal NHS</v>
          </cell>
          <cell r="E5429">
            <v>0</v>
          </cell>
          <cell r="F5429">
            <v>0</v>
          </cell>
          <cell r="G5429">
            <v>0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>
            <v>0</v>
          </cell>
        </row>
        <row r="5430">
          <cell r="C5430">
            <v>304290</v>
          </cell>
          <cell r="D5430" t="str">
            <v>Sinawilan NHS</v>
          </cell>
          <cell r="E5430">
            <v>0</v>
          </cell>
          <cell r="F5430">
            <v>0</v>
          </cell>
          <cell r="G5430">
            <v>0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0</v>
          </cell>
        </row>
        <row r="5431">
          <cell r="C5431">
            <v>304294</v>
          </cell>
          <cell r="D5431" t="str">
            <v>Sta. Cruz National High School</v>
          </cell>
          <cell r="E5431">
            <v>0</v>
          </cell>
          <cell r="F5431">
            <v>0</v>
          </cell>
          <cell r="G5431">
            <v>2</v>
          </cell>
          <cell r="H5431">
            <v>0</v>
          </cell>
          <cell r="I5431">
            <v>0</v>
          </cell>
          <cell r="J5431">
            <v>2</v>
          </cell>
          <cell r="K5431">
            <v>0</v>
          </cell>
          <cell r="L5431">
            <v>0</v>
          </cell>
        </row>
        <row r="5432">
          <cell r="C5432">
            <v>304295</v>
          </cell>
          <cell r="D5432" t="str">
            <v>Bato NHS</v>
          </cell>
          <cell r="E5432">
            <v>0</v>
          </cell>
          <cell r="F5432">
            <v>0</v>
          </cell>
          <cell r="G5432">
            <v>0</v>
          </cell>
          <cell r="H5432">
            <v>0</v>
          </cell>
          <cell r="I5432">
            <v>3</v>
          </cell>
          <cell r="J5432">
            <v>7</v>
          </cell>
          <cell r="K5432">
            <v>3</v>
          </cell>
          <cell r="L5432">
            <v>7</v>
          </cell>
        </row>
        <row r="5433">
          <cell r="C5433">
            <v>304297</v>
          </cell>
          <cell r="D5433" t="str">
            <v>Sulop NHS</v>
          </cell>
          <cell r="E5433">
            <v>0</v>
          </cell>
          <cell r="F5433">
            <v>5</v>
          </cell>
          <cell r="G5433">
            <v>0</v>
          </cell>
          <cell r="H5433">
            <v>0</v>
          </cell>
          <cell r="I5433">
            <v>0</v>
          </cell>
          <cell r="J5433">
            <v>5</v>
          </cell>
          <cell r="K5433">
            <v>0</v>
          </cell>
          <cell r="L5433">
            <v>0</v>
          </cell>
        </row>
        <row r="5434">
          <cell r="C5434">
            <v>304298</v>
          </cell>
          <cell r="D5434" t="str">
            <v>Tacul Agricultural High School</v>
          </cell>
          <cell r="E5434">
            <v>0</v>
          </cell>
          <cell r="F5434">
            <v>0</v>
          </cell>
          <cell r="G5434">
            <v>0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>
            <v>0</v>
          </cell>
        </row>
        <row r="5435">
          <cell r="C5435">
            <v>316001</v>
          </cell>
          <cell r="D5435" t="str">
            <v>Molopolo National High School</v>
          </cell>
          <cell r="E5435">
            <v>0</v>
          </cell>
          <cell r="F5435">
            <v>0</v>
          </cell>
          <cell r="G5435">
            <v>0</v>
          </cell>
          <cell r="H5435">
            <v>0</v>
          </cell>
          <cell r="I5435">
            <v>0</v>
          </cell>
          <cell r="J5435">
            <v>0</v>
          </cell>
          <cell r="K5435">
            <v>1</v>
          </cell>
          <cell r="L5435">
            <v>0</v>
          </cell>
        </row>
        <row r="5436">
          <cell r="C5436">
            <v>316002</v>
          </cell>
          <cell r="D5436" t="str">
            <v>Padada NHS</v>
          </cell>
          <cell r="E5436">
            <v>0</v>
          </cell>
          <cell r="F5436">
            <v>0</v>
          </cell>
          <cell r="G5436">
            <v>0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0</v>
          </cell>
        </row>
        <row r="5437">
          <cell r="C5437">
            <v>316003</v>
          </cell>
          <cell r="D5437" t="str">
            <v>SALUD CAGAS TECH.&amp; VOC. H.S</v>
          </cell>
          <cell r="E5437">
            <v>0</v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</row>
        <row r="5438">
          <cell r="C5438">
            <v>316004</v>
          </cell>
          <cell r="D5438" t="str">
            <v>SACUB National High School</v>
          </cell>
          <cell r="E5438">
            <v>0</v>
          </cell>
          <cell r="F5438">
            <v>0</v>
          </cell>
          <cell r="G5438">
            <v>0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</row>
        <row r="5439">
          <cell r="C5439">
            <v>316005</v>
          </cell>
          <cell r="D5439" t="str">
            <v>Felipe-Inocencia Deluao NHS</v>
          </cell>
          <cell r="E5439">
            <v>0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0</v>
          </cell>
        </row>
        <row r="5440">
          <cell r="C5440">
            <v>316013</v>
          </cell>
          <cell r="D5440" t="str">
            <v>Mabuhay National High School</v>
          </cell>
          <cell r="E5440">
            <v>0</v>
          </cell>
          <cell r="F5440">
            <v>0</v>
          </cell>
          <cell r="G5440">
            <v>0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>
            <v>0</v>
          </cell>
        </row>
        <row r="5441">
          <cell r="C5441">
            <v>304299</v>
          </cell>
          <cell r="D5441" t="str">
            <v>Baculin NHS</v>
          </cell>
          <cell r="E5441">
            <v>0</v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0</v>
          </cell>
        </row>
        <row r="5442">
          <cell r="C5442">
            <v>304300</v>
          </cell>
          <cell r="D5442" t="str">
            <v>Baganga NHS</v>
          </cell>
          <cell r="E5442">
            <v>0</v>
          </cell>
          <cell r="F5442">
            <v>0</v>
          </cell>
          <cell r="G5442">
            <v>0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0</v>
          </cell>
        </row>
        <row r="5443">
          <cell r="C5443">
            <v>304301</v>
          </cell>
          <cell r="D5443" t="str">
            <v>Manuel B.Guiñez  Sr. NHS</v>
          </cell>
          <cell r="E5443">
            <v>0</v>
          </cell>
          <cell r="F5443">
            <v>0</v>
          </cell>
          <cell r="G5443">
            <v>0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>
            <v>0</v>
          </cell>
        </row>
        <row r="5444">
          <cell r="C5444">
            <v>304302</v>
          </cell>
          <cell r="D5444" t="str">
            <v>Bitaogan NHS</v>
          </cell>
          <cell r="E5444">
            <v>0</v>
          </cell>
          <cell r="F5444">
            <v>0</v>
          </cell>
          <cell r="G5444">
            <v>0</v>
          </cell>
          <cell r="H5444">
            <v>0</v>
          </cell>
          <cell r="I5444">
            <v>0</v>
          </cell>
          <cell r="J5444">
            <v>0</v>
          </cell>
          <cell r="K5444">
            <v>0</v>
          </cell>
          <cell r="L5444">
            <v>0</v>
          </cell>
        </row>
        <row r="5445">
          <cell r="C5445">
            <v>304304</v>
          </cell>
          <cell r="D5445" t="str">
            <v>Boston NHS</v>
          </cell>
          <cell r="E5445">
            <v>0</v>
          </cell>
          <cell r="F5445">
            <v>0</v>
          </cell>
          <cell r="G5445">
            <v>0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>
            <v>0</v>
          </cell>
        </row>
        <row r="5446">
          <cell r="C5446">
            <v>304306</v>
          </cell>
          <cell r="D5446" t="str">
            <v>Calapagan NHS</v>
          </cell>
          <cell r="E5446">
            <v>0</v>
          </cell>
          <cell r="F5446">
            <v>0</v>
          </cell>
          <cell r="G5446">
            <v>0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>
            <v>0</v>
          </cell>
        </row>
        <row r="5447">
          <cell r="C5447">
            <v>304307</v>
          </cell>
          <cell r="D5447" t="str">
            <v>Caraga National High School</v>
          </cell>
          <cell r="E5447">
            <v>0</v>
          </cell>
          <cell r="F5447">
            <v>0</v>
          </cell>
          <cell r="G5447">
            <v>0</v>
          </cell>
          <cell r="H5447">
            <v>0</v>
          </cell>
          <cell r="I5447">
            <v>2</v>
          </cell>
          <cell r="J5447">
            <v>8</v>
          </cell>
          <cell r="K5447">
            <v>2</v>
          </cell>
          <cell r="L5447">
            <v>8</v>
          </cell>
        </row>
        <row r="5448">
          <cell r="C5448">
            <v>304308</v>
          </cell>
          <cell r="D5448" t="str">
            <v>Pantuyan NHS</v>
          </cell>
          <cell r="E5448">
            <v>0</v>
          </cell>
          <cell r="F5448">
            <v>0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0</v>
          </cell>
        </row>
        <row r="5449">
          <cell r="C5449">
            <v>304309</v>
          </cell>
          <cell r="D5449" t="str">
            <v>Cateel National Agricultural High School</v>
          </cell>
          <cell r="E5449">
            <v>0</v>
          </cell>
          <cell r="F5449">
            <v>0</v>
          </cell>
          <cell r="G5449">
            <v>0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>
            <v>0</v>
          </cell>
        </row>
        <row r="5450">
          <cell r="C5450">
            <v>304310</v>
          </cell>
          <cell r="D5450" t="str">
            <v>San Antonio NHS</v>
          </cell>
          <cell r="E5450">
            <v>0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0</v>
          </cell>
        </row>
        <row r="5451">
          <cell r="C5451">
            <v>304311</v>
          </cell>
          <cell r="D5451" t="str">
            <v>Cateel Vocational High School</v>
          </cell>
          <cell r="E5451">
            <v>0</v>
          </cell>
          <cell r="F5451">
            <v>0</v>
          </cell>
          <cell r="G5451">
            <v>0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0</v>
          </cell>
        </row>
        <row r="5452">
          <cell r="C5452">
            <v>304312</v>
          </cell>
          <cell r="D5452" t="str">
            <v>Crispin E. Rojas National High School</v>
          </cell>
          <cell r="E5452">
            <v>0</v>
          </cell>
          <cell r="F5452">
            <v>0</v>
          </cell>
          <cell r="G5452">
            <v>0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>
            <v>0</v>
          </cell>
        </row>
        <row r="5453">
          <cell r="C5453">
            <v>304315</v>
          </cell>
          <cell r="D5453" t="str">
            <v>Evaristo Moralizon National  Vocational  High School</v>
          </cell>
          <cell r="E5453">
            <v>0</v>
          </cell>
          <cell r="F5453">
            <v>0</v>
          </cell>
          <cell r="G5453">
            <v>0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>
            <v>0</v>
          </cell>
        </row>
        <row r="5454">
          <cell r="C5454">
            <v>304316</v>
          </cell>
          <cell r="D5454" t="str">
            <v>DR. BEATO C. MACAYRA NATIONAL HIGH SCHOOL</v>
          </cell>
          <cell r="E5454">
            <v>0</v>
          </cell>
          <cell r="F5454">
            <v>0</v>
          </cell>
          <cell r="G5454">
            <v>0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>
            <v>0</v>
          </cell>
        </row>
        <row r="5455">
          <cell r="C5455">
            <v>304317</v>
          </cell>
          <cell r="D5455" t="str">
            <v>Manuel S. Nasser Sr. National High School</v>
          </cell>
          <cell r="E5455">
            <v>0</v>
          </cell>
          <cell r="F5455">
            <v>0</v>
          </cell>
          <cell r="G5455">
            <v>0</v>
          </cell>
          <cell r="H5455">
            <v>0</v>
          </cell>
          <cell r="I5455">
            <v>2</v>
          </cell>
          <cell r="J5455">
            <v>2</v>
          </cell>
          <cell r="K5455">
            <v>0</v>
          </cell>
          <cell r="L5455">
            <v>0</v>
          </cell>
        </row>
        <row r="5456">
          <cell r="C5456">
            <v>304319</v>
          </cell>
          <cell r="D5456" t="str">
            <v>Lupon Vocational High School</v>
          </cell>
          <cell r="E5456">
            <v>0</v>
          </cell>
          <cell r="F5456">
            <v>0</v>
          </cell>
          <cell r="G5456">
            <v>0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>
            <v>0</v>
          </cell>
        </row>
        <row r="5457">
          <cell r="C5457">
            <v>304320</v>
          </cell>
          <cell r="D5457" t="str">
            <v>Bagumbayan Agro-Ind. HS</v>
          </cell>
          <cell r="E5457">
            <v>0</v>
          </cell>
          <cell r="F5457">
            <v>0</v>
          </cell>
          <cell r="G5457">
            <v>0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0</v>
          </cell>
        </row>
        <row r="5458">
          <cell r="C5458">
            <v>304321</v>
          </cell>
          <cell r="D5458" t="str">
            <v>Lupon NCHS</v>
          </cell>
          <cell r="E5458">
            <v>0</v>
          </cell>
          <cell r="F5458">
            <v>0</v>
          </cell>
          <cell r="G5458">
            <v>0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0</v>
          </cell>
        </row>
        <row r="5459">
          <cell r="C5459">
            <v>304322</v>
          </cell>
          <cell r="D5459" t="str">
            <v>Luzon National High School</v>
          </cell>
          <cell r="E5459">
            <v>0</v>
          </cell>
          <cell r="F5459">
            <v>0</v>
          </cell>
          <cell r="G5459">
            <v>0</v>
          </cell>
          <cell r="H5459">
            <v>0</v>
          </cell>
          <cell r="I5459">
            <v>2</v>
          </cell>
          <cell r="J5459">
            <v>5</v>
          </cell>
          <cell r="K5459">
            <v>1</v>
          </cell>
          <cell r="L5459">
            <v>2</v>
          </cell>
        </row>
        <row r="5460">
          <cell r="C5460">
            <v>304323</v>
          </cell>
          <cell r="D5460" t="str">
            <v>Macangao Agri. VHS</v>
          </cell>
          <cell r="E5460">
            <v>0</v>
          </cell>
          <cell r="F5460">
            <v>0</v>
          </cell>
          <cell r="G5460">
            <v>0</v>
          </cell>
          <cell r="H5460">
            <v>0</v>
          </cell>
          <cell r="I5460">
            <v>3</v>
          </cell>
          <cell r="J5460">
            <v>1</v>
          </cell>
          <cell r="K5460">
            <v>3</v>
          </cell>
          <cell r="L5460">
            <v>1</v>
          </cell>
        </row>
        <row r="5461">
          <cell r="C5461">
            <v>304324</v>
          </cell>
          <cell r="D5461" t="str">
            <v>Manay National High School</v>
          </cell>
          <cell r="E5461">
            <v>0</v>
          </cell>
          <cell r="F5461">
            <v>0</v>
          </cell>
          <cell r="G5461">
            <v>1</v>
          </cell>
          <cell r="H5461">
            <v>0</v>
          </cell>
          <cell r="I5461">
            <v>0</v>
          </cell>
          <cell r="J5461">
            <v>0</v>
          </cell>
          <cell r="K5461">
            <v>0</v>
          </cell>
          <cell r="L5461">
            <v>0</v>
          </cell>
        </row>
        <row r="5462">
          <cell r="C5462">
            <v>304329</v>
          </cell>
          <cell r="D5462" t="str">
            <v>Nangan NHS</v>
          </cell>
          <cell r="E5462">
            <v>0</v>
          </cell>
          <cell r="F5462">
            <v>0</v>
          </cell>
          <cell r="G5462">
            <v>0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>
            <v>0</v>
          </cell>
        </row>
        <row r="5463">
          <cell r="C5463">
            <v>304330</v>
          </cell>
          <cell r="D5463" t="str">
            <v>Pundaguitan National High School</v>
          </cell>
          <cell r="E5463">
            <v>0</v>
          </cell>
          <cell r="F5463">
            <v>0</v>
          </cell>
          <cell r="G5463">
            <v>0</v>
          </cell>
          <cell r="H5463">
            <v>0</v>
          </cell>
          <cell r="I5463">
            <v>0</v>
          </cell>
          <cell r="J5463">
            <v>3</v>
          </cell>
          <cell r="K5463">
            <v>0</v>
          </cell>
          <cell r="L5463">
            <v>3</v>
          </cell>
        </row>
        <row r="5464">
          <cell r="C5464">
            <v>304331</v>
          </cell>
          <cell r="D5464" t="str">
            <v>Puntalinao National High School</v>
          </cell>
          <cell r="E5464">
            <v>0</v>
          </cell>
          <cell r="F5464">
            <v>0</v>
          </cell>
          <cell r="G5464">
            <v>0</v>
          </cell>
          <cell r="H5464">
            <v>0</v>
          </cell>
          <cell r="I5464">
            <v>0</v>
          </cell>
          <cell r="J5464">
            <v>0</v>
          </cell>
          <cell r="K5464">
            <v>0</v>
          </cell>
          <cell r="L5464">
            <v>0</v>
          </cell>
        </row>
        <row r="5465">
          <cell r="C5465">
            <v>304332</v>
          </cell>
          <cell r="D5465" t="str">
            <v>San Isidro NHS</v>
          </cell>
          <cell r="E5465">
            <v>0</v>
          </cell>
          <cell r="F5465">
            <v>0</v>
          </cell>
          <cell r="G5465">
            <v>0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>
            <v>0</v>
          </cell>
        </row>
        <row r="5466">
          <cell r="C5466">
            <v>304333</v>
          </cell>
          <cell r="D5466" t="str">
            <v>San Luis NHS</v>
          </cell>
          <cell r="E5466">
            <v>0</v>
          </cell>
          <cell r="F5466">
            <v>0</v>
          </cell>
          <cell r="G5466">
            <v>0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>
            <v>0</v>
          </cell>
        </row>
        <row r="5467">
          <cell r="C5467">
            <v>304334</v>
          </cell>
          <cell r="D5467" t="str">
            <v>Sangab National High School</v>
          </cell>
          <cell r="E5467">
            <v>0</v>
          </cell>
          <cell r="F5467">
            <v>0</v>
          </cell>
          <cell r="G5467">
            <v>0</v>
          </cell>
          <cell r="H5467">
            <v>0</v>
          </cell>
          <cell r="I5467">
            <v>2</v>
          </cell>
          <cell r="J5467">
            <v>1</v>
          </cell>
          <cell r="K5467">
            <v>2</v>
          </cell>
          <cell r="L5467">
            <v>1</v>
          </cell>
        </row>
        <row r="5468">
          <cell r="C5468">
            <v>304335</v>
          </cell>
          <cell r="D5468" t="str">
            <v>Santiago National High School</v>
          </cell>
          <cell r="E5468">
            <v>0</v>
          </cell>
          <cell r="F5468">
            <v>0</v>
          </cell>
          <cell r="G5468">
            <v>1</v>
          </cell>
          <cell r="H5468">
            <v>0</v>
          </cell>
          <cell r="I5468">
            <v>1</v>
          </cell>
          <cell r="J5468">
            <v>0</v>
          </cell>
          <cell r="K5468">
            <v>0</v>
          </cell>
          <cell r="L5468">
            <v>0</v>
          </cell>
        </row>
        <row r="5469">
          <cell r="C5469">
            <v>304336</v>
          </cell>
          <cell r="D5469" t="str">
            <v>Sigaboy Agri. Voc. HS</v>
          </cell>
          <cell r="E5469">
            <v>0</v>
          </cell>
          <cell r="F5469">
            <v>0</v>
          </cell>
          <cell r="G5469">
            <v>0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0</v>
          </cell>
        </row>
        <row r="5470">
          <cell r="C5470">
            <v>304337</v>
          </cell>
          <cell r="D5470" t="str">
            <v>Tagugpo NHS</v>
          </cell>
          <cell r="E5470">
            <v>0</v>
          </cell>
          <cell r="F5470">
            <v>0</v>
          </cell>
          <cell r="G5470">
            <v>0</v>
          </cell>
          <cell r="H5470">
            <v>0</v>
          </cell>
          <cell r="I5470">
            <v>1</v>
          </cell>
          <cell r="J5470">
            <v>2</v>
          </cell>
          <cell r="K5470">
            <v>0</v>
          </cell>
          <cell r="L5470">
            <v>0</v>
          </cell>
        </row>
        <row r="5471">
          <cell r="C5471">
            <v>304339</v>
          </cell>
          <cell r="D5471" t="str">
            <v>Tarragona National High School</v>
          </cell>
          <cell r="E5471">
            <v>0</v>
          </cell>
          <cell r="F5471">
            <v>0</v>
          </cell>
          <cell r="G5471">
            <v>2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>
            <v>0</v>
          </cell>
        </row>
        <row r="5472">
          <cell r="C5472">
            <v>304340</v>
          </cell>
          <cell r="D5472" t="str">
            <v>Tibanban NHS</v>
          </cell>
          <cell r="E5472">
            <v>0</v>
          </cell>
          <cell r="F5472">
            <v>0</v>
          </cell>
          <cell r="G5472">
            <v>0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>
            <v>0</v>
          </cell>
        </row>
        <row r="5473">
          <cell r="C5473">
            <v>316101</v>
          </cell>
          <cell r="D5473" t="str">
            <v>Marayag NHS</v>
          </cell>
          <cell r="E5473">
            <v>0</v>
          </cell>
          <cell r="F5473">
            <v>0</v>
          </cell>
          <cell r="G5473">
            <v>0</v>
          </cell>
          <cell r="H5473">
            <v>0</v>
          </cell>
          <cell r="I5473">
            <v>0</v>
          </cell>
          <cell r="J5473">
            <v>0</v>
          </cell>
          <cell r="K5473">
            <v>0</v>
          </cell>
          <cell r="L5473">
            <v>0</v>
          </cell>
        </row>
        <row r="5474">
          <cell r="C5474">
            <v>316102</v>
          </cell>
          <cell r="D5474" t="str">
            <v>Del Pilar NHS</v>
          </cell>
          <cell r="E5474">
            <v>0</v>
          </cell>
          <cell r="F5474">
            <v>0</v>
          </cell>
          <cell r="G5474">
            <v>0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>
            <v>0</v>
          </cell>
        </row>
        <row r="5475">
          <cell r="C5475">
            <v>316103</v>
          </cell>
          <cell r="D5475" t="str">
            <v>Old Macopa NHS</v>
          </cell>
          <cell r="E5475">
            <v>0</v>
          </cell>
          <cell r="F5475">
            <v>0</v>
          </cell>
          <cell r="G5475">
            <v>0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>
            <v>0</v>
          </cell>
        </row>
        <row r="5476">
          <cell r="C5476">
            <v>316105</v>
          </cell>
          <cell r="D5476" t="str">
            <v>Paniquian NHS</v>
          </cell>
          <cell r="E5476">
            <v>0</v>
          </cell>
          <cell r="F5476">
            <v>0</v>
          </cell>
          <cell r="G5476">
            <v>0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>
            <v>0</v>
          </cell>
        </row>
        <row r="5477">
          <cell r="C5477">
            <v>316106</v>
          </cell>
          <cell r="D5477" t="str">
            <v>Don Mariano Marcos NHS</v>
          </cell>
          <cell r="E5477">
            <v>0</v>
          </cell>
          <cell r="F5477">
            <v>0</v>
          </cell>
          <cell r="G5477">
            <v>0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0</v>
          </cell>
        </row>
        <row r="5478">
          <cell r="C5478">
            <v>316107</v>
          </cell>
          <cell r="D5478" t="str">
            <v>Leandro G. Japos NHS</v>
          </cell>
          <cell r="E5478">
            <v>0</v>
          </cell>
          <cell r="F5478">
            <v>0</v>
          </cell>
          <cell r="G5478">
            <v>0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>
            <v>0</v>
          </cell>
        </row>
        <row r="5479">
          <cell r="C5479">
            <v>316108</v>
          </cell>
          <cell r="D5479" t="str">
            <v>Lavigan National High School</v>
          </cell>
          <cell r="E5479">
            <v>0</v>
          </cell>
          <cell r="F5479">
            <v>0</v>
          </cell>
          <cell r="G5479">
            <v>0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>
            <v>0</v>
          </cell>
        </row>
        <row r="5480">
          <cell r="C5480">
            <v>316109</v>
          </cell>
          <cell r="D5480" t="str">
            <v>Tagboa Agri-Vocational High School</v>
          </cell>
          <cell r="E5480">
            <v>0</v>
          </cell>
          <cell r="F5480">
            <v>0</v>
          </cell>
          <cell r="G5480">
            <v>0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>
            <v>0</v>
          </cell>
        </row>
        <row r="5481">
          <cell r="C5481">
            <v>316113</v>
          </cell>
          <cell r="D5481" t="str">
            <v>Paulina Gambong Abayon NHS</v>
          </cell>
          <cell r="E5481">
            <v>0</v>
          </cell>
          <cell r="F5481">
            <v>0</v>
          </cell>
          <cell r="G5481">
            <v>0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>
            <v>0</v>
          </cell>
        </row>
        <row r="5482">
          <cell r="C5482">
            <v>300557</v>
          </cell>
          <cell r="D5482" t="str">
            <v>Vicenta C. Nograles National High School</v>
          </cell>
          <cell r="E5482">
            <v>0</v>
          </cell>
          <cell r="F5482">
            <v>0</v>
          </cell>
          <cell r="G5482">
            <v>0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>
            <v>0</v>
          </cell>
        </row>
        <row r="5483">
          <cell r="C5483">
            <v>301715</v>
          </cell>
          <cell r="D5483" t="str">
            <v>Tacunan National High School</v>
          </cell>
          <cell r="E5483">
            <v>0</v>
          </cell>
          <cell r="F5483">
            <v>0</v>
          </cell>
          <cell r="G5483">
            <v>0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</row>
        <row r="5484">
          <cell r="C5484">
            <v>301717</v>
          </cell>
          <cell r="D5484" t="str">
            <v>Magtuod National High School</v>
          </cell>
          <cell r="E5484">
            <v>0</v>
          </cell>
          <cell r="F5484">
            <v>0</v>
          </cell>
          <cell r="G5484">
            <v>0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>
            <v>0</v>
          </cell>
        </row>
        <row r="5485">
          <cell r="C5485">
            <v>304341</v>
          </cell>
          <cell r="D5485" t="str">
            <v>ALEJANDRA L. NAVARRO NHS</v>
          </cell>
          <cell r="E5485">
            <v>0</v>
          </cell>
          <cell r="F5485">
            <v>0</v>
          </cell>
          <cell r="G5485">
            <v>0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>
            <v>0</v>
          </cell>
        </row>
        <row r="5486">
          <cell r="C5486">
            <v>304342</v>
          </cell>
          <cell r="D5486" t="str">
            <v>Ma. Cristina P. Belcar Agricultural High School</v>
          </cell>
          <cell r="E5486">
            <v>0</v>
          </cell>
          <cell r="F5486">
            <v>0</v>
          </cell>
          <cell r="G5486">
            <v>0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0</v>
          </cell>
        </row>
        <row r="5487">
          <cell r="C5487">
            <v>304343</v>
          </cell>
          <cell r="D5487" t="str">
            <v>Baguio National School of Arts and Trades</v>
          </cell>
          <cell r="E5487">
            <v>0</v>
          </cell>
          <cell r="F5487">
            <v>0</v>
          </cell>
          <cell r="G5487">
            <v>0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0</v>
          </cell>
        </row>
        <row r="5488">
          <cell r="C5488">
            <v>304344</v>
          </cell>
          <cell r="D5488" t="str">
            <v>Elias P. Dacudao Gumalang School of Home Industries</v>
          </cell>
          <cell r="E5488">
            <v>0</v>
          </cell>
          <cell r="F5488">
            <v>0</v>
          </cell>
          <cell r="G5488">
            <v>0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>
            <v>0</v>
          </cell>
        </row>
        <row r="5489">
          <cell r="C5489">
            <v>304345</v>
          </cell>
          <cell r="D5489" t="str">
            <v>Bernardo D. Carpio National High School</v>
          </cell>
          <cell r="E5489">
            <v>0</v>
          </cell>
          <cell r="F5489">
            <v>0</v>
          </cell>
          <cell r="G5489">
            <v>0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0</v>
          </cell>
        </row>
        <row r="5490">
          <cell r="C5490">
            <v>304346</v>
          </cell>
          <cell r="D5490" t="str">
            <v>Cabantian NHS</v>
          </cell>
          <cell r="E5490">
            <v>0</v>
          </cell>
          <cell r="F5490">
            <v>0</v>
          </cell>
          <cell r="G5490">
            <v>0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>
            <v>0</v>
          </cell>
        </row>
        <row r="5491">
          <cell r="C5491">
            <v>304347</v>
          </cell>
          <cell r="D5491" t="str">
            <v>Biao NHS</v>
          </cell>
          <cell r="E5491">
            <v>0</v>
          </cell>
          <cell r="F5491">
            <v>0</v>
          </cell>
          <cell r="G5491">
            <v>0</v>
          </cell>
          <cell r="H5491">
            <v>0</v>
          </cell>
          <cell r="I5491">
            <v>0</v>
          </cell>
          <cell r="J5491">
            <v>0</v>
          </cell>
          <cell r="K5491">
            <v>0</v>
          </cell>
          <cell r="L5491">
            <v>0</v>
          </cell>
        </row>
        <row r="5492">
          <cell r="C5492">
            <v>304348</v>
          </cell>
          <cell r="D5492" t="str">
            <v>Talandang National High School</v>
          </cell>
          <cell r="E5492">
            <v>0</v>
          </cell>
          <cell r="F5492">
            <v>0</v>
          </cell>
          <cell r="G5492">
            <v>0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>
            <v>0</v>
          </cell>
        </row>
        <row r="5493">
          <cell r="C5493">
            <v>304349</v>
          </cell>
          <cell r="D5493" t="str">
            <v>Binowang National High School</v>
          </cell>
          <cell r="E5493">
            <v>0</v>
          </cell>
          <cell r="F5493">
            <v>0</v>
          </cell>
          <cell r="G5493">
            <v>0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>
            <v>0</v>
          </cell>
        </row>
        <row r="5494">
          <cell r="C5494">
            <v>304350</v>
          </cell>
          <cell r="D5494" t="str">
            <v>Binugao NHS</v>
          </cell>
          <cell r="E5494">
            <v>0</v>
          </cell>
          <cell r="F5494">
            <v>0</v>
          </cell>
          <cell r="G5494">
            <v>0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>
            <v>0</v>
          </cell>
        </row>
        <row r="5495">
          <cell r="C5495">
            <v>304351</v>
          </cell>
          <cell r="D5495" t="str">
            <v>Baracatan National High School</v>
          </cell>
          <cell r="E5495">
            <v>0</v>
          </cell>
          <cell r="F5495">
            <v>0</v>
          </cell>
          <cell r="G5495">
            <v>0</v>
          </cell>
          <cell r="H5495">
            <v>0</v>
          </cell>
          <cell r="I5495">
            <v>0</v>
          </cell>
          <cell r="J5495">
            <v>0</v>
          </cell>
          <cell r="K5495">
            <v>0</v>
          </cell>
          <cell r="L5495">
            <v>0</v>
          </cell>
        </row>
        <row r="5496">
          <cell r="C5496">
            <v>304353</v>
          </cell>
          <cell r="D5496" t="str">
            <v>Buda NHS</v>
          </cell>
          <cell r="E5496">
            <v>0</v>
          </cell>
          <cell r="F5496">
            <v>0</v>
          </cell>
          <cell r="G5496">
            <v>0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0</v>
          </cell>
        </row>
        <row r="5497">
          <cell r="C5497">
            <v>304354</v>
          </cell>
          <cell r="D5497" t="str">
            <v>Calinan NHS</v>
          </cell>
          <cell r="E5497">
            <v>0</v>
          </cell>
          <cell r="F5497">
            <v>0</v>
          </cell>
          <cell r="G5497">
            <v>0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0</v>
          </cell>
        </row>
        <row r="5498">
          <cell r="C5498">
            <v>304355</v>
          </cell>
          <cell r="D5498" t="str">
            <v>Wangan National High School</v>
          </cell>
          <cell r="E5498">
            <v>0</v>
          </cell>
          <cell r="F5498">
            <v>0</v>
          </cell>
          <cell r="G5498">
            <v>0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>
            <v>0</v>
          </cell>
        </row>
        <row r="5499">
          <cell r="C5499">
            <v>304356</v>
          </cell>
          <cell r="D5499" t="str">
            <v>Crossing Bayabas National High School</v>
          </cell>
          <cell r="E5499">
            <v>0</v>
          </cell>
          <cell r="F5499">
            <v>0</v>
          </cell>
          <cell r="G5499">
            <v>0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>
            <v>0</v>
          </cell>
        </row>
        <row r="5500">
          <cell r="C5500">
            <v>304357</v>
          </cell>
          <cell r="D5500" t="str">
            <v>E. B. Lopez Mem. NHS</v>
          </cell>
          <cell r="E5500">
            <v>0</v>
          </cell>
          <cell r="F5500">
            <v>0</v>
          </cell>
          <cell r="G5500">
            <v>0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>
            <v>0</v>
          </cell>
        </row>
        <row r="5501">
          <cell r="C5501">
            <v>304358</v>
          </cell>
          <cell r="D5501" t="str">
            <v>Dacudao National High School</v>
          </cell>
          <cell r="E5501">
            <v>0</v>
          </cell>
          <cell r="F5501">
            <v>0</v>
          </cell>
          <cell r="G5501">
            <v>0</v>
          </cell>
          <cell r="H5501">
            <v>0</v>
          </cell>
          <cell r="I5501">
            <v>6</v>
          </cell>
          <cell r="J5501">
            <v>2</v>
          </cell>
          <cell r="K5501">
            <v>0</v>
          </cell>
          <cell r="L5501">
            <v>0</v>
          </cell>
        </row>
        <row r="5502">
          <cell r="C5502">
            <v>304359</v>
          </cell>
          <cell r="D5502" t="str">
            <v>Daniel R. Aguinaldo NHS</v>
          </cell>
          <cell r="E5502">
            <v>0</v>
          </cell>
          <cell r="F5502">
            <v>0</v>
          </cell>
          <cell r="G5502">
            <v>0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>
            <v>0</v>
          </cell>
        </row>
        <row r="5503">
          <cell r="C5503">
            <v>304360</v>
          </cell>
          <cell r="D5503" t="str">
            <v>Davao City NHS</v>
          </cell>
          <cell r="E5503">
            <v>0</v>
          </cell>
          <cell r="F5503">
            <v>0</v>
          </cell>
          <cell r="G5503">
            <v>0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>
            <v>0</v>
          </cell>
        </row>
        <row r="5504">
          <cell r="C5504">
            <v>304361</v>
          </cell>
          <cell r="D5504" t="str">
            <v>Dona Carmen Denia NHS</v>
          </cell>
          <cell r="E5504">
            <v>0</v>
          </cell>
          <cell r="F5504">
            <v>0</v>
          </cell>
          <cell r="G5504">
            <v>0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0</v>
          </cell>
        </row>
        <row r="5505">
          <cell r="C5505">
            <v>304362</v>
          </cell>
          <cell r="D5505" t="str">
            <v>J. V. Ferriols National High School</v>
          </cell>
          <cell r="E5505">
            <v>0</v>
          </cell>
          <cell r="F5505">
            <v>0</v>
          </cell>
          <cell r="G5505">
            <v>0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>
            <v>0</v>
          </cell>
        </row>
        <row r="5506">
          <cell r="C5506">
            <v>304363</v>
          </cell>
          <cell r="D5506" t="str">
            <v>Davao City Special National High School</v>
          </cell>
          <cell r="E5506">
            <v>0</v>
          </cell>
          <cell r="F5506">
            <v>0</v>
          </cell>
          <cell r="G5506">
            <v>0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>
            <v>0</v>
          </cell>
        </row>
        <row r="5507">
          <cell r="C5507">
            <v>304364</v>
          </cell>
          <cell r="D5507" t="str">
            <v>E. Ramos NHS</v>
          </cell>
          <cell r="E5507">
            <v>0</v>
          </cell>
          <cell r="F5507">
            <v>0</v>
          </cell>
          <cell r="G5507">
            <v>0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>
            <v>0</v>
          </cell>
        </row>
        <row r="5508">
          <cell r="C5508">
            <v>304365</v>
          </cell>
          <cell r="D5508" t="str">
            <v>Erico T. Nograles NHS</v>
          </cell>
          <cell r="E5508">
            <v>0</v>
          </cell>
          <cell r="F5508">
            <v>0</v>
          </cell>
          <cell r="G5508">
            <v>0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0</v>
          </cell>
        </row>
        <row r="5509">
          <cell r="C5509">
            <v>304366</v>
          </cell>
          <cell r="D5509" t="str">
            <v>F. Bangoy NHS</v>
          </cell>
          <cell r="E5509">
            <v>0</v>
          </cell>
          <cell r="F5509">
            <v>0</v>
          </cell>
          <cell r="G5509">
            <v>0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0</v>
          </cell>
        </row>
        <row r="5510">
          <cell r="C5510">
            <v>304367</v>
          </cell>
          <cell r="D5510" t="str">
            <v>Dr. Santiago Dakudao Sr. National High School</v>
          </cell>
          <cell r="E5510">
            <v>0</v>
          </cell>
          <cell r="F5510">
            <v>0</v>
          </cell>
          <cell r="G5510">
            <v>0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>
            <v>0</v>
          </cell>
        </row>
        <row r="5511">
          <cell r="C5511">
            <v>304368</v>
          </cell>
          <cell r="D5511" t="str">
            <v>F. Bustamante NHS</v>
          </cell>
          <cell r="E5511">
            <v>0</v>
          </cell>
          <cell r="F5511">
            <v>0</v>
          </cell>
          <cell r="G5511">
            <v>0</v>
          </cell>
          <cell r="H5511">
            <v>0</v>
          </cell>
          <cell r="I5511">
            <v>9</v>
          </cell>
          <cell r="J5511">
            <v>14</v>
          </cell>
          <cell r="K5511">
            <v>8</v>
          </cell>
          <cell r="L5511">
            <v>9</v>
          </cell>
        </row>
        <row r="5512">
          <cell r="C5512">
            <v>304369</v>
          </cell>
          <cell r="D5512" t="str">
            <v>Gorgonio Tajo, Sr. NHS</v>
          </cell>
          <cell r="E5512">
            <v>0</v>
          </cell>
          <cell r="F5512">
            <v>0</v>
          </cell>
          <cell r="G5512">
            <v>0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0</v>
          </cell>
        </row>
        <row r="5513">
          <cell r="C5513">
            <v>304370</v>
          </cell>
          <cell r="D5513" t="str">
            <v>Teofilo V. Fernandez National High School</v>
          </cell>
          <cell r="E5513">
            <v>0</v>
          </cell>
          <cell r="F5513">
            <v>0</v>
          </cell>
          <cell r="G5513">
            <v>0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0</v>
          </cell>
        </row>
        <row r="5514">
          <cell r="C5514">
            <v>304371</v>
          </cell>
          <cell r="D5514" t="str">
            <v>Lamanan National High School</v>
          </cell>
          <cell r="E5514">
            <v>0</v>
          </cell>
          <cell r="F5514">
            <v>0</v>
          </cell>
          <cell r="G5514">
            <v>0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0</v>
          </cell>
        </row>
        <row r="5515">
          <cell r="C5515">
            <v>304372</v>
          </cell>
          <cell r="D5515" t="str">
            <v>Saloy National High School</v>
          </cell>
          <cell r="E5515">
            <v>0</v>
          </cell>
          <cell r="F5515">
            <v>0</v>
          </cell>
          <cell r="G5515">
            <v>0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>
            <v>0</v>
          </cell>
        </row>
        <row r="5516">
          <cell r="C5516">
            <v>304373</v>
          </cell>
          <cell r="D5516" t="str">
            <v>Los Amigos NHS</v>
          </cell>
          <cell r="E5516">
            <v>0</v>
          </cell>
          <cell r="F5516">
            <v>0</v>
          </cell>
          <cell r="G5516">
            <v>0</v>
          </cell>
          <cell r="H5516">
            <v>0</v>
          </cell>
          <cell r="I5516">
            <v>2</v>
          </cell>
          <cell r="J5516">
            <v>6</v>
          </cell>
          <cell r="K5516">
            <v>0</v>
          </cell>
          <cell r="L5516">
            <v>1</v>
          </cell>
        </row>
        <row r="5517">
          <cell r="C5517">
            <v>304374</v>
          </cell>
          <cell r="D5517" t="str">
            <v>Lower Tamugan NHS</v>
          </cell>
          <cell r="E5517">
            <v>0</v>
          </cell>
          <cell r="F5517">
            <v>0</v>
          </cell>
          <cell r="G5517">
            <v>0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0</v>
          </cell>
        </row>
        <row r="5518">
          <cell r="C5518">
            <v>304375</v>
          </cell>
          <cell r="D5518" t="str">
            <v>MAA NATIONAL HIGH SCHOOL</v>
          </cell>
          <cell r="E5518">
            <v>0</v>
          </cell>
          <cell r="F5518">
            <v>0</v>
          </cell>
          <cell r="G5518">
            <v>0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>
            <v>0</v>
          </cell>
        </row>
        <row r="5519">
          <cell r="C5519">
            <v>304376</v>
          </cell>
          <cell r="D5519" t="str">
            <v>Mabini NHS</v>
          </cell>
          <cell r="E5519">
            <v>0</v>
          </cell>
          <cell r="F5519">
            <v>0</v>
          </cell>
          <cell r="G5519">
            <v>0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>
            <v>0</v>
          </cell>
        </row>
        <row r="5520">
          <cell r="C5520">
            <v>304377</v>
          </cell>
          <cell r="D5520" t="str">
            <v>JESUS J. SORIANO NATIONAL HIGH SCHOOL</v>
          </cell>
          <cell r="E5520">
            <v>0</v>
          </cell>
          <cell r="F5520">
            <v>0</v>
          </cell>
          <cell r="G5520">
            <v>0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>
            <v>0</v>
          </cell>
        </row>
        <row r="5521">
          <cell r="C5521">
            <v>304378</v>
          </cell>
          <cell r="D5521" t="str">
            <v>GOV. VICENTE DUTERTE NATIONAL HIGH SCHOOL</v>
          </cell>
          <cell r="E5521">
            <v>0</v>
          </cell>
          <cell r="F5521">
            <v>0</v>
          </cell>
          <cell r="G5521">
            <v>0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>
            <v>0</v>
          </cell>
        </row>
        <row r="5522">
          <cell r="C5522">
            <v>304379</v>
          </cell>
          <cell r="D5522" t="str">
            <v>Malabog National High School</v>
          </cell>
          <cell r="E5522">
            <v>0</v>
          </cell>
          <cell r="F5522">
            <v>0</v>
          </cell>
          <cell r="G5522">
            <v>0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0</v>
          </cell>
        </row>
        <row r="5523">
          <cell r="C5523">
            <v>304380</v>
          </cell>
          <cell r="D5523" t="str">
            <v>Pablo Lorenzo NHS</v>
          </cell>
          <cell r="E5523">
            <v>0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</row>
        <row r="5524">
          <cell r="C5524">
            <v>304381</v>
          </cell>
          <cell r="D5524" t="str">
            <v>Marilog High School of Agriculture (Tech-Voc School)</v>
          </cell>
          <cell r="E5524">
            <v>0</v>
          </cell>
          <cell r="F5524">
            <v>0</v>
          </cell>
          <cell r="G5524">
            <v>0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>
            <v>0</v>
          </cell>
        </row>
        <row r="5525">
          <cell r="C5525">
            <v>304382</v>
          </cell>
          <cell r="D5525" t="str">
            <v>Marilog National High School</v>
          </cell>
          <cell r="E5525">
            <v>0</v>
          </cell>
          <cell r="F5525">
            <v>0</v>
          </cell>
          <cell r="G5525">
            <v>0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>
            <v>0</v>
          </cell>
        </row>
        <row r="5526">
          <cell r="C5526">
            <v>304383</v>
          </cell>
          <cell r="D5526" t="str">
            <v>G.Astilla Sr. Cultural Minority HS</v>
          </cell>
          <cell r="E5526">
            <v>0</v>
          </cell>
          <cell r="F5526">
            <v>0</v>
          </cell>
          <cell r="G5526">
            <v>0</v>
          </cell>
          <cell r="H5526">
            <v>0</v>
          </cell>
          <cell r="I5526">
            <v>2</v>
          </cell>
          <cell r="J5526">
            <v>0</v>
          </cell>
          <cell r="K5526">
            <v>2</v>
          </cell>
          <cell r="L5526">
            <v>0</v>
          </cell>
        </row>
        <row r="5527">
          <cell r="C5527">
            <v>304384</v>
          </cell>
          <cell r="D5527" t="str">
            <v>Marahan National High School</v>
          </cell>
          <cell r="E5527">
            <v>0</v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0</v>
          </cell>
        </row>
        <row r="5528">
          <cell r="C5528">
            <v>304385</v>
          </cell>
          <cell r="D5528" t="str">
            <v>Mintal Comprehensive High School</v>
          </cell>
          <cell r="E5528">
            <v>0</v>
          </cell>
          <cell r="F5528">
            <v>0</v>
          </cell>
          <cell r="G5528">
            <v>0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0</v>
          </cell>
        </row>
        <row r="5529">
          <cell r="C5529">
            <v>304386</v>
          </cell>
          <cell r="D5529" t="str">
            <v>Sto. Niño National High School</v>
          </cell>
          <cell r="E5529">
            <v>0</v>
          </cell>
          <cell r="F5529">
            <v>0</v>
          </cell>
          <cell r="G5529">
            <v>0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>
            <v>0</v>
          </cell>
        </row>
        <row r="5530">
          <cell r="C5530">
            <v>304387</v>
          </cell>
          <cell r="D5530" t="str">
            <v>Tugbok National HS</v>
          </cell>
          <cell r="E5530">
            <v>0</v>
          </cell>
          <cell r="F5530">
            <v>0</v>
          </cell>
          <cell r="G5530">
            <v>0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>
            <v>0</v>
          </cell>
        </row>
        <row r="5531">
          <cell r="C5531">
            <v>304388</v>
          </cell>
          <cell r="D5531" t="str">
            <v>Optaciano Hilay NHS</v>
          </cell>
          <cell r="E5531">
            <v>0</v>
          </cell>
          <cell r="F5531">
            <v>0</v>
          </cell>
          <cell r="G5531">
            <v>0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>
            <v>0</v>
          </cell>
        </row>
        <row r="5532">
          <cell r="C5532">
            <v>304389</v>
          </cell>
          <cell r="D5532" t="str">
            <v>Paquibato NHS</v>
          </cell>
          <cell r="E5532">
            <v>0</v>
          </cell>
          <cell r="F5532">
            <v>0</v>
          </cell>
          <cell r="G5532">
            <v>0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0</v>
          </cell>
        </row>
        <row r="5533">
          <cell r="C5533">
            <v>304390</v>
          </cell>
          <cell r="D5533" t="str">
            <v>Panaga National High School</v>
          </cell>
          <cell r="E5533">
            <v>0</v>
          </cell>
          <cell r="F5533">
            <v>0</v>
          </cell>
          <cell r="G5533">
            <v>0</v>
          </cell>
          <cell r="H5533">
            <v>0</v>
          </cell>
          <cell r="I5533">
            <v>0</v>
          </cell>
          <cell r="J5533">
            <v>1</v>
          </cell>
          <cell r="K5533">
            <v>0</v>
          </cell>
          <cell r="L5533">
            <v>0</v>
          </cell>
        </row>
        <row r="5534">
          <cell r="C5534">
            <v>304391</v>
          </cell>
          <cell r="D5534" t="str">
            <v>Leon Garcia, Sr. NHS</v>
          </cell>
          <cell r="E5534">
            <v>0</v>
          </cell>
          <cell r="F5534">
            <v>0</v>
          </cell>
          <cell r="G5534">
            <v>0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>
            <v>0</v>
          </cell>
        </row>
        <row r="5535">
          <cell r="C5535">
            <v>304392</v>
          </cell>
          <cell r="D5535" t="str">
            <v>Sirib NHS</v>
          </cell>
          <cell r="E5535">
            <v>0</v>
          </cell>
          <cell r="F5535">
            <v>0</v>
          </cell>
          <cell r="G5535">
            <v>0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>
            <v>0</v>
          </cell>
        </row>
        <row r="5536">
          <cell r="C5536">
            <v>304393</v>
          </cell>
          <cell r="D5536" t="str">
            <v>Sta. Ana National High School</v>
          </cell>
          <cell r="E5536">
            <v>0</v>
          </cell>
          <cell r="F5536">
            <v>0</v>
          </cell>
          <cell r="G5536">
            <v>0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0</v>
          </cell>
        </row>
        <row r="5537">
          <cell r="C5537">
            <v>304394</v>
          </cell>
          <cell r="D5537" t="str">
            <v>Tagakpan NHS</v>
          </cell>
          <cell r="E5537">
            <v>0</v>
          </cell>
          <cell r="F5537">
            <v>0</v>
          </cell>
          <cell r="G5537">
            <v>0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>
            <v>0</v>
          </cell>
        </row>
        <row r="5538">
          <cell r="C5538">
            <v>304395</v>
          </cell>
          <cell r="D5538" t="str">
            <v>Emilio J. Estipona HS</v>
          </cell>
          <cell r="E5538">
            <v>0</v>
          </cell>
          <cell r="F5538">
            <v>0</v>
          </cell>
          <cell r="G5538">
            <v>0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>
            <v>0</v>
          </cell>
        </row>
        <row r="5539">
          <cell r="C5539">
            <v>304396</v>
          </cell>
          <cell r="D5539" t="str">
            <v>Talomo National High School</v>
          </cell>
          <cell r="E5539">
            <v>0</v>
          </cell>
          <cell r="F5539">
            <v>0</v>
          </cell>
          <cell r="G5539">
            <v>0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>
            <v>0</v>
          </cell>
        </row>
        <row r="5540">
          <cell r="C5540">
            <v>304397</v>
          </cell>
          <cell r="D5540" t="str">
            <v>Telesforo Singson NHS</v>
          </cell>
          <cell r="E5540">
            <v>0</v>
          </cell>
          <cell r="F5540">
            <v>0</v>
          </cell>
          <cell r="G5540">
            <v>0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>
            <v>0</v>
          </cell>
        </row>
        <row r="5541">
          <cell r="C5541">
            <v>304398</v>
          </cell>
          <cell r="D5541" t="str">
            <v>Sirawan NHS</v>
          </cell>
          <cell r="E5541">
            <v>0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>
            <v>0</v>
          </cell>
        </row>
        <row r="5542">
          <cell r="C5542">
            <v>304399</v>
          </cell>
          <cell r="D5542" t="str">
            <v>Waan National High School</v>
          </cell>
          <cell r="E5542">
            <v>0</v>
          </cell>
          <cell r="F5542">
            <v>0</v>
          </cell>
          <cell r="G5542">
            <v>0</v>
          </cell>
          <cell r="H5542">
            <v>0</v>
          </cell>
          <cell r="I5542">
            <v>1</v>
          </cell>
          <cell r="J5542">
            <v>2</v>
          </cell>
          <cell r="K5542">
            <v>0</v>
          </cell>
          <cell r="L5542">
            <v>0</v>
          </cell>
        </row>
        <row r="5543">
          <cell r="C5543">
            <v>305505</v>
          </cell>
          <cell r="D5543" t="str">
            <v>Dalagdag National High School</v>
          </cell>
          <cell r="E5543">
            <v>0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>
            <v>0</v>
          </cell>
        </row>
        <row r="5544">
          <cell r="C5544">
            <v>316201</v>
          </cell>
          <cell r="D5544" t="str">
            <v>Bernardino B. Bosque NHS</v>
          </cell>
          <cell r="E5544">
            <v>0</v>
          </cell>
          <cell r="F5544">
            <v>0</v>
          </cell>
          <cell r="G5544">
            <v>0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>
            <v>0</v>
          </cell>
        </row>
        <row r="5545">
          <cell r="C5545">
            <v>316202</v>
          </cell>
          <cell r="D5545" t="str">
            <v>Catalunan Pequeno National High School</v>
          </cell>
          <cell r="E5545">
            <v>0</v>
          </cell>
          <cell r="F5545">
            <v>0</v>
          </cell>
          <cell r="G5545">
            <v>0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>
            <v>0</v>
          </cell>
        </row>
        <row r="5546">
          <cell r="C5546">
            <v>316203</v>
          </cell>
          <cell r="D5546" t="str">
            <v>Bartolome R. Luardo National HIgh School (formerly Mulig NHS)</v>
          </cell>
          <cell r="E5546">
            <v>0</v>
          </cell>
          <cell r="F5546">
            <v>0</v>
          </cell>
          <cell r="G5546">
            <v>0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>
            <v>0</v>
          </cell>
        </row>
        <row r="5547">
          <cell r="C5547">
            <v>316204</v>
          </cell>
          <cell r="D5547" t="str">
            <v>Sumimao NHS</v>
          </cell>
          <cell r="E5547">
            <v>0</v>
          </cell>
          <cell r="F5547">
            <v>0</v>
          </cell>
          <cell r="G5547">
            <v>0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>
            <v>0</v>
          </cell>
        </row>
        <row r="5548">
          <cell r="C5548">
            <v>316205</v>
          </cell>
          <cell r="D5548" t="str">
            <v>Tambobong National High School</v>
          </cell>
          <cell r="E5548">
            <v>0</v>
          </cell>
          <cell r="F5548">
            <v>0</v>
          </cell>
          <cell r="G5548">
            <v>0</v>
          </cell>
          <cell r="H5548">
            <v>0</v>
          </cell>
          <cell r="I5548">
            <v>1</v>
          </cell>
          <cell r="J5548">
            <v>1</v>
          </cell>
          <cell r="K5548">
            <v>1</v>
          </cell>
          <cell r="L5548">
            <v>1</v>
          </cell>
        </row>
        <row r="5549">
          <cell r="C5549">
            <v>316206</v>
          </cell>
          <cell r="D5549" t="str">
            <v>Don Enrique Bustamante NHS</v>
          </cell>
          <cell r="E5549">
            <v>0</v>
          </cell>
          <cell r="F5549">
            <v>0</v>
          </cell>
          <cell r="G5549">
            <v>0</v>
          </cell>
          <cell r="H5549">
            <v>0</v>
          </cell>
          <cell r="I5549">
            <v>0</v>
          </cell>
          <cell r="J5549">
            <v>2</v>
          </cell>
          <cell r="K5549">
            <v>1</v>
          </cell>
          <cell r="L5549">
            <v>0</v>
          </cell>
        </row>
        <row r="5550">
          <cell r="C5550">
            <v>316207</v>
          </cell>
          <cell r="D5550" t="str">
            <v>Camansi National High School</v>
          </cell>
          <cell r="E5550">
            <v>0</v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0</v>
          </cell>
        </row>
        <row r="5551">
          <cell r="C5551">
            <v>316208</v>
          </cell>
          <cell r="D5551" t="str">
            <v>Suawan High School</v>
          </cell>
          <cell r="E5551">
            <v>0</v>
          </cell>
          <cell r="F5551">
            <v>0</v>
          </cell>
          <cell r="G5551">
            <v>0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0</v>
          </cell>
        </row>
        <row r="5552">
          <cell r="C5552">
            <v>316211</v>
          </cell>
          <cell r="D5552" t="str">
            <v>Paradise Embac National High School</v>
          </cell>
          <cell r="E5552">
            <v>0</v>
          </cell>
          <cell r="F5552">
            <v>0</v>
          </cell>
          <cell r="G5552">
            <v>0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>
            <v>0</v>
          </cell>
        </row>
        <row r="5553">
          <cell r="C5553">
            <v>316212</v>
          </cell>
          <cell r="D5553" t="str">
            <v>JOSE T. QUIBOLOY SR. NATIONAL HIGH SCHOOL</v>
          </cell>
          <cell r="E5553">
            <v>0</v>
          </cell>
          <cell r="F5553">
            <v>0</v>
          </cell>
          <cell r="G5553">
            <v>0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0</v>
          </cell>
        </row>
        <row r="5554">
          <cell r="C5554">
            <v>316213</v>
          </cell>
          <cell r="D5554" t="str">
            <v>MAHAYAG NATIONAL HIGH SCHOOL</v>
          </cell>
          <cell r="E5554">
            <v>0</v>
          </cell>
          <cell r="F5554">
            <v>0</v>
          </cell>
          <cell r="G5554">
            <v>0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>
            <v>0</v>
          </cell>
        </row>
        <row r="5555">
          <cell r="C5555">
            <v>330520</v>
          </cell>
          <cell r="D5555" t="str">
            <v>Philippine Science High School Southern Mindanao Campus</v>
          </cell>
          <cell r="E5555">
            <v>0</v>
          </cell>
          <cell r="F5555">
            <v>0</v>
          </cell>
          <cell r="G5555">
            <v>0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>
            <v>0</v>
          </cell>
        </row>
        <row r="5556">
          <cell r="C5556">
            <v>341409</v>
          </cell>
          <cell r="D5556" t="str">
            <v>SHS within CP Garcia ES (formerly in Sta. Ana ES)</v>
          </cell>
          <cell r="E5556">
            <v>0</v>
          </cell>
          <cell r="F5556">
            <v>0</v>
          </cell>
          <cell r="G5556">
            <v>0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>
            <v>0</v>
          </cell>
        </row>
        <row r="5557">
          <cell r="C5557">
            <v>301906</v>
          </cell>
          <cell r="D5557" t="str">
            <v>Goma National High School</v>
          </cell>
          <cell r="E5557">
            <v>0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0</v>
          </cell>
        </row>
        <row r="5558">
          <cell r="C5558">
            <v>304400</v>
          </cell>
          <cell r="D5558" t="str">
            <v>Digos City NHS (Davao Del Sur NHS)</v>
          </cell>
          <cell r="E5558">
            <v>0</v>
          </cell>
          <cell r="F5558">
            <v>0</v>
          </cell>
          <cell r="G5558">
            <v>0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0</v>
          </cell>
        </row>
        <row r="5559">
          <cell r="C5559">
            <v>304401</v>
          </cell>
          <cell r="D5559" t="str">
            <v>Kapatagan NHS</v>
          </cell>
          <cell r="E5559">
            <v>0</v>
          </cell>
          <cell r="F5559">
            <v>0</v>
          </cell>
          <cell r="G5559">
            <v>0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0</v>
          </cell>
        </row>
        <row r="5560">
          <cell r="C5560">
            <v>304402</v>
          </cell>
          <cell r="D5560" t="str">
            <v>Ruparan NHS</v>
          </cell>
          <cell r="E5560">
            <v>0</v>
          </cell>
          <cell r="F5560">
            <v>0</v>
          </cell>
          <cell r="G5560">
            <v>0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0</v>
          </cell>
        </row>
        <row r="5561">
          <cell r="C5561">
            <v>316302</v>
          </cell>
          <cell r="D5561" t="str">
            <v>Matti NHS</v>
          </cell>
          <cell r="E5561">
            <v>0</v>
          </cell>
          <cell r="F5561">
            <v>0</v>
          </cell>
          <cell r="G5561">
            <v>0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0</v>
          </cell>
        </row>
        <row r="5562">
          <cell r="C5562">
            <v>341513</v>
          </cell>
          <cell r="D5562" t="str">
            <v>SHS in Digos City</v>
          </cell>
          <cell r="E5562">
            <v>0</v>
          </cell>
          <cell r="F5562">
            <v>0</v>
          </cell>
          <cell r="G5562">
            <v>0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>
            <v>0</v>
          </cell>
        </row>
        <row r="5563">
          <cell r="C5563">
            <v>304403</v>
          </cell>
          <cell r="D5563" t="str">
            <v>A. O. Floirendo National High School</v>
          </cell>
          <cell r="E5563">
            <v>0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0</v>
          </cell>
        </row>
        <row r="5564">
          <cell r="C5564">
            <v>304404</v>
          </cell>
          <cell r="D5564" t="str">
            <v>Sindaton National High School</v>
          </cell>
          <cell r="E5564">
            <v>0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0</v>
          </cell>
        </row>
        <row r="5565">
          <cell r="C5565">
            <v>304405</v>
          </cell>
          <cell r="D5565" t="str">
            <v>Don Manuel A. Javellana Memorial National High School</v>
          </cell>
          <cell r="E5565">
            <v>0</v>
          </cell>
          <cell r="F5565">
            <v>0</v>
          </cell>
          <cell r="G5565">
            <v>0</v>
          </cell>
          <cell r="H5565">
            <v>0</v>
          </cell>
          <cell r="I5565">
            <v>1</v>
          </cell>
          <cell r="J5565">
            <v>2</v>
          </cell>
          <cell r="K5565">
            <v>1</v>
          </cell>
          <cell r="L5565">
            <v>1</v>
          </cell>
        </row>
        <row r="5566">
          <cell r="C5566">
            <v>304406</v>
          </cell>
          <cell r="D5566" t="str">
            <v>Malativas National High School</v>
          </cell>
          <cell r="E5566">
            <v>0</v>
          </cell>
          <cell r="F5566">
            <v>0</v>
          </cell>
          <cell r="G5566">
            <v>0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>
            <v>0</v>
          </cell>
        </row>
        <row r="5567">
          <cell r="C5567">
            <v>304407</v>
          </cell>
          <cell r="D5567" t="str">
            <v>Manay National High School</v>
          </cell>
          <cell r="E5567">
            <v>0</v>
          </cell>
          <cell r="F5567">
            <v>0</v>
          </cell>
          <cell r="G5567">
            <v>0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0</v>
          </cell>
        </row>
        <row r="5568">
          <cell r="C5568">
            <v>304408</v>
          </cell>
          <cell r="D5568" t="str">
            <v>Panabo National High School</v>
          </cell>
          <cell r="E5568">
            <v>0</v>
          </cell>
          <cell r="F5568">
            <v>0</v>
          </cell>
          <cell r="G5568">
            <v>0</v>
          </cell>
          <cell r="H5568">
            <v>0</v>
          </cell>
          <cell r="I5568">
            <v>13</v>
          </cell>
          <cell r="J5568">
            <v>20</v>
          </cell>
          <cell r="K5568">
            <v>1</v>
          </cell>
          <cell r="L5568">
            <v>1</v>
          </cell>
        </row>
        <row r="5569">
          <cell r="C5569">
            <v>304409</v>
          </cell>
          <cell r="D5569" t="str">
            <v>Little Panay National High School</v>
          </cell>
          <cell r="E5569">
            <v>0</v>
          </cell>
          <cell r="F5569">
            <v>0</v>
          </cell>
          <cell r="G5569">
            <v>0</v>
          </cell>
          <cell r="H5569">
            <v>0</v>
          </cell>
          <cell r="I5569">
            <v>1</v>
          </cell>
          <cell r="J5569">
            <v>1</v>
          </cell>
          <cell r="K5569">
            <v>1</v>
          </cell>
          <cell r="L5569">
            <v>0</v>
          </cell>
        </row>
        <row r="5570">
          <cell r="C5570">
            <v>316401</v>
          </cell>
          <cell r="D5570" t="str">
            <v>Southern Davao National High School</v>
          </cell>
          <cell r="E5570">
            <v>0</v>
          </cell>
          <cell r="F5570">
            <v>0</v>
          </cell>
          <cell r="G5570">
            <v>0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>
            <v>0</v>
          </cell>
        </row>
        <row r="5571">
          <cell r="C5571">
            <v>316402</v>
          </cell>
          <cell r="D5571" t="str">
            <v>San Vicente National High School</v>
          </cell>
          <cell r="E5571">
            <v>0</v>
          </cell>
          <cell r="F5571">
            <v>0</v>
          </cell>
          <cell r="G5571">
            <v>0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0</v>
          </cell>
        </row>
        <row r="5572">
          <cell r="C5572">
            <v>316403</v>
          </cell>
          <cell r="D5572" t="str">
            <v>Kauswagan National High School</v>
          </cell>
          <cell r="E5572">
            <v>0</v>
          </cell>
          <cell r="F5572">
            <v>0</v>
          </cell>
          <cell r="G5572">
            <v>0</v>
          </cell>
          <cell r="H5572">
            <v>0</v>
          </cell>
          <cell r="I5572">
            <v>2</v>
          </cell>
          <cell r="J5572">
            <v>2</v>
          </cell>
          <cell r="K5572">
            <v>0</v>
          </cell>
          <cell r="L5572">
            <v>2</v>
          </cell>
        </row>
        <row r="5573">
          <cell r="C5573">
            <v>316404</v>
          </cell>
          <cell r="D5573" t="str">
            <v>Mabunao National High School</v>
          </cell>
          <cell r="E5573">
            <v>0</v>
          </cell>
          <cell r="F5573">
            <v>0</v>
          </cell>
          <cell r="G5573">
            <v>0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>
            <v>0</v>
          </cell>
        </row>
        <row r="5574">
          <cell r="C5574">
            <v>316405</v>
          </cell>
          <cell r="D5574" t="str">
            <v>QUEZON NATIONAL HIGH SCHOOL</v>
          </cell>
          <cell r="E5574">
            <v>0</v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0</v>
          </cell>
        </row>
        <row r="5575">
          <cell r="C5575">
            <v>341574</v>
          </cell>
          <cell r="D5575" t="str">
            <v>Panabo City Senior High School</v>
          </cell>
          <cell r="E5575">
            <v>0</v>
          </cell>
          <cell r="F5575">
            <v>0</v>
          </cell>
          <cell r="G5575">
            <v>0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0</v>
          </cell>
        </row>
        <row r="5576">
          <cell r="C5576">
            <v>304225</v>
          </cell>
          <cell r="D5576" t="str">
            <v>Tagum City National Comprehensive High School</v>
          </cell>
          <cell r="E5576">
            <v>0</v>
          </cell>
          <cell r="F5576">
            <v>0</v>
          </cell>
          <cell r="G5576">
            <v>0</v>
          </cell>
          <cell r="H5576">
            <v>0</v>
          </cell>
          <cell r="I5576">
            <v>6</v>
          </cell>
          <cell r="J5576">
            <v>5</v>
          </cell>
          <cell r="K5576">
            <v>6</v>
          </cell>
          <cell r="L5576">
            <v>5</v>
          </cell>
        </row>
        <row r="5577">
          <cell r="C5577">
            <v>304226</v>
          </cell>
          <cell r="D5577" t="str">
            <v>Laureta National High School</v>
          </cell>
          <cell r="E5577">
            <v>0</v>
          </cell>
          <cell r="F5577">
            <v>0</v>
          </cell>
          <cell r="G5577">
            <v>0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>
            <v>0</v>
          </cell>
        </row>
        <row r="5578">
          <cell r="C5578">
            <v>304231</v>
          </cell>
          <cell r="D5578" t="str">
            <v>Jose Tuason Jr. Memorial National High School</v>
          </cell>
          <cell r="E5578">
            <v>0</v>
          </cell>
          <cell r="F5578">
            <v>0</v>
          </cell>
          <cell r="G5578">
            <v>0</v>
          </cell>
          <cell r="H5578">
            <v>0</v>
          </cell>
          <cell r="I5578">
            <v>3</v>
          </cell>
          <cell r="J5578">
            <v>8</v>
          </cell>
          <cell r="K5578">
            <v>0</v>
          </cell>
          <cell r="L5578">
            <v>0</v>
          </cell>
        </row>
        <row r="5579">
          <cell r="C5579">
            <v>304232</v>
          </cell>
          <cell r="D5579" t="str">
            <v>Pipisan Maug National High School</v>
          </cell>
          <cell r="E5579">
            <v>0</v>
          </cell>
          <cell r="F5579">
            <v>0</v>
          </cell>
          <cell r="G5579">
            <v>0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>
            <v>0</v>
          </cell>
        </row>
        <row r="5580">
          <cell r="C5580">
            <v>304238</v>
          </cell>
          <cell r="D5580" t="str">
            <v>La Filipina NHS</v>
          </cell>
          <cell r="E5580">
            <v>0</v>
          </cell>
          <cell r="F5580">
            <v>0</v>
          </cell>
          <cell r="G5580">
            <v>0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0</v>
          </cell>
        </row>
        <row r="5581">
          <cell r="C5581">
            <v>304260</v>
          </cell>
          <cell r="D5581" t="str">
            <v>Tagum City National High School</v>
          </cell>
          <cell r="E5581">
            <v>0</v>
          </cell>
          <cell r="F5581">
            <v>0</v>
          </cell>
          <cell r="G5581">
            <v>0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>
            <v>0</v>
          </cell>
        </row>
        <row r="5582">
          <cell r="C5582">
            <v>304261</v>
          </cell>
          <cell r="D5582" t="str">
            <v>TAGUM NATIONAL TRADE SCHOOL</v>
          </cell>
          <cell r="E5582">
            <v>0</v>
          </cell>
          <cell r="F5582">
            <v>2</v>
          </cell>
          <cell r="G5582">
            <v>0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>
            <v>0</v>
          </cell>
        </row>
        <row r="5583">
          <cell r="C5583">
            <v>322401</v>
          </cell>
          <cell r="D5583" t="str">
            <v>Canocotan National High School</v>
          </cell>
          <cell r="E5583">
            <v>0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</row>
        <row r="5584">
          <cell r="C5584">
            <v>500424</v>
          </cell>
          <cell r="D5584" t="str">
            <v>Busaon Integrated School</v>
          </cell>
          <cell r="E5584">
            <v>0</v>
          </cell>
          <cell r="F5584">
            <v>0</v>
          </cell>
          <cell r="G5584">
            <v>0</v>
          </cell>
          <cell r="H5584">
            <v>0</v>
          </cell>
          <cell r="I5584">
            <v>3</v>
          </cell>
          <cell r="J5584">
            <v>1</v>
          </cell>
          <cell r="K5584">
            <v>1</v>
          </cell>
          <cell r="L5584">
            <v>0</v>
          </cell>
        </row>
        <row r="5585">
          <cell r="C5585">
            <v>500425</v>
          </cell>
          <cell r="D5585" t="str">
            <v>Liboganon Integrated School</v>
          </cell>
          <cell r="E5585">
            <v>0</v>
          </cell>
          <cell r="F5585">
            <v>0</v>
          </cell>
          <cell r="G5585">
            <v>0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0</v>
          </cell>
        </row>
        <row r="5586">
          <cell r="C5586">
            <v>500426</v>
          </cell>
          <cell r="D5586" t="str">
            <v>Pandapan Integrated School</v>
          </cell>
          <cell r="E5586">
            <v>0</v>
          </cell>
          <cell r="F5586">
            <v>0</v>
          </cell>
          <cell r="G5586">
            <v>0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>
            <v>0</v>
          </cell>
        </row>
        <row r="5587">
          <cell r="C5587">
            <v>301799</v>
          </cell>
          <cell r="D5587" t="str">
            <v>Gamban Dadatan National High School</v>
          </cell>
          <cell r="E5587">
            <v>0</v>
          </cell>
          <cell r="F5587">
            <v>0</v>
          </cell>
          <cell r="G5587">
            <v>0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>
            <v>0</v>
          </cell>
        </row>
        <row r="5588">
          <cell r="C5588">
            <v>301806</v>
          </cell>
          <cell r="D5588" t="str">
            <v>Limao National High School</v>
          </cell>
          <cell r="E5588">
            <v>0</v>
          </cell>
          <cell r="F5588">
            <v>0</v>
          </cell>
          <cell r="G5588">
            <v>0</v>
          </cell>
          <cell r="H5588">
            <v>0</v>
          </cell>
          <cell r="I5588">
            <v>1</v>
          </cell>
          <cell r="J5588">
            <v>7</v>
          </cell>
          <cell r="K5588">
            <v>1</v>
          </cell>
          <cell r="L5588">
            <v>7</v>
          </cell>
        </row>
        <row r="5589">
          <cell r="C5589">
            <v>304216</v>
          </cell>
          <cell r="D5589" t="str">
            <v>Anonang National High School</v>
          </cell>
          <cell r="E5589">
            <v>0</v>
          </cell>
          <cell r="F5589">
            <v>0</v>
          </cell>
          <cell r="G5589">
            <v>0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>
            <v>0</v>
          </cell>
        </row>
        <row r="5590">
          <cell r="C5590">
            <v>304220</v>
          </cell>
          <cell r="D5590" t="str">
            <v>Balet National High School</v>
          </cell>
          <cell r="E5590">
            <v>0</v>
          </cell>
          <cell r="F5590">
            <v>0</v>
          </cell>
          <cell r="G5590">
            <v>0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0</v>
          </cell>
        </row>
        <row r="5591">
          <cell r="C5591">
            <v>304223</v>
          </cell>
          <cell r="D5591" t="str">
            <v>Cogon National High School</v>
          </cell>
          <cell r="E5591">
            <v>0</v>
          </cell>
          <cell r="F5591">
            <v>0</v>
          </cell>
          <cell r="G5591">
            <v>0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0</v>
          </cell>
        </row>
        <row r="5592">
          <cell r="C5592">
            <v>304227</v>
          </cell>
          <cell r="D5592" t="str">
            <v>Don Esteban Dasalla National High School</v>
          </cell>
          <cell r="E5592">
            <v>0</v>
          </cell>
          <cell r="F5592">
            <v>0</v>
          </cell>
          <cell r="G5592">
            <v>0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>
            <v>0</v>
          </cell>
        </row>
        <row r="5593">
          <cell r="C5593">
            <v>304236</v>
          </cell>
          <cell r="D5593" t="str">
            <v>Kaputian National High School</v>
          </cell>
          <cell r="E5593">
            <v>0</v>
          </cell>
          <cell r="F5593">
            <v>0</v>
          </cell>
          <cell r="G5593">
            <v>0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>
            <v>0</v>
          </cell>
        </row>
        <row r="5594">
          <cell r="C5594">
            <v>304245</v>
          </cell>
          <cell r="D5594" t="str">
            <v>Mambago-B National High School</v>
          </cell>
          <cell r="E5594">
            <v>0</v>
          </cell>
          <cell r="F5594">
            <v>0</v>
          </cell>
          <cell r="G5594">
            <v>0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0</v>
          </cell>
        </row>
        <row r="5595">
          <cell r="C5595">
            <v>304247</v>
          </cell>
          <cell r="D5595" t="str">
            <v>Matanos National High School</v>
          </cell>
          <cell r="E5595">
            <v>0</v>
          </cell>
          <cell r="F5595">
            <v>0</v>
          </cell>
          <cell r="G5595">
            <v>0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>
            <v>0</v>
          </cell>
        </row>
        <row r="5596">
          <cell r="C5596">
            <v>304253</v>
          </cell>
          <cell r="D5596" t="str">
            <v>Sta. Cruz National High School</v>
          </cell>
          <cell r="E5596">
            <v>0</v>
          </cell>
          <cell r="F5596">
            <v>0</v>
          </cell>
          <cell r="G5596">
            <v>0</v>
          </cell>
          <cell r="H5596">
            <v>0</v>
          </cell>
          <cell r="I5596">
            <v>1</v>
          </cell>
          <cell r="J5596">
            <v>3</v>
          </cell>
          <cell r="K5596">
            <v>0</v>
          </cell>
          <cell r="L5596">
            <v>0</v>
          </cell>
        </row>
        <row r="5597">
          <cell r="C5597">
            <v>304259</v>
          </cell>
          <cell r="D5597" t="str">
            <v>Tagbitan-Ag National High School</v>
          </cell>
          <cell r="E5597">
            <v>0</v>
          </cell>
          <cell r="F5597">
            <v>0</v>
          </cell>
          <cell r="G5597">
            <v>0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>
            <v>0</v>
          </cell>
        </row>
        <row r="5598">
          <cell r="C5598">
            <v>323402</v>
          </cell>
          <cell r="D5598" t="str">
            <v>Del Monte National High School</v>
          </cell>
          <cell r="E5598">
            <v>0</v>
          </cell>
          <cell r="F5598">
            <v>0</v>
          </cell>
          <cell r="G5598">
            <v>0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0</v>
          </cell>
        </row>
        <row r="5599">
          <cell r="C5599">
            <v>323403</v>
          </cell>
          <cell r="D5599" t="str">
            <v>Nieves Villarica National High School</v>
          </cell>
          <cell r="E5599">
            <v>0</v>
          </cell>
          <cell r="F5599">
            <v>0</v>
          </cell>
          <cell r="G5599">
            <v>0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0</v>
          </cell>
        </row>
        <row r="5600">
          <cell r="C5600">
            <v>323406</v>
          </cell>
          <cell r="D5600" t="str">
            <v>Diosdado Alorro Sr. National High School</v>
          </cell>
          <cell r="E5600">
            <v>0</v>
          </cell>
          <cell r="F5600">
            <v>0</v>
          </cell>
          <cell r="G5600">
            <v>0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>
            <v>0</v>
          </cell>
        </row>
        <row r="5601">
          <cell r="C5601">
            <v>323407</v>
          </cell>
          <cell r="D5601" t="str">
            <v>Bandera National High School</v>
          </cell>
          <cell r="E5601">
            <v>0</v>
          </cell>
          <cell r="F5601">
            <v>0</v>
          </cell>
          <cell r="G5601">
            <v>0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>
            <v>0</v>
          </cell>
        </row>
        <row r="5602">
          <cell r="C5602">
            <v>323409</v>
          </cell>
          <cell r="D5602" t="str">
            <v>Libertad National High School</v>
          </cell>
          <cell r="E5602">
            <v>0</v>
          </cell>
          <cell r="F5602">
            <v>0</v>
          </cell>
          <cell r="G5602">
            <v>0</v>
          </cell>
          <cell r="H5602">
            <v>0</v>
          </cell>
          <cell r="I5602">
            <v>1</v>
          </cell>
          <cell r="J5602">
            <v>1</v>
          </cell>
          <cell r="K5602">
            <v>0</v>
          </cell>
          <cell r="L5602">
            <v>0</v>
          </cell>
        </row>
        <row r="5603">
          <cell r="C5603">
            <v>323410</v>
          </cell>
          <cell r="D5603" t="str">
            <v>Tagpopongan National High School</v>
          </cell>
          <cell r="E5603">
            <v>0</v>
          </cell>
          <cell r="F5603">
            <v>0</v>
          </cell>
          <cell r="G5603">
            <v>0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0</v>
          </cell>
        </row>
        <row r="5604">
          <cell r="C5604">
            <v>323411</v>
          </cell>
          <cell r="D5604" t="str">
            <v>San Jose National High School</v>
          </cell>
          <cell r="E5604">
            <v>0</v>
          </cell>
          <cell r="F5604">
            <v>0</v>
          </cell>
          <cell r="G5604">
            <v>0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0</v>
          </cell>
        </row>
        <row r="5605">
          <cell r="C5605">
            <v>341526</v>
          </cell>
          <cell r="D5605" t="str">
            <v>SHS w/in Penaplata Central ES</v>
          </cell>
          <cell r="E5605">
            <v>0</v>
          </cell>
          <cell r="F5605">
            <v>0</v>
          </cell>
          <cell r="G5605">
            <v>0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>
            <v>0</v>
          </cell>
        </row>
        <row r="5606">
          <cell r="C5606">
            <v>304303</v>
          </cell>
          <cell r="D5606" t="str">
            <v>Bobon NHS</v>
          </cell>
          <cell r="E5606">
            <v>0</v>
          </cell>
          <cell r="F5606">
            <v>0</v>
          </cell>
          <cell r="G5606">
            <v>0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>
            <v>0</v>
          </cell>
        </row>
        <row r="5607">
          <cell r="C5607">
            <v>304305</v>
          </cell>
          <cell r="D5607" t="str">
            <v>Buso National High School</v>
          </cell>
          <cell r="E5607">
            <v>0</v>
          </cell>
          <cell r="F5607">
            <v>0</v>
          </cell>
          <cell r="G5607">
            <v>0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>
            <v>0</v>
          </cell>
        </row>
        <row r="5608">
          <cell r="C5608">
            <v>304313</v>
          </cell>
          <cell r="D5608" t="str">
            <v>Dawan NHS</v>
          </cell>
          <cell r="E5608">
            <v>0</v>
          </cell>
          <cell r="F5608">
            <v>0</v>
          </cell>
          <cell r="G5608">
            <v>0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>
            <v>0</v>
          </cell>
        </row>
        <row r="5609">
          <cell r="C5609">
            <v>304314</v>
          </cell>
          <cell r="D5609" t="str">
            <v>Don Enrique Lopez NHS</v>
          </cell>
          <cell r="E5609">
            <v>0</v>
          </cell>
          <cell r="F5609">
            <v>0</v>
          </cell>
          <cell r="G5609">
            <v>0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>
            <v>0</v>
          </cell>
        </row>
        <row r="5610">
          <cell r="C5610">
            <v>304318</v>
          </cell>
          <cell r="D5610" t="str">
            <v>Libudon NHS</v>
          </cell>
          <cell r="E5610">
            <v>0</v>
          </cell>
          <cell r="F5610">
            <v>0</v>
          </cell>
          <cell r="G5610">
            <v>0</v>
          </cell>
          <cell r="H5610">
            <v>0</v>
          </cell>
          <cell r="I5610">
            <v>2</v>
          </cell>
          <cell r="J5610">
            <v>3</v>
          </cell>
          <cell r="K5610">
            <v>0</v>
          </cell>
          <cell r="L5610">
            <v>0</v>
          </cell>
        </row>
        <row r="5611">
          <cell r="C5611">
            <v>304325</v>
          </cell>
          <cell r="D5611" t="str">
            <v>Mati National Comprehensive High School</v>
          </cell>
          <cell r="E5611">
            <v>0</v>
          </cell>
          <cell r="F5611">
            <v>0</v>
          </cell>
          <cell r="G5611">
            <v>0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0</v>
          </cell>
        </row>
        <row r="5612">
          <cell r="C5612">
            <v>304326</v>
          </cell>
          <cell r="D5612" t="str">
            <v>Mati SAT</v>
          </cell>
          <cell r="E5612">
            <v>0</v>
          </cell>
          <cell r="F5612">
            <v>0</v>
          </cell>
          <cell r="G5612">
            <v>0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>
            <v>0</v>
          </cell>
        </row>
        <row r="5613">
          <cell r="C5613">
            <v>304327</v>
          </cell>
          <cell r="D5613" t="str">
            <v>Matiao NHS</v>
          </cell>
          <cell r="E5613">
            <v>0</v>
          </cell>
          <cell r="F5613">
            <v>0</v>
          </cell>
          <cell r="G5613">
            <v>0</v>
          </cell>
          <cell r="H5613">
            <v>0</v>
          </cell>
          <cell r="I5613">
            <v>3</v>
          </cell>
          <cell r="J5613">
            <v>5</v>
          </cell>
          <cell r="K5613">
            <v>0</v>
          </cell>
          <cell r="L5613">
            <v>0</v>
          </cell>
        </row>
        <row r="5614">
          <cell r="C5614">
            <v>304328</v>
          </cell>
          <cell r="D5614" t="str">
            <v>Davao Oriental Regional Science High School</v>
          </cell>
          <cell r="E5614">
            <v>0</v>
          </cell>
          <cell r="F5614">
            <v>0</v>
          </cell>
          <cell r="G5614">
            <v>0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>
            <v>0</v>
          </cell>
        </row>
        <row r="5615">
          <cell r="C5615">
            <v>304338</v>
          </cell>
          <cell r="D5615" t="str">
            <v>Taguibo Agri. Voc. High School</v>
          </cell>
          <cell r="E5615">
            <v>0</v>
          </cell>
          <cell r="F5615">
            <v>0</v>
          </cell>
          <cell r="G5615">
            <v>0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>
            <v>0</v>
          </cell>
        </row>
        <row r="5616">
          <cell r="C5616">
            <v>316104</v>
          </cell>
          <cell r="D5616" t="str">
            <v>Don Salvador Lopez NHS</v>
          </cell>
          <cell r="E5616">
            <v>0</v>
          </cell>
          <cell r="F5616">
            <v>0</v>
          </cell>
          <cell r="G5616">
            <v>0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>
            <v>0</v>
          </cell>
        </row>
        <row r="5617">
          <cell r="C5617">
            <v>325102</v>
          </cell>
          <cell r="D5617" t="str">
            <v>Lawigan National High School</v>
          </cell>
          <cell r="E5617">
            <v>0</v>
          </cell>
          <cell r="F5617">
            <v>0</v>
          </cell>
          <cell r="G5617">
            <v>0</v>
          </cell>
          <cell r="H5617">
            <v>0</v>
          </cell>
          <cell r="I5617">
            <v>0</v>
          </cell>
          <cell r="J5617">
            <v>0</v>
          </cell>
          <cell r="K5617">
            <v>0</v>
          </cell>
          <cell r="L5617">
            <v>0</v>
          </cell>
        </row>
        <row r="5618">
          <cell r="C5618">
            <v>325104</v>
          </cell>
          <cell r="D5618" t="str">
            <v>Badas NHS</v>
          </cell>
          <cell r="E5618">
            <v>0</v>
          </cell>
          <cell r="F5618">
            <v>0</v>
          </cell>
          <cell r="G5618">
            <v>0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>
            <v>0</v>
          </cell>
        </row>
        <row r="5619">
          <cell r="C5619">
            <v>325105</v>
          </cell>
          <cell r="D5619" t="str">
            <v>Macambol NHS</v>
          </cell>
          <cell r="E5619">
            <v>0</v>
          </cell>
          <cell r="F5619">
            <v>0</v>
          </cell>
          <cell r="G5619">
            <v>0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>
            <v>0</v>
          </cell>
        </row>
        <row r="5620">
          <cell r="C5620">
            <v>325106</v>
          </cell>
          <cell r="D5620" t="str">
            <v>Mayo NHS</v>
          </cell>
          <cell r="E5620">
            <v>0</v>
          </cell>
          <cell r="F5620">
            <v>0</v>
          </cell>
          <cell r="G5620">
            <v>0</v>
          </cell>
          <cell r="H5620">
            <v>0</v>
          </cell>
          <cell r="I5620">
            <v>0</v>
          </cell>
          <cell r="J5620">
            <v>0</v>
          </cell>
          <cell r="K5620">
            <v>0</v>
          </cell>
          <cell r="L5620">
            <v>0</v>
          </cell>
        </row>
        <row r="5621">
          <cell r="C5621">
            <v>500454</v>
          </cell>
          <cell r="D5621" t="str">
            <v>Licop Integrated School</v>
          </cell>
          <cell r="E5621">
            <v>0</v>
          </cell>
          <cell r="F5621">
            <v>0</v>
          </cell>
          <cell r="G5621">
            <v>0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>
            <v>0</v>
          </cell>
        </row>
        <row r="5622">
          <cell r="C5622">
            <v>302772</v>
          </cell>
          <cell r="D5622" t="str">
            <v>Tomas Lim Alcordo Sr. National High School</v>
          </cell>
          <cell r="E5622">
            <v>0</v>
          </cell>
          <cell r="F5622">
            <v>0</v>
          </cell>
          <cell r="G5622">
            <v>0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>
            <v>0</v>
          </cell>
        </row>
        <row r="5623">
          <cell r="C5623">
            <v>304262</v>
          </cell>
          <cell r="D5623" t="str">
            <v>Alberto Olarte, Sr. NHS</v>
          </cell>
          <cell r="E5623">
            <v>0</v>
          </cell>
          <cell r="F5623">
            <v>0</v>
          </cell>
          <cell r="G5623">
            <v>0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0</v>
          </cell>
        </row>
        <row r="5624">
          <cell r="C5624">
            <v>304264</v>
          </cell>
          <cell r="D5624" t="str">
            <v>Balangonan NHS</v>
          </cell>
          <cell r="E5624">
            <v>0</v>
          </cell>
          <cell r="F5624">
            <v>0</v>
          </cell>
          <cell r="G5624">
            <v>0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>
            <v>0</v>
          </cell>
        </row>
        <row r="5625">
          <cell r="C5625">
            <v>304266</v>
          </cell>
          <cell r="D5625" t="str">
            <v>Basiawan NHS</v>
          </cell>
          <cell r="E5625">
            <v>0</v>
          </cell>
          <cell r="F5625">
            <v>0</v>
          </cell>
          <cell r="G5625">
            <v>0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>
            <v>0</v>
          </cell>
        </row>
        <row r="5626">
          <cell r="C5626">
            <v>304267</v>
          </cell>
          <cell r="D5626" t="str">
            <v>Fishing Village Comprehensive NHS</v>
          </cell>
          <cell r="E5626">
            <v>0</v>
          </cell>
          <cell r="F5626">
            <v>0</v>
          </cell>
          <cell r="G5626">
            <v>0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0</v>
          </cell>
        </row>
        <row r="5627">
          <cell r="C5627">
            <v>304268</v>
          </cell>
          <cell r="D5627" t="str">
            <v>Tubalan Comprehensive NHS</v>
          </cell>
          <cell r="E5627">
            <v>0</v>
          </cell>
          <cell r="F5627">
            <v>0</v>
          </cell>
          <cell r="G5627">
            <v>0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0</v>
          </cell>
        </row>
        <row r="5628">
          <cell r="C5628">
            <v>304269</v>
          </cell>
          <cell r="D5628" t="str">
            <v>B'Laan NHS</v>
          </cell>
          <cell r="E5628">
            <v>0</v>
          </cell>
          <cell r="F5628">
            <v>0</v>
          </cell>
          <cell r="G5628">
            <v>0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>
            <v>0</v>
          </cell>
        </row>
        <row r="5629">
          <cell r="C5629">
            <v>304271</v>
          </cell>
          <cell r="D5629" t="str">
            <v>Demolok Valley National High School</v>
          </cell>
          <cell r="E5629">
            <v>0</v>
          </cell>
          <cell r="F5629">
            <v>0</v>
          </cell>
          <cell r="G5629">
            <v>0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>
            <v>0</v>
          </cell>
        </row>
        <row r="5630">
          <cell r="C5630">
            <v>304272</v>
          </cell>
          <cell r="D5630" t="str">
            <v>Don Marcelino NHS</v>
          </cell>
          <cell r="E5630">
            <v>0</v>
          </cell>
          <cell r="F5630">
            <v>0</v>
          </cell>
          <cell r="G5630">
            <v>0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>
            <v>0</v>
          </cell>
        </row>
        <row r="5631">
          <cell r="C5631">
            <v>304273</v>
          </cell>
          <cell r="D5631" t="str">
            <v>Edna Guillermo Memorial National High School</v>
          </cell>
          <cell r="E5631">
            <v>0</v>
          </cell>
          <cell r="F5631">
            <v>0</v>
          </cell>
          <cell r="G5631">
            <v>0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>
            <v>0</v>
          </cell>
        </row>
        <row r="5632">
          <cell r="C5632">
            <v>304276</v>
          </cell>
          <cell r="D5632" t="str">
            <v>Heracleo Casco MNHS</v>
          </cell>
          <cell r="E5632">
            <v>0</v>
          </cell>
          <cell r="F5632">
            <v>0</v>
          </cell>
          <cell r="G5632">
            <v>0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>
            <v>0</v>
          </cell>
        </row>
        <row r="5633">
          <cell r="C5633">
            <v>304281</v>
          </cell>
          <cell r="D5633" t="str">
            <v>Jose Abad Santos NHS</v>
          </cell>
          <cell r="E5633">
            <v>0</v>
          </cell>
          <cell r="F5633">
            <v>0</v>
          </cell>
          <cell r="G5633">
            <v>0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>
            <v>0</v>
          </cell>
        </row>
        <row r="5634">
          <cell r="C5634">
            <v>304282</v>
          </cell>
          <cell r="D5634" t="str">
            <v>Jose De Arce MHS (Sangkokdatal HS)</v>
          </cell>
          <cell r="E5634">
            <v>0</v>
          </cell>
          <cell r="F5634">
            <v>0</v>
          </cell>
          <cell r="G5634">
            <v>0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>
            <v>0</v>
          </cell>
        </row>
        <row r="5635">
          <cell r="C5635">
            <v>304283</v>
          </cell>
          <cell r="D5635" t="str">
            <v>Kalbay NHS</v>
          </cell>
          <cell r="E5635">
            <v>0</v>
          </cell>
          <cell r="F5635">
            <v>0</v>
          </cell>
          <cell r="G5635">
            <v>0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>
            <v>0</v>
          </cell>
        </row>
        <row r="5636">
          <cell r="C5636">
            <v>304287</v>
          </cell>
          <cell r="D5636" t="str">
            <v>Mariano Peralta National High School</v>
          </cell>
          <cell r="E5636">
            <v>0</v>
          </cell>
          <cell r="F5636">
            <v>0</v>
          </cell>
          <cell r="G5636">
            <v>0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0</v>
          </cell>
        </row>
        <row r="5637">
          <cell r="C5637">
            <v>304291</v>
          </cell>
          <cell r="D5637" t="str">
            <v>Lawa NHS</v>
          </cell>
          <cell r="E5637">
            <v>0</v>
          </cell>
          <cell r="F5637">
            <v>0</v>
          </cell>
          <cell r="G5637">
            <v>0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>
            <v>0</v>
          </cell>
        </row>
        <row r="5638">
          <cell r="C5638">
            <v>304292</v>
          </cell>
          <cell r="D5638" t="str">
            <v>John Martin Johnson HS (Lamidan)</v>
          </cell>
          <cell r="E5638">
            <v>0</v>
          </cell>
          <cell r="F5638">
            <v>0</v>
          </cell>
          <cell r="G5638">
            <v>0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0</v>
          </cell>
        </row>
        <row r="5639">
          <cell r="C5639">
            <v>304293</v>
          </cell>
          <cell r="D5639" t="str">
            <v>Ticulon NHS</v>
          </cell>
          <cell r="E5639">
            <v>0</v>
          </cell>
          <cell r="F5639">
            <v>0</v>
          </cell>
          <cell r="G5639">
            <v>0</v>
          </cell>
          <cell r="H5639">
            <v>0</v>
          </cell>
          <cell r="I5639">
            <v>2</v>
          </cell>
          <cell r="J5639">
            <v>2</v>
          </cell>
          <cell r="K5639">
            <v>1</v>
          </cell>
          <cell r="L5639">
            <v>2</v>
          </cell>
        </row>
        <row r="5640">
          <cell r="C5640">
            <v>304296</v>
          </cell>
          <cell r="D5640" t="str">
            <v>Sta. Maria NHS</v>
          </cell>
          <cell r="E5640">
            <v>0</v>
          </cell>
          <cell r="F5640">
            <v>0</v>
          </cell>
          <cell r="G5640">
            <v>0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0</v>
          </cell>
        </row>
        <row r="5641">
          <cell r="C5641">
            <v>305673</v>
          </cell>
          <cell r="D5641" t="str">
            <v>Lacaron National High School</v>
          </cell>
          <cell r="E5641">
            <v>0</v>
          </cell>
          <cell r="F5641">
            <v>1</v>
          </cell>
          <cell r="G5641">
            <v>0</v>
          </cell>
          <cell r="H5641">
            <v>0</v>
          </cell>
          <cell r="I5641">
            <v>0</v>
          </cell>
          <cell r="J5641">
            <v>0</v>
          </cell>
          <cell r="K5641">
            <v>1</v>
          </cell>
          <cell r="L5641">
            <v>0</v>
          </cell>
        </row>
        <row r="5642">
          <cell r="C5642">
            <v>305677</v>
          </cell>
          <cell r="D5642" t="str">
            <v>Bolila National High School</v>
          </cell>
          <cell r="E5642">
            <v>0</v>
          </cell>
          <cell r="F5642">
            <v>0</v>
          </cell>
          <cell r="G5642">
            <v>0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>
            <v>0</v>
          </cell>
        </row>
        <row r="5643">
          <cell r="C5643">
            <v>316007</v>
          </cell>
          <cell r="D5643" t="str">
            <v>Benjamin Velasco Bautista Sr. National High School</v>
          </cell>
          <cell r="E5643">
            <v>0</v>
          </cell>
          <cell r="F5643">
            <v>0</v>
          </cell>
          <cell r="G5643">
            <v>0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0</v>
          </cell>
        </row>
        <row r="5644">
          <cell r="C5644">
            <v>316008</v>
          </cell>
          <cell r="D5644" t="str">
            <v>Emeliano S. Fontanares Sr. NHS</v>
          </cell>
          <cell r="E5644">
            <v>0</v>
          </cell>
          <cell r="F5644">
            <v>0</v>
          </cell>
          <cell r="G5644">
            <v>0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0</v>
          </cell>
        </row>
        <row r="5645">
          <cell r="C5645">
            <v>316012</v>
          </cell>
          <cell r="D5645" t="str">
            <v>Luisa Joyce Mallari National High School</v>
          </cell>
          <cell r="E5645">
            <v>0</v>
          </cell>
          <cell r="F5645">
            <v>0</v>
          </cell>
          <cell r="G5645">
            <v>0</v>
          </cell>
          <cell r="H5645">
            <v>0</v>
          </cell>
          <cell r="I5645">
            <v>0</v>
          </cell>
          <cell r="J5645">
            <v>2</v>
          </cell>
          <cell r="K5645">
            <v>0</v>
          </cell>
          <cell r="L5645">
            <v>2</v>
          </cell>
        </row>
        <row r="5646">
          <cell r="C5646">
            <v>316018</v>
          </cell>
          <cell r="D5646" t="str">
            <v>Pedro Mariscal National High School</v>
          </cell>
          <cell r="E5646">
            <v>0</v>
          </cell>
          <cell r="F5646">
            <v>0</v>
          </cell>
          <cell r="G5646">
            <v>0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>
            <v>0</v>
          </cell>
        </row>
        <row r="5647">
          <cell r="C5647">
            <v>304412</v>
          </cell>
          <cell r="D5647" t="str">
            <v>Alamada NHS</v>
          </cell>
          <cell r="E5647">
            <v>0</v>
          </cell>
          <cell r="F5647">
            <v>0</v>
          </cell>
          <cell r="G5647">
            <v>0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>
            <v>0</v>
          </cell>
        </row>
        <row r="5648">
          <cell r="C5648">
            <v>304413</v>
          </cell>
          <cell r="D5648" t="str">
            <v>Aleosan NHS</v>
          </cell>
          <cell r="E5648">
            <v>0</v>
          </cell>
          <cell r="F5648">
            <v>0</v>
          </cell>
          <cell r="G5648">
            <v>0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0</v>
          </cell>
        </row>
        <row r="5649">
          <cell r="C5649">
            <v>304414</v>
          </cell>
          <cell r="D5649" t="str">
            <v>Pagangan HS</v>
          </cell>
          <cell r="E5649">
            <v>0</v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0</v>
          </cell>
        </row>
        <row r="5650">
          <cell r="C5650">
            <v>304415</v>
          </cell>
          <cell r="D5650" t="str">
            <v>ANTIPAS NHS</v>
          </cell>
          <cell r="E5650">
            <v>0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0</v>
          </cell>
        </row>
        <row r="5651">
          <cell r="C5651">
            <v>304416</v>
          </cell>
          <cell r="D5651" t="str">
            <v>Antipas NHS - Malire Annex</v>
          </cell>
          <cell r="E5651">
            <v>0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0</v>
          </cell>
        </row>
        <row r="5652">
          <cell r="C5652">
            <v>304417</v>
          </cell>
          <cell r="D5652" t="str">
            <v>Arizona HS</v>
          </cell>
          <cell r="E5652">
            <v>0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0</v>
          </cell>
        </row>
        <row r="5653">
          <cell r="C5653">
            <v>304418</v>
          </cell>
          <cell r="D5653" t="str">
            <v>Mariano Untal HS</v>
          </cell>
          <cell r="E5653">
            <v>0</v>
          </cell>
          <cell r="F5653">
            <v>0</v>
          </cell>
          <cell r="G5653">
            <v>0</v>
          </cell>
          <cell r="H5653">
            <v>0</v>
          </cell>
          <cell r="I5653">
            <v>8</v>
          </cell>
          <cell r="J5653">
            <v>8</v>
          </cell>
          <cell r="K5653">
            <v>8</v>
          </cell>
          <cell r="L5653">
            <v>8</v>
          </cell>
        </row>
        <row r="5654">
          <cell r="C5654">
            <v>304419</v>
          </cell>
          <cell r="D5654" t="str">
            <v>Banayal HS</v>
          </cell>
          <cell r="E5654">
            <v>0</v>
          </cell>
          <cell r="F5654">
            <v>0</v>
          </cell>
          <cell r="G5654">
            <v>0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>
            <v>0</v>
          </cell>
        </row>
        <row r="5655">
          <cell r="C5655">
            <v>304420</v>
          </cell>
          <cell r="D5655" t="str">
            <v>Banisilan NHS</v>
          </cell>
          <cell r="E5655">
            <v>0</v>
          </cell>
          <cell r="F5655">
            <v>0</v>
          </cell>
          <cell r="G5655">
            <v>0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>
            <v>0</v>
          </cell>
        </row>
        <row r="5656">
          <cell r="C5656">
            <v>304421</v>
          </cell>
          <cell r="D5656" t="str">
            <v>Bannawag HS</v>
          </cell>
          <cell r="E5656">
            <v>0</v>
          </cell>
          <cell r="F5656">
            <v>0</v>
          </cell>
          <cell r="G5656">
            <v>0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0</v>
          </cell>
        </row>
        <row r="5657">
          <cell r="C5657">
            <v>304422</v>
          </cell>
          <cell r="D5657" t="str">
            <v>Basak NHS</v>
          </cell>
          <cell r="E5657">
            <v>0</v>
          </cell>
          <cell r="F5657">
            <v>0</v>
          </cell>
          <cell r="G5657">
            <v>0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0</v>
          </cell>
        </row>
        <row r="5658">
          <cell r="C5658">
            <v>304423</v>
          </cell>
          <cell r="D5658" t="str">
            <v>Bulakanon High School</v>
          </cell>
          <cell r="E5658">
            <v>0</v>
          </cell>
          <cell r="F5658">
            <v>0</v>
          </cell>
          <cell r="G5658">
            <v>0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>
            <v>0</v>
          </cell>
        </row>
        <row r="5659">
          <cell r="C5659">
            <v>304424</v>
          </cell>
          <cell r="D5659" t="str">
            <v>Malabuan HS</v>
          </cell>
          <cell r="E5659">
            <v>0</v>
          </cell>
          <cell r="F5659">
            <v>0</v>
          </cell>
          <cell r="G5659">
            <v>0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>
            <v>0</v>
          </cell>
        </row>
        <row r="5660">
          <cell r="C5660">
            <v>304427</v>
          </cell>
          <cell r="D5660" t="str">
            <v>Carmen National High School</v>
          </cell>
          <cell r="E5660">
            <v>0</v>
          </cell>
          <cell r="F5660">
            <v>0</v>
          </cell>
          <cell r="G5660">
            <v>0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0</v>
          </cell>
        </row>
        <row r="5661">
          <cell r="C5661">
            <v>304429</v>
          </cell>
          <cell r="D5661" t="str">
            <v>Ranzo National High School</v>
          </cell>
          <cell r="E5661">
            <v>0</v>
          </cell>
          <cell r="F5661">
            <v>0</v>
          </cell>
          <cell r="G5661">
            <v>0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>
            <v>0</v>
          </cell>
        </row>
        <row r="5662">
          <cell r="C5662">
            <v>304430</v>
          </cell>
          <cell r="D5662" t="str">
            <v>Dado High School</v>
          </cell>
          <cell r="E5662">
            <v>0</v>
          </cell>
          <cell r="F5662">
            <v>0</v>
          </cell>
          <cell r="G5662">
            <v>0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>
            <v>0</v>
          </cell>
        </row>
        <row r="5663">
          <cell r="C5663">
            <v>304431</v>
          </cell>
          <cell r="D5663" t="str">
            <v>Dalapitan HS</v>
          </cell>
          <cell r="E5663">
            <v>0</v>
          </cell>
          <cell r="F5663">
            <v>0</v>
          </cell>
          <cell r="G5663">
            <v>0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>
            <v>0</v>
          </cell>
        </row>
        <row r="5664">
          <cell r="C5664">
            <v>304432</v>
          </cell>
          <cell r="D5664" t="str">
            <v>Dilangalen National High School</v>
          </cell>
          <cell r="E5664">
            <v>0</v>
          </cell>
          <cell r="F5664">
            <v>0</v>
          </cell>
          <cell r="G5664">
            <v>0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>
            <v>0</v>
          </cell>
        </row>
        <row r="5665">
          <cell r="C5665">
            <v>304434</v>
          </cell>
          <cell r="D5665" t="str">
            <v>Don Antonio Jayme Mem. HS</v>
          </cell>
          <cell r="E5665">
            <v>0</v>
          </cell>
          <cell r="F5665">
            <v>0</v>
          </cell>
          <cell r="G5665">
            <v>0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>
            <v>0</v>
          </cell>
        </row>
        <row r="5666">
          <cell r="C5666">
            <v>304435</v>
          </cell>
          <cell r="D5666" t="str">
            <v>Dualing High School</v>
          </cell>
          <cell r="E5666">
            <v>0</v>
          </cell>
          <cell r="F5666">
            <v>0</v>
          </cell>
          <cell r="G5666">
            <v>0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0</v>
          </cell>
        </row>
        <row r="5667">
          <cell r="C5667">
            <v>304436</v>
          </cell>
          <cell r="D5667" t="str">
            <v>Greenfield NHS</v>
          </cell>
          <cell r="E5667">
            <v>0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0</v>
          </cell>
        </row>
        <row r="5668">
          <cell r="C5668">
            <v>304438</v>
          </cell>
          <cell r="D5668" t="str">
            <v>Dallag HS</v>
          </cell>
          <cell r="E5668">
            <v>0</v>
          </cell>
          <cell r="F5668">
            <v>0</v>
          </cell>
          <cell r="G5668">
            <v>0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>
            <v>0</v>
          </cell>
        </row>
        <row r="5669">
          <cell r="C5669">
            <v>304439</v>
          </cell>
          <cell r="D5669" t="str">
            <v>Marciano Dahan HS</v>
          </cell>
          <cell r="E5669">
            <v>0</v>
          </cell>
          <cell r="F5669">
            <v>0</v>
          </cell>
          <cell r="G5669">
            <v>0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0</v>
          </cell>
        </row>
        <row r="5670">
          <cell r="C5670">
            <v>304440</v>
          </cell>
          <cell r="D5670" t="str">
            <v>Kabalantian HS</v>
          </cell>
          <cell r="E5670">
            <v>0</v>
          </cell>
          <cell r="F5670">
            <v>0</v>
          </cell>
          <cell r="G5670">
            <v>0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0</v>
          </cell>
        </row>
        <row r="5671">
          <cell r="C5671">
            <v>304441</v>
          </cell>
          <cell r="D5671" t="str">
            <v>Katipunan HS</v>
          </cell>
          <cell r="E5671">
            <v>0</v>
          </cell>
          <cell r="F5671">
            <v>0</v>
          </cell>
          <cell r="G5671">
            <v>0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0</v>
          </cell>
        </row>
        <row r="5672">
          <cell r="C5672">
            <v>304442</v>
          </cell>
          <cell r="D5672" t="str">
            <v>F. A. Andolana Mem. NHS</v>
          </cell>
          <cell r="E5672">
            <v>0</v>
          </cell>
          <cell r="F5672">
            <v>0</v>
          </cell>
          <cell r="G5672">
            <v>0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0</v>
          </cell>
        </row>
        <row r="5673">
          <cell r="C5673">
            <v>304444</v>
          </cell>
          <cell r="D5673" t="str">
            <v>Kabacan National High School</v>
          </cell>
          <cell r="E5673">
            <v>0</v>
          </cell>
          <cell r="F5673">
            <v>0</v>
          </cell>
          <cell r="G5673">
            <v>0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>
            <v>0</v>
          </cell>
        </row>
        <row r="5674">
          <cell r="C5674">
            <v>304445</v>
          </cell>
          <cell r="D5674" t="str">
            <v>Malamote High School</v>
          </cell>
          <cell r="E5674">
            <v>0</v>
          </cell>
          <cell r="F5674">
            <v>0</v>
          </cell>
          <cell r="G5674">
            <v>0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0</v>
          </cell>
        </row>
        <row r="5675">
          <cell r="C5675">
            <v>304447</v>
          </cell>
          <cell r="D5675" t="str">
            <v>Lumayong High School</v>
          </cell>
          <cell r="E5675">
            <v>0</v>
          </cell>
          <cell r="F5675">
            <v>0</v>
          </cell>
          <cell r="G5675">
            <v>0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>
            <v>0</v>
          </cell>
        </row>
        <row r="5676">
          <cell r="C5676">
            <v>304452</v>
          </cell>
          <cell r="D5676" t="str">
            <v>Kibia HS</v>
          </cell>
          <cell r="E5676">
            <v>0</v>
          </cell>
          <cell r="F5676">
            <v>0</v>
          </cell>
          <cell r="G5676">
            <v>0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0</v>
          </cell>
        </row>
        <row r="5677">
          <cell r="C5677">
            <v>304453</v>
          </cell>
          <cell r="D5677" t="str">
            <v>Kibudtungan NHS</v>
          </cell>
          <cell r="E5677">
            <v>0</v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0</v>
          </cell>
        </row>
        <row r="5678">
          <cell r="C5678">
            <v>304454</v>
          </cell>
          <cell r="D5678" t="str">
            <v>Kimagango NHS</v>
          </cell>
          <cell r="E5678">
            <v>0</v>
          </cell>
          <cell r="F5678">
            <v>0</v>
          </cell>
          <cell r="G5678">
            <v>0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>
            <v>0</v>
          </cell>
        </row>
        <row r="5679">
          <cell r="C5679">
            <v>304456</v>
          </cell>
          <cell r="D5679" t="str">
            <v>Kisante National High School</v>
          </cell>
          <cell r="E5679">
            <v>0</v>
          </cell>
          <cell r="F5679">
            <v>0</v>
          </cell>
          <cell r="G5679">
            <v>0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>
            <v>0</v>
          </cell>
        </row>
        <row r="5680">
          <cell r="C5680">
            <v>304457</v>
          </cell>
          <cell r="D5680" t="str">
            <v>Ricardo L. Ipong NHS</v>
          </cell>
          <cell r="E5680">
            <v>0</v>
          </cell>
          <cell r="F5680">
            <v>0</v>
          </cell>
          <cell r="G5680">
            <v>0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>
            <v>0</v>
          </cell>
        </row>
        <row r="5681">
          <cell r="C5681">
            <v>304458</v>
          </cell>
          <cell r="D5681" t="str">
            <v>Kitub-Bao NHS</v>
          </cell>
          <cell r="E5681">
            <v>0</v>
          </cell>
          <cell r="F5681">
            <v>0</v>
          </cell>
          <cell r="G5681">
            <v>0</v>
          </cell>
          <cell r="H5681">
            <v>0</v>
          </cell>
          <cell r="I5681">
            <v>2</v>
          </cell>
          <cell r="J5681">
            <v>4</v>
          </cell>
          <cell r="K5681">
            <v>0</v>
          </cell>
          <cell r="L5681">
            <v>1</v>
          </cell>
        </row>
        <row r="5682">
          <cell r="C5682">
            <v>304459</v>
          </cell>
          <cell r="D5682" t="str">
            <v>Lampayan NHS</v>
          </cell>
          <cell r="E5682">
            <v>0</v>
          </cell>
          <cell r="F5682">
            <v>0</v>
          </cell>
          <cell r="G5682">
            <v>0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>
            <v>0</v>
          </cell>
        </row>
        <row r="5683">
          <cell r="C5683">
            <v>304460</v>
          </cell>
          <cell r="D5683" t="str">
            <v>Lanao Kuran NVTHS</v>
          </cell>
          <cell r="E5683">
            <v>0</v>
          </cell>
          <cell r="F5683">
            <v>0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0</v>
          </cell>
        </row>
        <row r="5684">
          <cell r="C5684">
            <v>304461</v>
          </cell>
          <cell r="D5684" t="str">
            <v>Libungan NHS</v>
          </cell>
          <cell r="E5684">
            <v>0</v>
          </cell>
          <cell r="F5684">
            <v>0</v>
          </cell>
          <cell r="G5684">
            <v>0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>
            <v>0</v>
          </cell>
        </row>
        <row r="5685">
          <cell r="C5685">
            <v>304462</v>
          </cell>
          <cell r="D5685" t="str">
            <v>Lika NHS</v>
          </cell>
          <cell r="E5685">
            <v>0</v>
          </cell>
          <cell r="F5685">
            <v>0</v>
          </cell>
          <cell r="G5685">
            <v>0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0</v>
          </cell>
        </row>
        <row r="5686">
          <cell r="C5686">
            <v>304463</v>
          </cell>
          <cell r="D5686" t="str">
            <v>Magpet National High School</v>
          </cell>
          <cell r="E5686">
            <v>0</v>
          </cell>
          <cell r="F5686">
            <v>0</v>
          </cell>
          <cell r="G5686">
            <v>0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0</v>
          </cell>
        </row>
        <row r="5687">
          <cell r="C5687">
            <v>304464</v>
          </cell>
          <cell r="D5687" t="str">
            <v>Mahongkog High School</v>
          </cell>
          <cell r="E5687">
            <v>0</v>
          </cell>
          <cell r="F5687">
            <v>0</v>
          </cell>
          <cell r="G5687">
            <v>0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>
            <v>0</v>
          </cell>
        </row>
        <row r="5688">
          <cell r="C5688">
            <v>304465</v>
          </cell>
          <cell r="D5688" t="str">
            <v>Temporan National High School</v>
          </cell>
          <cell r="E5688">
            <v>0</v>
          </cell>
          <cell r="F5688">
            <v>0</v>
          </cell>
          <cell r="G5688">
            <v>0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0</v>
          </cell>
        </row>
        <row r="5689">
          <cell r="C5689">
            <v>304466</v>
          </cell>
          <cell r="D5689" t="str">
            <v>Makilala National High School</v>
          </cell>
          <cell r="E5689">
            <v>0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0</v>
          </cell>
        </row>
        <row r="5690">
          <cell r="C5690">
            <v>304467</v>
          </cell>
          <cell r="D5690" t="str">
            <v>Jose Rizal NHS</v>
          </cell>
          <cell r="E5690">
            <v>0</v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0</v>
          </cell>
        </row>
        <row r="5691">
          <cell r="C5691">
            <v>304468</v>
          </cell>
          <cell r="D5691" t="str">
            <v>Malapag NHS</v>
          </cell>
          <cell r="E5691">
            <v>0</v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0</v>
          </cell>
        </row>
        <row r="5692">
          <cell r="C5692">
            <v>304469</v>
          </cell>
          <cell r="D5692" t="str">
            <v>Malasila National Vocational and Technological High School</v>
          </cell>
          <cell r="E5692">
            <v>0</v>
          </cell>
          <cell r="F5692">
            <v>0</v>
          </cell>
          <cell r="G5692">
            <v>0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>
            <v>0</v>
          </cell>
        </row>
        <row r="5693">
          <cell r="C5693">
            <v>304470</v>
          </cell>
          <cell r="D5693" t="str">
            <v>Malatab HS</v>
          </cell>
          <cell r="E5693">
            <v>0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0</v>
          </cell>
        </row>
        <row r="5694">
          <cell r="C5694">
            <v>304471</v>
          </cell>
          <cell r="D5694" t="str">
            <v>MALIBATUAN HIGH SCHOOL</v>
          </cell>
          <cell r="E5694">
            <v>0</v>
          </cell>
          <cell r="F5694">
            <v>0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0</v>
          </cell>
        </row>
        <row r="5695">
          <cell r="C5695">
            <v>304472</v>
          </cell>
          <cell r="D5695" t="str">
            <v>Malinao High School</v>
          </cell>
          <cell r="E5695">
            <v>0</v>
          </cell>
          <cell r="F5695">
            <v>0</v>
          </cell>
          <cell r="G5695">
            <v>0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0</v>
          </cell>
        </row>
        <row r="5696">
          <cell r="C5696">
            <v>304473</v>
          </cell>
          <cell r="D5696" t="str">
            <v>Manobo NHS</v>
          </cell>
          <cell r="E5696">
            <v>0</v>
          </cell>
          <cell r="F5696">
            <v>0</v>
          </cell>
          <cell r="G5696">
            <v>0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0</v>
          </cell>
        </row>
        <row r="5697">
          <cell r="C5697">
            <v>304474</v>
          </cell>
          <cell r="D5697" t="str">
            <v>Manuangan HS</v>
          </cell>
          <cell r="E5697">
            <v>0</v>
          </cell>
          <cell r="F5697">
            <v>0</v>
          </cell>
          <cell r="G5697">
            <v>0</v>
          </cell>
          <cell r="H5697">
            <v>0</v>
          </cell>
          <cell r="I5697">
            <v>1</v>
          </cell>
          <cell r="J5697">
            <v>4</v>
          </cell>
          <cell r="K5697">
            <v>1</v>
          </cell>
          <cell r="L5697">
            <v>0</v>
          </cell>
        </row>
        <row r="5698">
          <cell r="C5698">
            <v>304476</v>
          </cell>
          <cell r="D5698" t="str">
            <v>Matalam National High School, Brgy Linao</v>
          </cell>
          <cell r="E5698">
            <v>0</v>
          </cell>
          <cell r="F5698">
            <v>0</v>
          </cell>
          <cell r="G5698">
            <v>0</v>
          </cell>
          <cell r="H5698">
            <v>0</v>
          </cell>
          <cell r="I5698">
            <v>0</v>
          </cell>
          <cell r="J5698">
            <v>0</v>
          </cell>
          <cell r="K5698">
            <v>0</v>
          </cell>
          <cell r="L5698">
            <v>0</v>
          </cell>
        </row>
        <row r="5699">
          <cell r="C5699">
            <v>304477</v>
          </cell>
          <cell r="D5699" t="str">
            <v>New Alimodian HS</v>
          </cell>
          <cell r="E5699">
            <v>0</v>
          </cell>
          <cell r="F5699">
            <v>0</v>
          </cell>
          <cell r="G5699">
            <v>0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>
            <v>0</v>
          </cell>
        </row>
        <row r="5700">
          <cell r="C5700">
            <v>304478</v>
          </cell>
          <cell r="D5700" t="str">
            <v>Matalam High School (Poblacion)</v>
          </cell>
          <cell r="E5700">
            <v>0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0</v>
          </cell>
        </row>
        <row r="5701">
          <cell r="C5701">
            <v>304479</v>
          </cell>
          <cell r="D5701" t="str">
            <v>Matilac HS</v>
          </cell>
          <cell r="E5701">
            <v>0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0</v>
          </cell>
        </row>
        <row r="5702">
          <cell r="C5702">
            <v>304480</v>
          </cell>
          <cell r="D5702" t="str">
            <v>M'lang NHS</v>
          </cell>
          <cell r="E5702">
            <v>0</v>
          </cell>
          <cell r="F5702">
            <v>0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0</v>
          </cell>
        </row>
        <row r="5703">
          <cell r="C5703">
            <v>304483</v>
          </cell>
          <cell r="D5703" t="str">
            <v>New Cebu HS</v>
          </cell>
          <cell r="E5703">
            <v>0</v>
          </cell>
          <cell r="F5703">
            <v>0</v>
          </cell>
          <cell r="G5703">
            <v>0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0</v>
          </cell>
        </row>
        <row r="5704">
          <cell r="C5704">
            <v>304484</v>
          </cell>
          <cell r="D5704" t="str">
            <v>NEW ISRAEL HIGH SCHOOL</v>
          </cell>
          <cell r="E5704">
            <v>0</v>
          </cell>
          <cell r="F5704">
            <v>0</v>
          </cell>
          <cell r="G5704">
            <v>0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>
            <v>0</v>
          </cell>
        </row>
        <row r="5705">
          <cell r="C5705">
            <v>304487</v>
          </cell>
          <cell r="D5705" t="str">
            <v>Nicaan High School</v>
          </cell>
          <cell r="E5705">
            <v>0</v>
          </cell>
          <cell r="F5705">
            <v>0</v>
          </cell>
          <cell r="G5705">
            <v>0</v>
          </cell>
          <cell r="H5705">
            <v>0</v>
          </cell>
          <cell r="I5705">
            <v>3</v>
          </cell>
          <cell r="J5705">
            <v>5</v>
          </cell>
          <cell r="K5705">
            <v>0</v>
          </cell>
          <cell r="L5705">
            <v>0</v>
          </cell>
        </row>
        <row r="5706">
          <cell r="C5706">
            <v>304488</v>
          </cell>
          <cell r="D5706" t="str">
            <v>Nueva Vida National High School</v>
          </cell>
          <cell r="E5706">
            <v>0</v>
          </cell>
          <cell r="F5706">
            <v>0</v>
          </cell>
          <cell r="G5706">
            <v>0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0</v>
          </cell>
        </row>
        <row r="5707">
          <cell r="C5707">
            <v>304489</v>
          </cell>
          <cell r="D5707" t="str">
            <v>Olandang NHS</v>
          </cell>
          <cell r="E5707">
            <v>0</v>
          </cell>
          <cell r="F5707">
            <v>0</v>
          </cell>
          <cell r="G5707">
            <v>0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0</v>
          </cell>
        </row>
        <row r="5708">
          <cell r="C5708">
            <v>304490</v>
          </cell>
          <cell r="D5708" t="str">
            <v>B.A. Calamba National High School</v>
          </cell>
          <cell r="E5708">
            <v>0</v>
          </cell>
          <cell r="F5708">
            <v>0</v>
          </cell>
          <cell r="G5708">
            <v>0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>
            <v>0</v>
          </cell>
        </row>
        <row r="5709">
          <cell r="C5709">
            <v>304491</v>
          </cell>
          <cell r="D5709" t="str">
            <v>Patindeguen HS</v>
          </cell>
          <cell r="E5709">
            <v>0</v>
          </cell>
          <cell r="F5709">
            <v>0</v>
          </cell>
          <cell r="G5709">
            <v>0</v>
          </cell>
          <cell r="H5709">
            <v>0</v>
          </cell>
          <cell r="I5709">
            <v>1</v>
          </cell>
          <cell r="J5709">
            <v>0</v>
          </cell>
          <cell r="K5709">
            <v>0</v>
          </cell>
          <cell r="L5709">
            <v>0</v>
          </cell>
        </row>
        <row r="5710">
          <cell r="C5710">
            <v>304492</v>
          </cell>
          <cell r="D5710" t="str">
            <v>Pigcawaran NHS</v>
          </cell>
          <cell r="E5710">
            <v>0</v>
          </cell>
          <cell r="F5710">
            <v>0</v>
          </cell>
          <cell r="G5710">
            <v>0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0</v>
          </cell>
        </row>
        <row r="5711">
          <cell r="C5711">
            <v>304493</v>
          </cell>
          <cell r="D5711" t="str">
            <v>Pigcawayan National High School</v>
          </cell>
          <cell r="E5711">
            <v>0</v>
          </cell>
          <cell r="F5711">
            <v>0</v>
          </cell>
          <cell r="G5711">
            <v>0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0</v>
          </cell>
        </row>
        <row r="5712">
          <cell r="C5712">
            <v>304494</v>
          </cell>
          <cell r="D5712" t="str">
            <v>Pikit NHS</v>
          </cell>
          <cell r="E5712">
            <v>0</v>
          </cell>
          <cell r="F5712">
            <v>0</v>
          </cell>
          <cell r="G5712">
            <v>0</v>
          </cell>
          <cell r="H5712">
            <v>0</v>
          </cell>
          <cell r="I5712">
            <v>7</v>
          </cell>
          <cell r="J5712">
            <v>18</v>
          </cell>
          <cell r="K5712">
            <v>6</v>
          </cell>
          <cell r="L5712">
            <v>10</v>
          </cell>
        </row>
        <row r="5713">
          <cell r="C5713">
            <v>304495</v>
          </cell>
          <cell r="D5713" t="str">
            <v>Rajah Muda National High School</v>
          </cell>
          <cell r="E5713">
            <v>0</v>
          </cell>
          <cell r="F5713">
            <v>0</v>
          </cell>
          <cell r="G5713">
            <v>0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>
            <v>0</v>
          </cell>
        </row>
        <row r="5714">
          <cell r="C5714">
            <v>304496</v>
          </cell>
          <cell r="D5714" t="str">
            <v>Pres. Roxas National High School</v>
          </cell>
          <cell r="E5714">
            <v>0</v>
          </cell>
          <cell r="F5714">
            <v>0</v>
          </cell>
          <cell r="G5714">
            <v>0</v>
          </cell>
          <cell r="H5714">
            <v>0</v>
          </cell>
          <cell r="I5714">
            <v>6</v>
          </cell>
          <cell r="J5714">
            <v>12</v>
          </cell>
          <cell r="K5714">
            <v>6</v>
          </cell>
          <cell r="L5714">
            <v>12</v>
          </cell>
        </row>
        <row r="5715">
          <cell r="C5715">
            <v>304498</v>
          </cell>
          <cell r="D5715" t="str">
            <v>Ilustre HS</v>
          </cell>
          <cell r="E5715">
            <v>0</v>
          </cell>
          <cell r="F5715">
            <v>0</v>
          </cell>
          <cell r="G5715">
            <v>0</v>
          </cell>
          <cell r="H5715">
            <v>0</v>
          </cell>
          <cell r="I5715">
            <v>0</v>
          </cell>
          <cell r="J5715">
            <v>0</v>
          </cell>
          <cell r="K5715">
            <v>0</v>
          </cell>
          <cell r="L5715">
            <v>0</v>
          </cell>
        </row>
        <row r="5716">
          <cell r="C5716">
            <v>304499</v>
          </cell>
          <cell r="D5716" t="str">
            <v>Presbitero HS</v>
          </cell>
          <cell r="E5716">
            <v>0</v>
          </cell>
          <cell r="F5716">
            <v>0</v>
          </cell>
          <cell r="G5716">
            <v>0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>
            <v>0</v>
          </cell>
        </row>
        <row r="5717">
          <cell r="C5717">
            <v>304500</v>
          </cell>
          <cell r="D5717" t="str">
            <v>Salama NHS</v>
          </cell>
          <cell r="E5717">
            <v>0</v>
          </cell>
          <cell r="F5717">
            <v>0</v>
          </cell>
          <cell r="G5717">
            <v>0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0</v>
          </cell>
        </row>
        <row r="5718">
          <cell r="C5718">
            <v>304501</v>
          </cell>
          <cell r="D5718" t="str">
            <v>Salunayan HS</v>
          </cell>
          <cell r="E5718">
            <v>0</v>
          </cell>
          <cell r="F5718">
            <v>0</v>
          </cell>
          <cell r="G5718">
            <v>0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0</v>
          </cell>
        </row>
        <row r="5719">
          <cell r="C5719">
            <v>304503</v>
          </cell>
          <cell r="D5719" t="str">
            <v>Sarayan HS</v>
          </cell>
          <cell r="E5719">
            <v>0</v>
          </cell>
          <cell r="F5719">
            <v>0</v>
          </cell>
          <cell r="G5719">
            <v>0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>
            <v>0</v>
          </cell>
        </row>
        <row r="5720">
          <cell r="C5720">
            <v>304504</v>
          </cell>
          <cell r="D5720" t="str">
            <v>Sibsib High School</v>
          </cell>
          <cell r="E5720">
            <v>0</v>
          </cell>
          <cell r="F5720">
            <v>0</v>
          </cell>
          <cell r="G5720">
            <v>0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>
            <v>0</v>
          </cell>
        </row>
        <row r="5721">
          <cell r="C5721">
            <v>304505</v>
          </cell>
          <cell r="D5721" t="str">
            <v>Silik High School</v>
          </cell>
          <cell r="E5721">
            <v>0</v>
          </cell>
          <cell r="F5721">
            <v>0</v>
          </cell>
          <cell r="G5721">
            <v>0</v>
          </cell>
          <cell r="H5721">
            <v>0</v>
          </cell>
          <cell r="I5721">
            <v>0</v>
          </cell>
          <cell r="J5721">
            <v>7</v>
          </cell>
          <cell r="K5721">
            <v>3</v>
          </cell>
          <cell r="L5721">
            <v>0</v>
          </cell>
        </row>
        <row r="5722">
          <cell r="C5722">
            <v>304506</v>
          </cell>
          <cell r="D5722" t="str">
            <v>Simsiman HS</v>
          </cell>
          <cell r="E5722">
            <v>0</v>
          </cell>
          <cell r="F5722">
            <v>0</v>
          </cell>
          <cell r="G5722">
            <v>0</v>
          </cell>
          <cell r="H5722">
            <v>0</v>
          </cell>
          <cell r="I5722">
            <v>1</v>
          </cell>
          <cell r="J5722">
            <v>1</v>
          </cell>
          <cell r="K5722">
            <v>0</v>
          </cell>
          <cell r="L5722">
            <v>0</v>
          </cell>
        </row>
        <row r="5723">
          <cell r="C5723">
            <v>304507</v>
          </cell>
          <cell r="D5723" t="str">
            <v>Sinawingan HS</v>
          </cell>
          <cell r="E5723">
            <v>0</v>
          </cell>
          <cell r="F5723">
            <v>0</v>
          </cell>
          <cell r="G5723">
            <v>0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0</v>
          </cell>
        </row>
        <row r="5724">
          <cell r="C5724">
            <v>304508</v>
          </cell>
          <cell r="D5724" t="str">
            <v>Takepan HS</v>
          </cell>
          <cell r="E5724">
            <v>0</v>
          </cell>
          <cell r="F5724">
            <v>0</v>
          </cell>
          <cell r="G5724">
            <v>0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>
            <v>0</v>
          </cell>
        </row>
        <row r="5725">
          <cell r="C5725">
            <v>304509</v>
          </cell>
          <cell r="D5725" t="str">
            <v>Sultan Memorial HS</v>
          </cell>
          <cell r="E5725">
            <v>0</v>
          </cell>
          <cell r="F5725">
            <v>0</v>
          </cell>
          <cell r="G5725">
            <v>0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0</v>
          </cell>
        </row>
        <row r="5726">
          <cell r="C5726">
            <v>304510</v>
          </cell>
          <cell r="D5726" t="str">
            <v>New Rizal HS</v>
          </cell>
          <cell r="E5726">
            <v>0</v>
          </cell>
          <cell r="F5726">
            <v>0</v>
          </cell>
          <cell r="G5726">
            <v>0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>
            <v>0</v>
          </cell>
        </row>
        <row r="5727">
          <cell r="C5727">
            <v>304512</v>
          </cell>
          <cell r="D5727" t="str">
            <v>Tubak NHS</v>
          </cell>
          <cell r="E5727">
            <v>0</v>
          </cell>
          <cell r="F5727">
            <v>0</v>
          </cell>
          <cell r="G5727">
            <v>0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>
            <v>0</v>
          </cell>
        </row>
        <row r="5728">
          <cell r="C5728">
            <v>304515</v>
          </cell>
          <cell r="D5728" t="str">
            <v>Tulunan NHS</v>
          </cell>
          <cell r="E5728">
            <v>0</v>
          </cell>
          <cell r="F5728">
            <v>0</v>
          </cell>
          <cell r="G5728">
            <v>0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>
            <v>0</v>
          </cell>
        </row>
        <row r="5729">
          <cell r="C5729">
            <v>304516</v>
          </cell>
          <cell r="D5729" t="str">
            <v>Villarica High School</v>
          </cell>
          <cell r="E5729">
            <v>0</v>
          </cell>
          <cell r="F5729">
            <v>0</v>
          </cell>
          <cell r="G5729">
            <v>0</v>
          </cell>
          <cell r="H5729">
            <v>0</v>
          </cell>
          <cell r="I5729">
            <v>0</v>
          </cell>
          <cell r="J5729">
            <v>0</v>
          </cell>
          <cell r="K5729">
            <v>0</v>
          </cell>
          <cell r="L5729">
            <v>0</v>
          </cell>
        </row>
        <row r="5730">
          <cell r="C5730">
            <v>304697</v>
          </cell>
          <cell r="D5730" t="str">
            <v>Bongolanon High School</v>
          </cell>
          <cell r="E5730">
            <v>0</v>
          </cell>
          <cell r="F5730">
            <v>0</v>
          </cell>
          <cell r="G5730">
            <v>0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0</v>
          </cell>
        </row>
        <row r="5731">
          <cell r="C5731">
            <v>316501</v>
          </cell>
          <cell r="D5731" t="str">
            <v>Manumba National HS</v>
          </cell>
          <cell r="E5731">
            <v>0</v>
          </cell>
          <cell r="F5731">
            <v>0</v>
          </cell>
          <cell r="G5731">
            <v>0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0</v>
          </cell>
        </row>
        <row r="5732">
          <cell r="C5732">
            <v>316502</v>
          </cell>
          <cell r="D5732" t="str">
            <v>Katalicanan High School</v>
          </cell>
          <cell r="E5732">
            <v>0</v>
          </cell>
          <cell r="F5732">
            <v>0</v>
          </cell>
          <cell r="G5732">
            <v>0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>
            <v>0</v>
          </cell>
        </row>
        <row r="5733">
          <cell r="C5733">
            <v>316504</v>
          </cell>
          <cell r="D5733" t="str">
            <v>Balite HS</v>
          </cell>
          <cell r="E5733">
            <v>0</v>
          </cell>
          <cell r="F5733">
            <v>0</v>
          </cell>
          <cell r="G5733">
            <v>0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0</v>
          </cell>
        </row>
        <row r="5734">
          <cell r="C5734">
            <v>316507</v>
          </cell>
          <cell r="D5734" t="str">
            <v>Agustin M. Valdevieso, Sr. High School</v>
          </cell>
          <cell r="E5734">
            <v>0</v>
          </cell>
          <cell r="F5734">
            <v>0</v>
          </cell>
          <cell r="G5734">
            <v>0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0</v>
          </cell>
        </row>
        <row r="5735">
          <cell r="C5735">
            <v>316512</v>
          </cell>
          <cell r="D5735" t="str">
            <v>Pikit NHS - Gokotan Annex</v>
          </cell>
          <cell r="E5735">
            <v>0</v>
          </cell>
          <cell r="F5735">
            <v>0</v>
          </cell>
          <cell r="G5735">
            <v>0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0</v>
          </cell>
        </row>
        <row r="5736">
          <cell r="C5736">
            <v>316514</v>
          </cell>
          <cell r="D5736" t="str">
            <v>Minapan High School</v>
          </cell>
          <cell r="E5736">
            <v>0</v>
          </cell>
          <cell r="F5736">
            <v>0</v>
          </cell>
          <cell r="G5736">
            <v>0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>
            <v>0</v>
          </cell>
        </row>
        <row r="5737">
          <cell r="C5737">
            <v>316516</v>
          </cell>
          <cell r="D5737" t="str">
            <v>LILIONGAN NATIONAL HIGH SCHOOL</v>
          </cell>
          <cell r="E5737">
            <v>0</v>
          </cell>
          <cell r="F5737">
            <v>0</v>
          </cell>
          <cell r="G5737">
            <v>0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>
            <v>0</v>
          </cell>
        </row>
        <row r="5738">
          <cell r="C5738">
            <v>316519</v>
          </cell>
          <cell r="D5738" t="str">
            <v>Dr. Onofre H. Campo High School</v>
          </cell>
          <cell r="E5738">
            <v>0</v>
          </cell>
          <cell r="F5738">
            <v>0</v>
          </cell>
          <cell r="G5738">
            <v>0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>
            <v>0</v>
          </cell>
        </row>
        <row r="5739">
          <cell r="C5739">
            <v>316520</v>
          </cell>
          <cell r="D5739" t="str">
            <v>Pigcawayan NHS - Libungan Torreta Annex</v>
          </cell>
          <cell r="E5739">
            <v>0</v>
          </cell>
          <cell r="F5739">
            <v>0</v>
          </cell>
          <cell r="G5739">
            <v>0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>
            <v>0</v>
          </cell>
        </row>
        <row r="5740">
          <cell r="C5740">
            <v>316521</v>
          </cell>
          <cell r="D5740" t="str">
            <v>Aringay National High School</v>
          </cell>
          <cell r="E5740">
            <v>0</v>
          </cell>
          <cell r="F5740">
            <v>0</v>
          </cell>
          <cell r="G5740">
            <v>0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0</v>
          </cell>
        </row>
        <row r="5741">
          <cell r="C5741">
            <v>316524</v>
          </cell>
          <cell r="D5741" t="str">
            <v>Datu Dalandag NHS</v>
          </cell>
          <cell r="E5741">
            <v>0</v>
          </cell>
          <cell r="F5741">
            <v>0</v>
          </cell>
          <cell r="G5741">
            <v>0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0</v>
          </cell>
        </row>
        <row r="5742">
          <cell r="C5742">
            <v>316534</v>
          </cell>
          <cell r="D5742" t="str">
            <v>Meocan High School</v>
          </cell>
          <cell r="E5742">
            <v>0</v>
          </cell>
          <cell r="F5742">
            <v>0</v>
          </cell>
          <cell r="G5742">
            <v>0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0</v>
          </cell>
        </row>
        <row r="5743">
          <cell r="C5743">
            <v>316536</v>
          </cell>
          <cell r="D5743" t="str">
            <v>Manuangan HS-Datu Binasing HS Annex</v>
          </cell>
          <cell r="E5743">
            <v>0</v>
          </cell>
          <cell r="F5743">
            <v>0</v>
          </cell>
          <cell r="G5743">
            <v>0</v>
          </cell>
          <cell r="H5743">
            <v>0</v>
          </cell>
          <cell r="I5743">
            <v>0</v>
          </cell>
          <cell r="J5743">
            <v>2</v>
          </cell>
          <cell r="K5743">
            <v>0</v>
          </cell>
          <cell r="L5743">
            <v>0</v>
          </cell>
        </row>
        <row r="5744">
          <cell r="C5744">
            <v>316541</v>
          </cell>
          <cell r="D5744" t="str">
            <v>Datu Embak Mangansing Memorial High School</v>
          </cell>
          <cell r="E5744">
            <v>0</v>
          </cell>
          <cell r="F5744">
            <v>0</v>
          </cell>
          <cell r="G5744">
            <v>0</v>
          </cell>
          <cell r="H5744">
            <v>0</v>
          </cell>
          <cell r="I5744">
            <v>5</v>
          </cell>
          <cell r="J5744">
            <v>2</v>
          </cell>
          <cell r="K5744">
            <v>0</v>
          </cell>
          <cell r="L5744">
            <v>0</v>
          </cell>
        </row>
        <row r="5745">
          <cell r="C5745">
            <v>316552</v>
          </cell>
          <cell r="D5745" t="str">
            <v>Kitubod HS</v>
          </cell>
          <cell r="E5745">
            <v>0</v>
          </cell>
          <cell r="F5745">
            <v>0</v>
          </cell>
          <cell r="G5745">
            <v>0</v>
          </cell>
          <cell r="H5745">
            <v>0</v>
          </cell>
          <cell r="I5745">
            <v>0</v>
          </cell>
          <cell r="J5745">
            <v>0</v>
          </cell>
          <cell r="K5745">
            <v>0</v>
          </cell>
          <cell r="L5745">
            <v>0</v>
          </cell>
        </row>
        <row r="5746">
          <cell r="C5746">
            <v>316556</v>
          </cell>
          <cell r="D5746" t="str">
            <v>Bentangan HS</v>
          </cell>
          <cell r="E5746">
            <v>0</v>
          </cell>
          <cell r="F5746">
            <v>0</v>
          </cell>
          <cell r="G5746">
            <v>0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0</v>
          </cell>
        </row>
        <row r="5747">
          <cell r="C5747">
            <v>501639</v>
          </cell>
          <cell r="D5747" t="str">
            <v>Bongolanon High School</v>
          </cell>
          <cell r="E5747">
            <v>0</v>
          </cell>
          <cell r="F5747">
            <v>0</v>
          </cell>
          <cell r="G5747">
            <v>0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0</v>
          </cell>
        </row>
        <row r="5748">
          <cell r="C5748">
            <v>304517</v>
          </cell>
          <cell r="D5748" t="str">
            <v>Alabel National Science High School</v>
          </cell>
          <cell r="E5748">
            <v>0</v>
          </cell>
          <cell r="F5748">
            <v>0</v>
          </cell>
          <cell r="G5748">
            <v>0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0</v>
          </cell>
        </row>
        <row r="5749">
          <cell r="C5749">
            <v>304518</v>
          </cell>
          <cell r="D5749" t="str">
            <v>Alabel National High School</v>
          </cell>
          <cell r="E5749">
            <v>0</v>
          </cell>
          <cell r="F5749">
            <v>0</v>
          </cell>
          <cell r="G5749">
            <v>0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0</v>
          </cell>
        </row>
        <row r="5750">
          <cell r="C5750">
            <v>304519</v>
          </cell>
          <cell r="D5750" t="str">
            <v>Alegria NHS</v>
          </cell>
          <cell r="E5750">
            <v>0</v>
          </cell>
          <cell r="F5750">
            <v>0</v>
          </cell>
          <cell r="G5750">
            <v>0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0</v>
          </cell>
        </row>
        <row r="5751">
          <cell r="C5751">
            <v>304520</v>
          </cell>
          <cell r="D5751" t="str">
            <v>Tokawal NHS</v>
          </cell>
          <cell r="E5751">
            <v>0</v>
          </cell>
          <cell r="F5751">
            <v>0</v>
          </cell>
          <cell r="G5751">
            <v>0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0</v>
          </cell>
        </row>
        <row r="5752">
          <cell r="C5752">
            <v>304521</v>
          </cell>
          <cell r="D5752" t="str">
            <v>Tanao Bantilan Tao NHS (Baliton NHS)</v>
          </cell>
          <cell r="E5752">
            <v>0</v>
          </cell>
          <cell r="F5752">
            <v>0</v>
          </cell>
          <cell r="G5752">
            <v>0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0</v>
          </cell>
        </row>
        <row r="5753">
          <cell r="C5753">
            <v>304522</v>
          </cell>
          <cell r="D5753" t="str">
            <v>Banate National High School</v>
          </cell>
          <cell r="E5753">
            <v>0</v>
          </cell>
          <cell r="F5753">
            <v>0</v>
          </cell>
          <cell r="G5753">
            <v>0</v>
          </cell>
          <cell r="H5753">
            <v>0</v>
          </cell>
          <cell r="I5753">
            <v>5</v>
          </cell>
          <cell r="J5753">
            <v>5</v>
          </cell>
          <cell r="K5753">
            <v>0</v>
          </cell>
          <cell r="L5753">
            <v>0</v>
          </cell>
        </row>
        <row r="5754">
          <cell r="C5754">
            <v>304523</v>
          </cell>
          <cell r="D5754" t="str">
            <v>Colon NHS</v>
          </cell>
          <cell r="E5754">
            <v>0</v>
          </cell>
          <cell r="F5754">
            <v>0</v>
          </cell>
          <cell r="G5754">
            <v>0</v>
          </cell>
          <cell r="H5754">
            <v>0</v>
          </cell>
          <cell r="I5754">
            <v>7</v>
          </cell>
          <cell r="J5754">
            <v>8</v>
          </cell>
          <cell r="K5754">
            <v>0</v>
          </cell>
          <cell r="L5754">
            <v>0</v>
          </cell>
        </row>
        <row r="5755">
          <cell r="C5755">
            <v>304524</v>
          </cell>
          <cell r="D5755" t="str">
            <v>Glan School of Arts and Trades</v>
          </cell>
          <cell r="E5755">
            <v>0</v>
          </cell>
          <cell r="F5755">
            <v>0</v>
          </cell>
          <cell r="G5755">
            <v>0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0</v>
          </cell>
        </row>
        <row r="5756">
          <cell r="C5756">
            <v>304525</v>
          </cell>
          <cell r="D5756" t="str">
            <v>Glan-Padidu NHS</v>
          </cell>
          <cell r="E5756">
            <v>0</v>
          </cell>
          <cell r="F5756">
            <v>0</v>
          </cell>
          <cell r="G5756">
            <v>0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0</v>
          </cell>
        </row>
        <row r="5757">
          <cell r="C5757">
            <v>304526</v>
          </cell>
          <cell r="D5757" t="str">
            <v>Kawas National High School</v>
          </cell>
          <cell r="E5757">
            <v>0</v>
          </cell>
          <cell r="F5757">
            <v>0</v>
          </cell>
          <cell r="G5757">
            <v>0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0</v>
          </cell>
        </row>
        <row r="5758">
          <cell r="C5758">
            <v>304527</v>
          </cell>
          <cell r="D5758" t="str">
            <v>Kiamba National High School</v>
          </cell>
          <cell r="E5758">
            <v>0</v>
          </cell>
          <cell r="F5758">
            <v>0</v>
          </cell>
          <cell r="G5758">
            <v>0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0</v>
          </cell>
        </row>
        <row r="5759">
          <cell r="C5759">
            <v>304528</v>
          </cell>
          <cell r="D5759" t="str">
            <v>Salakit National High School</v>
          </cell>
          <cell r="E5759">
            <v>0</v>
          </cell>
          <cell r="F5759">
            <v>0</v>
          </cell>
          <cell r="G5759">
            <v>0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0</v>
          </cell>
        </row>
        <row r="5760">
          <cell r="C5760">
            <v>304529</v>
          </cell>
          <cell r="D5760" t="str">
            <v>James L. Chiongbian National Trade School</v>
          </cell>
          <cell r="E5760">
            <v>0</v>
          </cell>
          <cell r="F5760">
            <v>0</v>
          </cell>
          <cell r="G5760">
            <v>0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>
            <v>0</v>
          </cell>
        </row>
        <row r="5761">
          <cell r="C5761">
            <v>304530</v>
          </cell>
          <cell r="D5761" t="str">
            <v>Leonard Young Sr. National High School</v>
          </cell>
          <cell r="E5761">
            <v>0</v>
          </cell>
          <cell r="F5761">
            <v>0</v>
          </cell>
          <cell r="G5761">
            <v>0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>
            <v>0</v>
          </cell>
        </row>
        <row r="5762">
          <cell r="C5762">
            <v>304531</v>
          </cell>
          <cell r="D5762" t="str">
            <v>Lun Padidu National High School</v>
          </cell>
          <cell r="E5762">
            <v>0</v>
          </cell>
          <cell r="F5762">
            <v>0</v>
          </cell>
          <cell r="G5762">
            <v>0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>
            <v>0</v>
          </cell>
        </row>
        <row r="5763">
          <cell r="C5763">
            <v>304532</v>
          </cell>
          <cell r="D5763" t="str">
            <v>Maguling NHS</v>
          </cell>
          <cell r="E5763">
            <v>0</v>
          </cell>
          <cell r="F5763">
            <v>0</v>
          </cell>
          <cell r="G5763">
            <v>0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>
            <v>0</v>
          </cell>
        </row>
        <row r="5764">
          <cell r="C5764">
            <v>304533</v>
          </cell>
          <cell r="D5764" t="str">
            <v>Malalag Cogon NHS</v>
          </cell>
          <cell r="E5764">
            <v>0</v>
          </cell>
          <cell r="F5764">
            <v>0</v>
          </cell>
          <cell r="G5764">
            <v>0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>
            <v>0</v>
          </cell>
        </row>
        <row r="5765">
          <cell r="C5765">
            <v>304534</v>
          </cell>
          <cell r="D5765" t="str">
            <v>Malalag National High School</v>
          </cell>
          <cell r="E5765">
            <v>0</v>
          </cell>
          <cell r="F5765">
            <v>0</v>
          </cell>
          <cell r="G5765">
            <v>0</v>
          </cell>
          <cell r="H5765">
            <v>0</v>
          </cell>
          <cell r="I5765">
            <v>0</v>
          </cell>
          <cell r="J5765">
            <v>0</v>
          </cell>
          <cell r="K5765">
            <v>0</v>
          </cell>
          <cell r="L5765">
            <v>0</v>
          </cell>
        </row>
        <row r="5766">
          <cell r="C5766">
            <v>304535</v>
          </cell>
          <cell r="D5766" t="str">
            <v>Malandag National High School</v>
          </cell>
          <cell r="E5766">
            <v>0</v>
          </cell>
          <cell r="F5766">
            <v>0</v>
          </cell>
          <cell r="G5766">
            <v>0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0</v>
          </cell>
        </row>
        <row r="5767">
          <cell r="C5767">
            <v>304537</v>
          </cell>
          <cell r="D5767" t="str">
            <v>Malapatan NHS</v>
          </cell>
          <cell r="E5767">
            <v>0</v>
          </cell>
          <cell r="F5767">
            <v>0</v>
          </cell>
          <cell r="G5767">
            <v>0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0</v>
          </cell>
        </row>
        <row r="5768">
          <cell r="C5768">
            <v>304538</v>
          </cell>
          <cell r="D5768" t="str">
            <v>Malungon National High School</v>
          </cell>
          <cell r="E5768">
            <v>0</v>
          </cell>
          <cell r="F5768">
            <v>0</v>
          </cell>
          <cell r="G5768">
            <v>0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>
            <v>0</v>
          </cell>
        </row>
        <row r="5769">
          <cell r="C5769">
            <v>304539</v>
          </cell>
          <cell r="D5769" t="str">
            <v>San Roque NHS</v>
          </cell>
          <cell r="E5769">
            <v>0</v>
          </cell>
          <cell r="F5769">
            <v>0</v>
          </cell>
          <cell r="G5769">
            <v>0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>
            <v>0</v>
          </cell>
        </row>
        <row r="5770">
          <cell r="C5770">
            <v>304540</v>
          </cell>
          <cell r="D5770" t="str">
            <v>Upper Mainit NHS</v>
          </cell>
          <cell r="E5770">
            <v>0</v>
          </cell>
          <cell r="F5770">
            <v>0</v>
          </cell>
          <cell r="G5770">
            <v>0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0</v>
          </cell>
        </row>
        <row r="5771">
          <cell r="C5771">
            <v>304541</v>
          </cell>
          <cell r="D5771" t="str">
            <v>Pangyan National High School</v>
          </cell>
          <cell r="E5771">
            <v>0</v>
          </cell>
          <cell r="F5771">
            <v>0</v>
          </cell>
          <cell r="G5771">
            <v>0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0</v>
          </cell>
        </row>
        <row r="5772">
          <cell r="C5772">
            <v>304542</v>
          </cell>
          <cell r="D5772" t="str">
            <v>Talus NHS</v>
          </cell>
          <cell r="E5772">
            <v>0</v>
          </cell>
          <cell r="F5772">
            <v>0</v>
          </cell>
          <cell r="G5772">
            <v>0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>
            <v>0</v>
          </cell>
        </row>
        <row r="5773">
          <cell r="C5773">
            <v>316601</v>
          </cell>
          <cell r="D5773" t="str">
            <v>San Vicente NHS</v>
          </cell>
          <cell r="E5773">
            <v>0</v>
          </cell>
          <cell r="F5773">
            <v>0</v>
          </cell>
          <cell r="G5773">
            <v>0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>
            <v>0</v>
          </cell>
        </row>
        <row r="5774">
          <cell r="C5774">
            <v>316602</v>
          </cell>
          <cell r="D5774" t="str">
            <v>Kiblat NHS</v>
          </cell>
          <cell r="E5774">
            <v>0</v>
          </cell>
          <cell r="F5774">
            <v>0</v>
          </cell>
          <cell r="G5774">
            <v>0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>
            <v>0</v>
          </cell>
        </row>
        <row r="5775">
          <cell r="C5775">
            <v>316603</v>
          </cell>
          <cell r="D5775" t="str">
            <v>Malungon Gamay National High School</v>
          </cell>
          <cell r="E5775">
            <v>0</v>
          </cell>
          <cell r="F5775">
            <v>0</v>
          </cell>
          <cell r="G5775">
            <v>0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0</v>
          </cell>
        </row>
        <row r="5776">
          <cell r="C5776">
            <v>316604</v>
          </cell>
          <cell r="D5776" t="str">
            <v>Amado M. Quirit Sr National High School</v>
          </cell>
          <cell r="E5776">
            <v>0</v>
          </cell>
          <cell r="F5776">
            <v>0</v>
          </cell>
          <cell r="G5776">
            <v>0</v>
          </cell>
          <cell r="H5776">
            <v>0</v>
          </cell>
          <cell r="I5776">
            <v>0</v>
          </cell>
          <cell r="J5776">
            <v>0</v>
          </cell>
          <cell r="K5776">
            <v>0</v>
          </cell>
          <cell r="L5776">
            <v>0</v>
          </cell>
        </row>
        <row r="5777">
          <cell r="C5777">
            <v>316605</v>
          </cell>
          <cell r="D5777" t="str">
            <v>Malapatan NHS - Kinam Annex</v>
          </cell>
          <cell r="E5777">
            <v>0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>
            <v>0</v>
          </cell>
        </row>
        <row r="5778">
          <cell r="C5778">
            <v>316606</v>
          </cell>
          <cell r="D5778" t="str">
            <v>Aniceto C. Lopez Sr. NHS</v>
          </cell>
          <cell r="E5778">
            <v>0</v>
          </cell>
          <cell r="F5778">
            <v>0</v>
          </cell>
          <cell r="G5778">
            <v>0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>
            <v>0</v>
          </cell>
        </row>
        <row r="5779">
          <cell r="C5779">
            <v>316639</v>
          </cell>
          <cell r="D5779" t="str">
            <v>Malalag NHS - Upo Annex</v>
          </cell>
          <cell r="E5779">
            <v>0</v>
          </cell>
          <cell r="F5779">
            <v>0</v>
          </cell>
          <cell r="G5779">
            <v>0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>
            <v>0</v>
          </cell>
        </row>
        <row r="5780">
          <cell r="C5780">
            <v>500255</v>
          </cell>
          <cell r="D5780" t="str">
            <v>Pag-asa IS</v>
          </cell>
          <cell r="E5780">
            <v>0</v>
          </cell>
          <cell r="F5780">
            <v>0</v>
          </cell>
          <cell r="G5780">
            <v>0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>
            <v>0</v>
          </cell>
        </row>
        <row r="5781">
          <cell r="C5781">
            <v>500256</v>
          </cell>
          <cell r="D5781" t="str">
            <v>Datal Anggas IS</v>
          </cell>
          <cell r="E5781">
            <v>0</v>
          </cell>
          <cell r="F5781">
            <v>0</v>
          </cell>
          <cell r="G5781">
            <v>0</v>
          </cell>
          <cell r="H5781">
            <v>0</v>
          </cell>
          <cell r="I5781">
            <v>0</v>
          </cell>
          <cell r="J5781">
            <v>0</v>
          </cell>
          <cell r="K5781">
            <v>0</v>
          </cell>
          <cell r="L5781">
            <v>0</v>
          </cell>
        </row>
        <row r="5782">
          <cell r="C5782">
            <v>500257</v>
          </cell>
          <cell r="D5782" t="str">
            <v>New Canaan Integrated School</v>
          </cell>
          <cell r="E5782">
            <v>0</v>
          </cell>
          <cell r="F5782">
            <v>0</v>
          </cell>
          <cell r="G5782">
            <v>0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0</v>
          </cell>
        </row>
        <row r="5783">
          <cell r="C5783">
            <v>500258</v>
          </cell>
          <cell r="D5783" t="str">
            <v>E. Alegado Integrated School</v>
          </cell>
          <cell r="E5783">
            <v>0</v>
          </cell>
          <cell r="F5783">
            <v>0</v>
          </cell>
          <cell r="G5783">
            <v>0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>
            <v>1</v>
          </cell>
        </row>
        <row r="5784">
          <cell r="C5784">
            <v>500259</v>
          </cell>
          <cell r="D5784" t="str">
            <v>Valeria B. Lopez IS</v>
          </cell>
          <cell r="E5784">
            <v>0</v>
          </cell>
          <cell r="F5784">
            <v>0</v>
          </cell>
          <cell r="G5784">
            <v>0</v>
          </cell>
          <cell r="H5784">
            <v>0</v>
          </cell>
          <cell r="I5784">
            <v>0</v>
          </cell>
          <cell r="J5784">
            <v>0</v>
          </cell>
          <cell r="K5784">
            <v>0</v>
          </cell>
          <cell r="L5784">
            <v>0</v>
          </cell>
        </row>
        <row r="5785">
          <cell r="C5785">
            <v>500260</v>
          </cell>
          <cell r="D5785" t="str">
            <v>Lumigo Integrated School</v>
          </cell>
          <cell r="E5785">
            <v>0</v>
          </cell>
          <cell r="F5785">
            <v>0</v>
          </cell>
          <cell r="G5785">
            <v>0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0</v>
          </cell>
        </row>
        <row r="5786">
          <cell r="C5786">
            <v>500261</v>
          </cell>
          <cell r="D5786" t="str">
            <v>Roque Adarna Integrated  School</v>
          </cell>
          <cell r="E5786">
            <v>0</v>
          </cell>
          <cell r="F5786">
            <v>0</v>
          </cell>
          <cell r="G5786">
            <v>0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0</v>
          </cell>
        </row>
        <row r="5787">
          <cell r="C5787">
            <v>500262</v>
          </cell>
          <cell r="D5787" t="str">
            <v>Cabales-Enarbia Sr. Integrated School</v>
          </cell>
          <cell r="E5787">
            <v>0</v>
          </cell>
          <cell r="F5787">
            <v>0</v>
          </cell>
          <cell r="G5787">
            <v>0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0</v>
          </cell>
        </row>
        <row r="5788">
          <cell r="C5788">
            <v>500263</v>
          </cell>
          <cell r="D5788" t="str">
            <v>JBT Caing Sr. Memorial  Integrated School</v>
          </cell>
          <cell r="E5788">
            <v>0</v>
          </cell>
          <cell r="F5788">
            <v>0</v>
          </cell>
          <cell r="G5788">
            <v>0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0</v>
          </cell>
        </row>
        <row r="5789">
          <cell r="C5789">
            <v>500264</v>
          </cell>
          <cell r="D5789" t="str">
            <v>Rogaya Bajunaid IS</v>
          </cell>
          <cell r="E5789">
            <v>0</v>
          </cell>
          <cell r="F5789">
            <v>0</v>
          </cell>
          <cell r="G5789">
            <v>0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>
            <v>0</v>
          </cell>
        </row>
        <row r="5790">
          <cell r="C5790">
            <v>500265</v>
          </cell>
          <cell r="D5790" t="str">
            <v>Datu Molod IS</v>
          </cell>
          <cell r="E5790">
            <v>0</v>
          </cell>
          <cell r="F5790">
            <v>0</v>
          </cell>
          <cell r="G5790">
            <v>0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>
            <v>0</v>
          </cell>
        </row>
        <row r="5791">
          <cell r="C5791">
            <v>500266</v>
          </cell>
          <cell r="D5791" t="str">
            <v>Nomoh Integrated School</v>
          </cell>
          <cell r="E5791">
            <v>0</v>
          </cell>
          <cell r="F5791">
            <v>0</v>
          </cell>
          <cell r="G5791">
            <v>0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>
            <v>0</v>
          </cell>
        </row>
        <row r="5792">
          <cell r="C5792">
            <v>500267</v>
          </cell>
          <cell r="D5792" t="str">
            <v>Mangelen IS</v>
          </cell>
          <cell r="E5792">
            <v>0</v>
          </cell>
          <cell r="F5792">
            <v>0</v>
          </cell>
          <cell r="G5792">
            <v>0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>
            <v>0</v>
          </cell>
        </row>
        <row r="5793">
          <cell r="C5793">
            <v>500268</v>
          </cell>
          <cell r="D5793" t="str">
            <v>Lutay Integrated School</v>
          </cell>
          <cell r="E5793">
            <v>0</v>
          </cell>
          <cell r="F5793">
            <v>0</v>
          </cell>
          <cell r="G5793">
            <v>0</v>
          </cell>
          <cell r="H5793">
            <v>0</v>
          </cell>
          <cell r="I5793">
            <v>1</v>
          </cell>
          <cell r="J5793">
            <v>3</v>
          </cell>
          <cell r="K5793">
            <v>1</v>
          </cell>
          <cell r="L5793">
            <v>3</v>
          </cell>
        </row>
        <row r="5794">
          <cell r="C5794">
            <v>500269</v>
          </cell>
          <cell r="D5794" t="str">
            <v>Upper Lumabat IS</v>
          </cell>
          <cell r="E5794">
            <v>0</v>
          </cell>
          <cell r="F5794">
            <v>0</v>
          </cell>
          <cell r="G5794">
            <v>0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>
            <v>0</v>
          </cell>
        </row>
        <row r="5795">
          <cell r="C5795">
            <v>500270</v>
          </cell>
          <cell r="D5795" t="str">
            <v>Datal Batong Integrated School</v>
          </cell>
          <cell r="E5795">
            <v>0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>
            <v>0</v>
          </cell>
        </row>
        <row r="5796">
          <cell r="C5796">
            <v>500271</v>
          </cell>
          <cell r="D5796" t="str">
            <v>Datu Pangolima Integrated School</v>
          </cell>
          <cell r="E5796">
            <v>0</v>
          </cell>
          <cell r="F5796">
            <v>0</v>
          </cell>
          <cell r="G5796">
            <v>0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0</v>
          </cell>
        </row>
        <row r="5797">
          <cell r="C5797">
            <v>500272</v>
          </cell>
          <cell r="D5797" t="str">
            <v>Daan Suyan Integrated School</v>
          </cell>
          <cell r="E5797">
            <v>0</v>
          </cell>
          <cell r="F5797">
            <v>0</v>
          </cell>
          <cell r="G5797">
            <v>0</v>
          </cell>
          <cell r="H5797">
            <v>0</v>
          </cell>
          <cell r="I5797">
            <v>2</v>
          </cell>
          <cell r="J5797">
            <v>0</v>
          </cell>
          <cell r="K5797">
            <v>2</v>
          </cell>
          <cell r="L5797">
            <v>1</v>
          </cell>
        </row>
        <row r="5798">
          <cell r="C5798">
            <v>500274</v>
          </cell>
          <cell r="D5798" t="str">
            <v>Kyumad Integrated School</v>
          </cell>
          <cell r="E5798">
            <v>0</v>
          </cell>
          <cell r="F5798">
            <v>0</v>
          </cell>
          <cell r="G5798">
            <v>0</v>
          </cell>
          <cell r="H5798">
            <v>0</v>
          </cell>
          <cell r="I5798">
            <v>1</v>
          </cell>
          <cell r="J5798">
            <v>2</v>
          </cell>
          <cell r="K5798">
            <v>0</v>
          </cell>
          <cell r="L5798">
            <v>0</v>
          </cell>
        </row>
        <row r="5799">
          <cell r="C5799">
            <v>500275</v>
          </cell>
          <cell r="D5799" t="str">
            <v>Consolacion IS</v>
          </cell>
          <cell r="E5799">
            <v>0</v>
          </cell>
          <cell r="F5799">
            <v>0</v>
          </cell>
          <cell r="G5799">
            <v>0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>
            <v>0</v>
          </cell>
        </row>
        <row r="5800">
          <cell r="C5800">
            <v>500276</v>
          </cell>
          <cell r="D5800" t="str">
            <v>Tangan Integrated School</v>
          </cell>
          <cell r="E5800">
            <v>0</v>
          </cell>
          <cell r="F5800">
            <v>0</v>
          </cell>
          <cell r="G5800">
            <v>0</v>
          </cell>
          <cell r="H5800">
            <v>0</v>
          </cell>
          <cell r="I5800">
            <v>1</v>
          </cell>
          <cell r="J5800">
            <v>1</v>
          </cell>
          <cell r="K5800">
            <v>1</v>
          </cell>
          <cell r="L5800">
            <v>1</v>
          </cell>
        </row>
        <row r="5801">
          <cell r="C5801">
            <v>500277</v>
          </cell>
          <cell r="D5801" t="str">
            <v>Tampus Integrated School</v>
          </cell>
          <cell r="E5801">
            <v>0</v>
          </cell>
          <cell r="F5801">
            <v>0</v>
          </cell>
          <cell r="G5801">
            <v>0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0</v>
          </cell>
        </row>
        <row r="5802">
          <cell r="C5802">
            <v>500279</v>
          </cell>
          <cell r="D5802" t="str">
            <v>Malabod Integrated School</v>
          </cell>
          <cell r="E5802">
            <v>0</v>
          </cell>
          <cell r="F5802">
            <v>0</v>
          </cell>
          <cell r="G5802">
            <v>0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0</v>
          </cell>
        </row>
        <row r="5803">
          <cell r="C5803">
            <v>500280</v>
          </cell>
          <cell r="D5803" t="str">
            <v>Cablalan IS</v>
          </cell>
          <cell r="E5803">
            <v>0</v>
          </cell>
          <cell r="F5803">
            <v>0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0</v>
          </cell>
        </row>
        <row r="5804">
          <cell r="C5804">
            <v>500281</v>
          </cell>
          <cell r="D5804" t="str">
            <v>Wali Integrated School</v>
          </cell>
          <cell r="E5804">
            <v>0</v>
          </cell>
          <cell r="F5804">
            <v>0</v>
          </cell>
          <cell r="G5804">
            <v>0</v>
          </cell>
          <cell r="H5804">
            <v>0</v>
          </cell>
          <cell r="I5804">
            <v>0</v>
          </cell>
          <cell r="J5804">
            <v>1</v>
          </cell>
          <cell r="K5804">
            <v>0</v>
          </cell>
          <cell r="L5804">
            <v>2</v>
          </cell>
        </row>
        <row r="5805">
          <cell r="C5805">
            <v>500282</v>
          </cell>
          <cell r="D5805" t="str">
            <v>Alabel Central Integrated SPED Center</v>
          </cell>
          <cell r="E5805">
            <v>0</v>
          </cell>
          <cell r="F5805">
            <v>0</v>
          </cell>
          <cell r="G5805">
            <v>0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>
            <v>0</v>
          </cell>
        </row>
        <row r="5806">
          <cell r="C5806">
            <v>500283</v>
          </cell>
          <cell r="D5806" t="str">
            <v>Hadji Musa IS</v>
          </cell>
          <cell r="E5806">
            <v>0</v>
          </cell>
          <cell r="F5806">
            <v>0</v>
          </cell>
          <cell r="G5806">
            <v>0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>
            <v>0</v>
          </cell>
        </row>
        <row r="5807">
          <cell r="C5807">
            <v>500284</v>
          </cell>
          <cell r="D5807" t="str">
            <v>Policarpo H. Millona Central Integrated School</v>
          </cell>
          <cell r="E5807">
            <v>0</v>
          </cell>
          <cell r="F5807">
            <v>0</v>
          </cell>
          <cell r="G5807">
            <v>0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>
            <v>0</v>
          </cell>
        </row>
        <row r="5808">
          <cell r="C5808">
            <v>500285</v>
          </cell>
          <cell r="D5808" t="str">
            <v>Tagaytay Integrated School</v>
          </cell>
          <cell r="E5808">
            <v>0</v>
          </cell>
          <cell r="F5808">
            <v>0</v>
          </cell>
          <cell r="G5808">
            <v>0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0</v>
          </cell>
        </row>
        <row r="5809">
          <cell r="C5809">
            <v>500286</v>
          </cell>
          <cell r="D5809" t="str">
            <v>Leopoldo D. Dacera Sr. IS</v>
          </cell>
          <cell r="E5809">
            <v>0</v>
          </cell>
          <cell r="F5809">
            <v>0</v>
          </cell>
          <cell r="G5809">
            <v>0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>
            <v>0</v>
          </cell>
        </row>
        <row r="5810">
          <cell r="C5810">
            <v>500288</v>
          </cell>
          <cell r="D5810" t="str">
            <v>Kinabalan Integrated School</v>
          </cell>
          <cell r="E5810">
            <v>0</v>
          </cell>
          <cell r="F5810">
            <v>0</v>
          </cell>
          <cell r="G5810">
            <v>0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0</v>
          </cell>
        </row>
        <row r="5811">
          <cell r="C5811">
            <v>500292</v>
          </cell>
          <cell r="D5811" t="str">
            <v>Lamlabong Integrated School</v>
          </cell>
          <cell r="E5811">
            <v>0</v>
          </cell>
          <cell r="F5811">
            <v>0</v>
          </cell>
          <cell r="G5811">
            <v>0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>
            <v>0</v>
          </cell>
        </row>
        <row r="5812">
          <cell r="C5812">
            <v>500297</v>
          </cell>
          <cell r="D5812" t="str">
            <v>Spring IS</v>
          </cell>
          <cell r="E5812">
            <v>0</v>
          </cell>
          <cell r="F5812">
            <v>0</v>
          </cell>
          <cell r="G5812">
            <v>0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0</v>
          </cell>
        </row>
        <row r="5813">
          <cell r="C5813">
            <v>500300</v>
          </cell>
          <cell r="D5813" t="str">
            <v>Anecito Bartulaba Integrated School</v>
          </cell>
          <cell r="E5813">
            <v>0</v>
          </cell>
          <cell r="F5813">
            <v>0</v>
          </cell>
          <cell r="G5813">
            <v>0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>
            <v>0</v>
          </cell>
        </row>
        <row r="5814">
          <cell r="C5814">
            <v>500301</v>
          </cell>
          <cell r="D5814" t="str">
            <v>Kiahe Integrated School</v>
          </cell>
          <cell r="E5814">
            <v>0</v>
          </cell>
          <cell r="F5814">
            <v>0</v>
          </cell>
          <cell r="G5814">
            <v>0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0</v>
          </cell>
        </row>
        <row r="5815">
          <cell r="C5815">
            <v>500706</v>
          </cell>
          <cell r="D5815" t="str">
            <v>Miasong Integrated School</v>
          </cell>
          <cell r="E5815">
            <v>0</v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0</v>
          </cell>
        </row>
        <row r="5816">
          <cell r="C5816">
            <v>500707</v>
          </cell>
          <cell r="D5816" t="str">
            <v>Tonga Lim Siao Sr. Integrated School</v>
          </cell>
          <cell r="E5816">
            <v>0</v>
          </cell>
          <cell r="F5816">
            <v>0</v>
          </cell>
          <cell r="G5816">
            <v>0</v>
          </cell>
          <cell r="H5816">
            <v>0</v>
          </cell>
          <cell r="I5816">
            <v>2</v>
          </cell>
          <cell r="J5816">
            <v>10</v>
          </cell>
          <cell r="K5816">
            <v>0</v>
          </cell>
          <cell r="L5816">
            <v>0</v>
          </cell>
        </row>
        <row r="5817">
          <cell r="C5817">
            <v>500708</v>
          </cell>
          <cell r="D5817" t="str">
            <v>Blat Integrated School</v>
          </cell>
          <cell r="E5817">
            <v>0</v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</row>
        <row r="5818">
          <cell r="C5818">
            <v>500712</v>
          </cell>
          <cell r="D5818" t="str">
            <v>Millona Upper Suyan Integrated School</v>
          </cell>
          <cell r="E5818">
            <v>0</v>
          </cell>
          <cell r="F5818">
            <v>0</v>
          </cell>
          <cell r="G5818">
            <v>0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>
            <v>0</v>
          </cell>
        </row>
        <row r="5819">
          <cell r="C5819">
            <v>500714</v>
          </cell>
          <cell r="D5819" t="str">
            <v>Laginan Integrated School</v>
          </cell>
          <cell r="E5819">
            <v>0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0</v>
          </cell>
        </row>
        <row r="5820">
          <cell r="C5820">
            <v>500777</v>
          </cell>
          <cell r="D5820" t="str">
            <v>Domolok Integrated School</v>
          </cell>
          <cell r="E5820">
            <v>0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0</v>
          </cell>
        </row>
        <row r="5821">
          <cell r="C5821">
            <v>304543</v>
          </cell>
          <cell r="D5821" t="str">
            <v>Banga NHS</v>
          </cell>
          <cell r="E5821">
            <v>0</v>
          </cell>
          <cell r="F5821">
            <v>5</v>
          </cell>
          <cell r="G5821">
            <v>0</v>
          </cell>
          <cell r="H5821">
            <v>0</v>
          </cell>
          <cell r="I5821">
            <v>2</v>
          </cell>
          <cell r="J5821">
            <v>3</v>
          </cell>
          <cell r="K5821">
            <v>2</v>
          </cell>
          <cell r="L5821">
            <v>3</v>
          </cell>
        </row>
        <row r="5822">
          <cell r="C5822">
            <v>304544</v>
          </cell>
          <cell r="D5822" t="str">
            <v>Bentung Sulit NHS</v>
          </cell>
          <cell r="E5822">
            <v>0</v>
          </cell>
          <cell r="F5822">
            <v>0</v>
          </cell>
          <cell r="G5822">
            <v>0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>
            <v>0</v>
          </cell>
        </row>
        <row r="5823">
          <cell r="C5823">
            <v>304545</v>
          </cell>
          <cell r="D5823" t="str">
            <v>Nicolas B. Barreras NHS - Bentung Sulit NHS Annex</v>
          </cell>
          <cell r="E5823">
            <v>0</v>
          </cell>
          <cell r="F5823">
            <v>0</v>
          </cell>
          <cell r="G5823">
            <v>0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>
            <v>0</v>
          </cell>
        </row>
        <row r="5824">
          <cell r="C5824">
            <v>304546</v>
          </cell>
          <cell r="D5824" t="str">
            <v>Centrala NHS</v>
          </cell>
          <cell r="E5824">
            <v>0</v>
          </cell>
          <cell r="F5824">
            <v>0</v>
          </cell>
          <cell r="G5824">
            <v>0</v>
          </cell>
          <cell r="H5824">
            <v>0</v>
          </cell>
          <cell r="I5824">
            <v>1</v>
          </cell>
          <cell r="J5824">
            <v>1</v>
          </cell>
          <cell r="K5824">
            <v>0</v>
          </cell>
          <cell r="L5824">
            <v>1</v>
          </cell>
        </row>
        <row r="5825">
          <cell r="C5825">
            <v>304547</v>
          </cell>
          <cell r="D5825" t="str">
            <v>Edwards NHS</v>
          </cell>
          <cell r="E5825">
            <v>0</v>
          </cell>
          <cell r="F5825">
            <v>0</v>
          </cell>
          <cell r="G5825">
            <v>0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>
            <v>0</v>
          </cell>
        </row>
        <row r="5826">
          <cell r="C5826">
            <v>304548</v>
          </cell>
          <cell r="D5826" t="str">
            <v>Guinsang-an NHS</v>
          </cell>
          <cell r="E5826">
            <v>0</v>
          </cell>
          <cell r="F5826">
            <v>0</v>
          </cell>
          <cell r="G5826">
            <v>0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0</v>
          </cell>
        </row>
        <row r="5827">
          <cell r="C5827">
            <v>304549</v>
          </cell>
          <cell r="D5827" t="str">
            <v>Katipunan NHS</v>
          </cell>
          <cell r="E5827">
            <v>0</v>
          </cell>
          <cell r="F5827">
            <v>0</v>
          </cell>
          <cell r="G5827">
            <v>0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>
            <v>0</v>
          </cell>
        </row>
        <row r="5828">
          <cell r="C5828">
            <v>304550</v>
          </cell>
          <cell r="D5828" t="str">
            <v>Lake Sebu NHS</v>
          </cell>
          <cell r="E5828">
            <v>1</v>
          </cell>
          <cell r="F5828">
            <v>0</v>
          </cell>
          <cell r="G5828">
            <v>0</v>
          </cell>
          <cell r="H5828">
            <v>0</v>
          </cell>
          <cell r="I5828">
            <v>2</v>
          </cell>
          <cell r="J5828">
            <v>0</v>
          </cell>
          <cell r="K5828">
            <v>0</v>
          </cell>
          <cell r="L5828">
            <v>0</v>
          </cell>
        </row>
        <row r="5829">
          <cell r="C5829">
            <v>304551</v>
          </cell>
          <cell r="D5829" t="str">
            <v>Ned NHS</v>
          </cell>
          <cell r="E5829">
            <v>0</v>
          </cell>
          <cell r="F5829">
            <v>0</v>
          </cell>
          <cell r="G5829">
            <v>0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>
            <v>0</v>
          </cell>
        </row>
        <row r="5830">
          <cell r="C5830">
            <v>304552</v>
          </cell>
          <cell r="D5830" t="str">
            <v>Lamian NHS</v>
          </cell>
          <cell r="E5830">
            <v>0</v>
          </cell>
          <cell r="F5830">
            <v>0</v>
          </cell>
          <cell r="G5830">
            <v>0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0</v>
          </cell>
        </row>
        <row r="5831">
          <cell r="C5831">
            <v>304553</v>
          </cell>
          <cell r="D5831" t="str">
            <v>Lambontong NHS</v>
          </cell>
          <cell r="E5831">
            <v>0</v>
          </cell>
          <cell r="F5831">
            <v>0</v>
          </cell>
          <cell r="G5831">
            <v>0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0</v>
          </cell>
        </row>
        <row r="5832">
          <cell r="C5832">
            <v>304554</v>
          </cell>
          <cell r="D5832" t="str">
            <v>Lapuz NHS</v>
          </cell>
          <cell r="E5832">
            <v>0</v>
          </cell>
          <cell r="F5832">
            <v>0</v>
          </cell>
          <cell r="G5832">
            <v>0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>
            <v>0</v>
          </cell>
        </row>
        <row r="5833">
          <cell r="C5833">
            <v>304555</v>
          </cell>
          <cell r="D5833" t="str">
            <v>Libertad NHS</v>
          </cell>
          <cell r="E5833">
            <v>0</v>
          </cell>
          <cell r="F5833">
            <v>0</v>
          </cell>
          <cell r="G5833">
            <v>0</v>
          </cell>
          <cell r="H5833">
            <v>0</v>
          </cell>
          <cell r="I5833">
            <v>1</v>
          </cell>
          <cell r="J5833">
            <v>0</v>
          </cell>
          <cell r="K5833">
            <v>1</v>
          </cell>
          <cell r="L5833">
            <v>0</v>
          </cell>
        </row>
        <row r="5834">
          <cell r="C5834">
            <v>304556</v>
          </cell>
          <cell r="D5834" t="str">
            <v>Maltana NHS</v>
          </cell>
          <cell r="E5834">
            <v>0</v>
          </cell>
          <cell r="F5834">
            <v>0</v>
          </cell>
          <cell r="G5834">
            <v>0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>
            <v>0</v>
          </cell>
        </row>
        <row r="5835">
          <cell r="C5835">
            <v>304557</v>
          </cell>
          <cell r="D5835" t="str">
            <v>Norala NHS</v>
          </cell>
          <cell r="E5835">
            <v>0</v>
          </cell>
          <cell r="F5835">
            <v>0</v>
          </cell>
          <cell r="G5835">
            <v>0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0</v>
          </cell>
        </row>
        <row r="5836">
          <cell r="C5836">
            <v>304558</v>
          </cell>
          <cell r="D5836" t="str">
            <v>Panay NHS</v>
          </cell>
          <cell r="E5836">
            <v>0</v>
          </cell>
          <cell r="F5836">
            <v>0</v>
          </cell>
          <cell r="G5836">
            <v>0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0</v>
          </cell>
        </row>
        <row r="5837">
          <cell r="C5837">
            <v>304559</v>
          </cell>
          <cell r="D5837" t="str">
            <v>Poblacion Polomolok NHS</v>
          </cell>
          <cell r="E5837">
            <v>0</v>
          </cell>
          <cell r="F5837">
            <v>0</v>
          </cell>
          <cell r="G5837">
            <v>2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0</v>
          </cell>
        </row>
        <row r="5838">
          <cell r="C5838">
            <v>304560</v>
          </cell>
          <cell r="D5838" t="str">
            <v>Polomolok NHS</v>
          </cell>
          <cell r="E5838">
            <v>0</v>
          </cell>
          <cell r="F5838">
            <v>0</v>
          </cell>
          <cell r="G5838">
            <v>0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>
            <v>0</v>
          </cell>
        </row>
        <row r="5839">
          <cell r="C5839">
            <v>304561</v>
          </cell>
          <cell r="D5839" t="str">
            <v>Polonuling NHS</v>
          </cell>
          <cell r="E5839">
            <v>0</v>
          </cell>
          <cell r="F5839">
            <v>0</v>
          </cell>
          <cell r="G5839">
            <v>0</v>
          </cell>
          <cell r="H5839">
            <v>0</v>
          </cell>
          <cell r="I5839">
            <v>0</v>
          </cell>
          <cell r="J5839">
            <v>0</v>
          </cell>
          <cell r="K5839">
            <v>0</v>
          </cell>
          <cell r="L5839">
            <v>0</v>
          </cell>
        </row>
        <row r="5840">
          <cell r="C5840">
            <v>304562</v>
          </cell>
          <cell r="D5840" t="str">
            <v>Jose D. Escobillo NHS - Polonuling NHS Annex</v>
          </cell>
          <cell r="E5840">
            <v>0</v>
          </cell>
          <cell r="F5840">
            <v>0</v>
          </cell>
          <cell r="G5840">
            <v>0</v>
          </cell>
          <cell r="H5840">
            <v>0</v>
          </cell>
          <cell r="I5840">
            <v>0</v>
          </cell>
          <cell r="J5840">
            <v>1</v>
          </cell>
          <cell r="K5840">
            <v>0</v>
          </cell>
          <cell r="L5840">
            <v>0</v>
          </cell>
        </row>
        <row r="5841">
          <cell r="C5841">
            <v>304563</v>
          </cell>
          <cell r="D5841" t="str">
            <v>Teodoro P. Prudente NHS - Polonuling NHS Annex</v>
          </cell>
          <cell r="E5841">
            <v>0</v>
          </cell>
          <cell r="F5841">
            <v>0</v>
          </cell>
          <cell r="G5841">
            <v>0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0</v>
          </cell>
        </row>
        <row r="5842">
          <cell r="C5842">
            <v>304564</v>
          </cell>
          <cell r="D5842" t="str">
            <v>Kablon NHS - Polonuling NHS Annex</v>
          </cell>
          <cell r="E5842">
            <v>0</v>
          </cell>
          <cell r="F5842">
            <v>0</v>
          </cell>
          <cell r="G5842">
            <v>0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0</v>
          </cell>
        </row>
        <row r="5843">
          <cell r="C5843">
            <v>304565</v>
          </cell>
          <cell r="D5843" t="str">
            <v>Bukay Pait NHS</v>
          </cell>
          <cell r="E5843">
            <v>0</v>
          </cell>
          <cell r="F5843">
            <v>0</v>
          </cell>
          <cell r="G5843">
            <v>0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>
            <v>0</v>
          </cell>
        </row>
        <row r="5844">
          <cell r="C5844">
            <v>304566</v>
          </cell>
          <cell r="D5844" t="str">
            <v>San Miguel NHS</v>
          </cell>
          <cell r="E5844">
            <v>0</v>
          </cell>
          <cell r="F5844">
            <v>0</v>
          </cell>
          <cell r="G5844">
            <v>0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>
            <v>0</v>
          </cell>
        </row>
        <row r="5845">
          <cell r="C5845">
            <v>304567</v>
          </cell>
          <cell r="D5845" t="str">
            <v>Silway-8 NHS</v>
          </cell>
          <cell r="E5845">
            <v>0</v>
          </cell>
          <cell r="F5845">
            <v>0</v>
          </cell>
          <cell r="G5845">
            <v>0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>
            <v>0</v>
          </cell>
        </row>
        <row r="5846">
          <cell r="C5846">
            <v>304568</v>
          </cell>
          <cell r="D5846" t="str">
            <v>Sto. Niño NHS</v>
          </cell>
          <cell r="E5846">
            <v>0</v>
          </cell>
          <cell r="F5846">
            <v>0</v>
          </cell>
          <cell r="G5846">
            <v>0</v>
          </cell>
          <cell r="H5846">
            <v>0</v>
          </cell>
          <cell r="I5846">
            <v>6</v>
          </cell>
          <cell r="J5846">
            <v>10</v>
          </cell>
          <cell r="K5846">
            <v>0</v>
          </cell>
          <cell r="L5846">
            <v>0</v>
          </cell>
        </row>
        <row r="5847">
          <cell r="C5847">
            <v>304569</v>
          </cell>
          <cell r="D5847" t="str">
            <v>Sto. Niño NSAT</v>
          </cell>
          <cell r="E5847">
            <v>0</v>
          </cell>
          <cell r="F5847">
            <v>0</v>
          </cell>
          <cell r="G5847">
            <v>0</v>
          </cell>
          <cell r="H5847">
            <v>0</v>
          </cell>
          <cell r="I5847">
            <v>0</v>
          </cell>
          <cell r="J5847">
            <v>0</v>
          </cell>
          <cell r="K5847">
            <v>0</v>
          </cell>
          <cell r="L5847">
            <v>0</v>
          </cell>
        </row>
        <row r="5848">
          <cell r="C5848">
            <v>304570</v>
          </cell>
          <cell r="D5848" t="str">
            <v>Tampakan NHS</v>
          </cell>
          <cell r="E5848">
            <v>0</v>
          </cell>
          <cell r="F5848">
            <v>0</v>
          </cell>
          <cell r="G5848">
            <v>0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>
            <v>0</v>
          </cell>
        </row>
        <row r="5849">
          <cell r="C5849">
            <v>304571</v>
          </cell>
          <cell r="D5849" t="str">
            <v>Liberty NHS</v>
          </cell>
          <cell r="E5849">
            <v>0</v>
          </cell>
          <cell r="F5849">
            <v>0</v>
          </cell>
          <cell r="G5849">
            <v>0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>
            <v>0</v>
          </cell>
        </row>
        <row r="5850">
          <cell r="C5850">
            <v>304572</v>
          </cell>
          <cell r="D5850" t="str">
            <v>Tantangan NHS</v>
          </cell>
          <cell r="E5850">
            <v>0</v>
          </cell>
          <cell r="F5850">
            <v>0</v>
          </cell>
          <cell r="G5850">
            <v>0</v>
          </cell>
          <cell r="H5850">
            <v>0</v>
          </cell>
          <cell r="I5850">
            <v>0</v>
          </cell>
          <cell r="J5850">
            <v>0</v>
          </cell>
          <cell r="K5850">
            <v>0</v>
          </cell>
          <cell r="L5850">
            <v>0</v>
          </cell>
        </row>
        <row r="5851">
          <cell r="C5851">
            <v>304573</v>
          </cell>
          <cell r="D5851" t="str">
            <v>Tantangan NTHS</v>
          </cell>
          <cell r="E5851">
            <v>0</v>
          </cell>
          <cell r="F5851">
            <v>0</v>
          </cell>
          <cell r="G5851">
            <v>0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>
            <v>0</v>
          </cell>
        </row>
        <row r="5852">
          <cell r="C5852">
            <v>304574</v>
          </cell>
          <cell r="D5852" t="str">
            <v>Tboli NHS</v>
          </cell>
          <cell r="E5852">
            <v>0</v>
          </cell>
          <cell r="F5852">
            <v>0</v>
          </cell>
          <cell r="G5852">
            <v>0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>
            <v>0</v>
          </cell>
        </row>
        <row r="5853">
          <cell r="C5853">
            <v>304575</v>
          </cell>
          <cell r="D5853" t="str">
            <v>Tupi NHS</v>
          </cell>
          <cell r="E5853">
            <v>9</v>
          </cell>
          <cell r="F5853">
            <v>6</v>
          </cell>
          <cell r="G5853">
            <v>0</v>
          </cell>
          <cell r="H5853">
            <v>0</v>
          </cell>
          <cell r="I5853">
            <v>6</v>
          </cell>
          <cell r="J5853">
            <v>9</v>
          </cell>
          <cell r="K5853">
            <v>0</v>
          </cell>
          <cell r="L5853">
            <v>1</v>
          </cell>
        </row>
        <row r="5854">
          <cell r="C5854">
            <v>304576</v>
          </cell>
          <cell r="D5854" t="str">
            <v>Cebuano NHS</v>
          </cell>
          <cell r="E5854">
            <v>0</v>
          </cell>
          <cell r="F5854">
            <v>0</v>
          </cell>
          <cell r="G5854">
            <v>0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>
            <v>0</v>
          </cell>
        </row>
        <row r="5855">
          <cell r="C5855">
            <v>304577</v>
          </cell>
          <cell r="D5855" t="str">
            <v>Upper Klinan NHS</v>
          </cell>
          <cell r="E5855">
            <v>0</v>
          </cell>
          <cell r="F5855">
            <v>0</v>
          </cell>
          <cell r="G5855">
            <v>0</v>
          </cell>
          <cell r="H5855">
            <v>0</v>
          </cell>
          <cell r="I5855">
            <v>1</v>
          </cell>
          <cell r="J5855">
            <v>5</v>
          </cell>
          <cell r="K5855">
            <v>1</v>
          </cell>
          <cell r="L5855">
            <v>5</v>
          </cell>
        </row>
        <row r="5856">
          <cell r="C5856">
            <v>304578</v>
          </cell>
          <cell r="D5856" t="str">
            <v>Palkan NHS - Upper Klinan Annex</v>
          </cell>
          <cell r="E5856">
            <v>0</v>
          </cell>
          <cell r="F5856">
            <v>0</v>
          </cell>
          <cell r="G5856">
            <v>0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0</v>
          </cell>
        </row>
        <row r="5857">
          <cell r="C5857">
            <v>316701</v>
          </cell>
          <cell r="D5857" t="str">
            <v>Surallah NHS</v>
          </cell>
          <cell r="E5857">
            <v>0</v>
          </cell>
          <cell r="F5857">
            <v>0</v>
          </cell>
          <cell r="G5857">
            <v>0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>
            <v>0</v>
          </cell>
        </row>
        <row r="5858">
          <cell r="C5858">
            <v>316702</v>
          </cell>
          <cell r="D5858" t="str">
            <v>Pablo Valencia NHS - Pob. Polomolok NHS Annex</v>
          </cell>
          <cell r="E5858">
            <v>0</v>
          </cell>
          <cell r="F5858">
            <v>0</v>
          </cell>
          <cell r="G5858">
            <v>1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>
            <v>0</v>
          </cell>
        </row>
        <row r="5859">
          <cell r="C5859">
            <v>316703</v>
          </cell>
          <cell r="D5859" t="str">
            <v>San Jose NHS</v>
          </cell>
          <cell r="E5859">
            <v>0</v>
          </cell>
          <cell r="F5859">
            <v>0</v>
          </cell>
          <cell r="G5859">
            <v>0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>
            <v>0</v>
          </cell>
        </row>
        <row r="5860">
          <cell r="C5860">
            <v>316704</v>
          </cell>
          <cell r="D5860" t="str">
            <v>Lamba NHS - Banga NHS Annex</v>
          </cell>
          <cell r="E5860">
            <v>0</v>
          </cell>
          <cell r="F5860">
            <v>0</v>
          </cell>
          <cell r="G5860">
            <v>0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>
            <v>0</v>
          </cell>
        </row>
        <row r="5861">
          <cell r="C5861">
            <v>316705</v>
          </cell>
          <cell r="D5861" t="str">
            <v>Punong Grande NHS - Banga NHS Annex</v>
          </cell>
          <cell r="E5861">
            <v>0</v>
          </cell>
          <cell r="F5861">
            <v>0</v>
          </cell>
          <cell r="G5861">
            <v>0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0</v>
          </cell>
        </row>
        <row r="5862">
          <cell r="C5862">
            <v>316706</v>
          </cell>
          <cell r="D5862" t="str">
            <v>New Dumangas NHS</v>
          </cell>
          <cell r="E5862">
            <v>0</v>
          </cell>
          <cell r="F5862">
            <v>0</v>
          </cell>
          <cell r="G5862">
            <v>0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>
            <v>0</v>
          </cell>
        </row>
        <row r="5863">
          <cell r="C5863">
            <v>316707</v>
          </cell>
          <cell r="D5863" t="str">
            <v>Danlag NHS - Tampakan NHS Annex</v>
          </cell>
          <cell r="E5863">
            <v>0</v>
          </cell>
          <cell r="F5863">
            <v>0</v>
          </cell>
          <cell r="G5863">
            <v>0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>
            <v>0</v>
          </cell>
        </row>
        <row r="5864">
          <cell r="C5864">
            <v>316708</v>
          </cell>
          <cell r="D5864" t="str">
            <v>Kibang NHS - Lake Sebu NHS Annex</v>
          </cell>
          <cell r="E5864">
            <v>0</v>
          </cell>
          <cell r="F5864">
            <v>0</v>
          </cell>
          <cell r="G5864">
            <v>0</v>
          </cell>
          <cell r="H5864">
            <v>0</v>
          </cell>
          <cell r="I5864">
            <v>0</v>
          </cell>
          <cell r="J5864">
            <v>0</v>
          </cell>
          <cell r="K5864">
            <v>0</v>
          </cell>
          <cell r="L5864">
            <v>0</v>
          </cell>
        </row>
        <row r="5865">
          <cell r="C5865">
            <v>316709</v>
          </cell>
          <cell r="D5865" t="str">
            <v>Proper Ned NHS - Lake Sebu NHS Annex</v>
          </cell>
          <cell r="E5865">
            <v>0</v>
          </cell>
          <cell r="F5865">
            <v>0</v>
          </cell>
          <cell r="G5865">
            <v>0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>
            <v>0</v>
          </cell>
        </row>
        <row r="5866">
          <cell r="C5866">
            <v>316710</v>
          </cell>
          <cell r="D5866" t="str">
            <v>Lamsugod NHS</v>
          </cell>
          <cell r="E5866">
            <v>0</v>
          </cell>
          <cell r="F5866">
            <v>0</v>
          </cell>
          <cell r="G5866">
            <v>0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>
            <v>0</v>
          </cell>
        </row>
        <row r="5867">
          <cell r="C5867">
            <v>316711</v>
          </cell>
          <cell r="D5867" t="str">
            <v>Lampitak NHS - Tampakan NHS Annex</v>
          </cell>
          <cell r="E5867">
            <v>0</v>
          </cell>
          <cell r="F5867">
            <v>0</v>
          </cell>
          <cell r="G5867">
            <v>0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0</v>
          </cell>
        </row>
        <row r="5868">
          <cell r="C5868">
            <v>316712</v>
          </cell>
          <cell r="D5868" t="str">
            <v>Landan NHS</v>
          </cell>
          <cell r="E5868">
            <v>0</v>
          </cell>
          <cell r="F5868">
            <v>0</v>
          </cell>
          <cell r="G5868">
            <v>0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>
            <v>0</v>
          </cell>
        </row>
        <row r="5869">
          <cell r="C5869">
            <v>316713</v>
          </cell>
          <cell r="D5869" t="str">
            <v>Colongulo NHS</v>
          </cell>
          <cell r="E5869">
            <v>0</v>
          </cell>
          <cell r="F5869">
            <v>0</v>
          </cell>
          <cell r="G5869">
            <v>0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0</v>
          </cell>
        </row>
        <row r="5870">
          <cell r="C5870">
            <v>316714</v>
          </cell>
          <cell r="D5870" t="str">
            <v>Malaya NHS - Banga NHS Annex</v>
          </cell>
          <cell r="E5870">
            <v>0</v>
          </cell>
          <cell r="F5870">
            <v>0</v>
          </cell>
          <cell r="G5870">
            <v>0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0</v>
          </cell>
        </row>
        <row r="5871">
          <cell r="C5871">
            <v>316715</v>
          </cell>
          <cell r="D5871" t="str">
            <v>San Jose NHS - Lapuz NHS Annex</v>
          </cell>
          <cell r="E5871">
            <v>0</v>
          </cell>
          <cell r="F5871">
            <v>0</v>
          </cell>
          <cell r="G5871">
            <v>0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>
            <v>0</v>
          </cell>
        </row>
        <row r="5872">
          <cell r="C5872">
            <v>316716</v>
          </cell>
          <cell r="D5872" t="str">
            <v>Tablu NHS - Tampakan NHS Annex</v>
          </cell>
          <cell r="E5872">
            <v>0</v>
          </cell>
          <cell r="F5872">
            <v>0</v>
          </cell>
          <cell r="G5872">
            <v>0</v>
          </cell>
          <cell r="H5872">
            <v>0</v>
          </cell>
          <cell r="I5872">
            <v>1</v>
          </cell>
          <cell r="J5872">
            <v>0</v>
          </cell>
          <cell r="K5872">
            <v>0</v>
          </cell>
          <cell r="L5872">
            <v>0</v>
          </cell>
        </row>
        <row r="5873">
          <cell r="C5873">
            <v>316717</v>
          </cell>
          <cell r="D5873" t="str">
            <v>Emiliano P. Baquial NHS - Tupi NHS Annex</v>
          </cell>
          <cell r="E5873">
            <v>0</v>
          </cell>
          <cell r="F5873">
            <v>0</v>
          </cell>
          <cell r="G5873">
            <v>0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0</v>
          </cell>
        </row>
        <row r="5874">
          <cell r="C5874">
            <v>316718</v>
          </cell>
          <cell r="D5874" t="str">
            <v>San Vicente NHS - Banga NHS Annex</v>
          </cell>
          <cell r="E5874">
            <v>0</v>
          </cell>
          <cell r="F5874">
            <v>0</v>
          </cell>
          <cell r="G5874">
            <v>0</v>
          </cell>
          <cell r="H5874">
            <v>0</v>
          </cell>
          <cell r="I5874">
            <v>0</v>
          </cell>
          <cell r="J5874">
            <v>0</v>
          </cell>
          <cell r="K5874">
            <v>0</v>
          </cell>
          <cell r="L5874">
            <v>0</v>
          </cell>
        </row>
        <row r="5875">
          <cell r="C5875">
            <v>316719</v>
          </cell>
          <cell r="D5875" t="str">
            <v>Maan NHS - Tboli Annex</v>
          </cell>
          <cell r="E5875">
            <v>0</v>
          </cell>
          <cell r="F5875">
            <v>0</v>
          </cell>
          <cell r="G5875">
            <v>0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>
            <v>0</v>
          </cell>
        </row>
        <row r="5876">
          <cell r="C5876">
            <v>316720</v>
          </cell>
          <cell r="D5876" t="str">
            <v>Basag NHS - Tboli Annex</v>
          </cell>
          <cell r="E5876">
            <v>0</v>
          </cell>
          <cell r="F5876">
            <v>0</v>
          </cell>
          <cell r="G5876">
            <v>0</v>
          </cell>
          <cell r="H5876">
            <v>0</v>
          </cell>
          <cell r="I5876">
            <v>0</v>
          </cell>
          <cell r="J5876">
            <v>1</v>
          </cell>
          <cell r="K5876">
            <v>0</v>
          </cell>
          <cell r="L5876">
            <v>0</v>
          </cell>
        </row>
        <row r="5877">
          <cell r="C5877">
            <v>316721</v>
          </cell>
          <cell r="D5877" t="str">
            <v>Lampari NHS - Banga Annex</v>
          </cell>
          <cell r="E5877">
            <v>0</v>
          </cell>
          <cell r="F5877">
            <v>0</v>
          </cell>
          <cell r="G5877">
            <v>0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0</v>
          </cell>
        </row>
        <row r="5878">
          <cell r="C5878">
            <v>316722</v>
          </cell>
          <cell r="D5878" t="str">
            <v>Kusan NHS - Banga NHS Annex</v>
          </cell>
          <cell r="E5878">
            <v>0</v>
          </cell>
          <cell r="F5878">
            <v>0</v>
          </cell>
          <cell r="G5878">
            <v>0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>
            <v>0</v>
          </cell>
        </row>
        <row r="5879">
          <cell r="C5879">
            <v>316723</v>
          </cell>
          <cell r="D5879" t="str">
            <v>Rizal 3 NHS - Banga Annex</v>
          </cell>
          <cell r="E5879">
            <v>0</v>
          </cell>
          <cell r="F5879">
            <v>0</v>
          </cell>
          <cell r="G5879">
            <v>0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>
            <v>0</v>
          </cell>
        </row>
        <row r="5880">
          <cell r="C5880">
            <v>316724</v>
          </cell>
          <cell r="D5880" t="str">
            <v>Sergio L. Legayada NHS - Norala NHS Annex</v>
          </cell>
          <cell r="E5880">
            <v>0</v>
          </cell>
          <cell r="F5880">
            <v>0</v>
          </cell>
          <cell r="G5880">
            <v>0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0</v>
          </cell>
        </row>
        <row r="5881">
          <cell r="C5881">
            <v>316725</v>
          </cell>
          <cell r="D5881" t="str">
            <v>Upper Maculan NHS - Lake Sebu NHS Annex</v>
          </cell>
          <cell r="E5881">
            <v>0</v>
          </cell>
          <cell r="F5881">
            <v>0</v>
          </cell>
          <cell r="G5881">
            <v>0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0</v>
          </cell>
        </row>
        <row r="5882">
          <cell r="C5882">
            <v>316727</v>
          </cell>
          <cell r="D5882" t="str">
            <v>Aflek NHS - Edwards NHS Annex</v>
          </cell>
          <cell r="E5882">
            <v>0</v>
          </cell>
          <cell r="F5882">
            <v>0</v>
          </cell>
          <cell r="G5882">
            <v>0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>
            <v>0</v>
          </cell>
        </row>
        <row r="5883">
          <cell r="C5883">
            <v>316909</v>
          </cell>
          <cell r="D5883" t="str">
            <v>Fabiola Villa-Gasis NHS - San Miguel NHS Annex</v>
          </cell>
          <cell r="E5883">
            <v>0</v>
          </cell>
          <cell r="F5883">
            <v>0</v>
          </cell>
          <cell r="G5883">
            <v>0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>
            <v>0</v>
          </cell>
        </row>
        <row r="5884">
          <cell r="C5884">
            <v>316911</v>
          </cell>
          <cell r="D5884" t="str">
            <v>New Lambunao IS</v>
          </cell>
          <cell r="E5884">
            <v>0</v>
          </cell>
          <cell r="F5884">
            <v>0</v>
          </cell>
          <cell r="G5884">
            <v>0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>
            <v>0</v>
          </cell>
        </row>
        <row r="5885">
          <cell r="C5885">
            <v>316914</v>
          </cell>
          <cell r="D5885" t="str">
            <v>El Nonok IS</v>
          </cell>
          <cell r="E5885">
            <v>0</v>
          </cell>
          <cell r="F5885">
            <v>0</v>
          </cell>
          <cell r="G5885">
            <v>0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0</v>
          </cell>
        </row>
        <row r="5886">
          <cell r="C5886">
            <v>316915</v>
          </cell>
          <cell r="D5886" t="str">
            <v>Rang-ay IS</v>
          </cell>
          <cell r="E5886">
            <v>0</v>
          </cell>
          <cell r="F5886">
            <v>0</v>
          </cell>
          <cell r="G5886">
            <v>0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0</v>
          </cell>
        </row>
        <row r="5887">
          <cell r="C5887">
            <v>316916</v>
          </cell>
          <cell r="D5887" t="str">
            <v>Naci IS</v>
          </cell>
          <cell r="E5887">
            <v>0</v>
          </cell>
          <cell r="F5887">
            <v>0</v>
          </cell>
          <cell r="G5887">
            <v>0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>
            <v>0</v>
          </cell>
        </row>
        <row r="5888">
          <cell r="C5888">
            <v>316917</v>
          </cell>
          <cell r="D5888" t="str">
            <v>Lubol IS</v>
          </cell>
          <cell r="E5888">
            <v>0</v>
          </cell>
          <cell r="F5888">
            <v>0</v>
          </cell>
          <cell r="G5888">
            <v>0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>
            <v>0</v>
          </cell>
        </row>
        <row r="5889">
          <cell r="C5889">
            <v>316918</v>
          </cell>
          <cell r="D5889" t="str">
            <v>Talisay IS</v>
          </cell>
          <cell r="E5889">
            <v>0</v>
          </cell>
          <cell r="F5889">
            <v>0</v>
          </cell>
          <cell r="G5889">
            <v>0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>
            <v>0</v>
          </cell>
        </row>
        <row r="5890">
          <cell r="C5890">
            <v>316919</v>
          </cell>
          <cell r="D5890" t="str">
            <v>Lake Soluton IS</v>
          </cell>
          <cell r="E5890">
            <v>0</v>
          </cell>
          <cell r="F5890">
            <v>0</v>
          </cell>
          <cell r="G5890">
            <v>0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>
            <v>0</v>
          </cell>
        </row>
        <row r="5891">
          <cell r="C5891">
            <v>316920</v>
          </cell>
          <cell r="D5891" t="str">
            <v>Pulo Subong IS</v>
          </cell>
          <cell r="E5891">
            <v>0</v>
          </cell>
          <cell r="F5891">
            <v>0</v>
          </cell>
          <cell r="G5891">
            <v>0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>
            <v>0</v>
          </cell>
        </row>
        <row r="5892">
          <cell r="C5892">
            <v>316921</v>
          </cell>
          <cell r="D5892" t="str">
            <v>Lusok IS</v>
          </cell>
          <cell r="E5892">
            <v>0</v>
          </cell>
          <cell r="F5892">
            <v>0</v>
          </cell>
          <cell r="G5892">
            <v>0</v>
          </cell>
          <cell r="H5892">
            <v>0</v>
          </cell>
          <cell r="I5892">
            <v>1</v>
          </cell>
          <cell r="J5892">
            <v>2</v>
          </cell>
          <cell r="K5892">
            <v>0</v>
          </cell>
          <cell r="L5892">
            <v>0</v>
          </cell>
        </row>
        <row r="5893">
          <cell r="C5893">
            <v>316923</v>
          </cell>
          <cell r="D5893" t="str">
            <v>Lamhako IS</v>
          </cell>
          <cell r="E5893">
            <v>0</v>
          </cell>
          <cell r="F5893">
            <v>0</v>
          </cell>
          <cell r="G5893">
            <v>0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>
            <v>0</v>
          </cell>
        </row>
        <row r="5894">
          <cell r="C5894">
            <v>316925</v>
          </cell>
          <cell r="D5894" t="str">
            <v>Talufo IS</v>
          </cell>
          <cell r="E5894">
            <v>0</v>
          </cell>
          <cell r="F5894">
            <v>0</v>
          </cell>
          <cell r="G5894">
            <v>0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0</v>
          </cell>
        </row>
        <row r="5895">
          <cell r="C5895">
            <v>316926</v>
          </cell>
          <cell r="D5895" t="str">
            <v>Laconon Is</v>
          </cell>
          <cell r="E5895">
            <v>0</v>
          </cell>
          <cell r="F5895">
            <v>0</v>
          </cell>
          <cell r="G5895">
            <v>0</v>
          </cell>
          <cell r="H5895">
            <v>0</v>
          </cell>
          <cell r="I5895">
            <v>1</v>
          </cell>
          <cell r="J5895">
            <v>2</v>
          </cell>
          <cell r="K5895">
            <v>0</v>
          </cell>
          <cell r="L5895">
            <v>0</v>
          </cell>
        </row>
        <row r="5896">
          <cell r="C5896">
            <v>360849</v>
          </cell>
          <cell r="D5896" t="str">
            <v>Tboli Sbu SHS</v>
          </cell>
          <cell r="E5896">
            <v>0</v>
          </cell>
          <cell r="F5896">
            <v>0</v>
          </cell>
          <cell r="G5896">
            <v>0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>
            <v>0</v>
          </cell>
        </row>
        <row r="5897">
          <cell r="C5897">
            <v>500432</v>
          </cell>
          <cell r="D5897" t="str">
            <v>Godwino Integrated School</v>
          </cell>
          <cell r="E5897">
            <v>0</v>
          </cell>
          <cell r="F5897">
            <v>0</v>
          </cell>
          <cell r="G5897">
            <v>0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>
            <v>0</v>
          </cell>
        </row>
        <row r="5898">
          <cell r="C5898">
            <v>500458</v>
          </cell>
          <cell r="D5898" t="str">
            <v>Bonifacio R. Tagaban Sr. ES</v>
          </cell>
          <cell r="E5898">
            <v>0</v>
          </cell>
          <cell r="F5898">
            <v>1</v>
          </cell>
          <cell r="G5898">
            <v>0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0</v>
          </cell>
        </row>
        <row r="5899">
          <cell r="C5899">
            <v>304580</v>
          </cell>
          <cell r="D5899" t="str">
            <v>Bagumbayan National High School</v>
          </cell>
          <cell r="E5899">
            <v>0</v>
          </cell>
          <cell r="F5899">
            <v>0</v>
          </cell>
          <cell r="G5899">
            <v>0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>
            <v>0</v>
          </cell>
        </row>
        <row r="5900">
          <cell r="C5900">
            <v>304581</v>
          </cell>
          <cell r="D5900" t="str">
            <v>Kapaya National High School</v>
          </cell>
          <cell r="E5900">
            <v>0</v>
          </cell>
          <cell r="F5900">
            <v>1</v>
          </cell>
          <cell r="G5900">
            <v>0</v>
          </cell>
          <cell r="H5900">
            <v>0</v>
          </cell>
          <cell r="I5900">
            <v>0</v>
          </cell>
          <cell r="J5900">
            <v>0</v>
          </cell>
          <cell r="K5900">
            <v>0</v>
          </cell>
          <cell r="L5900">
            <v>0</v>
          </cell>
        </row>
        <row r="5901">
          <cell r="C5901">
            <v>304582</v>
          </cell>
          <cell r="D5901" t="str">
            <v>Masiag National High School - Bagumbayan Annex</v>
          </cell>
          <cell r="E5901">
            <v>0</v>
          </cell>
          <cell r="F5901">
            <v>3</v>
          </cell>
          <cell r="G5901">
            <v>0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0</v>
          </cell>
        </row>
        <row r="5902">
          <cell r="C5902">
            <v>304584</v>
          </cell>
          <cell r="D5902" t="str">
            <v>Bai Saripinang National High School</v>
          </cell>
          <cell r="E5902">
            <v>0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>
            <v>0</v>
          </cell>
        </row>
        <row r="5903">
          <cell r="C5903">
            <v>304585</v>
          </cell>
          <cell r="D5903" t="str">
            <v>Bambad National High School</v>
          </cell>
          <cell r="E5903">
            <v>0</v>
          </cell>
          <cell r="F5903">
            <v>0</v>
          </cell>
          <cell r="G5903">
            <v>0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>
            <v>0</v>
          </cell>
        </row>
        <row r="5904">
          <cell r="C5904">
            <v>304586</v>
          </cell>
          <cell r="D5904" t="str">
            <v>E. Arcaño Memorial National High School</v>
          </cell>
          <cell r="E5904">
            <v>0</v>
          </cell>
          <cell r="F5904">
            <v>0</v>
          </cell>
          <cell r="G5904">
            <v>0</v>
          </cell>
          <cell r="H5904">
            <v>0</v>
          </cell>
          <cell r="I5904">
            <v>0</v>
          </cell>
          <cell r="J5904">
            <v>1</v>
          </cell>
          <cell r="K5904">
            <v>0</v>
          </cell>
          <cell r="L5904">
            <v>0</v>
          </cell>
        </row>
        <row r="5905">
          <cell r="C5905">
            <v>304587</v>
          </cell>
          <cell r="D5905" t="str">
            <v>Busok National High School</v>
          </cell>
          <cell r="E5905">
            <v>0</v>
          </cell>
          <cell r="F5905">
            <v>0</v>
          </cell>
          <cell r="G5905">
            <v>0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>
            <v>0</v>
          </cell>
        </row>
        <row r="5906">
          <cell r="C5906">
            <v>304588</v>
          </cell>
          <cell r="D5906" t="str">
            <v>Columbio National High School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>
            <v>0</v>
          </cell>
        </row>
        <row r="5907">
          <cell r="C5907">
            <v>304589</v>
          </cell>
          <cell r="D5907" t="str">
            <v>Esperanza National High School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>
            <v>0</v>
          </cell>
        </row>
        <row r="5908">
          <cell r="C5908">
            <v>304590</v>
          </cell>
          <cell r="D5908" t="str">
            <v>Isulan National High School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>
            <v>0</v>
          </cell>
        </row>
        <row r="5909">
          <cell r="C5909">
            <v>304591</v>
          </cell>
          <cell r="D5909" t="str">
            <v>Kalamansig National High School</v>
          </cell>
          <cell r="E5909">
            <v>0</v>
          </cell>
          <cell r="F5909">
            <v>0</v>
          </cell>
          <cell r="G5909">
            <v>0</v>
          </cell>
          <cell r="H5909">
            <v>0</v>
          </cell>
          <cell r="I5909">
            <v>8</v>
          </cell>
          <cell r="J5909">
            <v>8</v>
          </cell>
          <cell r="K5909">
            <v>8</v>
          </cell>
          <cell r="L5909">
            <v>8</v>
          </cell>
        </row>
        <row r="5910">
          <cell r="C5910">
            <v>304592</v>
          </cell>
          <cell r="D5910" t="str">
            <v>Sangay National High School</v>
          </cell>
          <cell r="E5910">
            <v>0</v>
          </cell>
          <cell r="F5910">
            <v>0</v>
          </cell>
          <cell r="G5910">
            <v>0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>
            <v>0</v>
          </cell>
        </row>
        <row r="5911">
          <cell r="C5911">
            <v>304593</v>
          </cell>
          <cell r="D5911" t="str">
            <v>Datu Wasay National High School</v>
          </cell>
          <cell r="E5911">
            <v>0</v>
          </cell>
          <cell r="F5911">
            <v>0</v>
          </cell>
          <cell r="G5911">
            <v>0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>
            <v>0</v>
          </cell>
        </row>
        <row r="5912">
          <cell r="C5912">
            <v>304594</v>
          </cell>
          <cell r="D5912" t="str">
            <v>Kalanawe II National High School</v>
          </cell>
          <cell r="E5912">
            <v>0</v>
          </cell>
          <cell r="F5912">
            <v>0</v>
          </cell>
          <cell r="G5912">
            <v>0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>
            <v>0</v>
          </cell>
        </row>
        <row r="5913">
          <cell r="C5913">
            <v>304595</v>
          </cell>
          <cell r="D5913" t="str">
            <v>Kapingkong National High School</v>
          </cell>
          <cell r="E5913">
            <v>0</v>
          </cell>
          <cell r="F5913">
            <v>0</v>
          </cell>
          <cell r="G5913">
            <v>0</v>
          </cell>
          <cell r="H5913">
            <v>0</v>
          </cell>
          <cell r="I5913">
            <v>1</v>
          </cell>
          <cell r="J5913">
            <v>0</v>
          </cell>
          <cell r="K5913">
            <v>0</v>
          </cell>
          <cell r="L5913">
            <v>0</v>
          </cell>
        </row>
        <row r="5914">
          <cell r="C5914">
            <v>304596</v>
          </cell>
          <cell r="D5914" t="str">
            <v>Laguilayan National High School</v>
          </cell>
          <cell r="E5914">
            <v>0</v>
          </cell>
          <cell r="F5914">
            <v>0</v>
          </cell>
          <cell r="G5914">
            <v>0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>
            <v>0</v>
          </cell>
        </row>
        <row r="5915">
          <cell r="C5915">
            <v>304597</v>
          </cell>
          <cell r="D5915" t="str">
            <v>Lambayong National High School</v>
          </cell>
          <cell r="E5915">
            <v>0</v>
          </cell>
          <cell r="F5915">
            <v>0</v>
          </cell>
          <cell r="G5915">
            <v>0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>
            <v>0</v>
          </cell>
        </row>
        <row r="5916">
          <cell r="C5916">
            <v>304598</v>
          </cell>
          <cell r="D5916" t="str">
            <v>Pimbalayan National High School - Lambayong Annex</v>
          </cell>
          <cell r="E5916">
            <v>0</v>
          </cell>
          <cell r="F5916">
            <v>0</v>
          </cell>
          <cell r="G5916">
            <v>0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0</v>
          </cell>
        </row>
        <row r="5917">
          <cell r="C5917">
            <v>304599</v>
          </cell>
          <cell r="D5917" t="str">
            <v>Langgal National High School</v>
          </cell>
          <cell r="E5917">
            <v>0</v>
          </cell>
          <cell r="F5917">
            <v>0</v>
          </cell>
          <cell r="G5917">
            <v>0</v>
          </cell>
          <cell r="H5917">
            <v>0</v>
          </cell>
          <cell r="I5917">
            <v>4</v>
          </cell>
          <cell r="J5917">
            <v>2</v>
          </cell>
          <cell r="K5917">
            <v>4</v>
          </cell>
          <cell r="L5917">
            <v>2</v>
          </cell>
        </row>
        <row r="5918">
          <cell r="C5918">
            <v>304600</v>
          </cell>
          <cell r="D5918" t="str">
            <v>Datu Ampak Kawan National High School</v>
          </cell>
          <cell r="E5918">
            <v>0</v>
          </cell>
          <cell r="F5918">
            <v>0</v>
          </cell>
          <cell r="G5918">
            <v>0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0</v>
          </cell>
        </row>
        <row r="5919">
          <cell r="C5919">
            <v>304601</v>
          </cell>
          <cell r="D5919" t="str">
            <v>Gapok National High School - Langgal Annex</v>
          </cell>
          <cell r="E5919">
            <v>0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0</v>
          </cell>
        </row>
        <row r="5920">
          <cell r="C5920">
            <v>304602</v>
          </cell>
          <cell r="D5920" t="str">
            <v>Senator Ninoy Aquino National High School</v>
          </cell>
          <cell r="E5920">
            <v>0</v>
          </cell>
          <cell r="F5920">
            <v>0</v>
          </cell>
          <cell r="G5920">
            <v>0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>
            <v>0</v>
          </cell>
        </row>
        <row r="5921">
          <cell r="C5921">
            <v>304603</v>
          </cell>
          <cell r="D5921" t="str">
            <v>Lebak National High School</v>
          </cell>
          <cell r="E5921">
            <v>0</v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>
            <v>0</v>
          </cell>
        </row>
        <row r="5922">
          <cell r="C5922">
            <v>304604</v>
          </cell>
          <cell r="D5922" t="str">
            <v>Keytodac National High School</v>
          </cell>
          <cell r="E5922">
            <v>0</v>
          </cell>
          <cell r="F5922">
            <v>0</v>
          </cell>
          <cell r="G5922">
            <v>0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0</v>
          </cell>
        </row>
        <row r="5923">
          <cell r="C5923">
            <v>304605</v>
          </cell>
          <cell r="D5923" t="str">
            <v>Lebak Legislated National High School</v>
          </cell>
          <cell r="E5923">
            <v>0</v>
          </cell>
          <cell r="F5923">
            <v>0</v>
          </cell>
          <cell r="G5923">
            <v>0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0</v>
          </cell>
        </row>
        <row r="5924">
          <cell r="C5924">
            <v>304606</v>
          </cell>
          <cell r="D5924" t="str">
            <v>Lutayan National High Schoool</v>
          </cell>
          <cell r="E5924">
            <v>0</v>
          </cell>
          <cell r="F5924">
            <v>0</v>
          </cell>
          <cell r="G5924">
            <v>0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0</v>
          </cell>
        </row>
        <row r="5925">
          <cell r="C5925">
            <v>304607</v>
          </cell>
          <cell r="D5925" t="str">
            <v>Madanding National High School</v>
          </cell>
          <cell r="E5925">
            <v>0</v>
          </cell>
          <cell r="F5925">
            <v>0</v>
          </cell>
          <cell r="G5925">
            <v>0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0</v>
          </cell>
        </row>
        <row r="5926">
          <cell r="C5926">
            <v>304608</v>
          </cell>
          <cell r="D5926" t="str">
            <v>Maligaya National High School</v>
          </cell>
          <cell r="E5926">
            <v>0</v>
          </cell>
          <cell r="F5926">
            <v>0</v>
          </cell>
          <cell r="G5926">
            <v>0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0</v>
          </cell>
        </row>
        <row r="5927">
          <cell r="C5927">
            <v>304609</v>
          </cell>
          <cell r="D5927" t="str">
            <v>Mamali National High School</v>
          </cell>
          <cell r="E5927">
            <v>0</v>
          </cell>
          <cell r="F5927">
            <v>0</v>
          </cell>
          <cell r="G5927">
            <v>0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>
            <v>0</v>
          </cell>
        </row>
        <row r="5928">
          <cell r="C5928">
            <v>304610</v>
          </cell>
          <cell r="D5928" t="str">
            <v>Milbuk National High School</v>
          </cell>
          <cell r="E5928">
            <v>0</v>
          </cell>
          <cell r="F5928">
            <v>0</v>
          </cell>
          <cell r="G5928">
            <v>0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0</v>
          </cell>
        </row>
        <row r="5929">
          <cell r="C5929">
            <v>304611</v>
          </cell>
          <cell r="D5929" t="str">
            <v>Baluan National High School</v>
          </cell>
          <cell r="E5929">
            <v>0</v>
          </cell>
          <cell r="F5929">
            <v>0</v>
          </cell>
          <cell r="G5929">
            <v>0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0</v>
          </cell>
        </row>
        <row r="5930">
          <cell r="C5930">
            <v>304612</v>
          </cell>
          <cell r="D5930" t="str">
            <v>Mamansual Abdul National High School - Palimbang Annex</v>
          </cell>
          <cell r="E5930">
            <v>0</v>
          </cell>
          <cell r="F5930">
            <v>0</v>
          </cell>
          <cell r="G5930">
            <v>0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>
            <v>0</v>
          </cell>
        </row>
        <row r="5931">
          <cell r="C5931">
            <v>304613</v>
          </cell>
          <cell r="D5931" t="str">
            <v>New Panay National High School</v>
          </cell>
          <cell r="E5931">
            <v>0</v>
          </cell>
          <cell r="F5931">
            <v>0</v>
          </cell>
          <cell r="G5931">
            <v>0</v>
          </cell>
          <cell r="H5931">
            <v>1</v>
          </cell>
          <cell r="I5931">
            <v>1</v>
          </cell>
          <cell r="J5931">
            <v>0</v>
          </cell>
          <cell r="K5931">
            <v>0</v>
          </cell>
          <cell r="L5931">
            <v>0</v>
          </cell>
        </row>
        <row r="5932">
          <cell r="C5932">
            <v>304614</v>
          </cell>
          <cell r="D5932" t="str">
            <v>New Pangasinan National High School</v>
          </cell>
          <cell r="E5932">
            <v>0</v>
          </cell>
          <cell r="F5932">
            <v>0</v>
          </cell>
          <cell r="G5932">
            <v>0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>
            <v>0</v>
          </cell>
        </row>
        <row r="5933">
          <cell r="C5933">
            <v>304615</v>
          </cell>
          <cell r="D5933" t="str">
            <v>Palimbang National High School</v>
          </cell>
          <cell r="E5933">
            <v>0</v>
          </cell>
          <cell r="F5933">
            <v>0</v>
          </cell>
          <cell r="G5933">
            <v>0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>
            <v>0</v>
          </cell>
        </row>
        <row r="5934">
          <cell r="C5934">
            <v>304616</v>
          </cell>
          <cell r="D5934" t="str">
            <v>Kalibuhan National High School - Palimbang ANNEX</v>
          </cell>
          <cell r="E5934">
            <v>0</v>
          </cell>
          <cell r="F5934">
            <v>0</v>
          </cell>
          <cell r="G5934">
            <v>0</v>
          </cell>
          <cell r="H5934">
            <v>0</v>
          </cell>
          <cell r="I5934">
            <v>4</v>
          </cell>
          <cell r="J5934">
            <v>1</v>
          </cell>
          <cell r="K5934">
            <v>4</v>
          </cell>
          <cell r="L5934">
            <v>1</v>
          </cell>
        </row>
        <row r="5935">
          <cell r="C5935">
            <v>304617</v>
          </cell>
          <cell r="D5935" t="str">
            <v>President Quirino National High School</v>
          </cell>
          <cell r="E5935">
            <v>0</v>
          </cell>
          <cell r="F5935">
            <v>0</v>
          </cell>
          <cell r="G5935">
            <v>0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0</v>
          </cell>
        </row>
        <row r="5936">
          <cell r="C5936">
            <v>304618</v>
          </cell>
          <cell r="D5936" t="str">
            <v>Central  Mangilala High School - President Quirino Annex</v>
          </cell>
          <cell r="E5936">
            <v>0</v>
          </cell>
          <cell r="F5936">
            <v>0</v>
          </cell>
          <cell r="G5936">
            <v>0</v>
          </cell>
          <cell r="H5936">
            <v>0</v>
          </cell>
          <cell r="I5936">
            <v>3</v>
          </cell>
          <cell r="J5936">
            <v>4</v>
          </cell>
          <cell r="K5936">
            <v>0</v>
          </cell>
          <cell r="L5936">
            <v>0</v>
          </cell>
        </row>
        <row r="5937">
          <cell r="C5937">
            <v>304619</v>
          </cell>
          <cell r="D5937" t="str">
            <v>Purikay  National High School</v>
          </cell>
          <cell r="E5937">
            <v>0</v>
          </cell>
          <cell r="F5937">
            <v>0</v>
          </cell>
          <cell r="G5937">
            <v>0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0</v>
          </cell>
        </row>
        <row r="5938">
          <cell r="C5938">
            <v>304621</v>
          </cell>
          <cell r="D5938" t="str">
            <v>Salabaca National High School</v>
          </cell>
          <cell r="E5938">
            <v>0</v>
          </cell>
          <cell r="F5938">
            <v>0</v>
          </cell>
          <cell r="G5938">
            <v>0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0</v>
          </cell>
        </row>
        <row r="5939">
          <cell r="C5939">
            <v>304623</v>
          </cell>
          <cell r="D5939" t="str">
            <v>Sta. Clara National High School</v>
          </cell>
          <cell r="E5939">
            <v>0</v>
          </cell>
          <cell r="F5939">
            <v>0</v>
          </cell>
          <cell r="G5939">
            <v>0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0</v>
          </cell>
        </row>
        <row r="5940">
          <cell r="C5940">
            <v>304625</v>
          </cell>
          <cell r="D5940" t="str">
            <v>Telafas National High School</v>
          </cell>
          <cell r="E5940">
            <v>0</v>
          </cell>
          <cell r="F5940">
            <v>0</v>
          </cell>
          <cell r="G5940">
            <v>0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>
            <v>0</v>
          </cell>
        </row>
        <row r="5941">
          <cell r="C5941">
            <v>304626</v>
          </cell>
          <cell r="D5941" t="str">
            <v>Tran National High School</v>
          </cell>
          <cell r="E5941">
            <v>0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0</v>
          </cell>
        </row>
        <row r="5942">
          <cell r="C5942">
            <v>316801</v>
          </cell>
          <cell r="D5942" t="str">
            <v>Sultan Ali Akbar Sinenggayan National High School - Laguilayan Annex</v>
          </cell>
          <cell r="E5942">
            <v>0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0</v>
          </cell>
        </row>
        <row r="5943">
          <cell r="C5943">
            <v>316802</v>
          </cell>
          <cell r="D5943" t="str">
            <v>Sewod National High School - Langgal Annex</v>
          </cell>
          <cell r="E5943">
            <v>0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0</v>
          </cell>
        </row>
        <row r="5944">
          <cell r="C5944">
            <v>316803</v>
          </cell>
          <cell r="D5944" t="str">
            <v>Biwang NHS - Bagumbayan Annex</v>
          </cell>
          <cell r="E5944">
            <v>0</v>
          </cell>
          <cell r="F5944">
            <v>0</v>
          </cell>
          <cell r="G5944">
            <v>0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>
            <v>0</v>
          </cell>
        </row>
        <row r="5945">
          <cell r="C5945">
            <v>316804</v>
          </cell>
          <cell r="D5945" t="str">
            <v>Mangudadatu National High School - Villamonte Annex</v>
          </cell>
          <cell r="E5945">
            <v>0</v>
          </cell>
          <cell r="F5945">
            <v>0</v>
          </cell>
          <cell r="G5945">
            <v>0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0</v>
          </cell>
        </row>
        <row r="5946">
          <cell r="C5946">
            <v>316805</v>
          </cell>
          <cell r="D5946" t="str">
            <v>Salumping National High School - Esperanza Annex</v>
          </cell>
          <cell r="E5946">
            <v>0</v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0</v>
          </cell>
        </row>
        <row r="5947">
          <cell r="C5947">
            <v>316808</v>
          </cell>
          <cell r="D5947" t="str">
            <v>Sabanal National High School - Kalamansig Annex</v>
          </cell>
          <cell r="E5947">
            <v>0</v>
          </cell>
          <cell r="F5947">
            <v>0</v>
          </cell>
          <cell r="G5947">
            <v>0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>
            <v>0</v>
          </cell>
        </row>
        <row r="5948">
          <cell r="C5948">
            <v>500717</v>
          </cell>
          <cell r="D5948" t="str">
            <v>Dante Integrated School</v>
          </cell>
          <cell r="E5948">
            <v>0</v>
          </cell>
          <cell r="F5948">
            <v>0</v>
          </cell>
          <cell r="G5948">
            <v>0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0</v>
          </cell>
        </row>
        <row r="5949">
          <cell r="C5949">
            <v>500718</v>
          </cell>
          <cell r="D5949" t="str">
            <v>Datu Etang Integrated School</v>
          </cell>
          <cell r="E5949">
            <v>0</v>
          </cell>
          <cell r="F5949">
            <v>0</v>
          </cell>
          <cell r="G5949">
            <v>0</v>
          </cell>
          <cell r="H5949">
            <v>0</v>
          </cell>
          <cell r="I5949">
            <v>2</v>
          </cell>
          <cell r="J5949">
            <v>0</v>
          </cell>
          <cell r="K5949">
            <v>0</v>
          </cell>
          <cell r="L5949">
            <v>0</v>
          </cell>
        </row>
        <row r="5950">
          <cell r="C5950">
            <v>500721</v>
          </cell>
          <cell r="D5950" t="str">
            <v>Plamango Integrated School</v>
          </cell>
          <cell r="E5950">
            <v>0</v>
          </cell>
          <cell r="F5950">
            <v>0</v>
          </cell>
          <cell r="G5950">
            <v>0</v>
          </cell>
          <cell r="H5950">
            <v>0</v>
          </cell>
          <cell r="I5950">
            <v>2</v>
          </cell>
          <cell r="J5950">
            <v>2</v>
          </cell>
          <cell r="K5950">
            <v>0</v>
          </cell>
          <cell r="L5950">
            <v>0</v>
          </cell>
        </row>
        <row r="5951">
          <cell r="C5951">
            <v>500722</v>
          </cell>
          <cell r="D5951" t="str">
            <v>Sultan Sinanggayan Integrated School</v>
          </cell>
          <cell r="E5951">
            <v>0</v>
          </cell>
          <cell r="F5951">
            <v>0</v>
          </cell>
          <cell r="G5951">
            <v>0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>
            <v>0</v>
          </cell>
        </row>
        <row r="5952">
          <cell r="C5952">
            <v>500723</v>
          </cell>
          <cell r="D5952" t="str">
            <v>Tapudi Integrated School</v>
          </cell>
          <cell r="E5952">
            <v>0</v>
          </cell>
          <cell r="F5952">
            <v>0</v>
          </cell>
          <cell r="G5952">
            <v>0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0</v>
          </cell>
        </row>
        <row r="5953">
          <cell r="C5953">
            <v>304628</v>
          </cell>
          <cell r="D5953" t="str">
            <v>CANIZARES NATIONAL HIGH SCHOOL- School of Arts and Trades</v>
          </cell>
          <cell r="E5953">
            <v>0</v>
          </cell>
          <cell r="F5953">
            <v>0</v>
          </cell>
          <cell r="G5953">
            <v>0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>
            <v>0</v>
          </cell>
        </row>
        <row r="5954">
          <cell r="C5954">
            <v>304629</v>
          </cell>
          <cell r="D5954" t="str">
            <v>Cotabato City NHS - Rojas #13</v>
          </cell>
          <cell r="E5954">
            <v>0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0</v>
          </cell>
        </row>
        <row r="5955">
          <cell r="C5955">
            <v>304630</v>
          </cell>
          <cell r="D5955" t="str">
            <v>Cotabato City NHS - Main</v>
          </cell>
          <cell r="E5955">
            <v>0</v>
          </cell>
          <cell r="F5955">
            <v>0</v>
          </cell>
          <cell r="G5955">
            <v>0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0</v>
          </cell>
        </row>
        <row r="5956">
          <cell r="C5956">
            <v>304631</v>
          </cell>
          <cell r="D5956" t="str">
            <v>Datu Ayunan National High School</v>
          </cell>
          <cell r="E5956">
            <v>0</v>
          </cell>
          <cell r="F5956">
            <v>0</v>
          </cell>
          <cell r="G5956">
            <v>0</v>
          </cell>
          <cell r="H5956">
            <v>0</v>
          </cell>
          <cell r="I5956">
            <v>3</v>
          </cell>
          <cell r="J5956">
            <v>6</v>
          </cell>
          <cell r="K5956">
            <v>0</v>
          </cell>
          <cell r="L5956">
            <v>0</v>
          </cell>
        </row>
        <row r="5957">
          <cell r="C5957">
            <v>304632</v>
          </cell>
          <cell r="D5957" t="str">
            <v>Datu Siang NHS</v>
          </cell>
          <cell r="E5957">
            <v>0</v>
          </cell>
          <cell r="F5957">
            <v>0</v>
          </cell>
          <cell r="G5957">
            <v>0</v>
          </cell>
          <cell r="H5957">
            <v>0</v>
          </cell>
          <cell r="I5957">
            <v>4</v>
          </cell>
          <cell r="J5957">
            <v>3</v>
          </cell>
          <cell r="K5957">
            <v>0</v>
          </cell>
          <cell r="L5957">
            <v>0</v>
          </cell>
        </row>
        <row r="5958">
          <cell r="C5958">
            <v>304633</v>
          </cell>
          <cell r="D5958" t="str">
            <v>J. Marquez NHS</v>
          </cell>
          <cell r="E5958">
            <v>0</v>
          </cell>
          <cell r="F5958">
            <v>0</v>
          </cell>
          <cell r="G5958">
            <v>0</v>
          </cell>
          <cell r="H5958">
            <v>0</v>
          </cell>
          <cell r="I5958">
            <v>2</v>
          </cell>
          <cell r="J5958">
            <v>4</v>
          </cell>
          <cell r="K5958">
            <v>0</v>
          </cell>
          <cell r="L5958">
            <v>0</v>
          </cell>
        </row>
        <row r="5959">
          <cell r="C5959">
            <v>304634</v>
          </cell>
          <cell r="D5959" t="str">
            <v>Notre Dame Village National High School</v>
          </cell>
          <cell r="E5959">
            <v>0</v>
          </cell>
          <cell r="F5959">
            <v>0</v>
          </cell>
          <cell r="G5959">
            <v>0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0</v>
          </cell>
        </row>
        <row r="5960">
          <cell r="C5960">
            <v>304635</v>
          </cell>
          <cell r="D5960" t="str">
            <v>Pilot Provincial Science High School and Technology</v>
          </cell>
          <cell r="E5960">
            <v>0</v>
          </cell>
          <cell r="F5960">
            <v>0</v>
          </cell>
          <cell r="G5960">
            <v>0</v>
          </cell>
          <cell r="H5960">
            <v>0</v>
          </cell>
          <cell r="I5960">
            <v>0</v>
          </cell>
          <cell r="J5960">
            <v>0</v>
          </cell>
          <cell r="K5960">
            <v>0</v>
          </cell>
          <cell r="L5960">
            <v>0</v>
          </cell>
        </row>
        <row r="5961">
          <cell r="C5961">
            <v>316902</v>
          </cell>
          <cell r="D5961" t="str">
            <v>CCNHS - Datu Sema Kalantungan Site</v>
          </cell>
          <cell r="E5961">
            <v>0</v>
          </cell>
          <cell r="F5961">
            <v>0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0</v>
          </cell>
        </row>
        <row r="5962">
          <cell r="C5962">
            <v>316903</v>
          </cell>
          <cell r="D5962" t="str">
            <v>CCNHS - ANNEX ( Bubong Site)</v>
          </cell>
          <cell r="E5962">
            <v>0</v>
          </cell>
          <cell r="F5962">
            <v>0</v>
          </cell>
          <cell r="G5962">
            <v>0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0</v>
          </cell>
        </row>
        <row r="5963">
          <cell r="C5963">
            <v>316904</v>
          </cell>
          <cell r="D5963" t="str">
            <v>CCNHS-ANNEX (Buaya-Buaya Site)</v>
          </cell>
          <cell r="E5963">
            <v>0</v>
          </cell>
          <cell r="F5963">
            <v>0</v>
          </cell>
          <cell r="G5963">
            <v>0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0</v>
          </cell>
        </row>
        <row r="5964">
          <cell r="C5964">
            <v>316905</v>
          </cell>
          <cell r="D5964" t="str">
            <v>CCNHS - Annex (LR Sebastian Site)</v>
          </cell>
          <cell r="E5964">
            <v>0</v>
          </cell>
          <cell r="F5964">
            <v>0</v>
          </cell>
          <cell r="G5964">
            <v>0</v>
          </cell>
          <cell r="H5964">
            <v>0</v>
          </cell>
          <cell r="I5964">
            <v>0</v>
          </cell>
          <cell r="J5964">
            <v>0</v>
          </cell>
          <cell r="K5964">
            <v>0</v>
          </cell>
          <cell r="L5964">
            <v>0</v>
          </cell>
        </row>
        <row r="5965">
          <cell r="C5965">
            <v>316906</v>
          </cell>
          <cell r="D5965" t="str">
            <v>CCNHS - Annex (Diocolano Site)</v>
          </cell>
          <cell r="E5965">
            <v>0</v>
          </cell>
          <cell r="F5965">
            <v>0</v>
          </cell>
          <cell r="G5965">
            <v>0</v>
          </cell>
          <cell r="H5965">
            <v>0</v>
          </cell>
          <cell r="I5965">
            <v>0</v>
          </cell>
          <cell r="J5965">
            <v>3</v>
          </cell>
          <cell r="K5965">
            <v>0</v>
          </cell>
          <cell r="L5965">
            <v>3</v>
          </cell>
        </row>
        <row r="5966">
          <cell r="C5966">
            <v>316907</v>
          </cell>
          <cell r="D5966" t="str">
            <v>CCNHS - Annex (Don E. Sero Site)</v>
          </cell>
          <cell r="E5966">
            <v>0</v>
          </cell>
          <cell r="F5966">
            <v>0</v>
          </cell>
          <cell r="G5966">
            <v>0</v>
          </cell>
          <cell r="H5966">
            <v>0</v>
          </cell>
          <cell r="I5966">
            <v>0</v>
          </cell>
          <cell r="J5966">
            <v>0</v>
          </cell>
          <cell r="K5966">
            <v>0</v>
          </cell>
          <cell r="L5966">
            <v>0</v>
          </cell>
        </row>
        <row r="5967">
          <cell r="C5967">
            <v>304636</v>
          </cell>
          <cell r="D5967" t="str">
            <v>A.G. Busano, Sr. High School</v>
          </cell>
          <cell r="E5967">
            <v>0</v>
          </cell>
          <cell r="F5967">
            <v>0</v>
          </cell>
          <cell r="G5967">
            <v>0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>
            <v>0</v>
          </cell>
        </row>
        <row r="5968">
          <cell r="C5968">
            <v>304637</v>
          </cell>
          <cell r="D5968" t="str">
            <v>Datu Andiam Manza National High School</v>
          </cell>
          <cell r="E5968">
            <v>0</v>
          </cell>
          <cell r="F5968">
            <v>0</v>
          </cell>
          <cell r="G5968">
            <v>0</v>
          </cell>
          <cell r="H5968">
            <v>0</v>
          </cell>
          <cell r="I5968">
            <v>5</v>
          </cell>
          <cell r="J5968">
            <v>4</v>
          </cell>
          <cell r="K5968">
            <v>5</v>
          </cell>
          <cell r="L5968">
            <v>4</v>
          </cell>
        </row>
        <row r="5969">
          <cell r="C5969">
            <v>304638</v>
          </cell>
          <cell r="D5969" t="str">
            <v>Buayan National High School</v>
          </cell>
          <cell r="E5969">
            <v>0</v>
          </cell>
          <cell r="F5969">
            <v>0</v>
          </cell>
          <cell r="G5969">
            <v>0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>
            <v>0</v>
          </cell>
        </row>
        <row r="5970">
          <cell r="C5970">
            <v>304639</v>
          </cell>
          <cell r="D5970" t="str">
            <v>Bula National School of Fisheries</v>
          </cell>
          <cell r="E5970">
            <v>0</v>
          </cell>
          <cell r="F5970">
            <v>0</v>
          </cell>
          <cell r="G5970">
            <v>0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>
            <v>0</v>
          </cell>
        </row>
        <row r="5971">
          <cell r="C5971">
            <v>304640</v>
          </cell>
          <cell r="D5971" t="str">
            <v>Engracia L. Valdomar National High School</v>
          </cell>
          <cell r="E5971">
            <v>0</v>
          </cell>
          <cell r="F5971">
            <v>0</v>
          </cell>
          <cell r="G5971">
            <v>0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>
            <v>0</v>
          </cell>
        </row>
        <row r="5972">
          <cell r="C5972">
            <v>304641</v>
          </cell>
          <cell r="D5972" t="str">
            <v>Fatima National High School</v>
          </cell>
          <cell r="E5972">
            <v>0</v>
          </cell>
          <cell r="F5972">
            <v>0</v>
          </cell>
          <cell r="G5972">
            <v>0</v>
          </cell>
          <cell r="H5972">
            <v>0</v>
          </cell>
          <cell r="I5972">
            <v>9</v>
          </cell>
          <cell r="J5972">
            <v>22</v>
          </cell>
          <cell r="K5972">
            <v>3</v>
          </cell>
          <cell r="L5972">
            <v>9</v>
          </cell>
        </row>
        <row r="5973">
          <cell r="C5973">
            <v>304642</v>
          </cell>
          <cell r="D5973" t="str">
            <v>General Santos City National High School (Main)</v>
          </cell>
          <cell r="E5973">
            <v>0</v>
          </cell>
          <cell r="F5973">
            <v>0</v>
          </cell>
          <cell r="G5973">
            <v>0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>
            <v>0</v>
          </cell>
        </row>
        <row r="5974">
          <cell r="C5974">
            <v>304643</v>
          </cell>
          <cell r="D5974" t="str">
            <v>Banisil National High School</v>
          </cell>
          <cell r="E5974">
            <v>0</v>
          </cell>
          <cell r="F5974">
            <v>0</v>
          </cell>
          <cell r="G5974">
            <v>0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>
            <v>0</v>
          </cell>
        </row>
        <row r="5975">
          <cell r="C5975">
            <v>304644</v>
          </cell>
          <cell r="D5975" t="str">
            <v>Bawing National High School</v>
          </cell>
          <cell r="E5975">
            <v>0</v>
          </cell>
          <cell r="F5975">
            <v>0</v>
          </cell>
          <cell r="G5975">
            <v>0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0</v>
          </cell>
        </row>
        <row r="5976">
          <cell r="C5976">
            <v>304645</v>
          </cell>
          <cell r="D5976" t="str">
            <v>Johnny Ang National High  School</v>
          </cell>
          <cell r="E5976">
            <v>0</v>
          </cell>
          <cell r="F5976">
            <v>0</v>
          </cell>
          <cell r="G5976">
            <v>0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>
            <v>0</v>
          </cell>
        </row>
        <row r="5977">
          <cell r="C5977">
            <v>304647</v>
          </cell>
          <cell r="D5977" t="str">
            <v>New Society National High School</v>
          </cell>
          <cell r="E5977">
            <v>0</v>
          </cell>
          <cell r="F5977">
            <v>0</v>
          </cell>
          <cell r="G5977">
            <v>0</v>
          </cell>
          <cell r="H5977">
            <v>0</v>
          </cell>
          <cell r="I5977">
            <v>0</v>
          </cell>
          <cell r="J5977">
            <v>0</v>
          </cell>
          <cell r="K5977">
            <v>0</v>
          </cell>
          <cell r="L5977">
            <v>0</v>
          </cell>
        </row>
        <row r="5978">
          <cell r="C5978">
            <v>304648</v>
          </cell>
          <cell r="D5978" t="str">
            <v>Irineo Santiago National High School of Metro Dadiangas (Main)</v>
          </cell>
          <cell r="E5978">
            <v>0</v>
          </cell>
          <cell r="F5978">
            <v>0</v>
          </cell>
          <cell r="G5978">
            <v>0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>
            <v>0</v>
          </cell>
        </row>
        <row r="5979">
          <cell r="C5979">
            <v>304649</v>
          </cell>
          <cell r="D5979" t="str">
            <v>Datu B. Balunto National High School</v>
          </cell>
          <cell r="E5979">
            <v>0</v>
          </cell>
          <cell r="F5979">
            <v>0</v>
          </cell>
          <cell r="G5979">
            <v>0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0</v>
          </cell>
        </row>
        <row r="5980">
          <cell r="C5980">
            <v>304650</v>
          </cell>
          <cell r="D5980" t="str">
            <v>Labangal National High School (Main)</v>
          </cell>
          <cell r="E5980">
            <v>0</v>
          </cell>
          <cell r="F5980">
            <v>0</v>
          </cell>
          <cell r="G5980">
            <v>0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0</v>
          </cell>
        </row>
        <row r="5981">
          <cell r="C5981">
            <v>304651</v>
          </cell>
          <cell r="D5981" t="str">
            <v>Ligaya High School</v>
          </cell>
          <cell r="E5981">
            <v>0</v>
          </cell>
          <cell r="F5981">
            <v>0</v>
          </cell>
          <cell r="G5981">
            <v>0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0</v>
          </cell>
        </row>
        <row r="5982">
          <cell r="C5982">
            <v>304652</v>
          </cell>
          <cell r="D5982" t="str">
            <v>Upper Labay High School</v>
          </cell>
          <cell r="E5982">
            <v>0</v>
          </cell>
          <cell r="F5982">
            <v>0</v>
          </cell>
          <cell r="G5982">
            <v>0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>
            <v>0</v>
          </cell>
        </row>
        <row r="5983">
          <cell r="C5983">
            <v>304653</v>
          </cell>
          <cell r="D5983" t="str">
            <v>Lagao National High School (Main)</v>
          </cell>
          <cell r="E5983">
            <v>0</v>
          </cell>
          <cell r="F5983">
            <v>0</v>
          </cell>
          <cell r="G5983">
            <v>0</v>
          </cell>
          <cell r="H5983">
            <v>0</v>
          </cell>
          <cell r="I5983">
            <v>10</v>
          </cell>
          <cell r="J5983">
            <v>19</v>
          </cell>
          <cell r="K5983">
            <v>10</v>
          </cell>
          <cell r="L5983">
            <v>20</v>
          </cell>
        </row>
        <row r="5984">
          <cell r="C5984">
            <v>304654</v>
          </cell>
          <cell r="D5984" t="str">
            <v>Lagao National High School Annex</v>
          </cell>
          <cell r="E5984">
            <v>0</v>
          </cell>
          <cell r="F5984">
            <v>0</v>
          </cell>
          <cell r="G5984">
            <v>0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>
            <v>0</v>
          </cell>
        </row>
        <row r="5985">
          <cell r="C5985">
            <v>304655</v>
          </cell>
          <cell r="D5985" t="str">
            <v>GSC National Secondary School of Arts &amp; Trades</v>
          </cell>
          <cell r="E5985">
            <v>0</v>
          </cell>
          <cell r="F5985">
            <v>0</v>
          </cell>
          <cell r="G5985">
            <v>0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>
            <v>0</v>
          </cell>
        </row>
        <row r="5986">
          <cell r="C5986">
            <v>317002</v>
          </cell>
          <cell r="D5986" t="str">
            <v>Pao-Pao High School</v>
          </cell>
          <cell r="E5986">
            <v>0</v>
          </cell>
          <cell r="F5986">
            <v>0</v>
          </cell>
          <cell r="G5986">
            <v>0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>
            <v>0</v>
          </cell>
        </row>
        <row r="5987">
          <cell r="C5987">
            <v>317003</v>
          </cell>
          <cell r="D5987" t="str">
            <v>Baluan National High School</v>
          </cell>
          <cell r="E5987">
            <v>0</v>
          </cell>
          <cell r="F5987">
            <v>0</v>
          </cell>
          <cell r="G5987">
            <v>0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>
            <v>0</v>
          </cell>
        </row>
        <row r="5988">
          <cell r="C5988">
            <v>317004</v>
          </cell>
          <cell r="D5988" t="str">
            <v>Elias Buscano Sr. High School</v>
          </cell>
          <cell r="E5988">
            <v>0</v>
          </cell>
          <cell r="F5988">
            <v>0</v>
          </cell>
          <cell r="G5988">
            <v>0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>
            <v>0</v>
          </cell>
        </row>
        <row r="5989">
          <cell r="C5989">
            <v>317005</v>
          </cell>
          <cell r="D5989" t="str">
            <v>Dadiangas North High School</v>
          </cell>
          <cell r="E5989">
            <v>0</v>
          </cell>
          <cell r="F5989">
            <v>0</v>
          </cell>
          <cell r="G5989">
            <v>0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0</v>
          </cell>
        </row>
        <row r="5990">
          <cell r="C5990">
            <v>317006</v>
          </cell>
          <cell r="D5990" t="str">
            <v>Samboang-Ngilay High School</v>
          </cell>
          <cell r="E5990">
            <v>0</v>
          </cell>
          <cell r="F5990">
            <v>0</v>
          </cell>
          <cell r="G5990">
            <v>0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>
            <v>0</v>
          </cell>
        </row>
        <row r="5991">
          <cell r="C5991">
            <v>500302</v>
          </cell>
          <cell r="D5991" t="str">
            <v>General Santos City SPED Integrated School</v>
          </cell>
          <cell r="E5991">
            <v>0</v>
          </cell>
          <cell r="F5991">
            <v>0</v>
          </cell>
          <cell r="G5991">
            <v>0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>
            <v>0</v>
          </cell>
        </row>
        <row r="5992">
          <cell r="C5992">
            <v>304656</v>
          </cell>
          <cell r="D5992" t="str">
            <v>Amas National High School</v>
          </cell>
          <cell r="E5992">
            <v>0</v>
          </cell>
          <cell r="F5992">
            <v>0</v>
          </cell>
          <cell r="G5992">
            <v>0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>
            <v>0</v>
          </cell>
        </row>
        <row r="5993">
          <cell r="C5993">
            <v>304657</v>
          </cell>
          <cell r="D5993" t="str">
            <v>Gayola National High School</v>
          </cell>
          <cell r="E5993">
            <v>0</v>
          </cell>
          <cell r="F5993">
            <v>0</v>
          </cell>
          <cell r="G5993">
            <v>0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>
            <v>0</v>
          </cell>
        </row>
        <row r="5994">
          <cell r="C5994">
            <v>304658</v>
          </cell>
          <cell r="D5994" t="str">
            <v>Ginatilan National High School</v>
          </cell>
          <cell r="E5994">
            <v>0</v>
          </cell>
          <cell r="F5994">
            <v>0</v>
          </cell>
          <cell r="G5994">
            <v>0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>
            <v>0</v>
          </cell>
        </row>
        <row r="5995">
          <cell r="C5995">
            <v>304659</v>
          </cell>
          <cell r="D5995" t="str">
            <v>Manongol National High School</v>
          </cell>
          <cell r="E5995">
            <v>0</v>
          </cell>
          <cell r="F5995">
            <v>0</v>
          </cell>
          <cell r="G5995">
            <v>0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>
            <v>0</v>
          </cell>
        </row>
        <row r="5996">
          <cell r="C5996">
            <v>304660</v>
          </cell>
          <cell r="D5996" t="str">
            <v>Perez National High School</v>
          </cell>
          <cell r="E5996">
            <v>0</v>
          </cell>
          <cell r="F5996">
            <v>0</v>
          </cell>
          <cell r="G5996">
            <v>0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>
            <v>0</v>
          </cell>
        </row>
        <row r="5997">
          <cell r="C5997">
            <v>304661</v>
          </cell>
          <cell r="D5997" t="str">
            <v>Kidapawan City National High School</v>
          </cell>
          <cell r="E5997">
            <v>0</v>
          </cell>
          <cell r="F5997">
            <v>0</v>
          </cell>
          <cell r="G5997">
            <v>0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0</v>
          </cell>
        </row>
        <row r="5998">
          <cell r="C5998">
            <v>304662</v>
          </cell>
          <cell r="D5998" t="str">
            <v>Juan P. Jalipa Memorial National High School</v>
          </cell>
          <cell r="E5998">
            <v>0</v>
          </cell>
          <cell r="F5998">
            <v>0</v>
          </cell>
          <cell r="G5998">
            <v>0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0</v>
          </cell>
        </row>
        <row r="5999">
          <cell r="C5999">
            <v>304663</v>
          </cell>
          <cell r="D5999" t="str">
            <v>Kalaisan National High School</v>
          </cell>
          <cell r="E5999">
            <v>0</v>
          </cell>
          <cell r="F5999">
            <v>0</v>
          </cell>
          <cell r="G5999">
            <v>0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>
            <v>0</v>
          </cell>
        </row>
        <row r="6000">
          <cell r="C6000">
            <v>304664</v>
          </cell>
          <cell r="D6000" t="str">
            <v>Mt. Apo National High School</v>
          </cell>
          <cell r="E6000">
            <v>0</v>
          </cell>
          <cell r="F6000">
            <v>0</v>
          </cell>
          <cell r="G6000">
            <v>0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0</v>
          </cell>
        </row>
        <row r="6001">
          <cell r="C6001">
            <v>304665</v>
          </cell>
          <cell r="D6001" t="str">
            <v>Saniel Cruz National High School</v>
          </cell>
          <cell r="E6001">
            <v>0</v>
          </cell>
          <cell r="F6001">
            <v>0</v>
          </cell>
          <cell r="G6001">
            <v>0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>
            <v>0</v>
          </cell>
        </row>
        <row r="6002">
          <cell r="C6002">
            <v>304666</v>
          </cell>
          <cell r="D6002" t="str">
            <v>Spottswood NHS</v>
          </cell>
          <cell r="E6002">
            <v>0</v>
          </cell>
          <cell r="F6002">
            <v>0</v>
          </cell>
          <cell r="G6002">
            <v>0</v>
          </cell>
          <cell r="H6002">
            <v>0</v>
          </cell>
          <cell r="I6002">
            <v>2</v>
          </cell>
          <cell r="J6002">
            <v>2</v>
          </cell>
          <cell r="K6002">
            <v>2</v>
          </cell>
          <cell r="L6002">
            <v>1</v>
          </cell>
        </row>
        <row r="6003">
          <cell r="C6003">
            <v>304667</v>
          </cell>
          <cell r="D6003" t="str">
            <v>Onica National High School</v>
          </cell>
          <cell r="E6003">
            <v>0</v>
          </cell>
          <cell r="F6003">
            <v>0</v>
          </cell>
          <cell r="G6003">
            <v>0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>
            <v>0</v>
          </cell>
        </row>
        <row r="6004">
          <cell r="C6004">
            <v>304668</v>
          </cell>
          <cell r="D6004" t="str">
            <v>Paco National High School</v>
          </cell>
          <cell r="E6004">
            <v>0</v>
          </cell>
          <cell r="F6004">
            <v>0</v>
          </cell>
          <cell r="G6004">
            <v>0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0</v>
          </cell>
        </row>
        <row r="6005">
          <cell r="C6005">
            <v>317101</v>
          </cell>
          <cell r="D6005" t="str">
            <v>Linangkob National High School</v>
          </cell>
          <cell r="E6005">
            <v>0</v>
          </cell>
          <cell r="F6005">
            <v>0</v>
          </cell>
          <cell r="G6005">
            <v>0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0</v>
          </cell>
        </row>
        <row r="6006">
          <cell r="C6006">
            <v>317102</v>
          </cell>
          <cell r="D6006" t="str">
            <v>Juan L. Gantuangco School of Arts and Trades</v>
          </cell>
          <cell r="E6006">
            <v>0</v>
          </cell>
          <cell r="F6006">
            <v>0</v>
          </cell>
          <cell r="G6006">
            <v>0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0</v>
          </cell>
        </row>
        <row r="6007">
          <cell r="C6007">
            <v>317103</v>
          </cell>
          <cell r="D6007" t="str">
            <v>Patadon National High School</v>
          </cell>
          <cell r="E6007">
            <v>0</v>
          </cell>
          <cell r="F6007">
            <v>0</v>
          </cell>
          <cell r="G6007">
            <v>0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>
            <v>0</v>
          </cell>
        </row>
        <row r="6008">
          <cell r="C6008">
            <v>304669</v>
          </cell>
          <cell r="D6008" t="str">
            <v>Concepcion NHS</v>
          </cell>
          <cell r="E6008">
            <v>0</v>
          </cell>
          <cell r="F6008">
            <v>0</v>
          </cell>
          <cell r="G6008">
            <v>0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>
            <v>0</v>
          </cell>
        </row>
        <row r="6009">
          <cell r="C6009">
            <v>304670</v>
          </cell>
          <cell r="D6009" t="str">
            <v>Esperanza NHS</v>
          </cell>
          <cell r="E6009">
            <v>0</v>
          </cell>
          <cell r="F6009">
            <v>0</v>
          </cell>
          <cell r="G6009">
            <v>0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>
            <v>0</v>
          </cell>
        </row>
        <row r="6010">
          <cell r="C6010">
            <v>304671</v>
          </cell>
          <cell r="D6010" t="str">
            <v>Koronadal NCHS</v>
          </cell>
          <cell r="E6010">
            <v>0</v>
          </cell>
          <cell r="F6010">
            <v>0</v>
          </cell>
          <cell r="G6010">
            <v>0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>
            <v>0</v>
          </cell>
        </row>
        <row r="6011">
          <cell r="C6011">
            <v>304672</v>
          </cell>
          <cell r="D6011" t="str">
            <v>Marbel 7 National High School</v>
          </cell>
          <cell r="E6011">
            <v>0</v>
          </cell>
          <cell r="F6011">
            <v>0</v>
          </cell>
          <cell r="G6011">
            <v>0</v>
          </cell>
          <cell r="H6011">
            <v>0</v>
          </cell>
          <cell r="I6011">
            <v>0</v>
          </cell>
          <cell r="J6011">
            <v>0</v>
          </cell>
          <cell r="K6011">
            <v>0</v>
          </cell>
          <cell r="L6011">
            <v>0</v>
          </cell>
        </row>
        <row r="6012">
          <cell r="C6012">
            <v>317201</v>
          </cell>
          <cell r="D6012" t="str">
            <v>Bacongco National High School</v>
          </cell>
          <cell r="E6012">
            <v>0</v>
          </cell>
          <cell r="F6012">
            <v>0</v>
          </cell>
          <cell r="G6012">
            <v>0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0</v>
          </cell>
        </row>
        <row r="6013">
          <cell r="C6013">
            <v>317202</v>
          </cell>
          <cell r="D6013" t="str">
            <v>Saravia NHS</v>
          </cell>
          <cell r="E6013">
            <v>0</v>
          </cell>
          <cell r="F6013">
            <v>0</v>
          </cell>
          <cell r="G6013">
            <v>0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>
            <v>0</v>
          </cell>
        </row>
        <row r="6014">
          <cell r="C6014">
            <v>317203</v>
          </cell>
          <cell r="D6014" t="str">
            <v>Rotonda National High School</v>
          </cell>
          <cell r="E6014">
            <v>0</v>
          </cell>
          <cell r="F6014">
            <v>0</v>
          </cell>
          <cell r="G6014">
            <v>0</v>
          </cell>
          <cell r="H6014">
            <v>0</v>
          </cell>
          <cell r="I6014">
            <v>2</v>
          </cell>
          <cell r="J6014">
            <v>6</v>
          </cell>
          <cell r="K6014">
            <v>2</v>
          </cell>
          <cell r="L6014">
            <v>3</v>
          </cell>
        </row>
        <row r="6015">
          <cell r="C6015">
            <v>330521</v>
          </cell>
          <cell r="D6015" t="str">
            <v>Philippine Science High School - SOCCSKSARGEN Region Campus</v>
          </cell>
          <cell r="E6015">
            <v>0</v>
          </cell>
          <cell r="F6015">
            <v>0</v>
          </cell>
          <cell r="G6015">
            <v>0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>
            <v>0</v>
          </cell>
        </row>
        <row r="6016">
          <cell r="C6016">
            <v>304579</v>
          </cell>
          <cell r="D6016" t="str">
            <v>Apolinario S. Bernardo National High School</v>
          </cell>
          <cell r="E6016">
            <v>0</v>
          </cell>
          <cell r="F6016">
            <v>0</v>
          </cell>
          <cell r="G6016">
            <v>0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0</v>
          </cell>
        </row>
        <row r="6017">
          <cell r="C6017">
            <v>304620</v>
          </cell>
          <cell r="D6017" t="str">
            <v>Rajah Muda NHS</v>
          </cell>
          <cell r="E6017">
            <v>0</v>
          </cell>
          <cell r="F6017">
            <v>0</v>
          </cell>
          <cell r="G6017">
            <v>0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>
            <v>0</v>
          </cell>
        </row>
        <row r="6018">
          <cell r="C6018">
            <v>304622</v>
          </cell>
          <cell r="D6018" t="str">
            <v>San Emmanuel NHS</v>
          </cell>
          <cell r="E6018">
            <v>0</v>
          </cell>
          <cell r="F6018">
            <v>0</v>
          </cell>
          <cell r="G6018">
            <v>0</v>
          </cell>
          <cell r="H6018">
            <v>0</v>
          </cell>
          <cell r="I6018">
            <v>0</v>
          </cell>
          <cell r="J6018">
            <v>1</v>
          </cell>
          <cell r="K6018">
            <v>0</v>
          </cell>
          <cell r="L6018">
            <v>0</v>
          </cell>
        </row>
        <row r="6019">
          <cell r="C6019">
            <v>304624</v>
          </cell>
          <cell r="D6019" t="str">
            <v>Tacurong NHS</v>
          </cell>
          <cell r="E6019">
            <v>0</v>
          </cell>
          <cell r="F6019">
            <v>0</v>
          </cell>
          <cell r="G6019">
            <v>0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>
            <v>0</v>
          </cell>
        </row>
        <row r="6020">
          <cell r="C6020">
            <v>304627</v>
          </cell>
          <cell r="D6020" t="str">
            <v>Virginia F. Griño National High School</v>
          </cell>
          <cell r="E6020">
            <v>0</v>
          </cell>
          <cell r="F6020">
            <v>0</v>
          </cell>
          <cell r="G6020">
            <v>0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>
            <v>0</v>
          </cell>
        </row>
        <row r="6021">
          <cell r="C6021">
            <v>304673</v>
          </cell>
          <cell r="D6021" t="str">
            <v>Agay National High School</v>
          </cell>
          <cell r="E6021">
            <v>0</v>
          </cell>
          <cell r="F6021">
            <v>0</v>
          </cell>
          <cell r="G6021">
            <v>0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0</v>
          </cell>
        </row>
        <row r="6022">
          <cell r="C6022">
            <v>304674</v>
          </cell>
          <cell r="D6022" t="str">
            <v>Buenavista National High School</v>
          </cell>
          <cell r="E6022">
            <v>0</v>
          </cell>
          <cell r="F6022">
            <v>0</v>
          </cell>
          <cell r="G6022">
            <v>0</v>
          </cell>
          <cell r="H6022">
            <v>0</v>
          </cell>
          <cell r="I6022">
            <v>0</v>
          </cell>
          <cell r="J6022">
            <v>0</v>
          </cell>
          <cell r="K6022">
            <v>0</v>
          </cell>
          <cell r="L6022">
            <v>0</v>
          </cell>
        </row>
        <row r="6023">
          <cell r="C6023">
            <v>304678</v>
          </cell>
          <cell r="D6023" t="str">
            <v>Cuyago National High School</v>
          </cell>
          <cell r="E6023">
            <v>0</v>
          </cell>
          <cell r="F6023">
            <v>0</v>
          </cell>
          <cell r="G6023">
            <v>0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>
            <v>0</v>
          </cell>
        </row>
        <row r="6024">
          <cell r="C6024">
            <v>304679</v>
          </cell>
          <cell r="D6024" t="str">
            <v>Durian National High School</v>
          </cell>
          <cell r="E6024">
            <v>0</v>
          </cell>
          <cell r="F6024">
            <v>0</v>
          </cell>
          <cell r="G6024">
            <v>0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0</v>
          </cell>
        </row>
        <row r="6025">
          <cell r="C6025">
            <v>304680</v>
          </cell>
          <cell r="D6025" t="str">
            <v>Casiklan National High School</v>
          </cell>
          <cell r="E6025">
            <v>0</v>
          </cell>
          <cell r="F6025">
            <v>0</v>
          </cell>
          <cell r="G6025">
            <v>0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>
            <v>0</v>
          </cell>
        </row>
        <row r="6026">
          <cell r="C6026">
            <v>304682</v>
          </cell>
          <cell r="D6026" t="str">
            <v>Guinabsan National High School</v>
          </cell>
          <cell r="E6026">
            <v>0</v>
          </cell>
          <cell r="F6026">
            <v>0</v>
          </cell>
          <cell r="G6026">
            <v>0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>
            <v>0</v>
          </cell>
        </row>
        <row r="6027">
          <cell r="C6027">
            <v>304683</v>
          </cell>
          <cell r="D6027" t="str">
            <v>Simbalan National High School</v>
          </cell>
          <cell r="E6027">
            <v>0</v>
          </cell>
          <cell r="F6027">
            <v>0</v>
          </cell>
          <cell r="G6027">
            <v>0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</row>
        <row r="6028">
          <cell r="C6028">
            <v>304685</v>
          </cell>
          <cell r="D6028" t="str">
            <v>Jabonga National High School</v>
          </cell>
          <cell r="E6028">
            <v>0</v>
          </cell>
          <cell r="F6028">
            <v>0</v>
          </cell>
          <cell r="G6028">
            <v>0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>
            <v>0</v>
          </cell>
        </row>
        <row r="6029">
          <cell r="C6029">
            <v>304686</v>
          </cell>
          <cell r="D6029" t="str">
            <v>Jagupit NHS</v>
          </cell>
          <cell r="E6029">
            <v>0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0</v>
          </cell>
        </row>
        <row r="6030">
          <cell r="C6030">
            <v>304687</v>
          </cell>
          <cell r="D6030" t="str">
            <v>Jaliobong NHS</v>
          </cell>
          <cell r="E6030">
            <v>0</v>
          </cell>
          <cell r="F6030">
            <v>0</v>
          </cell>
          <cell r="G6030">
            <v>1</v>
          </cell>
          <cell r="H6030">
            <v>0</v>
          </cell>
          <cell r="I6030">
            <v>0</v>
          </cell>
          <cell r="J6030">
            <v>1</v>
          </cell>
          <cell r="K6030">
            <v>0</v>
          </cell>
          <cell r="L6030">
            <v>0</v>
          </cell>
        </row>
        <row r="6031">
          <cell r="C6031">
            <v>304688</v>
          </cell>
          <cell r="D6031" t="str">
            <v>Kitcharao NHS</v>
          </cell>
          <cell r="E6031">
            <v>0</v>
          </cell>
          <cell r="F6031">
            <v>0</v>
          </cell>
          <cell r="G6031">
            <v>0</v>
          </cell>
          <cell r="H6031">
            <v>0</v>
          </cell>
          <cell r="I6031">
            <v>6</v>
          </cell>
          <cell r="J6031">
            <v>6</v>
          </cell>
          <cell r="K6031">
            <v>0</v>
          </cell>
          <cell r="L6031">
            <v>0</v>
          </cell>
        </row>
        <row r="6032">
          <cell r="C6032">
            <v>304689</v>
          </cell>
          <cell r="D6032" t="str">
            <v>Las Nieves NHS</v>
          </cell>
          <cell r="E6032">
            <v>0</v>
          </cell>
          <cell r="F6032">
            <v>0</v>
          </cell>
          <cell r="G6032">
            <v>0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0</v>
          </cell>
        </row>
        <row r="6033">
          <cell r="C6033">
            <v>304690</v>
          </cell>
          <cell r="D6033" t="str">
            <v>LINGAYAO NATIONAL HIGH SCHOOL</v>
          </cell>
          <cell r="E6033">
            <v>0</v>
          </cell>
          <cell r="F6033">
            <v>0</v>
          </cell>
          <cell r="G6033">
            <v>0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>
            <v>0</v>
          </cell>
        </row>
        <row r="6034">
          <cell r="C6034">
            <v>304691</v>
          </cell>
          <cell r="D6034" t="str">
            <v>Magallanes National High School</v>
          </cell>
          <cell r="E6034">
            <v>0</v>
          </cell>
          <cell r="F6034">
            <v>0</v>
          </cell>
          <cell r="G6034">
            <v>4</v>
          </cell>
          <cell r="H6034">
            <v>0</v>
          </cell>
          <cell r="I6034">
            <v>1</v>
          </cell>
          <cell r="J6034">
            <v>2</v>
          </cell>
          <cell r="K6034">
            <v>2</v>
          </cell>
          <cell r="L6034">
            <v>3</v>
          </cell>
        </row>
        <row r="6035">
          <cell r="C6035">
            <v>304692</v>
          </cell>
          <cell r="D6035" t="str">
            <v>Magdagooc NHS</v>
          </cell>
          <cell r="E6035">
            <v>0</v>
          </cell>
          <cell r="F6035">
            <v>0</v>
          </cell>
          <cell r="G6035">
            <v>0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0</v>
          </cell>
        </row>
        <row r="6036">
          <cell r="C6036">
            <v>304693</v>
          </cell>
          <cell r="D6036" t="str">
            <v>Maningalao NHS</v>
          </cell>
          <cell r="E6036">
            <v>0</v>
          </cell>
          <cell r="F6036">
            <v>0</v>
          </cell>
          <cell r="G6036">
            <v>0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0</v>
          </cell>
        </row>
        <row r="6037">
          <cell r="C6037">
            <v>304694</v>
          </cell>
          <cell r="D6037" t="str">
            <v>Marcos Calo NHS</v>
          </cell>
          <cell r="E6037">
            <v>0</v>
          </cell>
          <cell r="F6037">
            <v>0</v>
          </cell>
          <cell r="G6037">
            <v>0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>
            <v>0</v>
          </cell>
        </row>
        <row r="6038">
          <cell r="C6038">
            <v>304695</v>
          </cell>
          <cell r="D6038" t="str">
            <v>Mat-i NHS</v>
          </cell>
          <cell r="E6038">
            <v>0</v>
          </cell>
          <cell r="F6038">
            <v>0</v>
          </cell>
          <cell r="G6038">
            <v>0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>
            <v>0</v>
          </cell>
        </row>
        <row r="6039">
          <cell r="C6039">
            <v>304696</v>
          </cell>
          <cell r="D6039" t="str">
            <v>Nasipit National Vocational School</v>
          </cell>
          <cell r="E6039">
            <v>0</v>
          </cell>
          <cell r="F6039">
            <v>0</v>
          </cell>
          <cell r="G6039">
            <v>0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>
            <v>0</v>
          </cell>
        </row>
        <row r="6040">
          <cell r="C6040">
            <v>304698</v>
          </cell>
          <cell r="D6040" t="str">
            <v>Santiago NHS</v>
          </cell>
          <cell r="E6040">
            <v>0</v>
          </cell>
          <cell r="F6040">
            <v>0</v>
          </cell>
          <cell r="G6040">
            <v>0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0</v>
          </cell>
        </row>
        <row r="6041">
          <cell r="C6041">
            <v>304700</v>
          </cell>
          <cell r="D6041" t="str">
            <v>Tinigbasan NHS</v>
          </cell>
          <cell r="E6041">
            <v>0</v>
          </cell>
          <cell r="F6041">
            <v>0</v>
          </cell>
          <cell r="G6041">
            <v>0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0</v>
          </cell>
        </row>
        <row r="6042">
          <cell r="C6042">
            <v>304701</v>
          </cell>
          <cell r="D6042" t="str">
            <v>Tubay NHS</v>
          </cell>
          <cell r="E6042">
            <v>0</v>
          </cell>
          <cell r="F6042">
            <v>0</v>
          </cell>
          <cell r="G6042">
            <v>0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>
            <v>0</v>
          </cell>
        </row>
        <row r="6043">
          <cell r="C6043">
            <v>304702</v>
          </cell>
          <cell r="D6043" t="str">
            <v>Vinapor NHS</v>
          </cell>
          <cell r="E6043">
            <v>0</v>
          </cell>
          <cell r="F6043">
            <v>0</v>
          </cell>
          <cell r="G6043">
            <v>0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>
            <v>0</v>
          </cell>
        </row>
        <row r="6044">
          <cell r="C6044">
            <v>317301</v>
          </cell>
          <cell r="D6044" t="str">
            <v>Sangay National High School</v>
          </cell>
          <cell r="E6044">
            <v>0</v>
          </cell>
          <cell r="F6044">
            <v>0</v>
          </cell>
          <cell r="G6044">
            <v>0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>
            <v>0</v>
          </cell>
        </row>
        <row r="6045">
          <cell r="C6045">
            <v>317302</v>
          </cell>
          <cell r="D6045" t="str">
            <v>Nasipit NHS</v>
          </cell>
          <cell r="E6045">
            <v>0</v>
          </cell>
          <cell r="F6045">
            <v>0</v>
          </cell>
          <cell r="G6045">
            <v>0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>
            <v>0</v>
          </cell>
        </row>
        <row r="6046">
          <cell r="C6046">
            <v>317303</v>
          </cell>
          <cell r="D6046" t="str">
            <v>San Vicente NHS</v>
          </cell>
          <cell r="E6046">
            <v>0</v>
          </cell>
          <cell r="F6046">
            <v>0</v>
          </cell>
          <cell r="G6046">
            <v>0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>
            <v>0</v>
          </cell>
        </row>
        <row r="6047">
          <cell r="C6047">
            <v>317304</v>
          </cell>
          <cell r="D6047" t="str">
            <v>Cahayagan National High School</v>
          </cell>
          <cell r="E6047">
            <v>0</v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0</v>
          </cell>
        </row>
        <row r="6048">
          <cell r="C6048">
            <v>317305</v>
          </cell>
          <cell r="D6048" t="str">
            <v>Lekda NHS (Guinabsan NHS Annex)</v>
          </cell>
          <cell r="E6048">
            <v>0</v>
          </cell>
          <cell r="F6048">
            <v>0</v>
          </cell>
          <cell r="G6048">
            <v>0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>
            <v>0</v>
          </cell>
        </row>
        <row r="6049">
          <cell r="C6049">
            <v>317308</v>
          </cell>
          <cell r="D6049" t="str">
            <v>Culit National High School</v>
          </cell>
          <cell r="E6049">
            <v>0</v>
          </cell>
          <cell r="F6049">
            <v>0</v>
          </cell>
          <cell r="G6049">
            <v>0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>
            <v>0</v>
          </cell>
        </row>
        <row r="6050">
          <cell r="C6050">
            <v>317309</v>
          </cell>
          <cell r="D6050" t="str">
            <v>Dona Rosario National High School</v>
          </cell>
          <cell r="E6050">
            <v>0</v>
          </cell>
          <cell r="F6050">
            <v>0</v>
          </cell>
          <cell r="G6050">
            <v>0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0</v>
          </cell>
        </row>
        <row r="6051">
          <cell r="C6051">
            <v>317310</v>
          </cell>
          <cell r="D6051" t="str">
            <v>E. G. Montilla National High School</v>
          </cell>
          <cell r="E6051">
            <v>0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0</v>
          </cell>
        </row>
        <row r="6052">
          <cell r="C6052">
            <v>317311</v>
          </cell>
          <cell r="D6052" t="str">
            <v>Balangbalang National High School</v>
          </cell>
          <cell r="E6052">
            <v>0</v>
          </cell>
          <cell r="F6052">
            <v>0</v>
          </cell>
          <cell r="G6052">
            <v>0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>
            <v>0</v>
          </cell>
        </row>
        <row r="6053">
          <cell r="C6053">
            <v>317314</v>
          </cell>
          <cell r="D6053" t="str">
            <v>Abilan National High School</v>
          </cell>
          <cell r="E6053">
            <v>0</v>
          </cell>
          <cell r="F6053">
            <v>0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0</v>
          </cell>
        </row>
        <row r="6054">
          <cell r="C6054">
            <v>317315</v>
          </cell>
          <cell r="D6054" t="str">
            <v>Agong-ong National High School</v>
          </cell>
          <cell r="E6054">
            <v>0</v>
          </cell>
          <cell r="F6054">
            <v>0</v>
          </cell>
          <cell r="G6054">
            <v>0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0</v>
          </cell>
        </row>
        <row r="6055">
          <cell r="C6055">
            <v>317317</v>
          </cell>
          <cell r="D6055" t="str">
            <v>Rizal NHS (Guinabsan NHS Annex)</v>
          </cell>
          <cell r="E6055">
            <v>0</v>
          </cell>
          <cell r="F6055">
            <v>0</v>
          </cell>
          <cell r="G6055">
            <v>0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0</v>
          </cell>
        </row>
        <row r="6056">
          <cell r="C6056">
            <v>317319</v>
          </cell>
          <cell r="D6056" t="str">
            <v>Bangonay National High School</v>
          </cell>
          <cell r="E6056">
            <v>0</v>
          </cell>
          <cell r="F6056">
            <v>0</v>
          </cell>
          <cell r="G6056">
            <v>0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0</v>
          </cell>
        </row>
        <row r="6057">
          <cell r="C6057">
            <v>317320</v>
          </cell>
          <cell r="D6057" t="str">
            <v>Pupotsan NHS (Magallanes NHS Annex)</v>
          </cell>
          <cell r="E6057">
            <v>0</v>
          </cell>
          <cell r="F6057">
            <v>0</v>
          </cell>
          <cell r="G6057">
            <v>0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>
            <v>0</v>
          </cell>
        </row>
        <row r="6058">
          <cell r="C6058">
            <v>340204</v>
          </cell>
          <cell r="D6058" t="str">
            <v>SHS in Carmen, Agusan Del Norte</v>
          </cell>
          <cell r="E6058">
            <v>0</v>
          </cell>
          <cell r="F6058">
            <v>0</v>
          </cell>
          <cell r="G6058">
            <v>0</v>
          </cell>
          <cell r="H6058">
            <v>0</v>
          </cell>
          <cell r="I6058">
            <v>8</v>
          </cell>
          <cell r="J6058">
            <v>6</v>
          </cell>
          <cell r="K6058">
            <v>3</v>
          </cell>
          <cell r="L6058">
            <v>5</v>
          </cell>
        </row>
        <row r="6059">
          <cell r="C6059">
            <v>500047</v>
          </cell>
          <cell r="D6059" t="str">
            <v>Buenavista Special Education HS</v>
          </cell>
          <cell r="E6059">
            <v>0</v>
          </cell>
          <cell r="F6059">
            <v>0</v>
          </cell>
          <cell r="G6059">
            <v>0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>
            <v>0</v>
          </cell>
        </row>
        <row r="6060">
          <cell r="C6060">
            <v>500048</v>
          </cell>
          <cell r="D6060" t="str">
            <v>Lawan-Lawan NHS</v>
          </cell>
          <cell r="E6060">
            <v>0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0</v>
          </cell>
        </row>
        <row r="6061">
          <cell r="C6061">
            <v>500049</v>
          </cell>
          <cell r="D6061" t="str">
            <v>Manapa II ES</v>
          </cell>
          <cell r="E6061">
            <v>0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0</v>
          </cell>
        </row>
        <row r="6062">
          <cell r="C6062">
            <v>500311</v>
          </cell>
          <cell r="D6062" t="str">
            <v>Manoligao ES</v>
          </cell>
          <cell r="E6062">
            <v>0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0</v>
          </cell>
        </row>
        <row r="6063">
          <cell r="C6063">
            <v>500313</v>
          </cell>
          <cell r="D6063" t="str">
            <v>F.S. OMAYANA ELEMENTARY SCHOOL</v>
          </cell>
          <cell r="E6063">
            <v>0</v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0</v>
          </cell>
        </row>
        <row r="6064">
          <cell r="C6064">
            <v>500314</v>
          </cell>
          <cell r="D6064" t="str">
            <v>Hinandayan ES</v>
          </cell>
          <cell r="E6064">
            <v>0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0</v>
          </cell>
        </row>
        <row r="6065">
          <cell r="C6065">
            <v>304703</v>
          </cell>
          <cell r="D6065" t="str">
            <v>Agusan del Sur National High School</v>
          </cell>
          <cell r="E6065">
            <v>0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</row>
        <row r="6066">
          <cell r="C6066">
            <v>304704</v>
          </cell>
          <cell r="D6066" t="str">
            <v>Agusan del Sur National Science High School</v>
          </cell>
          <cell r="E6066">
            <v>0</v>
          </cell>
          <cell r="F6066">
            <v>0</v>
          </cell>
          <cell r="G6066">
            <v>0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0</v>
          </cell>
        </row>
        <row r="6067">
          <cell r="C6067">
            <v>304705</v>
          </cell>
          <cell r="D6067" t="str">
            <v>Sta. Maria NHS</v>
          </cell>
          <cell r="E6067">
            <v>0</v>
          </cell>
          <cell r="F6067">
            <v>0</v>
          </cell>
          <cell r="G6067">
            <v>0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0</v>
          </cell>
        </row>
        <row r="6068">
          <cell r="C6068">
            <v>304708</v>
          </cell>
          <cell r="D6068" t="str">
            <v>Binucayan NHS</v>
          </cell>
          <cell r="E6068">
            <v>0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0</v>
          </cell>
        </row>
        <row r="6069">
          <cell r="C6069">
            <v>304709</v>
          </cell>
          <cell r="D6069" t="str">
            <v>Bunawan National High School</v>
          </cell>
          <cell r="E6069">
            <v>0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</row>
        <row r="6070">
          <cell r="C6070">
            <v>304710</v>
          </cell>
          <cell r="D6070" t="str">
            <v>Del Monte NHS</v>
          </cell>
          <cell r="E6070">
            <v>0</v>
          </cell>
          <cell r="F6070">
            <v>0</v>
          </cell>
          <cell r="G6070">
            <v>0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0</v>
          </cell>
        </row>
        <row r="6071">
          <cell r="C6071">
            <v>304711</v>
          </cell>
          <cell r="D6071" t="str">
            <v>Democrito O. Plaza MHS</v>
          </cell>
          <cell r="E6071">
            <v>0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0</v>
          </cell>
        </row>
        <row r="6072">
          <cell r="C6072">
            <v>304712</v>
          </cell>
          <cell r="D6072" t="str">
            <v>Esperanza National High School</v>
          </cell>
          <cell r="E6072">
            <v>0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0</v>
          </cell>
        </row>
        <row r="6073">
          <cell r="C6073">
            <v>304713</v>
          </cell>
          <cell r="D6073" t="str">
            <v>Guadalupe NHS</v>
          </cell>
          <cell r="E6073">
            <v>0</v>
          </cell>
          <cell r="F6073">
            <v>0</v>
          </cell>
          <cell r="G6073">
            <v>0</v>
          </cell>
          <cell r="H6073">
            <v>0</v>
          </cell>
          <cell r="I6073">
            <v>0</v>
          </cell>
          <cell r="J6073">
            <v>1</v>
          </cell>
          <cell r="K6073">
            <v>0</v>
          </cell>
          <cell r="L6073">
            <v>0</v>
          </cell>
        </row>
        <row r="6074">
          <cell r="C6074">
            <v>304714</v>
          </cell>
          <cell r="D6074" t="str">
            <v>Kasapa National High School</v>
          </cell>
          <cell r="E6074">
            <v>0</v>
          </cell>
          <cell r="F6074">
            <v>0</v>
          </cell>
          <cell r="G6074">
            <v>0</v>
          </cell>
          <cell r="H6074">
            <v>0</v>
          </cell>
          <cell r="I6074">
            <v>1</v>
          </cell>
          <cell r="J6074">
            <v>0</v>
          </cell>
          <cell r="K6074">
            <v>0</v>
          </cell>
          <cell r="L6074">
            <v>0</v>
          </cell>
        </row>
        <row r="6075">
          <cell r="C6075">
            <v>304715</v>
          </cell>
          <cell r="D6075" t="str">
            <v>Waloe National High School</v>
          </cell>
          <cell r="E6075">
            <v>0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0</v>
          </cell>
        </row>
        <row r="6076">
          <cell r="C6076">
            <v>304716</v>
          </cell>
          <cell r="D6076" t="str">
            <v>La Paz NHS</v>
          </cell>
          <cell r="E6076">
            <v>0</v>
          </cell>
          <cell r="F6076">
            <v>0</v>
          </cell>
          <cell r="G6076">
            <v>0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0</v>
          </cell>
        </row>
        <row r="6077">
          <cell r="C6077">
            <v>304717</v>
          </cell>
          <cell r="D6077" t="str">
            <v>Lapinigan National High School</v>
          </cell>
          <cell r="E6077">
            <v>0</v>
          </cell>
          <cell r="F6077">
            <v>0</v>
          </cell>
          <cell r="G6077">
            <v>0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>
            <v>0</v>
          </cell>
        </row>
        <row r="6078">
          <cell r="C6078">
            <v>304718</v>
          </cell>
          <cell r="D6078" t="str">
            <v>Libertad NHS</v>
          </cell>
          <cell r="E6078">
            <v>0</v>
          </cell>
          <cell r="F6078">
            <v>0</v>
          </cell>
          <cell r="G6078">
            <v>0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0</v>
          </cell>
        </row>
        <row r="6079">
          <cell r="C6079">
            <v>304720</v>
          </cell>
          <cell r="D6079" t="str">
            <v>Los Arcos NHS</v>
          </cell>
          <cell r="E6079">
            <v>0</v>
          </cell>
          <cell r="F6079">
            <v>0</v>
          </cell>
          <cell r="G6079">
            <v>0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0</v>
          </cell>
        </row>
        <row r="6080">
          <cell r="C6080">
            <v>304721</v>
          </cell>
          <cell r="D6080" t="str">
            <v>Mabuhay National High School</v>
          </cell>
          <cell r="E6080">
            <v>0</v>
          </cell>
          <cell r="F6080">
            <v>0</v>
          </cell>
          <cell r="G6080">
            <v>0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0</v>
          </cell>
        </row>
        <row r="6081">
          <cell r="C6081">
            <v>304722</v>
          </cell>
          <cell r="D6081" t="str">
            <v>Lucena NHS</v>
          </cell>
          <cell r="E6081">
            <v>0</v>
          </cell>
          <cell r="F6081">
            <v>0</v>
          </cell>
          <cell r="G6081">
            <v>2</v>
          </cell>
          <cell r="H6081">
            <v>0</v>
          </cell>
          <cell r="I6081">
            <v>0</v>
          </cell>
          <cell r="J6081">
            <v>2</v>
          </cell>
          <cell r="K6081">
            <v>0</v>
          </cell>
          <cell r="L6081">
            <v>2</v>
          </cell>
        </row>
        <row r="6082">
          <cell r="C6082">
            <v>304726</v>
          </cell>
          <cell r="D6082" t="str">
            <v>New Tubigon High School of Home Industries</v>
          </cell>
          <cell r="E6082">
            <v>0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0</v>
          </cell>
        </row>
        <row r="6083">
          <cell r="C6083">
            <v>304730</v>
          </cell>
          <cell r="D6083" t="str">
            <v>Patin-ay National High School</v>
          </cell>
          <cell r="E6083">
            <v>0</v>
          </cell>
          <cell r="F6083">
            <v>0</v>
          </cell>
          <cell r="G6083">
            <v>0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0</v>
          </cell>
        </row>
        <row r="6084">
          <cell r="C6084">
            <v>304733</v>
          </cell>
          <cell r="D6084" t="str">
            <v>Sampaguita National High Schools</v>
          </cell>
          <cell r="E6084">
            <v>0</v>
          </cell>
          <cell r="F6084">
            <v>0</v>
          </cell>
          <cell r="G6084">
            <v>0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0</v>
          </cell>
        </row>
        <row r="6085">
          <cell r="C6085">
            <v>304734</v>
          </cell>
          <cell r="D6085" t="str">
            <v>San Isidro NHS</v>
          </cell>
          <cell r="E6085">
            <v>0</v>
          </cell>
          <cell r="F6085">
            <v>0</v>
          </cell>
          <cell r="G6085">
            <v>0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>
            <v>0</v>
          </cell>
        </row>
        <row r="6086">
          <cell r="C6086">
            <v>304736</v>
          </cell>
          <cell r="D6086" t="str">
            <v>San Luis NHS</v>
          </cell>
          <cell r="E6086">
            <v>0</v>
          </cell>
          <cell r="F6086">
            <v>0</v>
          </cell>
          <cell r="G6086">
            <v>0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>
            <v>0</v>
          </cell>
        </row>
        <row r="6087">
          <cell r="C6087">
            <v>304737</v>
          </cell>
          <cell r="D6087" t="str">
            <v>Anislagan NHS</v>
          </cell>
          <cell r="E6087">
            <v>0</v>
          </cell>
          <cell r="F6087">
            <v>0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0</v>
          </cell>
        </row>
        <row r="6088">
          <cell r="C6088">
            <v>304738</v>
          </cell>
          <cell r="D6088" t="str">
            <v>Cecilia NHS</v>
          </cell>
          <cell r="E6088">
            <v>0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0</v>
          </cell>
        </row>
        <row r="6089">
          <cell r="C6089">
            <v>304739</v>
          </cell>
          <cell r="D6089" t="str">
            <v>Laminga NHS</v>
          </cell>
          <cell r="E6089">
            <v>0</v>
          </cell>
          <cell r="F6089">
            <v>0</v>
          </cell>
          <cell r="G6089">
            <v>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0</v>
          </cell>
        </row>
        <row r="6090">
          <cell r="C6090">
            <v>304741</v>
          </cell>
          <cell r="D6090" t="str">
            <v>Magsaysay Nhs</v>
          </cell>
          <cell r="E6090">
            <v>0</v>
          </cell>
          <cell r="F6090">
            <v>0</v>
          </cell>
          <cell r="G6090">
            <v>0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>
            <v>0</v>
          </cell>
        </row>
        <row r="6091">
          <cell r="C6091">
            <v>304743</v>
          </cell>
          <cell r="D6091" t="str">
            <v>Padiay NHSHI</v>
          </cell>
          <cell r="E6091">
            <v>0</v>
          </cell>
          <cell r="F6091">
            <v>0</v>
          </cell>
          <cell r="G6091">
            <v>0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>
            <v>0</v>
          </cell>
        </row>
        <row r="6092">
          <cell r="C6092">
            <v>304744</v>
          </cell>
          <cell r="D6092" t="str">
            <v>Sta. Cruz NHS</v>
          </cell>
          <cell r="E6092">
            <v>0</v>
          </cell>
          <cell r="F6092">
            <v>1</v>
          </cell>
          <cell r="G6092">
            <v>0</v>
          </cell>
          <cell r="H6092">
            <v>0</v>
          </cell>
          <cell r="I6092">
            <v>0</v>
          </cell>
          <cell r="J6092">
            <v>1</v>
          </cell>
          <cell r="K6092">
            <v>0</v>
          </cell>
          <cell r="L6092">
            <v>1</v>
          </cell>
        </row>
        <row r="6093">
          <cell r="C6093">
            <v>304745</v>
          </cell>
          <cell r="D6093" t="str">
            <v>Bayugan III NHS</v>
          </cell>
          <cell r="E6093">
            <v>0</v>
          </cell>
          <cell r="F6093">
            <v>0</v>
          </cell>
          <cell r="G6093">
            <v>0</v>
          </cell>
          <cell r="H6093">
            <v>0</v>
          </cell>
          <cell r="I6093">
            <v>1</v>
          </cell>
          <cell r="J6093">
            <v>1</v>
          </cell>
          <cell r="K6093">
            <v>0</v>
          </cell>
          <cell r="L6093">
            <v>0</v>
          </cell>
        </row>
        <row r="6094">
          <cell r="C6094">
            <v>304747</v>
          </cell>
          <cell r="D6094" t="str">
            <v>Datu Lipus Makapandong National High School</v>
          </cell>
          <cell r="E6094">
            <v>0</v>
          </cell>
          <cell r="F6094">
            <v>0</v>
          </cell>
          <cell r="G6094">
            <v>4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0</v>
          </cell>
        </row>
        <row r="6095">
          <cell r="C6095">
            <v>304748</v>
          </cell>
          <cell r="D6095" t="str">
            <v>Marfil NHS</v>
          </cell>
          <cell r="E6095">
            <v>0</v>
          </cell>
          <cell r="F6095">
            <v>0</v>
          </cell>
          <cell r="G6095">
            <v>0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>
            <v>0</v>
          </cell>
        </row>
        <row r="6096">
          <cell r="C6096">
            <v>304749</v>
          </cell>
          <cell r="D6096" t="str">
            <v>Sta. Irene National High School</v>
          </cell>
          <cell r="E6096">
            <v>0</v>
          </cell>
          <cell r="F6096">
            <v>0</v>
          </cell>
          <cell r="G6096">
            <v>0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>
            <v>0</v>
          </cell>
        </row>
        <row r="6097">
          <cell r="C6097">
            <v>304750</v>
          </cell>
          <cell r="D6097" t="str">
            <v>Sta. Josefa National High School</v>
          </cell>
          <cell r="E6097">
            <v>0</v>
          </cell>
          <cell r="F6097">
            <v>2</v>
          </cell>
          <cell r="G6097">
            <v>0</v>
          </cell>
          <cell r="H6097">
            <v>0</v>
          </cell>
          <cell r="I6097">
            <v>0</v>
          </cell>
          <cell r="J6097">
            <v>2</v>
          </cell>
          <cell r="K6097">
            <v>0</v>
          </cell>
          <cell r="L6097">
            <v>0</v>
          </cell>
        </row>
        <row r="6098">
          <cell r="C6098">
            <v>304751</v>
          </cell>
          <cell r="D6098" t="str">
            <v>STO. TOMAS NATIONAL HIGH SCHOOL</v>
          </cell>
          <cell r="E6098">
            <v>0</v>
          </cell>
          <cell r="F6098">
            <v>0</v>
          </cell>
          <cell r="G6098">
            <v>0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>
            <v>0</v>
          </cell>
        </row>
        <row r="6099">
          <cell r="C6099">
            <v>304752</v>
          </cell>
          <cell r="D6099" t="str">
            <v>Talacogon NHS</v>
          </cell>
          <cell r="E6099">
            <v>0</v>
          </cell>
          <cell r="F6099">
            <v>0</v>
          </cell>
          <cell r="G6099">
            <v>0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>
            <v>0</v>
          </cell>
        </row>
        <row r="6100">
          <cell r="C6100">
            <v>304753</v>
          </cell>
          <cell r="D6100" t="str">
            <v>Trento NHS</v>
          </cell>
          <cell r="E6100">
            <v>0</v>
          </cell>
          <cell r="F6100">
            <v>0</v>
          </cell>
          <cell r="G6100">
            <v>0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>
            <v>0</v>
          </cell>
        </row>
        <row r="6101">
          <cell r="C6101">
            <v>304755</v>
          </cell>
          <cell r="D6101" t="str">
            <v>Zillovia NHS</v>
          </cell>
          <cell r="E6101">
            <v>0</v>
          </cell>
          <cell r="F6101">
            <v>0</v>
          </cell>
          <cell r="G6101">
            <v>0</v>
          </cell>
          <cell r="H6101">
            <v>0</v>
          </cell>
          <cell r="I6101">
            <v>0</v>
          </cell>
          <cell r="J6101">
            <v>2</v>
          </cell>
          <cell r="K6101">
            <v>1</v>
          </cell>
          <cell r="L6101">
            <v>1</v>
          </cell>
        </row>
        <row r="6102">
          <cell r="C6102">
            <v>317401</v>
          </cell>
          <cell r="D6102" t="str">
            <v>Panagangan NHS</v>
          </cell>
          <cell r="E6102">
            <v>0</v>
          </cell>
          <cell r="F6102">
            <v>0</v>
          </cell>
          <cell r="G6102">
            <v>0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0</v>
          </cell>
        </row>
        <row r="6103">
          <cell r="C6103">
            <v>317402</v>
          </cell>
          <cell r="D6103" t="str">
            <v>Bayugan II National High School</v>
          </cell>
          <cell r="E6103">
            <v>0</v>
          </cell>
          <cell r="F6103">
            <v>0</v>
          </cell>
          <cell r="G6103">
            <v>0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>
            <v>0</v>
          </cell>
        </row>
        <row r="6104">
          <cell r="C6104">
            <v>317403</v>
          </cell>
          <cell r="D6104" t="str">
            <v>Lapinigan NHS - New Visayas Ext.</v>
          </cell>
          <cell r="E6104">
            <v>1</v>
          </cell>
          <cell r="F6104">
            <v>0</v>
          </cell>
          <cell r="G6104">
            <v>0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>
            <v>0</v>
          </cell>
        </row>
        <row r="6105">
          <cell r="C6105">
            <v>317404</v>
          </cell>
          <cell r="D6105" t="str">
            <v>San Vicente NHS</v>
          </cell>
          <cell r="E6105">
            <v>0</v>
          </cell>
          <cell r="F6105">
            <v>0</v>
          </cell>
          <cell r="G6105">
            <v>0</v>
          </cell>
          <cell r="H6105">
            <v>3</v>
          </cell>
          <cell r="I6105">
            <v>1</v>
          </cell>
          <cell r="J6105">
            <v>1</v>
          </cell>
          <cell r="K6105">
            <v>0</v>
          </cell>
          <cell r="L6105">
            <v>0</v>
          </cell>
        </row>
        <row r="6106">
          <cell r="C6106">
            <v>317405</v>
          </cell>
          <cell r="D6106" t="str">
            <v>Azpetia NHS</v>
          </cell>
          <cell r="E6106">
            <v>0</v>
          </cell>
          <cell r="F6106">
            <v>0</v>
          </cell>
          <cell r="G6106">
            <v>0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0</v>
          </cell>
        </row>
        <row r="6107">
          <cell r="C6107">
            <v>317406</v>
          </cell>
          <cell r="D6107" t="str">
            <v>La Fortuna NHS</v>
          </cell>
          <cell r="E6107">
            <v>0</v>
          </cell>
          <cell r="F6107">
            <v>0</v>
          </cell>
          <cell r="G6107">
            <v>0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0</v>
          </cell>
        </row>
        <row r="6108">
          <cell r="C6108">
            <v>317407</v>
          </cell>
          <cell r="D6108" t="str">
            <v>Manat NHS</v>
          </cell>
          <cell r="E6108">
            <v>0</v>
          </cell>
          <cell r="F6108">
            <v>0</v>
          </cell>
          <cell r="G6108">
            <v>0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>
            <v>0</v>
          </cell>
        </row>
        <row r="6109">
          <cell r="C6109">
            <v>317408</v>
          </cell>
          <cell r="D6109" t="str">
            <v>Sinobong NHS</v>
          </cell>
          <cell r="E6109">
            <v>0</v>
          </cell>
          <cell r="F6109">
            <v>0</v>
          </cell>
          <cell r="G6109">
            <v>0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0</v>
          </cell>
        </row>
        <row r="6110">
          <cell r="C6110">
            <v>317409</v>
          </cell>
          <cell r="D6110" t="str">
            <v>Kapatungan National High School</v>
          </cell>
          <cell r="E6110">
            <v>0</v>
          </cell>
          <cell r="F6110">
            <v>0</v>
          </cell>
          <cell r="G6110">
            <v>0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0</v>
          </cell>
        </row>
        <row r="6111">
          <cell r="C6111">
            <v>317411</v>
          </cell>
          <cell r="D6111" t="str">
            <v>Desamparados Nhs</v>
          </cell>
          <cell r="E6111">
            <v>0</v>
          </cell>
          <cell r="F6111">
            <v>0</v>
          </cell>
          <cell r="G6111">
            <v>0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>
            <v>0</v>
          </cell>
        </row>
        <row r="6112">
          <cell r="C6112">
            <v>317412</v>
          </cell>
          <cell r="D6112" t="str">
            <v>Pulang Lupa NHS</v>
          </cell>
          <cell r="E6112">
            <v>0</v>
          </cell>
          <cell r="F6112">
            <v>0</v>
          </cell>
          <cell r="G6112">
            <v>0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>
            <v>0</v>
          </cell>
        </row>
        <row r="6113">
          <cell r="C6113">
            <v>317413</v>
          </cell>
          <cell r="D6113" t="str">
            <v>Aurora National High School-Sta. Josefa</v>
          </cell>
          <cell r="E6113">
            <v>0</v>
          </cell>
          <cell r="F6113">
            <v>0</v>
          </cell>
          <cell r="G6113">
            <v>0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>
            <v>0</v>
          </cell>
        </row>
        <row r="6114">
          <cell r="C6114">
            <v>317414</v>
          </cell>
          <cell r="D6114" t="str">
            <v>Hawilian National High School</v>
          </cell>
          <cell r="E6114">
            <v>0</v>
          </cell>
          <cell r="F6114">
            <v>0</v>
          </cell>
          <cell r="G6114">
            <v>0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>
            <v>0</v>
          </cell>
        </row>
        <row r="6115">
          <cell r="C6115">
            <v>317415</v>
          </cell>
          <cell r="D6115" t="str">
            <v>San Toribio NHS</v>
          </cell>
          <cell r="E6115">
            <v>0</v>
          </cell>
          <cell r="F6115">
            <v>0</v>
          </cell>
          <cell r="G6115">
            <v>0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0</v>
          </cell>
        </row>
        <row r="6116">
          <cell r="C6116">
            <v>317416</v>
          </cell>
          <cell r="D6116" t="str">
            <v>Causwagan National High School</v>
          </cell>
          <cell r="E6116">
            <v>0</v>
          </cell>
          <cell r="F6116">
            <v>0</v>
          </cell>
          <cell r="G6116">
            <v>0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>
            <v>0</v>
          </cell>
        </row>
        <row r="6117">
          <cell r="C6117">
            <v>317418</v>
          </cell>
          <cell r="D6117" t="str">
            <v>San Luis National High School - Balit Annex</v>
          </cell>
          <cell r="E6117">
            <v>0</v>
          </cell>
          <cell r="F6117">
            <v>0</v>
          </cell>
          <cell r="G6117">
            <v>0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>
            <v>0</v>
          </cell>
        </row>
        <row r="6118">
          <cell r="C6118">
            <v>317419</v>
          </cell>
          <cell r="D6118" t="str">
            <v>Sayon Nhs</v>
          </cell>
          <cell r="E6118">
            <v>0</v>
          </cell>
          <cell r="F6118">
            <v>0</v>
          </cell>
          <cell r="G6118">
            <v>0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>
            <v>0</v>
          </cell>
        </row>
        <row r="6119">
          <cell r="C6119">
            <v>317421</v>
          </cell>
          <cell r="D6119" t="str">
            <v>Johnson Nhs</v>
          </cell>
          <cell r="E6119">
            <v>0</v>
          </cell>
          <cell r="F6119">
            <v>0</v>
          </cell>
          <cell r="G6119">
            <v>0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>
            <v>0</v>
          </cell>
        </row>
        <row r="6120">
          <cell r="C6120">
            <v>317422</v>
          </cell>
          <cell r="D6120" t="str">
            <v>Corpuz Nhs</v>
          </cell>
          <cell r="E6120">
            <v>0</v>
          </cell>
          <cell r="F6120">
            <v>0</v>
          </cell>
          <cell r="G6120">
            <v>0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>
            <v>0</v>
          </cell>
        </row>
        <row r="6121">
          <cell r="C6121">
            <v>317423</v>
          </cell>
          <cell r="D6121" t="str">
            <v>Nato National High School</v>
          </cell>
          <cell r="E6121">
            <v>0</v>
          </cell>
          <cell r="F6121">
            <v>0</v>
          </cell>
          <cell r="G6121">
            <v>0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>
            <v>0</v>
          </cell>
        </row>
        <row r="6122">
          <cell r="C6122">
            <v>317424</v>
          </cell>
          <cell r="D6122" t="str">
            <v>Duangan Nhs</v>
          </cell>
          <cell r="E6122">
            <v>0</v>
          </cell>
          <cell r="F6122">
            <v>0</v>
          </cell>
          <cell r="G6122">
            <v>0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0</v>
          </cell>
        </row>
        <row r="6123">
          <cell r="C6123">
            <v>317425</v>
          </cell>
          <cell r="D6123" t="str">
            <v>Oro Nhs</v>
          </cell>
          <cell r="E6123">
            <v>0</v>
          </cell>
          <cell r="F6123">
            <v>0</v>
          </cell>
          <cell r="G6123">
            <v>0</v>
          </cell>
          <cell r="H6123">
            <v>0</v>
          </cell>
          <cell r="I6123">
            <v>0</v>
          </cell>
          <cell r="J6123">
            <v>2</v>
          </cell>
          <cell r="K6123">
            <v>0</v>
          </cell>
          <cell r="L6123">
            <v>2</v>
          </cell>
        </row>
        <row r="6124">
          <cell r="C6124">
            <v>317426</v>
          </cell>
          <cell r="D6124" t="str">
            <v>Buenasuerte National High School</v>
          </cell>
          <cell r="E6124">
            <v>0</v>
          </cell>
          <cell r="F6124">
            <v>0</v>
          </cell>
          <cell r="G6124">
            <v>0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0</v>
          </cell>
        </row>
        <row r="6125">
          <cell r="C6125">
            <v>317427</v>
          </cell>
          <cell r="D6125" t="str">
            <v>Nueva Gracia Nhs</v>
          </cell>
          <cell r="E6125">
            <v>0</v>
          </cell>
          <cell r="F6125">
            <v>0</v>
          </cell>
          <cell r="G6125">
            <v>0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>
            <v>0</v>
          </cell>
        </row>
        <row r="6126">
          <cell r="C6126">
            <v>317428</v>
          </cell>
          <cell r="D6126" t="str">
            <v>West Prosperidad Nhs</v>
          </cell>
          <cell r="E6126">
            <v>0</v>
          </cell>
          <cell r="F6126">
            <v>0</v>
          </cell>
          <cell r="G6126">
            <v>0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>
            <v>0</v>
          </cell>
        </row>
        <row r="6127">
          <cell r="C6127">
            <v>317429</v>
          </cell>
          <cell r="D6127" t="str">
            <v>Novele National High School</v>
          </cell>
          <cell r="E6127">
            <v>0</v>
          </cell>
          <cell r="F6127">
            <v>0</v>
          </cell>
          <cell r="G6127">
            <v>0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0</v>
          </cell>
        </row>
        <row r="6128">
          <cell r="C6128">
            <v>317430</v>
          </cell>
          <cell r="D6128" t="str">
            <v>San Jose NHS</v>
          </cell>
          <cell r="E6128">
            <v>0</v>
          </cell>
          <cell r="F6128">
            <v>0</v>
          </cell>
          <cell r="G6128">
            <v>0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0</v>
          </cell>
        </row>
        <row r="6129">
          <cell r="C6129">
            <v>317431</v>
          </cell>
          <cell r="D6129" t="str">
            <v>Magaud National High School</v>
          </cell>
          <cell r="E6129">
            <v>0</v>
          </cell>
          <cell r="F6129">
            <v>0</v>
          </cell>
          <cell r="G6129">
            <v>0</v>
          </cell>
          <cell r="H6129">
            <v>0</v>
          </cell>
          <cell r="I6129">
            <v>1</v>
          </cell>
          <cell r="J6129">
            <v>3</v>
          </cell>
          <cell r="K6129">
            <v>0</v>
          </cell>
          <cell r="L6129">
            <v>0</v>
          </cell>
        </row>
        <row r="6130">
          <cell r="C6130">
            <v>317432</v>
          </cell>
          <cell r="D6130" t="str">
            <v>Labnig NHS</v>
          </cell>
          <cell r="E6130">
            <v>0</v>
          </cell>
          <cell r="F6130">
            <v>0</v>
          </cell>
          <cell r="G6130">
            <v>0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0</v>
          </cell>
        </row>
        <row r="6131">
          <cell r="C6131">
            <v>317433</v>
          </cell>
          <cell r="D6131" t="str">
            <v>Buena Gracia National High School</v>
          </cell>
          <cell r="E6131">
            <v>0</v>
          </cell>
          <cell r="F6131">
            <v>0</v>
          </cell>
          <cell r="G6131">
            <v>0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0</v>
          </cell>
        </row>
        <row r="6132">
          <cell r="C6132">
            <v>317434</v>
          </cell>
          <cell r="D6132" t="str">
            <v>Marbon Nhs</v>
          </cell>
          <cell r="E6132">
            <v>0</v>
          </cell>
          <cell r="F6132">
            <v>0</v>
          </cell>
          <cell r="G6132">
            <v>0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0</v>
          </cell>
        </row>
        <row r="6133">
          <cell r="C6133">
            <v>317435</v>
          </cell>
          <cell r="D6133" t="str">
            <v>Talacogon National High School - Maharlika Annex</v>
          </cell>
          <cell r="E6133">
            <v>0</v>
          </cell>
          <cell r="F6133">
            <v>0</v>
          </cell>
          <cell r="G6133">
            <v>0</v>
          </cell>
          <cell r="H6133">
            <v>0</v>
          </cell>
          <cell r="I6133">
            <v>1</v>
          </cell>
          <cell r="J6133">
            <v>2</v>
          </cell>
          <cell r="K6133">
            <v>1</v>
          </cell>
          <cell r="L6133">
            <v>2</v>
          </cell>
        </row>
        <row r="6134">
          <cell r="C6134">
            <v>317437</v>
          </cell>
          <cell r="D6134" t="str">
            <v>Salvacion Nhs</v>
          </cell>
          <cell r="E6134">
            <v>0</v>
          </cell>
          <cell r="F6134">
            <v>0</v>
          </cell>
          <cell r="G6134">
            <v>0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>
            <v>0</v>
          </cell>
        </row>
        <row r="6135">
          <cell r="C6135">
            <v>317438</v>
          </cell>
          <cell r="D6135" t="str">
            <v>SAN ROQUE NATIONAL HIGH SCHOOL</v>
          </cell>
          <cell r="E6135">
            <v>0</v>
          </cell>
          <cell r="F6135">
            <v>0</v>
          </cell>
          <cell r="G6135">
            <v>0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>
            <v>0</v>
          </cell>
        </row>
        <row r="6136">
          <cell r="C6136">
            <v>317439</v>
          </cell>
          <cell r="D6136" t="str">
            <v>Sta. Fe Nhs</v>
          </cell>
          <cell r="E6136">
            <v>0</v>
          </cell>
          <cell r="F6136">
            <v>0</v>
          </cell>
          <cell r="G6136">
            <v>0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0</v>
          </cell>
        </row>
        <row r="6137">
          <cell r="C6137">
            <v>317440</v>
          </cell>
          <cell r="D6137" t="str">
            <v>Catmonon National High School</v>
          </cell>
          <cell r="E6137">
            <v>0</v>
          </cell>
          <cell r="F6137">
            <v>0</v>
          </cell>
          <cell r="G6137">
            <v>0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>
            <v>0</v>
          </cell>
        </row>
        <row r="6138">
          <cell r="C6138">
            <v>317441</v>
          </cell>
          <cell r="D6138" t="str">
            <v>Salug Nhs</v>
          </cell>
          <cell r="E6138">
            <v>0</v>
          </cell>
          <cell r="F6138">
            <v>0</v>
          </cell>
          <cell r="G6138">
            <v>0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0</v>
          </cell>
        </row>
        <row r="6139">
          <cell r="C6139">
            <v>317442</v>
          </cell>
          <cell r="D6139" t="str">
            <v>Afga Nhs</v>
          </cell>
          <cell r="E6139">
            <v>0</v>
          </cell>
          <cell r="F6139">
            <v>0</v>
          </cell>
          <cell r="G6139">
            <v>0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0</v>
          </cell>
        </row>
        <row r="6140">
          <cell r="C6140">
            <v>317443</v>
          </cell>
          <cell r="D6140" t="str">
            <v>San Isidro National High School</v>
          </cell>
          <cell r="E6140">
            <v>0</v>
          </cell>
          <cell r="F6140">
            <v>0</v>
          </cell>
          <cell r="G6140">
            <v>0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>
            <v>0</v>
          </cell>
        </row>
        <row r="6141">
          <cell r="C6141">
            <v>317444</v>
          </cell>
          <cell r="D6141" t="str">
            <v>Aurora Nhs</v>
          </cell>
          <cell r="E6141">
            <v>0</v>
          </cell>
          <cell r="F6141">
            <v>0</v>
          </cell>
          <cell r="G6141">
            <v>0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  <cell r="L6141">
            <v>0</v>
          </cell>
        </row>
        <row r="6142">
          <cell r="C6142">
            <v>317445</v>
          </cell>
          <cell r="D6142" t="str">
            <v>Veruela NHS Annex - Nueva Era HS</v>
          </cell>
          <cell r="E6142">
            <v>0</v>
          </cell>
          <cell r="F6142">
            <v>0</v>
          </cell>
          <cell r="G6142">
            <v>0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>
            <v>0</v>
          </cell>
        </row>
        <row r="6143">
          <cell r="C6143">
            <v>317446</v>
          </cell>
          <cell r="D6143" t="str">
            <v>San Vicente National High School</v>
          </cell>
          <cell r="E6143">
            <v>0</v>
          </cell>
          <cell r="F6143">
            <v>0</v>
          </cell>
          <cell r="G6143">
            <v>1</v>
          </cell>
          <cell r="H6143">
            <v>0</v>
          </cell>
          <cell r="I6143">
            <v>0</v>
          </cell>
          <cell r="J6143">
            <v>1</v>
          </cell>
          <cell r="K6143">
            <v>0</v>
          </cell>
          <cell r="L6143">
            <v>0</v>
          </cell>
        </row>
        <row r="6144">
          <cell r="C6144">
            <v>317447</v>
          </cell>
          <cell r="D6144" t="str">
            <v>KAUSWAGAN National High School</v>
          </cell>
          <cell r="E6144">
            <v>0</v>
          </cell>
          <cell r="F6144">
            <v>0</v>
          </cell>
          <cell r="G6144">
            <v>0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>
            <v>0</v>
          </cell>
        </row>
        <row r="6145">
          <cell r="C6145">
            <v>500315</v>
          </cell>
          <cell r="D6145" t="str">
            <v>Sabang Gibong Nhs</v>
          </cell>
          <cell r="E6145">
            <v>0</v>
          </cell>
          <cell r="F6145">
            <v>0</v>
          </cell>
          <cell r="G6145">
            <v>0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0</v>
          </cell>
        </row>
        <row r="6146">
          <cell r="C6146">
            <v>304756</v>
          </cell>
          <cell r="D6146" t="str">
            <v>Agusan National High School</v>
          </cell>
          <cell r="E6146">
            <v>0</v>
          </cell>
          <cell r="F6146">
            <v>0</v>
          </cell>
          <cell r="G6146">
            <v>0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>
            <v>0</v>
          </cell>
        </row>
        <row r="6147">
          <cell r="C6147">
            <v>304757</v>
          </cell>
          <cell r="D6147" t="str">
            <v>Agusan Pequeno NHS</v>
          </cell>
          <cell r="E6147">
            <v>0</v>
          </cell>
          <cell r="F6147">
            <v>0</v>
          </cell>
          <cell r="G6147">
            <v>0</v>
          </cell>
          <cell r="H6147">
            <v>0</v>
          </cell>
          <cell r="I6147">
            <v>2</v>
          </cell>
          <cell r="J6147">
            <v>4</v>
          </cell>
          <cell r="K6147">
            <v>1</v>
          </cell>
          <cell r="L6147">
            <v>1</v>
          </cell>
        </row>
        <row r="6148">
          <cell r="C6148">
            <v>304758</v>
          </cell>
          <cell r="D6148" t="str">
            <v>Amparo NHS</v>
          </cell>
          <cell r="E6148">
            <v>0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0</v>
          </cell>
        </row>
        <row r="6149">
          <cell r="C6149">
            <v>304759</v>
          </cell>
          <cell r="D6149" t="str">
            <v>Banza NHS</v>
          </cell>
          <cell r="E6149">
            <v>0</v>
          </cell>
          <cell r="F6149">
            <v>0</v>
          </cell>
          <cell r="G6149">
            <v>0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0</v>
          </cell>
        </row>
        <row r="6150">
          <cell r="C6150">
            <v>304760</v>
          </cell>
          <cell r="D6150" t="str">
            <v>Bilay NHS</v>
          </cell>
          <cell r="E6150">
            <v>0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0</v>
          </cell>
        </row>
        <row r="6151">
          <cell r="C6151">
            <v>304761</v>
          </cell>
          <cell r="D6151" t="str">
            <v>Butuan City Comprehensive HS</v>
          </cell>
          <cell r="E6151">
            <v>0</v>
          </cell>
          <cell r="F6151">
            <v>0</v>
          </cell>
          <cell r="G6151">
            <v>0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0</v>
          </cell>
        </row>
        <row r="6152">
          <cell r="C6152">
            <v>304762</v>
          </cell>
          <cell r="D6152" t="str">
            <v>Butuan City Sch. of Arts &amp; Trades</v>
          </cell>
          <cell r="E6152">
            <v>0</v>
          </cell>
          <cell r="F6152">
            <v>0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0</v>
          </cell>
        </row>
        <row r="6153">
          <cell r="C6153">
            <v>304763</v>
          </cell>
          <cell r="D6153" t="str">
            <v>Libertad Integrated Senior High School</v>
          </cell>
          <cell r="E6153">
            <v>0</v>
          </cell>
          <cell r="F6153">
            <v>0</v>
          </cell>
          <cell r="G6153">
            <v>0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0</v>
          </cell>
        </row>
        <row r="6154">
          <cell r="C6154">
            <v>304764</v>
          </cell>
          <cell r="D6154" t="str">
            <v>Los Angeles National High School</v>
          </cell>
          <cell r="E6154">
            <v>0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3</v>
          </cell>
          <cell r="K6154">
            <v>0</v>
          </cell>
          <cell r="L6154">
            <v>3</v>
          </cell>
        </row>
        <row r="6155">
          <cell r="C6155">
            <v>304765</v>
          </cell>
          <cell r="D6155" t="str">
            <v>Anticala NHS</v>
          </cell>
          <cell r="E6155">
            <v>0</v>
          </cell>
          <cell r="F6155">
            <v>0</v>
          </cell>
          <cell r="G6155">
            <v>0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0</v>
          </cell>
        </row>
        <row r="6156">
          <cell r="C6156">
            <v>304766</v>
          </cell>
          <cell r="D6156" t="str">
            <v>Lumbocan NHS</v>
          </cell>
          <cell r="E6156">
            <v>0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</row>
        <row r="6157">
          <cell r="C6157">
            <v>304767</v>
          </cell>
          <cell r="D6157" t="str">
            <v>Maguinda NHS</v>
          </cell>
          <cell r="E6157">
            <v>0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0</v>
          </cell>
        </row>
        <row r="6158">
          <cell r="C6158">
            <v>304769</v>
          </cell>
          <cell r="D6158" t="str">
            <v>San Vicente National High School</v>
          </cell>
          <cell r="E6158">
            <v>0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</row>
        <row r="6159">
          <cell r="C6159">
            <v>304770</v>
          </cell>
          <cell r="D6159" t="str">
            <v>Sumile National High School</v>
          </cell>
          <cell r="E6159">
            <v>0</v>
          </cell>
          <cell r="F6159">
            <v>0</v>
          </cell>
          <cell r="G6159">
            <v>0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0</v>
          </cell>
        </row>
        <row r="6160">
          <cell r="C6160">
            <v>304771</v>
          </cell>
          <cell r="D6160" t="str">
            <v>Taligaman NHS</v>
          </cell>
          <cell r="E6160">
            <v>0</v>
          </cell>
          <cell r="F6160">
            <v>0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</row>
        <row r="6161">
          <cell r="C6161">
            <v>304772</v>
          </cell>
          <cell r="D6161" t="str">
            <v>Tungao NHS</v>
          </cell>
          <cell r="E6161">
            <v>0</v>
          </cell>
          <cell r="F6161">
            <v>0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0</v>
          </cell>
        </row>
        <row r="6162">
          <cell r="C6162">
            <v>305490</v>
          </cell>
          <cell r="D6162" t="str">
            <v>Philippine Science High School - Caraga Region Campus</v>
          </cell>
          <cell r="E6162">
            <v>0</v>
          </cell>
          <cell r="F6162">
            <v>0</v>
          </cell>
          <cell r="G6162">
            <v>0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0</v>
          </cell>
        </row>
        <row r="6163">
          <cell r="C6163">
            <v>317501</v>
          </cell>
          <cell r="D6163" t="str">
            <v>FLORIDA NATIONAL HIGH SCHOOL</v>
          </cell>
          <cell r="E6163">
            <v>0</v>
          </cell>
          <cell r="F6163">
            <v>0</v>
          </cell>
          <cell r="G6163">
            <v>0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0</v>
          </cell>
        </row>
        <row r="6164">
          <cell r="C6164">
            <v>317502</v>
          </cell>
          <cell r="D6164" t="str">
            <v>Aupagan National High School</v>
          </cell>
          <cell r="E6164">
            <v>0</v>
          </cell>
          <cell r="F6164">
            <v>0</v>
          </cell>
          <cell r="G6164">
            <v>0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0</v>
          </cell>
        </row>
        <row r="6165">
          <cell r="C6165">
            <v>317504</v>
          </cell>
          <cell r="D6165" t="str">
            <v>Mahay Integrated Secondary School</v>
          </cell>
          <cell r="E6165">
            <v>0</v>
          </cell>
          <cell r="F6165">
            <v>0</v>
          </cell>
          <cell r="G6165">
            <v>0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0</v>
          </cell>
        </row>
        <row r="6166">
          <cell r="C6166">
            <v>317505</v>
          </cell>
          <cell r="D6166" t="str">
            <v>Maibu National High School</v>
          </cell>
          <cell r="E6166">
            <v>0</v>
          </cell>
          <cell r="F6166">
            <v>0</v>
          </cell>
          <cell r="G6166">
            <v>0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>
            <v>0</v>
          </cell>
        </row>
        <row r="6167">
          <cell r="C6167">
            <v>317506</v>
          </cell>
          <cell r="D6167" t="str">
            <v>La Trinidad Integrated Secondary School</v>
          </cell>
          <cell r="E6167">
            <v>0</v>
          </cell>
          <cell r="F6167">
            <v>0</v>
          </cell>
          <cell r="G6167">
            <v>0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>
            <v>0</v>
          </cell>
        </row>
        <row r="6168">
          <cell r="C6168">
            <v>317507</v>
          </cell>
          <cell r="D6168" t="str">
            <v>Consuelo National High School</v>
          </cell>
          <cell r="E6168">
            <v>0</v>
          </cell>
          <cell r="F6168">
            <v>0</v>
          </cell>
          <cell r="G6168">
            <v>0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0</v>
          </cell>
        </row>
        <row r="6169">
          <cell r="C6169">
            <v>317508</v>
          </cell>
          <cell r="D6169" t="str">
            <v>Pinamanculan National High School</v>
          </cell>
          <cell r="E6169">
            <v>0</v>
          </cell>
          <cell r="F6169">
            <v>0</v>
          </cell>
          <cell r="G6169">
            <v>0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>
            <v>0</v>
          </cell>
        </row>
        <row r="6170">
          <cell r="C6170">
            <v>317510</v>
          </cell>
          <cell r="D6170" t="str">
            <v>Kinamlutan National High School</v>
          </cell>
          <cell r="E6170">
            <v>0</v>
          </cell>
          <cell r="F6170">
            <v>0</v>
          </cell>
          <cell r="G6170">
            <v>0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>
            <v>0</v>
          </cell>
        </row>
        <row r="6171">
          <cell r="C6171">
            <v>317511</v>
          </cell>
          <cell r="D6171" t="str">
            <v>Ampayon National High School</v>
          </cell>
          <cell r="E6171">
            <v>0</v>
          </cell>
          <cell r="F6171">
            <v>0</v>
          </cell>
          <cell r="G6171">
            <v>0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>
            <v>0</v>
          </cell>
        </row>
        <row r="6172">
          <cell r="C6172">
            <v>317513</v>
          </cell>
          <cell r="D6172" t="str">
            <v>Bagong Silang National High School</v>
          </cell>
          <cell r="E6172">
            <v>0</v>
          </cell>
          <cell r="F6172">
            <v>0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0</v>
          </cell>
        </row>
        <row r="6173">
          <cell r="C6173">
            <v>317515</v>
          </cell>
          <cell r="D6173" t="str">
            <v>Pareja ISS</v>
          </cell>
          <cell r="E6173">
            <v>0</v>
          </cell>
          <cell r="F6173">
            <v>0</v>
          </cell>
          <cell r="G6173">
            <v>0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>
            <v>0</v>
          </cell>
        </row>
        <row r="6174">
          <cell r="C6174">
            <v>317517</v>
          </cell>
          <cell r="D6174" t="str">
            <v>Alviola ISS</v>
          </cell>
          <cell r="E6174">
            <v>0</v>
          </cell>
          <cell r="F6174">
            <v>0</v>
          </cell>
          <cell r="G6174">
            <v>0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>
            <v>0</v>
          </cell>
        </row>
        <row r="6175">
          <cell r="C6175">
            <v>317518</v>
          </cell>
          <cell r="D6175" t="str">
            <v>Bugsukan ISS</v>
          </cell>
          <cell r="E6175">
            <v>0</v>
          </cell>
          <cell r="F6175">
            <v>0</v>
          </cell>
          <cell r="G6175">
            <v>0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>
            <v>0</v>
          </cell>
        </row>
        <row r="6176">
          <cell r="C6176">
            <v>317520</v>
          </cell>
          <cell r="D6176" t="str">
            <v>Pedro D. Duncano National HS</v>
          </cell>
          <cell r="E6176">
            <v>0</v>
          </cell>
          <cell r="F6176">
            <v>0</v>
          </cell>
          <cell r="G6176">
            <v>0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0</v>
          </cell>
        </row>
        <row r="6177">
          <cell r="C6177">
            <v>317521</v>
          </cell>
          <cell r="D6177" t="str">
            <v>Pigdaulan National High School</v>
          </cell>
          <cell r="E6177">
            <v>0</v>
          </cell>
          <cell r="F6177">
            <v>0</v>
          </cell>
          <cell r="G6177">
            <v>0</v>
          </cell>
          <cell r="H6177">
            <v>0</v>
          </cell>
          <cell r="I6177">
            <v>1</v>
          </cell>
          <cell r="J6177">
            <v>2</v>
          </cell>
          <cell r="K6177">
            <v>3</v>
          </cell>
          <cell r="L6177">
            <v>2</v>
          </cell>
        </row>
        <row r="6178">
          <cell r="C6178">
            <v>317522</v>
          </cell>
          <cell r="D6178" t="str">
            <v>Tagkiling Tribal ISS</v>
          </cell>
          <cell r="E6178">
            <v>0</v>
          </cell>
          <cell r="F6178">
            <v>0</v>
          </cell>
          <cell r="G6178">
            <v>0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>
            <v>0</v>
          </cell>
        </row>
        <row r="6179">
          <cell r="C6179">
            <v>340337</v>
          </cell>
          <cell r="D6179" t="str">
            <v>Butuan City Senior High School Stand Alone</v>
          </cell>
          <cell r="E6179">
            <v>0</v>
          </cell>
          <cell r="F6179">
            <v>0</v>
          </cell>
          <cell r="G6179">
            <v>0</v>
          </cell>
          <cell r="H6179">
            <v>0</v>
          </cell>
          <cell r="I6179">
            <v>1</v>
          </cell>
          <cell r="J6179">
            <v>7</v>
          </cell>
          <cell r="K6179">
            <v>5</v>
          </cell>
          <cell r="L6179">
            <v>8</v>
          </cell>
        </row>
        <row r="6180">
          <cell r="C6180">
            <v>500316</v>
          </cell>
          <cell r="D6180" t="str">
            <v>Cabcabon NHS</v>
          </cell>
          <cell r="E6180">
            <v>0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0</v>
          </cell>
        </row>
        <row r="6181">
          <cell r="C6181">
            <v>500317</v>
          </cell>
          <cell r="D6181" t="str">
            <v>La Soledad NHS</v>
          </cell>
          <cell r="E6181">
            <v>0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</row>
        <row r="6182">
          <cell r="C6182">
            <v>500319</v>
          </cell>
          <cell r="D6182" t="str">
            <v>Manila de Bugabos National High School</v>
          </cell>
          <cell r="E6182">
            <v>0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</row>
        <row r="6183">
          <cell r="C6183">
            <v>500984</v>
          </cell>
          <cell r="D6183" t="str">
            <v>Basag National High School</v>
          </cell>
          <cell r="E6183">
            <v>0</v>
          </cell>
          <cell r="F6183">
            <v>0</v>
          </cell>
          <cell r="G6183">
            <v>0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0</v>
          </cell>
        </row>
        <row r="6184">
          <cell r="C6184">
            <v>501201</v>
          </cell>
          <cell r="D6184" t="str">
            <v>La Trinidad Integrated School</v>
          </cell>
          <cell r="E6184">
            <v>0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</row>
        <row r="6185">
          <cell r="C6185">
            <v>501550</v>
          </cell>
          <cell r="D6185" t="str">
            <v>Tagkiling Tribal ISS</v>
          </cell>
          <cell r="E6185">
            <v>0</v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0</v>
          </cell>
        </row>
        <row r="6186">
          <cell r="C6186">
            <v>501551</v>
          </cell>
          <cell r="D6186" t="str">
            <v>Mahay Integrated Secondary School</v>
          </cell>
          <cell r="E6186">
            <v>0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0</v>
          </cell>
        </row>
        <row r="6187">
          <cell r="C6187">
            <v>501552</v>
          </cell>
          <cell r="D6187" t="str">
            <v>Pareja Integrated School</v>
          </cell>
          <cell r="E6187">
            <v>0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0</v>
          </cell>
        </row>
        <row r="6188">
          <cell r="C6188">
            <v>501553</v>
          </cell>
          <cell r="D6188" t="str">
            <v>Alviola Integrated School</v>
          </cell>
          <cell r="E6188">
            <v>0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0</v>
          </cell>
        </row>
        <row r="6189">
          <cell r="C6189">
            <v>501554</v>
          </cell>
          <cell r="D6189" t="str">
            <v>Bugsukan Integrated School</v>
          </cell>
          <cell r="E6189">
            <v>0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0</v>
          </cell>
        </row>
        <row r="6190">
          <cell r="C6190">
            <v>304773</v>
          </cell>
          <cell r="D6190" t="str">
            <v>Burgos National High School</v>
          </cell>
          <cell r="E6190">
            <v>0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0</v>
          </cell>
        </row>
        <row r="6191">
          <cell r="C6191">
            <v>304774</v>
          </cell>
          <cell r="D6191" t="str">
            <v>Dapa National High School</v>
          </cell>
          <cell r="E6191">
            <v>0</v>
          </cell>
          <cell r="F6191">
            <v>0</v>
          </cell>
          <cell r="G6191">
            <v>0</v>
          </cell>
          <cell r="H6191">
            <v>0</v>
          </cell>
          <cell r="I6191">
            <v>11</v>
          </cell>
          <cell r="J6191">
            <v>12</v>
          </cell>
          <cell r="K6191">
            <v>0</v>
          </cell>
          <cell r="L6191">
            <v>0</v>
          </cell>
        </row>
        <row r="6192">
          <cell r="C6192">
            <v>304775</v>
          </cell>
          <cell r="D6192" t="str">
            <v>Consolacion National High School</v>
          </cell>
          <cell r="E6192">
            <v>0</v>
          </cell>
          <cell r="F6192">
            <v>0</v>
          </cell>
          <cell r="G6192">
            <v>0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>
            <v>0</v>
          </cell>
        </row>
        <row r="6193">
          <cell r="C6193">
            <v>304776</v>
          </cell>
          <cell r="D6193" t="str">
            <v>Mariano Matugas Memorial National High School</v>
          </cell>
          <cell r="E6193">
            <v>0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0</v>
          </cell>
        </row>
        <row r="6194">
          <cell r="C6194">
            <v>304777</v>
          </cell>
          <cell r="D6194" t="str">
            <v>Gen Luna National High School</v>
          </cell>
          <cell r="E6194">
            <v>0</v>
          </cell>
          <cell r="F6194">
            <v>0</v>
          </cell>
          <cell r="G6194">
            <v>0</v>
          </cell>
          <cell r="H6194">
            <v>0</v>
          </cell>
          <cell r="I6194">
            <v>1</v>
          </cell>
          <cell r="J6194">
            <v>3</v>
          </cell>
          <cell r="K6194">
            <v>0</v>
          </cell>
          <cell r="L6194">
            <v>0</v>
          </cell>
        </row>
        <row r="6195">
          <cell r="C6195">
            <v>304778</v>
          </cell>
          <cell r="D6195" t="str">
            <v>Sta. Fe National High School</v>
          </cell>
          <cell r="E6195">
            <v>0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0</v>
          </cell>
        </row>
        <row r="6196">
          <cell r="C6196">
            <v>304779</v>
          </cell>
          <cell r="D6196" t="str">
            <v>Pilar National High School</v>
          </cell>
          <cell r="E6196">
            <v>0</v>
          </cell>
          <cell r="F6196">
            <v>0</v>
          </cell>
          <cell r="G6196">
            <v>0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>
            <v>0</v>
          </cell>
        </row>
        <row r="6197">
          <cell r="C6197">
            <v>304780</v>
          </cell>
          <cell r="D6197" t="str">
            <v>Caridad National High School</v>
          </cell>
          <cell r="E6197">
            <v>0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2</v>
          </cell>
          <cell r="K6197">
            <v>0</v>
          </cell>
          <cell r="L6197">
            <v>1</v>
          </cell>
        </row>
        <row r="6198">
          <cell r="C6198">
            <v>304781</v>
          </cell>
          <cell r="D6198" t="str">
            <v>San Benito National High School</v>
          </cell>
          <cell r="E6198">
            <v>0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0</v>
          </cell>
        </row>
        <row r="6199">
          <cell r="C6199">
            <v>304782</v>
          </cell>
          <cell r="D6199" t="str">
            <v>San Isidro National High School</v>
          </cell>
          <cell r="E6199">
            <v>0</v>
          </cell>
          <cell r="F6199">
            <v>0</v>
          </cell>
          <cell r="G6199">
            <v>0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0</v>
          </cell>
        </row>
        <row r="6200">
          <cell r="C6200">
            <v>304783</v>
          </cell>
          <cell r="D6200" t="str">
            <v>Del Carmen National High School</v>
          </cell>
          <cell r="E6200">
            <v>0</v>
          </cell>
          <cell r="F6200">
            <v>0</v>
          </cell>
          <cell r="G6200">
            <v>0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>
            <v>0</v>
          </cell>
        </row>
        <row r="6201">
          <cell r="C6201">
            <v>304785</v>
          </cell>
          <cell r="D6201" t="str">
            <v>Sapao National High School</v>
          </cell>
          <cell r="E6201">
            <v>0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0</v>
          </cell>
        </row>
        <row r="6202">
          <cell r="C6202">
            <v>304788</v>
          </cell>
          <cell r="D6202" t="str">
            <v>SOCORRO NATIONAL HIGH SCHOOL</v>
          </cell>
          <cell r="E6202">
            <v>0</v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0</v>
          </cell>
        </row>
        <row r="6203">
          <cell r="C6203">
            <v>304789</v>
          </cell>
          <cell r="D6203" t="str">
            <v>Nueva Estrella NHS</v>
          </cell>
          <cell r="E6203">
            <v>0</v>
          </cell>
          <cell r="F6203">
            <v>0</v>
          </cell>
          <cell r="G6203">
            <v>0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>
            <v>0</v>
          </cell>
        </row>
        <row r="6204">
          <cell r="C6204">
            <v>304790</v>
          </cell>
          <cell r="D6204" t="str">
            <v>Pamosaingan National High School</v>
          </cell>
          <cell r="E6204">
            <v>0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0</v>
          </cell>
        </row>
        <row r="6205">
          <cell r="C6205">
            <v>304791</v>
          </cell>
          <cell r="D6205" t="str">
            <v>Union National High School</v>
          </cell>
          <cell r="E6205">
            <v>0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0</v>
          </cell>
        </row>
        <row r="6206">
          <cell r="C6206">
            <v>317601</v>
          </cell>
          <cell r="D6206" t="str">
            <v>Suyangan National High School</v>
          </cell>
          <cell r="E6206">
            <v>0</v>
          </cell>
          <cell r="F6206">
            <v>0</v>
          </cell>
          <cell r="G6206">
            <v>0</v>
          </cell>
          <cell r="H6206">
            <v>0</v>
          </cell>
          <cell r="I6206">
            <v>1</v>
          </cell>
          <cell r="J6206">
            <v>0</v>
          </cell>
          <cell r="K6206">
            <v>0</v>
          </cell>
          <cell r="L6206">
            <v>0</v>
          </cell>
        </row>
        <row r="6207">
          <cell r="C6207">
            <v>317602</v>
          </cell>
          <cell r="D6207" t="str">
            <v>Atoyay National High School</v>
          </cell>
          <cell r="E6207">
            <v>0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0</v>
          </cell>
        </row>
        <row r="6208">
          <cell r="C6208">
            <v>317604</v>
          </cell>
          <cell r="D6208" t="str">
            <v>Siargao National Science High School</v>
          </cell>
          <cell r="E6208">
            <v>0</v>
          </cell>
          <cell r="F6208">
            <v>0</v>
          </cell>
          <cell r="G6208">
            <v>0</v>
          </cell>
          <cell r="H6208">
            <v>0</v>
          </cell>
          <cell r="I6208">
            <v>1</v>
          </cell>
          <cell r="J6208">
            <v>7</v>
          </cell>
          <cell r="K6208">
            <v>0</v>
          </cell>
          <cell r="L6208">
            <v>0</v>
          </cell>
        </row>
        <row r="6209">
          <cell r="C6209">
            <v>317605</v>
          </cell>
          <cell r="D6209" t="str">
            <v>Oguing Navarro Memorial National High School</v>
          </cell>
          <cell r="E6209">
            <v>0</v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0</v>
          </cell>
        </row>
        <row r="6210">
          <cell r="C6210">
            <v>317607</v>
          </cell>
          <cell r="D6210" t="str">
            <v>Alegria National High School</v>
          </cell>
          <cell r="E6210">
            <v>0</v>
          </cell>
          <cell r="F6210">
            <v>0</v>
          </cell>
          <cell r="G6210">
            <v>0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  <cell r="L6210">
            <v>0</v>
          </cell>
        </row>
        <row r="6211">
          <cell r="C6211">
            <v>304792</v>
          </cell>
          <cell r="D6211" t="str">
            <v>Juan P. Cedro Sr. Memorial High Schoo</v>
          </cell>
          <cell r="E6211">
            <v>0</v>
          </cell>
          <cell r="F6211">
            <v>0</v>
          </cell>
          <cell r="G6211">
            <v>0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0</v>
          </cell>
        </row>
        <row r="6212">
          <cell r="C6212">
            <v>304793</v>
          </cell>
          <cell r="D6212" t="str">
            <v>Alegria NHS</v>
          </cell>
          <cell r="E6212">
            <v>0</v>
          </cell>
          <cell r="F6212">
            <v>0</v>
          </cell>
          <cell r="G6212">
            <v>0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>
            <v>0</v>
          </cell>
        </row>
        <row r="6213">
          <cell r="C6213">
            <v>304794</v>
          </cell>
          <cell r="D6213" t="str">
            <v>Caraga Regional Science HS</v>
          </cell>
          <cell r="E6213">
            <v>0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0</v>
          </cell>
        </row>
        <row r="6214">
          <cell r="C6214">
            <v>304795</v>
          </cell>
          <cell r="D6214" t="str">
            <v>Ipil NHS</v>
          </cell>
          <cell r="E6214">
            <v>0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0</v>
          </cell>
        </row>
        <row r="6215">
          <cell r="C6215">
            <v>304799</v>
          </cell>
          <cell r="D6215" t="str">
            <v>Mat-i National High School</v>
          </cell>
          <cell r="E6215">
            <v>0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0</v>
          </cell>
        </row>
        <row r="6216">
          <cell r="C6216">
            <v>304800</v>
          </cell>
          <cell r="D6216" t="str">
            <v>Anomar NHS</v>
          </cell>
          <cell r="E6216">
            <v>0</v>
          </cell>
          <cell r="F6216">
            <v>0</v>
          </cell>
          <cell r="G6216">
            <v>0</v>
          </cell>
          <cell r="H6216">
            <v>0</v>
          </cell>
          <cell r="I6216">
            <v>1</v>
          </cell>
          <cell r="J6216">
            <v>5</v>
          </cell>
          <cell r="K6216">
            <v>1</v>
          </cell>
          <cell r="L6216">
            <v>5</v>
          </cell>
        </row>
        <row r="6217">
          <cell r="C6217">
            <v>304801</v>
          </cell>
          <cell r="D6217" t="str">
            <v>Surigao City NHS</v>
          </cell>
          <cell r="E6217">
            <v>0</v>
          </cell>
          <cell r="F6217">
            <v>0</v>
          </cell>
          <cell r="G6217">
            <v>0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>
            <v>0</v>
          </cell>
        </row>
        <row r="6218">
          <cell r="C6218">
            <v>304802</v>
          </cell>
          <cell r="D6218" t="str">
            <v>Capalayan NHS</v>
          </cell>
          <cell r="E6218">
            <v>0</v>
          </cell>
          <cell r="F6218">
            <v>0</v>
          </cell>
          <cell r="G6218">
            <v>0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0</v>
          </cell>
        </row>
        <row r="6219">
          <cell r="C6219">
            <v>304803</v>
          </cell>
          <cell r="D6219" t="str">
            <v>Day-asan NHS</v>
          </cell>
          <cell r="E6219">
            <v>0</v>
          </cell>
          <cell r="F6219">
            <v>0</v>
          </cell>
          <cell r="G6219">
            <v>0</v>
          </cell>
          <cell r="H6219">
            <v>0</v>
          </cell>
          <cell r="I6219">
            <v>0</v>
          </cell>
          <cell r="J6219">
            <v>6</v>
          </cell>
          <cell r="K6219">
            <v>0</v>
          </cell>
          <cell r="L6219">
            <v>0</v>
          </cell>
        </row>
        <row r="6220">
          <cell r="C6220">
            <v>304804</v>
          </cell>
          <cell r="D6220" t="str">
            <v>Nonoc NHS - Annex</v>
          </cell>
          <cell r="E6220">
            <v>0</v>
          </cell>
          <cell r="F6220">
            <v>0</v>
          </cell>
          <cell r="G6220">
            <v>0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>
            <v>0</v>
          </cell>
        </row>
        <row r="6221">
          <cell r="C6221">
            <v>304805</v>
          </cell>
          <cell r="D6221" t="str">
            <v>Talisay NHS - Annex</v>
          </cell>
          <cell r="E6221">
            <v>0</v>
          </cell>
          <cell r="F6221">
            <v>0</v>
          </cell>
          <cell r="G6221">
            <v>0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  <cell r="L6221">
            <v>0</v>
          </cell>
        </row>
        <row r="6222">
          <cell r="C6222">
            <v>304806</v>
          </cell>
          <cell r="D6222" t="str">
            <v>Zaragoza National High School</v>
          </cell>
          <cell r="E6222">
            <v>0</v>
          </cell>
          <cell r="F6222">
            <v>0</v>
          </cell>
          <cell r="G6222">
            <v>0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  <cell r="L6222">
            <v>0</v>
          </cell>
        </row>
        <row r="6223">
          <cell r="C6223">
            <v>304807</v>
          </cell>
          <cell r="D6223" t="str">
            <v>San Jose NHS</v>
          </cell>
          <cell r="E6223">
            <v>0</v>
          </cell>
          <cell r="F6223">
            <v>0</v>
          </cell>
          <cell r="G6223">
            <v>0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  <cell r="L6223">
            <v>0</v>
          </cell>
        </row>
        <row r="6224">
          <cell r="C6224">
            <v>317701</v>
          </cell>
          <cell r="D6224" t="str">
            <v>Taft NHS</v>
          </cell>
          <cell r="E6224">
            <v>0</v>
          </cell>
          <cell r="F6224">
            <v>0</v>
          </cell>
          <cell r="G6224">
            <v>0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>
            <v>0</v>
          </cell>
        </row>
        <row r="6225">
          <cell r="C6225">
            <v>317702</v>
          </cell>
          <cell r="D6225" t="str">
            <v>Cantiasay NHS</v>
          </cell>
          <cell r="E6225">
            <v>0</v>
          </cell>
          <cell r="F6225">
            <v>0</v>
          </cell>
          <cell r="G6225">
            <v>0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>
            <v>0</v>
          </cell>
        </row>
        <row r="6226">
          <cell r="C6226">
            <v>317703</v>
          </cell>
          <cell r="D6226" t="str">
            <v>Libuac National High School</v>
          </cell>
          <cell r="E6226">
            <v>0</v>
          </cell>
          <cell r="F6226">
            <v>0</v>
          </cell>
          <cell r="G6226">
            <v>0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>
            <v>0</v>
          </cell>
        </row>
        <row r="6227">
          <cell r="C6227">
            <v>317704</v>
          </cell>
          <cell r="D6227" t="str">
            <v>Lipata National High School</v>
          </cell>
          <cell r="E6227">
            <v>0</v>
          </cell>
          <cell r="F6227">
            <v>0</v>
          </cell>
          <cell r="G6227">
            <v>0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>
            <v>0</v>
          </cell>
        </row>
        <row r="6228">
          <cell r="C6228">
            <v>317705</v>
          </cell>
          <cell r="D6228" t="str">
            <v>Patricio A. Bernaldez Memorial National High School</v>
          </cell>
          <cell r="E6228">
            <v>0</v>
          </cell>
          <cell r="F6228">
            <v>0</v>
          </cell>
          <cell r="G6228">
            <v>0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>
            <v>0</v>
          </cell>
        </row>
        <row r="6229">
          <cell r="C6229">
            <v>317706</v>
          </cell>
          <cell r="D6229" t="str">
            <v>Manjagao NHS</v>
          </cell>
          <cell r="E6229">
            <v>0</v>
          </cell>
          <cell r="F6229">
            <v>0</v>
          </cell>
          <cell r="G6229">
            <v>0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>
            <v>0</v>
          </cell>
        </row>
        <row r="6230">
          <cell r="C6230">
            <v>317707</v>
          </cell>
          <cell r="D6230" t="str">
            <v>Wilfredo D. Rafols Memorial National High School</v>
          </cell>
          <cell r="E6230">
            <v>0</v>
          </cell>
          <cell r="F6230">
            <v>0</v>
          </cell>
          <cell r="G6230">
            <v>0</v>
          </cell>
          <cell r="H6230">
            <v>0</v>
          </cell>
          <cell r="I6230">
            <v>0</v>
          </cell>
          <cell r="J6230">
            <v>0</v>
          </cell>
          <cell r="K6230">
            <v>0</v>
          </cell>
          <cell r="L6230">
            <v>0</v>
          </cell>
        </row>
        <row r="6231">
          <cell r="C6231">
            <v>340383</v>
          </cell>
          <cell r="D6231" t="str">
            <v>Cabrera-Altres National High School</v>
          </cell>
          <cell r="E6231">
            <v>0</v>
          </cell>
          <cell r="F6231">
            <v>0</v>
          </cell>
          <cell r="G6231">
            <v>0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>
            <v>0</v>
          </cell>
        </row>
        <row r="6232">
          <cell r="C6232">
            <v>304812</v>
          </cell>
          <cell r="D6232" t="str">
            <v>Tagana-an National High School (ASA NHS)</v>
          </cell>
          <cell r="E6232">
            <v>0</v>
          </cell>
          <cell r="F6232">
            <v>0</v>
          </cell>
          <cell r="G6232">
            <v>0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0</v>
          </cell>
        </row>
        <row r="6233">
          <cell r="C6233">
            <v>304813</v>
          </cell>
          <cell r="D6233" t="str">
            <v>Bacuag National  Agro-Industrial School</v>
          </cell>
          <cell r="E6233">
            <v>0</v>
          </cell>
          <cell r="F6233">
            <v>0</v>
          </cell>
          <cell r="G6233">
            <v>0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0</v>
          </cell>
        </row>
        <row r="6234">
          <cell r="C6234">
            <v>304814</v>
          </cell>
          <cell r="D6234" t="str">
            <v>Balite National High School</v>
          </cell>
          <cell r="E6234">
            <v>0</v>
          </cell>
          <cell r="F6234">
            <v>0</v>
          </cell>
          <cell r="G6234">
            <v>0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>
            <v>0</v>
          </cell>
        </row>
        <row r="6235">
          <cell r="C6235">
            <v>304817</v>
          </cell>
          <cell r="D6235" t="str">
            <v>Campo National High School</v>
          </cell>
          <cell r="E6235">
            <v>0</v>
          </cell>
          <cell r="F6235">
            <v>0</v>
          </cell>
          <cell r="G6235">
            <v>0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>
            <v>0</v>
          </cell>
        </row>
        <row r="6236">
          <cell r="C6236">
            <v>304818</v>
          </cell>
          <cell r="D6236" t="str">
            <v>Cantapoy National High School</v>
          </cell>
          <cell r="E6236">
            <v>0</v>
          </cell>
          <cell r="F6236">
            <v>0</v>
          </cell>
          <cell r="G6236">
            <v>0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>
            <v>0</v>
          </cell>
        </row>
        <row r="6237">
          <cell r="C6237">
            <v>304819</v>
          </cell>
          <cell r="D6237" t="str">
            <v>Pili National High School</v>
          </cell>
          <cell r="E6237">
            <v>0</v>
          </cell>
          <cell r="F6237">
            <v>0</v>
          </cell>
          <cell r="G6237">
            <v>0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>
            <v>0</v>
          </cell>
        </row>
        <row r="6238">
          <cell r="C6238">
            <v>304820</v>
          </cell>
          <cell r="D6238" t="str">
            <v>Claver National High  School</v>
          </cell>
          <cell r="E6238">
            <v>0</v>
          </cell>
          <cell r="F6238">
            <v>0</v>
          </cell>
          <cell r="G6238">
            <v>0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0</v>
          </cell>
        </row>
        <row r="6239">
          <cell r="C6239">
            <v>304821</v>
          </cell>
          <cell r="D6239" t="str">
            <v>Taganito National High School</v>
          </cell>
          <cell r="E6239">
            <v>0</v>
          </cell>
          <cell r="F6239">
            <v>0</v>
          </cell>
          <cell r="G6239">
            <v>0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0</v>
          </cell>
        </row>
        <row r="6240">
          <cell r="C6240">
            <v>304826</v>
          </cell>
          <cell r="D6240" t="str">
            <v>Gigaquit National  School of Home Industries</v>
          </cell>
          <cell r="E6240">
            <v>0</v>
          </cell>
          <cell r="F6240">
            <v>0</v>
          </cell>
          <cell r="G6240">
            <v>0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0</v>
          </cell>
        </row>
        <row r="6241">
          <cell r="C6241">
            <v>304829</v>
          </cell>
          <cell r="D6241" t="str">
            <v>Mainit National High School</v>
          </cell>
          <cell r="E6241">
            <v>0</v>
          </cell>
          <cell r="F6241">
            <v>0</v>
          </cell>
          <cell r="G6241">
            <v>0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>
            <v>0</v>
          </cell>
        </row>
        <row r="6242">
          <cell r="C6242">
            <v>304830</v>
          </cell>
          <cell r="D6242" t="str">
            <v>Paco National High School</v>
          </cell>
          <cell r="E6242">
            <v>0</v>
          </cell>
          <cell r="F6242">
            <v>0</v>
          </cell>
          <cell r="G6242">
            <v>0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>
            <v>0</v>
          </cell>
        </row>
        <row r="6243">
          <cell r="C6243">
            <v>304831</v>
          </cell>
          <cell r="D6243" t="str">
            <v>Masgad National High School</v>
          </cell>
          <cell r="E6243">
            <v>0</v>
          </cell>
          <cell r="F6243">
            <v>0</v>
          </cell>
          <cell r="G6243">
            <v>0</v>
          </cell>
          <cell r="H6243">
            <v>0</v>
          </cell>
          <cell r="I6243">
            <v>1</v>
          </cell>
          <cell r="J6243">
            <v>2</v>
          </cell>
          <cell r="K6243">
            <v>0</v>
          </cell>
          <cell r="L6243">
            <v>0</v>
          </cell>
        </row>
        <row r="6244">
          <cell r="C6244">
            <v>304832</v>
          </cell>
          <cell r="D6244" t="str">
            <v>Bunyasan National High School</v>
          </cell>
          <cell r="E6244">
            <v>0</v>
          </cell>
          <cell r="F6244">
            <v>0</v>
          </cell>
          <cell r="G6244">
            <v>0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0</v>
          </cell>
        </row>
        <row r="6245">
          <cell r="C6245">
            <v>304833</v>
          </cell>
          <cell r="D6245" t="str">
            <v>Malimono National High School</v>
          </cell>
          <cell r="E6245">
            <v>0</v>
          </cell>
          <cell r="F6245">
            <v>0</v>
          </cell>
          <cell r="G6245">
            <v>0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>
            <v>0</v>
          </cell>
        </row>
        <row r="6246">
          <cell r="C6246">
            <v>304834</v>
          </cell>
          <cell r="D6246" t="str">
            <v>Matin-ao National High School</v>
          </cell>
          <cell r="E6246">
            <v>0</v>
          </cell>
          <cell r="F6246">
            <v>0</v>
          </cell>
          <cell r="G6246">
            <v>0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0</v>
          </cell>
        </row>
        <row r="6247">
          <cell r="C6247">
            <v>304834</v>
          </cell>
          <cell r="D6247" t="str">
            <v>Matin-ao National High School</v>
          </cell>
          <cell r="E6247">
            <v>0</v>
          </cell>
          <cell r="F6247">
            <v>0</v>
          </cell>
          <cell r="G6247">
            <v>0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0</v>
          </cell>
        </row>
        <row r="6248">
          <cell r="C6248">
            <v>304835</v>
          </cell>
          <cell r="D6248" t="str">
            <v>Hacienda National High School</v>
          </cell>
          <cell r="E6248">
            <v>0</v>
          </cell>
          <cell r="F6248">
            <v>0</v>
          </cell>
          <cell r="G6248">
            <v>0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>
            <v>0</v>
          </cell>
        </row>
        <row r="6249">
          <cell r="C6249">
            <v>304837</v>
          </cell>
          <cell r="D6249" t="str">
            <v>Placer National High School</v>
          </cell>
          <cell r="E6249">
            <v>0</v>
          </cell>
          <cell r="F6249">
            <v>0</v>
          </cell>
          <cell r="G6249">
            <v>0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0</v>
          </cell>
        </row>
        <row r="6250">
          <cell r="C6250">
            <v>304838</v>
          </cell>
          <cell r="D6250" t="str">
            <v>Lakandula National High School</v>
          </cell>
          <cell r="E6250">
            <v>0</v>
          </cell>
          <cell r="F6250">
            <v>0</v>
          </cell>
          <cell r="G6250">
            <v>0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0</v>
          </cell>
        </row>
        <row r="6251">
          <cell r="C6251">
            <v>304843</v>
          </cell>
          <cell r="D6251" t="str">
            <v>San Francisco National High School</v>
          </cell>
          <cell r="E6251">
            <v>0</v>
          </cell>
          <cell r="F6251">
            <v>0</v>
          </cell>
          <cell r="G6251">
            <v>0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0</v>
          </cell>
        </row>
        <row r="6252">
          <cell r="C6252">
            <v>304845</v>
          </cell>
          <cell r="D6252" t="str">
            <v>Amando A. Fabio Memorial National High School (Sta. Cruz National School)</v>
          </cell>
          <cell r="E6252">
            <v>0</v>
          </cell>
          <cell r="F6252">
            <v>0</v>
          </cell>
          <cell r="G6252">
            <v>0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0</v>
          </cell>
        </row>
        <row r="6253">
          <cell r="C6253">
            <v>304847</v>
          </cell>
          <cell r="D6253" t="str">
            <v>Surigao Del Norte National High School</v>
          </cell>
          <cell r="E6253">
            <v>0</v>
          </cell>
          <cell r="F6253">
            <v>0</v>
          </cell>
          <cell r="G6253">
            <v>0</v>
          </cell>
          <cell r="H6253">
            <v>0</v>
          </cell>
          <cell r="I6253">
            <v>10</v>
          </cell>
          <cell r="J6253">
            <v>33</v>
          </cell>
          <cell r="K6253">
            <v>12</v>
          </cell>
          <cell r="L6253">
            <v>39</v>
          </cell>
        </row>
        <row r="6254">
          <cell r="C6254">
            <v>304849</v>
          </cell>
          <cell r="D6254" t="str">
            <v>Toledo S. Pantilo Sr. Memorial National High School</v>
          </cell>
          <cell r="E6254">
            <v>0</v>
          </cell>
          <cell r="F6254">
            <v>0</v>
          </cell>
          <cell r="G6254">
            <v>0</v>
          </cell>
          <cell r="H6254">
            <v>0</v>
          </cell>
          <cell r="I6254">
            <v>3</v>
          </cell>
          <cell r="J6254">
            <v>7</v>
          </cell>
          <cell r="K6254">
            <v>0</v>
          </cell>
          <cell r="L6254">
            <v>0</v>
          </cell>
        </row>
        <row r="6255">
          <cell r="C6255">
            <v>304850</v>
          </cell>
          <cell r="D6255" t="str">
            <v>Mayag National High School</v>
          </cell>
          <cell r="E6255">
            <v>0</v>
          </cell>
          <cell r="F6255">
            <v>0</v>
          </cell>
          <cell r="G6255">
            <v>0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>
            <v>0</v>
          </cell>
        </row>
        <row r="6256">
          <cell r="C6256">
            <v>304853</v>
          </cell>
          <cell r="D6256" t="str">
            <v>Timamana National High School</v>
          </cell>
          <cell r="E6256">
            <v>0</v>
          </cell>
          <cell r="F6256">
            <v>0</v>
          </cell>
          <cell r="G6256">
            <v>0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>
            <v>0</v>
          </cell>
        </row>
        <row r="6257">
          <cell r="C6257">
            <v>304855</v>
          </cell>
          <cell r="D6257" t="str">
            <v>Tubod National High School</v>
          </cell>
          <cell r="E6257">
            <v>0</v>
          </cell>
          <cell r="F6257">
            <v>0</v>
          </cell>
          <cell r="G6257">
            <v>0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0</v>
          </cell>
        </row>
        <row r="6258">
          <cell r="C6258">
            <v>317803</v>
          </cell>
          <cell r="D6258" t="str">
            <v>Magpayang National High School</v>
          </cell>
          <cell r="E6258">
            <v>0</v>
          </cell>
          <cell r="F6258">
            <v>0</v>
          </cell>
          <cell r="G6258">
            <v>0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0</v>
          </cell>
        </row>
        <row r="6259">
          <cell r="C6259">
            <v>317804</v>
          </cell>
          <cell r="D6259" t="str">
            <v>Lasicam - Perral National High School</v>
          </cell>
          <cell r="E6259">
            <v>0</v>
          </cell>
          <cell r="F6259">
            <v>0</v>
          </cell>
          <cell r="G6259">
            <v>0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0</v>
          </cell>
        </row>
        <row r="6260">
          <cell r="C6260">
            <v>317806</v>
          </cell>
          <cell r="D6260" t="str">
            <v>Payapag National High School</v>
          </cell>
          <cell r="E6260">
            <v>0</v>
          </cell>
          <cell r="F6260">
            <v>0</v>
          </cell>
          <cell r="G6260">
            <v>0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>
            <v>0</v>
          </cell>
        </row>
        <row r="6261">
          <cell r="C6261">
            <v>317807</v>
          </cell>
          <cell r="D6261" t="str">
            <v>Pananay-an National High School</v>
          </cell>
          <cell r="E6261">
            <v>0</v>
          </cell>
          <cell r="F6261">
            <v>0</v>
          </cell>
          <cell r="G6261">
            <v>0</v>
          </cell>
          <cell r="H6261">
            <v>0</v>
          </cell>
          <cell r="I6261">
            <v>0</v>
          </cell>
          <cell r="J6261">
            <v>4</v>
          </cell>
          <cell r="K6261">
            <v>0</v>
          </cell>
          <cell r="L6261">
            <v>0</v>
          </cell>
        </row>
        <row r="6262">
          <cell r="C6262">
            <v>317808</v>
          </cell>
          <cell r="D6262" t="str">
            <v>Dakung Patag National High School</v>
          </cell>
          <cell r="E6262">
            <v>0</v>
          </cell>
          <cell r="F6262">
            <v>0</v>
          </cell>
          <cell r="G6262">
            <v>0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0</v>
          </cell>
        </row>
        <row r="6263">
          <cell r="C6263">
            <v>317809</v>
          </cell>
          <cell r="D6263" t="str">
            <v>Talavera National High School</v>
          </cell>
          <cell r="E6263">
            <v>0</v>
          </cell>
          <cell r="F6263">
            <v>0</v>
          </cell>
          <cell r="G6263">
            <v>0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0</v>
          </cell>
        </row>
        <row r="6264">
          <cell r="C6264">
            <v>317810</v>
          </cell>
          <cell r="D6264" t="str">
            <v>Cawilan National High School</v>
          </cell>
          <cell r="E6264">
            <v>0</v>
          </cell>
          <cell r="F6264">
            <v>0</v>
          </cell>
          <cell r="G6264">
            <v>0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0</v>
          </cell>
        </row>
        <row r="6265">
          <cell r="C6265">
            <v>340416</v>
          </cell>
          <cell r="D6265" t="str">
            <v>Alegria Stand Alone Senior High School</v>
          </cell>
          <cell r="E6265">
            <v>0</v>
          </cell>
          <cell r="F6265">
            <v>0</v>
          </cell>
          <cell r="G6265">
            <v>0</v>
          </cell>
          <cell r="H6265">
            <v>0</v>
          </cell>
          <cell r="I6265">
            <v>18</v>
          </cell>
          <cell r="J6265">
            <v>12</v>
          </cell>
          <cell r="K6265">
            <v>0</v>
          </cell>
          <cell r="L6265">
            <v>0</v>
          </cell>
        </row>
        <row r="6266">
          <cell r="C6266">
            <v>304857</v>
          </cell>
          <cell r="D6266" t="str">
            <v>Adlay National High School</v>
          </cell>
          <cell r="E6266">
            <v>0</v>
          </cell>
          <cell r="F6266">
            <v>0</v>
          </cell>
          <cell r="G6266">
            <v>0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0</v>
          </cell>
        </row>
        <row r="6267">
          <cell r="C6267">
            <v>304858</v>
          </cell>
          <cell r="D6267" t="str">
            <v>Anibongan National High School</v>
          </cell>
          <cell r="E6267">
            <v>0</v>
          </cell>
          <cell r="F6267">
            <v>0</v>
          </cell>
          <cell r="G6267">
            <v>0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>
            <v>0</v>
          </cell>
        </row>
        <row r="6268">
          <cell r="C6268">
            <v>304859</v>
          </cell>
          <cell r="D6268" t="str">
            <v>Lianga National Comprehensive National High School</v>
          </cell>
          <cell r="E6268">
            <v>0</v>
          </cell>
          <cell r="F6268">
            <v>0</v>
          </cell>
          <cell r="G6268">
            <v>0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>
            <v>0</v>
          </cell>
        </row>
        <row r="6269">
          <cell r="C6269">
            <v>304860</v>
          </cell>
          <cell r="D6269" t="str">
            <v>Barcelona National High School</v>
          </cell>
          <cell r="E6269">
            <v>0</v>
          </cell>
          <cell r="F6269">
            <v>0</v>
          </cell>
          <cell r="G6269">
            <v>0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>
            <v>0</v>
          </cell>
        </row>
        <row r="6270">
          <cell r="C6270">
            <v>304861</v>
          </cell>
          <cell r="D6270" t="str">
            <v>Barobo National High School</v>
          </cell>
          <cell r="E6270">
            <v>0</v>
          </cell>
          <cell r="F6270">
            <v>0</v>
          </cell>
          <cell r="G6270">
            <v>0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>
            <v>0</v>
          </cell>
        </row>
        <row r="6271">
          <cell r="C6271">
            <v>304862</v>
          </cell>
          <cell r="D6271" t="str">
            <v>Cabacungan National High School</v>
          </cell>
          <cell r="E6271">
            <v>0</v>
          </cell>
          <cell r="F6271">
            <v>0</v>
          </cell>
          <cell r="G6271">
            <v>0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>
            <v>0</v>
          </cell>
        </row>
        <row r="6272">
          <cell r="C6272">
            <v>304863</v>
          </cell>
          <cell r="D6272" t="str">
            <v>Javier National High School</v>
          </cell>
          <cell r="E6272">
            <v>0</v>
          </cell>
          <cell r="F6272">
            <v>0</v>
          </cell>
          <cell r="G6272">
            <v>0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0</v>
          </cell>
        </row>
        <row r="6273">
          <cell r="C6273">
            <v>304864</v>
          </cell>
          <cell r="D6273" t="str">
            <v>Tambis National High School</v>
          </cell>
          <cell r="E6273">
            <v>0</v>
          </cell>
          <cell r="F6273">
            <v>0</v>
          </cell>
          <cell r="G6273">
            <v>0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>
            <v>0</v>
          </cell>
        </row>
        <row r="6274">
          <cell r="C6274">
            <v>304872</v>
          </cell>
          <cell r="D6274" t="str">
            <v>Burgos National High School</v>
          </cell>
          <cell r="E6274">
            <v>0</v>
          </cell>
          <cell r="F6274">
            <v>0</v>
          </cell>
          <cell r="G6274">
            <v>0</v>
          </cell>
          <cell r="H6274">
            <v>0</v>
          </cell>
          <cell r="I6274">
            <v>1</v>
          </cell>
          <cell r="J6274">
            <v>2</v>
          </cell>
          <cell r="K6274">
            <v>0</v>
          </cell>
          <cell r="L6274">
            <v>2</v>
          </cell>
        </row>
        <row r="6275">
          <cell r="C6275">
            <v>304873</v>
          </cell>
          <cell r="D6275" t="str">
            <v>Cantilan National High School</v>
          </cell>
          <cell r="E6275">
            <v>0</v>
          </cell>
          <cell r="F6275">
            <v>0</v>
          </cell>
          <cell r="G6275">
            <v>0</v>
          </cell>
          <cell r="H6275">
            <v>0</v>
          </cell>
          <cell r="I6275">
            <v>7</v>
          </cell>
          <cell r="J6275">
            <v>10</v>
          </cell>
          <cell r="K6275">
            <v>0</v>
          </cell>
          <cell r="L6275">
            <v>0</v>
          </cell>
        </row>
        <row r="6276">
          <cell r="C6276">
            <v>304875</v>
          </cell>
          <cell r="D6276" t="str">
            <v>Carmen National Agricultural High School</v>
          </cell>
          <cell r="E6276">
            <v>0</v>
          </cell>
          <cell r="F6276">
            <v>0</v>
          </cell>
          <cell r="G6276">
            <v>0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0</v>
          </cell>
        </row>
        <row r="6277">
          <cell r="C6277">
            <v>304877</v>
          </cell>
          <cell r="D6277" t="str">
            <v>Carrascal National High School</v>
          </cell>
          <cell r="E6277">
            <v>0</v>
          </cell>
          <cell r="F6277">
            <v>0</v>
          </cell>
          <cell r="G6277">
            <v>0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0</v>
          </cell>
        </row>
        <row r="6278">
          <cell r="C6278">
            <v>304878</v>
          </cell>
          <cell r="D6278" t="str">
            <v>Doña Carmen National High School</v>
          </cell>
          <cell r="E6278">
            <v>0</v>
          </cell>
          <cell r="F6278">
            <v>0</v>
          </cell>
          <cell r="G6278">
            <v>0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</row>
        <row r="6279">
          <cell r="C6279">
            <v>304879</v>
          </cell>
          <cell r="D6279" t="str">
            <v>Dante Luib Osano Maputi National High School</v>
          </cell>
          <cell r="E6279">
            <v>0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</row>
        <row r="6280">
          <cell r="C6280">
            <v>304880</v>
          </cell>
          <cell r="D6280" t="str">
            <v>Kahayagan National High School</v>
          </cell>
          <cell r="E6280">
            <v>0</v>
          </cell>
          <cell r="F6280">
            <v>0</v>
          </cell>
          <cell r="G6280">
            <v>0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0</v>
          </cell>
        </row>
        <row r="6281">
          <cell r="C6281">
            <v>304881</v>
          </cell>
          <cell r="D6281" t="str">
            <v>Maglatab National High School</v>
          </cell>
          <cell r="E6281">
            <v>0</v>
          </cell>
          <cell r="F6281">
            <v>0</v>
          </cell>
          <cell r="G6281">
            <v>0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0</v>
          </cell>
        </row>
        <row r="6282">
          <cell r="C6282">
            <v>304882</v>
          </cell>
          <cell r="D6282" t="str">
            <v>San Vicente II National High School</v>
          </cell>
          <cell r="E6282">
            <v>0</v>
          </cell>
          <cell r="F6282">
            <v>0</v>
          </cell>
          <cell r="G6282">
            <v>0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0</v>
          </cell>
        </row>
        <row r="6283">
          <cell r="C6283">
            <v>304883</v>
          </cell>
          <cell r="D6283" t="str">
            <v>Sta. Juana National High School</v>
          </cell>
          <cell r="E6283">
            <v>0</v>
          </cell>
          <cell r="F6283">
            <v>0</v>
          </cell>
          <cell r="G6283">
            <v>0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0</v>
          </cell>
        </row>
        <row r="6284">
          <cell r="C6284">
            <v>304884</v>
          </cell>
          <cell r="D6284" t="str">
            <v>Tagbina National High School</v>
          </cell>
          <cell r="E6284">
            <v>0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</row>
        <row r="6285">
          <cell r="C6285">
            <v>304885</v>
          </cell>
          <cell r="D6285" t="str">
            <v>Florita Herrera-Irizari National High School</v>
          </cell>
          <cell r="E6285">
            <v>0</v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</row>
        <row r="6286">
          <cell r="C6286">
            <v>304886</v>
          </cell>
          <cell r="D6286" t="str">
            <v>Felisberto Verano National High School</v>
          </cell>
          <cell r="E6286">
            <v>0</v>
          </cell>
          <cell r="F6286">
            <v>0</v>
          </cell>
          <cell r="G6286">
            <v>0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0</v>
          </cell>
        </row>
        <row r="6287">
          <cell r="C6287">
            <v>304887</v>
          </cell>
          <cell r="D6287" t="str">
            <v>Tigao National High School</v>
          </cell>
          <cell r="E6287">
            <v>9</v>
          </cell>
          <cell r="F6287">
            <v>0</v>
          </cell>
          <cell r="G6287">
            <v>0</v>
          </cell>
          <cell r="H6287">
            <v>0</v>
          </cell>
          <cell r="I6287">
            <v>2</v>
          </cell>
          <cell r="J6287">
            <v>7</v>
          </cell>
          <cell r="K6287">
            <v>2</v>
          </cell>
          <cell r="L6287">
            <v>7</v>
          </cell>
        </row>
        <row r="6288">
          <cell r="C6288">
            <v>304888</v>
          </cell>
          <cell r="D6288" t="str">
            <v>Gamut National School (Barobo)</v>
          </cell>
          <cell r="E6288">
            <v>0</v>
          </cell>
          <cell r="F6288">
            <v>0</v>
          </cell>
          <cell r="G6288">
            <v>0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0</v>
          </cell>
        </row>
        <row r="6289">
          <cell r="C6289">
            <v>304889</v>
          </cell>
          <cell r="D6289" t="str">
            <v>Gamut National High School (Tago)</v>
          </cell>
          <cell r="E6289">
            <v>0</v>
          </cell>
          <cell r="F6289">
            <v>0</v>
          </cell>
          <cell r="G6289">
            <v>0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>
            <v>0</v>
          </cell>
        </row>
        <row r="6290">
          <cell r="C6290">
            <v>304890</v>
          </cell>
          <cell r="D6290" t="str">
            <v>Hinatuan National Comprehensive High School</v>
          </cell>
          <cell r="E6290">
            <v>0</v>
          </cell>
          <cell r="F6290">
            <v>0</v>
          </cell>
          <cell r="G6290">
            <v>0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0</v>
          </cell>
        </row>
        <row r="6291">
          <cell r="C6291">
            <v>304895</v>
          </cell>
          <cell r="D6291" t="str">
            <v>Lingig National High School</v>
          </cell>
          <cell r="E6291">
            <v>0</v>
          </cell>
          <cell r="F6291">
            <v>0</v>
          </cell>
          <cell r="G6291">
            <v>0</v>
          </cell>
          <cell r="H6291">
            <v>0</v>
          </cell>
          <cell r="I6291">
            <v>0</v>
          </cell>
          <cell r="J6291">
            <v>1</v>
          </cell>
          <cell r="K6291">
            <v>0</v>
          </cell>
          <cell r="L6291">
            <v>1</v>
          </cell>
        </row>
        <row r="6292">
          <cell r="C6292">
            <v>304896</v>
          </cell>
          <cell r="D6292" t="str">
            <v>M.K.Yusingco National High School</v>
          </cell>
          <cell r="E6292">
            <v>0</v>
          </cell>
          <cell r="F6292">
            <v>0</v>
          </cell>
          <cell r="G6292">
            <v>0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>
            <v>0</v>
          </cell>
        </row>
        <row r="6293">
          <cell r="C6293">
            <v>304897</v>
          </cell>
          <cell r="D6293" t="str">
            <v>Madrid National High School</v>
          </cell>
          <cell r="E6293">
            <v>0</v>
          </cell>
          <cell r="F6293">
            <v>0</v>
          </cell>
          <cell r="G6293">
            <v>0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  <cell r="L6293">
            <v>0</v>
          </cell>
        </row>
        <row r="6294">
          <cell r="C6294">
            <v>304898</v>
          </cell>
          <cell r="D6294" t="str">
            <v>Marihatag National  Agricultural  High School</v>
          </cell>
          <cell r="E6294">
            <v>0</v>
          </cell>
          <cell r="F6294">
            <v>0</v>
          </cell>
          <cell r="G6294">
            <v>0</v>
          </cell>
          <cell r="H6294">
            <v>0</v>
          </cell>
          <cell r="I6294">
            <v>0</v>
          </cell>
          <cell r="J6294">
            <v>2</v>
          </cell>
          <cell r="K6294">
            <v>0</v>
          </cell>
          <cell r="L6294">
            <v>0</v>
          </cell>
        </row>
        <row r="6295">
          <cell r="C6295">
            <v>304899</v>
          </cell>
          <cell r="D6295" t="str">
            <v>Antipolo National High School</v>
          </cell>
          <cell r="E6295">
            <v>0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>
            <v>0</v>
          </cell>
        </row>
        <row r="6296">
          <cell r="C6296">
            <v>304900</v>
          </cell>
          <cell r="D6296" t="str">
            <v>Panikian National High School</v>
          </cell>
          <cell r="E6296">
            <v>0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>
            <v>0</v>
          </cell>
        </row>
        <row r="6297">
          <cell r="C6297">
            <v>304901</v>
          </cell>
          <cell r="D6297" t="str">
            <v>Parang National High School</v>
          </cell>
          <cell r="E6297">
            <v>0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>
            <v>0</v>
          </cell>
        </row>
        <row r="6298">
          <cell r="C6298">
            <v>304902</v>
          </cell>
          <cell r="D6298" t="str">
            <v>Portlamon Pastor Uy National High School</v>
          </cell>
          <cell r="E6298">
            <v>0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0</v>
          </cell>
        </row>
        <row r="6299">
          <cell r="C6299">
            <v>304903</v>
          </cell>
          <cell r="D6299" t="str">
            <v>Purisima National High School</v>
          </cell>
          <cell r="E6299">
            <v>0</v>
          </cell>
          <cell r="F6299">
            <v>0</v>
          </cell>
          <cell r="G6299">
            <v>0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>
            <v>0</v>
          </cell>
        </row>
        <row r="6300">
          <cell r="C6300">
            <v>304904</v>
          </cell>
          <cell r="D6300" t="str">
            <v>Salvacion National High School</v>
          </cell>
          <cell r="E6300">
            <v>0</v>
          </cell>
          <cell r="F6300">
            <v>0</v>
          </cell>
          <cell r="G6300">
            <v>0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>
            <v>0</v>
          </cell>
        </row>
        <row r="6301">
          <cell r="C6301">
            <v>304905</v>
          </cell>
          <cell r="D6301" t="str">
            <v>San Miguel National Comprehensive High School</v>
          </cell>
          <cell r="E6301">
            <v>0</v>
          </cell>
          <cell r="F6301">
            <v>0</v>
          </cell>
          <cell r="G6301">
            <v>0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>
            <v>0</v>
          </cell>
        </row>
        <row r="6302">
          <cell r="C6302">
            <v>304906</v>
          </cell>
          <cell r="D6302" t="str">
            <v>Bolhoon National High School</v>
          </cell>
          <cell r="E6302">
            <v>0</v>
          </cell>
          <cell r="F6302">
            <v>0</v>
          </cell>
          <cell r="G6302">
            <v>0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>
            <v>0</v>
          </cell>
        </row>
        <row r="6303">
          <cell r="C6303">
            <v>304907</v>
          </cell>
          <cell r="D6303" t="str">
            <v>Sagbayan National High School</v>
          </cell>
          <cell r="E6303">
            <v>0</v>
          </cell>
          <cell r="F6303">
            <v>0</v>
          </cell>
          <cell r="G6303">
            <v>0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>
            <v>0</v>
          </cell>
        </row>
        <row r="6304">
          <cell r="C6304">
            <v>304908</v>
          </cell>
          <cell r="D6304" t="str">
            <v>San Miguel National High School</v>
          </cell>
          <cell r="E6304">
            <v>0</v>
          </cell>
          <cell r="F6304">
            <v>0</v>
          </cell>
          <cell r="G6304">
            <v>0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>
            <v>0</v>
          </cell>
        </row>
        <row r="6305">
          <cell r="C6305">
            <v>304909</v>
          </cell>
          <cell r="D6305" t="str">
            <v>Solomon P. Lozada National High School</v>
          </cell>
          <cell r="E6305">
            <v>0</v>
          </cell>
          <cell r="F6305">
            <v>0</v>
          </cell>
          <cell r="G6305">
            <v>0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>
            <v>0</v>
          </cell>
        </row>
        <row r="6306">
          <cell r="C6306">
            <v>304915</v>
          </cell>
          <cell r="D6306" t="str">
            <v>St. Christine National High School</v>
          </cell>
          <cell r="E6306">
            <v>0</v>
          </cell>
          <cell r="F6306">
            <v>0</v>
          </cell>
          <cell r="G6306">
            <v>0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>
            <v>0</v>
          </cell>
        </row>
        <row r="6307">
          <cell r="C6307">
            <v>304916</v>
          </cell>
          <cell r="D6307" t="str">
            <v>Sto. Niño National High School</v>
          </cell>
          <cell r="E6307">
            <v>0</v>
          </cell>
          <cell r="F6307">
            <v>0</v>
          </cell>
          <cell r="G6307">
            <v>0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0</v>
          </cell>
        </row>
        <row r="6308">
          <cell r="C6308">
            <v>304920</v>
          </cell>
          <cell r="D6308" t="str">
            <v>Tagasaka National High School</v>
          </cell>
          <cell r="E6308">
            <v>0</v>
          </cell>
          <cell r="F6308">
            <v>0</v>
          </cell>
          <cell r="G6308">
            <v>0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>
            <v>0</v>
          </cell>
        </row>
        <row r="6309">
          <cell r="C6309">
            <v>304921</v>
          </cell>
          <cell r="D6309" t="str">
            <v>Bigaan National High School</v>
          </cell>
          <cell r="E6309">
            <v>0</v>
          </cell>
          <cell r="F6309">
            <v>0</v>
          </cell>
          <cell r="G6309">
            <v>0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>
            <v>0</v>
          </cell>
        </row>
        <row r="6310">
          <cell r="C6310">
            <v>304923</v>
          </cell>
          <cell r="D6310" t="str">
            <v>Tidman National High School</v>
          </cell>
          <cell r="E6310">
            <v>0</v>
          </cell>
          <cell r="F6310">
            <v>0</v>
          </cell>
          <cell r="G6310">
            <v>0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  <cell r="L6310">
            <v>0</v>
          </cell>
        </row>
        <row r="6311">
          <cell r="C6311">
            <v>304924</v>
          </cell>
          <cell r="D6311" t="str">
            <v>Unidad National High School</v>
          </cell>
          <cell r="E6311">
            <v>0</v>
          </cell>
          <cell r="F6311">
            <v>0</v>
          </cell>
          <cell r="G6311">
            <v>0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  <cell r="L6311">
            <v>0</v>
          </cell>
        </row>
        <row r="6312">
          <cell r="C6312">
            <v>304925</v>
          </cell>
          <cell r="D6312" t="str">
            <v>Jose Sanvictores Sr. National School Annex</v>
          </cell>
          <cell r="E6312">
            <v>0</v>
          </cell>
          <cell r="F6312">
            <v>0</v>
          </cell>
          <cell r="G6312">
            <v>0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0</v>
          </cell>
        </row>
        <row r="6313">
          <cell r="C6313">
            <v>317903</v>
          </cell>
          <cell r="D6313" t="str">
            <v>Badong National High School</v>
          </cell>
          <cell r="E6313">
            <v>0</v>
          </cell>
          <cell r="F6313">
            <v>0</v>
          </cell>
          <cell r="G6313">
            <v>0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>
            <v>0</v>
          </cell>
        </row>
        <row r="6314">
          <cell r="C6314">
            <v>317904</v>
          </cell>
          <cell r="D6314" t="str">
            <v>Union National High School</v>
          </cell>
          <cell r="E6314">
            <v>0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0</v>
          </cell>
        </row>
        <row r="6315">
          <cell r="C6315">
            <v>317905</v>
          </cell>
          <cell r="D6315" t="str">
            <v>MARARAG NATIONAL HIGH SCHOOL</v>
          </cell>
          <cell r="E6315">
            <v>0</v>
          </cell>
          <cell r="F6315">
            <v>0</v>
          </cell>
          <cell r="G6315">
            <v>0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>
            <v>0</v>
          </cell>
        </row>
        <row r="6316">
          <cell r="C6316">
            <v>317906</v>
          </cell>
          <cell r="D6316" t="str">
            <v>Cresencio S. Lago National High School</v>
          </cell>
          <cell r="E6316">
            <v>0</v>
          </cell>
          <cell r="F6316">
            <v>0</v>
          </cell>
          <cell r="G6316">
            <v>0</v>
          </cell>
          <cell r="H6316">
            <v>0</v>
          </cell>
          <cell r="I6316">
            <v>0</v>
          </cell>
          <cell r="J6316">
            <v>1</v>
          </cell>
          <cell r="K6316">
            <v>0</v>
          </cell>
          <cell r="L6316">
            <v>0</v>
          </cell>
        </row>
        <row r="6317">
          <cell r="C6317">
            <v>317907</v>
          </cell>
          <cell r="D6317" t="str">
            <v>Clarence Ty Pimentel National High School</v>
          </cell>
          <cell r="E6317">
            <v>0</v>
          </cell>
          <cell r="F6317">
            <v>0</v>
          </cell>
          <cell r="G6317">
            <v>0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>
            <v>0</v>
          </cell>
        </row>
        <row r="6318">
          <cell r="C6318">
            <v>317908</v>
          </cell>
          <cell r="D6318" t="str">
            <v>Mahayag National High School</v>
          </cell>
          <cell r="E6318">
            <v>0</v>
          </cell>
          <cell r="F6318">
            <v>0</v>
          </cell>
          <cell r="G6318">
            <v>0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>
            <v>0</v>
          </cell>
        </row>
        <row r="6319">
          <cell r="C6319">
            <v>317910</v>
          </cell>
          <cell r="D6319" t="str">
            <v>Loyola National High School</v>
          </cell>
          <cell r="E6319">
            <v>0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0</v>
          </cell>
        </row>
        <row r="6320">
          <cell r="C6320">
            <v>317912</v>
          </cell>
          <cell r="D6320" t="str">
            <v>Davisol National High School</v>
          </cell>
          <cell r="E6320">
            <v>0</v>
          </cell>
          <cell r="F6320">
            <v>0</v>
          </cell>
          <cell r="G6320">
            <v>0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0</v>
          </cell>
        </row>
        <row r="6321">
          <cell r="C6321">
            <v>317913</v>
          </cell>
          <cell r="D6321" t="str">
            <v>San Roque National High School</v>
          </cell>
          <cell r="E6321">
            <v>0</v>
          </cell>
          <cell r="F6321">
            <v>0</v>
          </cell>
          <cell r="G6321">
            <v>0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0</v>
          </cell>
        </row>
        <row r="6322">
          <cell r="C6322">
            <v>317921</v>
          </cell>
          <cell r="D6322" t="str">
            <v>Wakat National High School</v>
          </cell>
          <cell r="E6322">
            <v>0</v>
          </cell>
          <cell r="F6322">
            <v>0</v>
          </cell>
          <cell r="G6322">
            <v>0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>
            <v>0</v>
          </cell>
        </row>
        <row r="6323">
          <cell r="C6323">
            <v>317928</v>
          </cell>
          <cell r="D6323" t="str">
            <v>Canico P. Iriberri National High School</v>
          </cell>
          <cell r="E6323">
            <v>0</v>
          </cell>
          <cell r="F6323">
            <v>0</v>
          </cell>
          <cell r="G6323">
            <v>0</v>
          </cell>
          <cell r="H6323">
            <v>0</v>
          </cell>
          <cell r="I6323">
            <v>0</v>
          </cell>
          <cell r="J6323">
            <v>1</v>
          </cell>
          <cell r="K6323">
            <v>1</v>
          </cell>
          <cell r="L6323">
            <v>0</v>
          </cell>
        </row>
        <row r="6324">
          <cell r="C6324">
            <v>317939</v>
          </cell>
          <cell r="D6324" t="str">
            <v>Hinatuan National Comprehensive High School - Roxas National High School  Annex</v>
          </cell>
          <cell r="E6324">
            <v>0</v>
          </cell>
          <cell r="F6324">
            <v>0</v>
          </cell>
          <cell r="G6324">
            <v>0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>
            <v>0</v>
          </cell>
        </row>
        <row r="6325">
          <cell r="C6325">
            <v>317940</v>
          </cell>
          <cell r="D6325" t="str">
            <v>Cambatong National High School</v>
          </cell>
          <cell r="E6325">
            <v>0</v>
          </cell>
          <cell r="F6325">
            <v>0</v>
          </cell>
          <cell r="G6325">
            <v>0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0</v>
          </cell>
        </row>
        <row r="6326">
          <cell r="C6326">
            <v>317941</v>
          </cell>
          <cell r="D6326" t="str">
            <v>Rizal National High School</v>
          </cell>
          <cell r="E6326">
            <v>0</v>
          </cell>
          <cell r="F6326">
            <v>0</v>
          </cell>
          <cell r="G6326">
            <v>0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>
            <v>0</v>
          </cell>
        </row>
        <row r="6327">
          <cell r="C6327">
            <v>500050</v>
          </cell>
          <cell r="D6327" t="str">
            <v>Esperanza Elementary School</v>
          </cell>
          <cell r="E6327">
            <v>0</v>
          </cell>
          <cell r="F6327">
            <v>0</v>
          </cell>
          <cell r="G6327">
            <v>0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0</v>
          </cell>
        </row>
        <row r="6328">
          <cell r="C6328">
            <v>500320</v>
          </cell>
          <cell r="D6328" t="str">
            <v>Nurcia Elementary School</v>
          </cell>
          <cell r="E6328">
            <v>0</v>
          </cell>
          <cell r="F6328">
            <v>0</v>
          </cell>
          <cell r="G6328">
            <v>0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>
            <v>0</v>
          </cell>
        </row>
        <row r="6329">
          <cell r="C6329">
            <v>500321</v>
          </cell>
          <cell r="D6329" t="str">
            <v>Matho Elementary School</v>
          </cell>
          <cell r="E6329">
            <v>0</v>
          </cell>
          <cell r="F6329">
            <v>0</v>
          </cell>
          <cell r="G6329">
            <v>0</v>
          </cell>
          <cell r="H6329">
            <v>0</v>
          </cell>
          <cell r="I6329">
            <v>0</v>
          </cell>
          <cell r="J6329">
            <v>0</v>
          </cell>
          <cell r="K6329">
            <v>0</v>
          </cell>
          <cell r="L6329">
            <v>0</v>
          </cell>
        </row>
        <row r="6330">
          <cell r="C6330">
            <v>500322</v>
          </cell>
          <cell r="D6330" t="str">
            <v>Bangsud Integrated Secondary School</v>
          </cell>
          <cell r="E6330">
            <v>0</v>
          </cell>
          <cell r="F6330">
            <v>0</v>
          </cell>
          <cell r="G6330">
            <v>0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0</v>
          </cell>
        </row>
        <row r="6331">
          <cell r="C6331">
            <v>500323</v>
          </cell>
          <cell r="D6331" t="str">
            <v>Bitaugan Elementary School</v>
          </cell>
          <cell r="E6331">
            <v>0</v>
          </cell>
          <cell r="F6331">
            <v>0</v>
          </cell>
          <cell r="G6331">
            <v>0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0</v>
          </cell>
        </row>
        <row r="6332">
          <cell r="C6332">
            <v>500324</v>
          </cell>
          <cell r="D6332" t="str">
            <v>Maglambing Integrated School</v>
          </cell>
          <cell r="E6332">
            <v>0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0</v>
          </cell>
        </row>
        <row r="6333">
          <cell r="C6333">
            <v>500325</v>
          </cell>
          <cell r="D6333" t="str">
            <v>Quary 1 Integrated Secondary School</v>
          </cell>
          <cell r="E6333">
            <v>0</v>
          </cell>
          <cell r="F6333">
            <v>0</v>
          </cell>
          <cell r="G6333">
            <v>0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>
            <v>0</v>
          </cell>
        </row>
        <row r="6334">
          <cell r="C6334">
            <v>500326</v>
          </cell>
          <cell r="D6334" t="str">
            <v>Carpenito  Elementary  School</v>
          </cell>
          <cell r="E6334">
            <v>0</v>
          </cell>
          <cell r="F6334">
            <v>0</v>
          </cell>
          <cell r="G6334">
            <v>0</v>
          </cell>
          <cell r="H6334">
            <v>0</v>
          </cell>
          <cell r="I6334">
            <v>0</v>
          </cell>
          <cell r="J6334">
            <v>0</v>
          </cell>
          <cell r="K6334">
            <v>0</v>
          </cell>
          <cell r="L6334">
            <v>0</v>
          </cell>
        </row>
        <row r="6335">
          <cell r="C6335">
            <v>500327</v>
          </cell>
          <cell r="D6335" t="str">
            <v>Rajah Cabungsuan Integrated School</v>
          </cell>
          <cell r="E6335">
            <v>0</v>
          </cell>
          <cell r="F6335">
            <v>0</v>
          </cell>
          <cell r="G6335">
            <v>0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>
            <v>0</v>
          </cell>
        </row>
        <row r="6336">
          <cell r="C6336">
            <v>500570</v>
          </cell>
          <cell r="D6336" t="str">
            <v>Palasao Integrated School</v>
          </cell>
          <cell r="E6336">
            <v>0</v>
          </cell>
          <cell r="F6336">
            <v>0</v>
          </cell>
          <cell r="G6336">
            <v>0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>
            <v>0</v>
          </cell>
        </row>
        <row r="6337">
          <cell r="C6337">
            <v>500571</v>
          </cell>
          <cell r="D6337" t="str">
            <v>Pakwan Elementary School</v>
          </cell>
          <cell r="E6337">
            <v>0</v>
          </cell>
          <cell r="F6337">
            <v>0</v>
          </cell>
          <cell r="G6337">
            <v>0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>
            <v>0</v>
          </cell>
        </row>
        <row r="6338">
          <cell r="C6338">
            <v>500572</v>
          </cell>
          <cell r="D6338" t="str">
            <v>Bingcongan Elementary School</v>
          </cell>
          <cell r="E6338">
            <v>0</v>
          </cell>
          <cell r="F6338">
            <v>0</v>
          </cell>
          <cell r="G6338">
            <v>0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>
            <v>0</v>
          </cell>
        </row>
        <row r="6339">
          <cell r="C6339">
            <v>500573</v>
          </cell>
          <cell r="D6339" t="str">
            <v>Gata Elementary School</v>
          </cell>
          <cell r="E6339">
            <v>0</v>
          </cell>
          <cell r="F6339">
            <v>0</v>
          </cell>
          <cell r="G6339">
            <v>0</v>
          </cell>
          <cell r="H6339">
            <v>0</v>
          </cell>
          <cell r="I6339">
            <v>2</v>
          </cell>
          <cell r="J6339">
            <v>1</v>
          </cell>
          <cell r="K6339">
            <v>0</v>
          </cell>
          <cell r="L6339">
            <v>0</v>
          </cell>
        </row>
        <row r="6340">
          <cell r="C6340">
            <v>500574</v>
          </cell>
          <cell r="D6340" t="str">
            <v>Cabangahan Integrated Secondary School</v>
          </cell>
          <cell r="E6340">
            <v>0</v>
          </cell>
          <cell r="F6340">
            <v>0</v>
          </cell>
          <cell r="G6340">
            <v>0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0</v>
          </cell>
        </row>
        <row r="6341">
          <cell r="C6341">
            <v>500575</v>
          </cell>
          <cell r="D6341" t="str">
            <v>Isla General Integrated Secondary School</v>
          </cell>
          <cell r="E6341">
            <v>0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0</v>
          </cell>
        </row>
        <row r="6342">
          <cell r="C6342">
            <v>500576</v>
          </cell>
          <cell r="D6342" t="str">
            <v>Libas Sud Elementary School</v>
          </cell>
          <cell r="E6342">
            <v>0</v>
          </cell>
          <cell r="F6342">
            <v>0</v>
          </cell>
          <cell r="G6342">
            <v>0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0</v>
          </cell>
        </row>
        <row r="6343">
          <cell r="C6343">
            <v>500577</v>
          </cell>
          <cell r="D6343" t="str">
            <v>Baculin Elementary School</v>
          </cell>
          <cell r="E6343">
            <v>0</v>
          </cell>
          <cell r="F6343">
            <v>0</v>
          </cell>
          <cell r="G6343">
            <v>0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>
            <v>0</v>
          </cell>
        </row>
        <row r="6344">
          <cell r="C6344">
            <v>500578</v>
          </cell>
          <cell r="D6344" t="str">
            <v>Agsam Integrated Secondary School</v>
          </cell>
          <cell r="E6344">
            <v>0</v>
          </cell>
          <cell r="F6344">
            <v>0</v>
          </cell>
          <cell r="G6344">
            <v>0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0</v>
          </cell>
        </row>
        <row r="6345">
          <cell r="C6345">
            <v>500579</v>
          </cell>
          <cell r="D6345" t="str">
            <v>Tarusan Elementary School</v>
          </cell>
          <cell r="E6345">
            <v>0</v>
          </cell>
          <cell r="F6345">
            <v>0</v>
          </cell>
          <cell r="G6345">
            <v>0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>
            <v>0</v>
          </cell>
        </row>
        <row r="6346">
          <cell r="C6346">
            <v>500580</v>
          </cell>
          <cell r="D6346" t="str">
            <v>Osmeña Integrated School</v>
          </cell>
          <cell r="E6346">
            <v>0</v>
          </cell>
          <cell r="F6346">
            <v>0</v>
          </cell>
          <cell r="G6346">
            <v>0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>
            <v>0</v>
          </cell>
        </row>
        <row r="6347">
          <cell r="C6347">
            <v>500581</v>
          </cell>
          <cell r="D6347" t="str">
            <v>Anibongan Elementary School</v>
          </cell>
          <cell r="E6347">
            <v>0</v>
          </cell>
          <cell r="F6347">
            <v>0</v>
          </cell>
          <cell r="G6347">
            <v>0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>
            <v>0</v>
          </cell>
        </row>
        <row r="6348">
          <cell r="C6348">
            <v>500582</v>
          </cell>
          <cell r="D6348" t="str">
            <v>Malixi Integrated School</v>
          </cell>
          <cell r="E6348">
            <v>0</v>
          </cell>
          <cell r="F6348">
            <v>0</v>
          </cell>
          <cell r="G6348">
            <v>0</v>
          </cell>
          <cell r="H6348">
            <v>0</v>
          </cell>
          <cell r="I6348">
            <v>0</v>
          </cell>
          <cell r="J6348">
            <v>0</v>
          </cell>
          <cell r="K6348">
            <v>0</v>
          </cell>
          <cell r="L6348">
            <v>0</v>
          </cell>
        </row>
        <row r="6349">
          <cell r="C6349">
            <v>500583</v>
          </cell>
          <cell r="D6349" t="str">
            <v>Quezon Integrated Secondary School</v>
          </cell>
          <cell r="E6349">
            <v>0</v>
          </cell>
          <cell r="F6349">
            <v>0</v>
          </cell>
          <cell r="G6349">
            <v>0</v>
          </cell>
          <cell r="H6349">
            <v>0</v>
          </cell>
          <cell r="I6349">
            <v>0</v>
          </cell>
          <cell r="J6349">
            <v>2</v>
          </cell>
          <cell r="K6349">
            <v>0</v>
          </cell>
          <cell r="L6349">
            <v>2</v>
          </cell>
        </row>
        <row r="6350">
          <cell r="C6350">
            <v>500584</v>
          </cell>
          <cell r="D6350" t="str">
            <v>Sta. Maria Elementary School</v>
          </cell>
          <cell r="E6350">
            <v>0</v>
          </cell>
          <cell r="F6350">
            <v>0</v>
          </cell>
          <cell r="G6350">
            <v>0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0</v>
          </cell>
        </row>
        <row r="6351">
          <cell r="C6351">
            <v>500585</v>
          </cell>
          <cell r="D6351" t="str">
            <v>Manambia Integrated Secondary School</v>
          </cell>
          <cell r="E6351">
            <v>0</v>
          </cell>
          <cell r="F6351">
            <v>0</v>
          </cell>
          <cell r="G6351">
            <v>0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>
            <v>0</v>
          </cell>
        </row>
        <row r="6352">
          <cell r="C6352">
            <v>500586</v>
          </cell>
          <cell r="D6352" t="str">
            <v>Jobar Elementary School</v>
          </cell>
          <cell r="E6352">
            <v>0</v>
          </cell>
          <cell r="F6352">
            <v>0</v>
          </cell>
          <cell r="G6352">
            <v>0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>
            <v>0</v>
          </cell>
        </row>
        <row r="6353">
          <cell r="C6353">
            <v>304865</v>
          </cell>
          <cell r="D6353" t="str">
            <v>Bislig City NHS</v>
          </cell>
          <cell r="E6353">
            <v>0</v>
          </cell>
          <cell r="F6353">
            <v>0</v>
          </cell>
          <cell r="G6353">
            <v>0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>
            <v>0</v>
          </cell>
        </row>
        <row r="6354">
          <cell r="C6354">
            <v>304866</v>
          </cell>
          <cell r="D6354" t="str">
            <v>Maharlika NHS</v>
          </cell>
          <cell r="E6354">
            <v>0</v>
          </cell>
          <cell r="F6354">
            <v>0</v>
          </cell>
          <cell r="G6354">
            <v>0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>
            <v>0</v>
          </cell>
        </row>
        <row r="6355">
          <cell r="C6355">
            <v>304868</v>
          </cell>
          <cell r="D6355" t="str">
            <v>San Vicente NHS</v>
          </cell>
          <cell r="E6355">
            <v>0</v>
          </cell>
          <cell r="F6355">
            <v>0</v>
          </cell>
          <cell r="G6355">
            <v>0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>
            <v>0</v>
          </cell>
        </row>
        <row r="6356">
          <cell r="C6356">
            <v>304869</v>
          </cell>
          <cell r="D6356" t="str">
            <v>Sikahoy NHS</v>
          </cell>
          <cell r="E6356">
            <v>0</v>
          </cell>
          <cell r="F6356">
            <v>0</v>
          </cell>
          <cell r="G6356">
            <v>0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>
            <v>0</v>
          </cell>
        </row>
        <row r="6357">
          <cell r="C6357">
            <v>304894</v>
          </cell>
          <cell r="D6357" t="str">
            <v>Lawigan NHS</v>
          </cell>
          <cell r="E6357">
            <v>0</v>
          </cell>
          <cell r="F6357">
            <v>0</v>
          </cell>
          <cell r="G6357">
            <v>0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>
            <v>0</v>
          </cell>
        </row>
        <row r="6358">
          <cell r="C6358">
            <v>304917</v>
          </cell>
          <cell r="D6358" t="str">
            <v>Tabon M. Estrella National High School</v>
          </cell>
          <cell r="E6358">
            <v>0</v>
          </cell>
          <cell r="F6358">
            <v>0</v>
          </cell>
          <cell r="G6358">
            <v>0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>
            <v>0</v>
          </cell>
        </row>
        <row r="6359">
          <cell r="C6359">
            <v>304919</v>
          </cell>
          <cell r="D6359" t="str">
            <v>Mangagoy NHS</v>
          </cell>
          <cell r="E6359">
            <v>0</v>
          </cell>
          <cell r="F6359">
            <v>0</v>
          </cell>
          <cell r="G6359">
            <v>0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>
            <v>0</v>
          </cell>
        </row>
        <row r="6360">
          <cell r="C6360">
            <v>322501</v>
          </cell>
          <cell r="D6360" t="str">
            <v>San Jose NHS</v>
          </cell>
          <cell r="E6360">
            <v>0</v>
          </cell>
          <cell r="F6360">
            <v>0</v>
          </cell>
          <cell r="G6360">
            <v>0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0</v>
          </cell>
        </row>
        <row r="6361">
          <cell r="C6361">
            <v>322503</v>
          </cell>
          <cell r="D6361" t="str">
            <v>Bucto NHS</v>
          </cell>
          <cell r="E6361">
            <v>0</v>
          </cell>
          <cell r="F6361">
            <v>0</v>
          </cell>
          <cell r="G6361">
            <v>0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>
            <v>0</v>
          </cell>
        </row>
        <row r="6362">
          <cell r="C6362">
            <v>322505</v>
          </cell>
          <cell r="D6362" t="str">
            <v>Mabog National High School</v>
          </cell>
          <cell r="E6362">
            <v>0</v>
          </cell>
          <cell r="F6362">
            <v>0</v>
          </cell>
          <cell r="G6362">
            <v>0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>
            <v>0</v>
          </cell>
        </row>
        <row r="6363">
          <cell r="C6363">
            <v>340306</v>
          </cell>
          <cell r="D6363" t="str">
            <v>Stand Alone SHS</v>
          </cell>
          <cell r="E6363">
            <v>0</v>
          </cell>
          <cell r="F6363">
            <v>0</v>
          </cell>
          <cell r="G6363">
            <v>0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>
            <v>0</v>
          </cell>
        </row>
        <row r="6364">
          <cell r="C6364">
            <v>304808</v>
          </cell>
          <cell r="D6364" t="str">
            <v>Albor National High School</v>
          </cell>
          <cell r="E6364">
            <v>0</v>
          </cell>
          <cell r="F6364">
            <v>0</v>
          </cell>
          <cell r="G6364">
            <v>0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0</v>
          </cell>
        </row>
        <row r="6365">
          <cell r="C6365">
            <v>304809</v>
          </cell>
          <cell r="D6365" t="str">
            <v>Osmeña-Sto. Niño National High School</v>
          </cell>
          <cell r="E6365">
            <v>0</v>
          </cell>
          <cell r="F6365">
            <v>0</v>
          </cell>
          <cell r="G6365">
            <v>0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0</v>
          </cell>
        </row>
        <row r="6366">
          <cell r="C6366">
            <v>304810</v>
          </cell>
          <cell r="D6366" t="str">
            <v>San Jose National High School</v>
          </cell>
          <cell r="E6366">
            <v>0</v>
          </cell>
          <cell r="F6366">
            <v>0</v>
          </cell>
          <cell r="G6366">
            <v>0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>
            <v>0</v>
          </cell>
        </row>
        <row r="6367">
          <cell r="C6367">
            <v>304815</v>
          </cell>
          <cell r="D6367" t="str">
            <v>Cagdianao National High School</v>
          </cell>
          <cell r="E6367">
            <v>0</v>
          </cell>
          <cell r="F6367">
            <v>0</v>
          </cell>
          <cell r="G6367">
            <v>0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0</v>
          </cell>
        </row>
        <row r="6368">
          <cell r="C6368">
            <v>304816</v>
          </cell>
          <cell r="D6368" t="str">
            <v>Del Pilar National High School</v>
          </cell>
          <cell r="E6368">
            <v>0</v>
          </cell>
          <cell r="F6368">
            <v>0</v>
          </cell>
          <cell r="G6368">
            <v>0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>
            <v>0</v>
          </cell>
        </row>
        <row r="6369">
          <cell r="C6369">
            <v>304822</v>
          </cell>
          <cell r="D6369" t="str">
            <v>Dinagat School of Fisheries</v>
          </cell>
          <cell r="E6369">
            <v>0</v>
          </cell>
          <cell r="F6369">
            <v>0</v>
          </cell>
          <cell r="G6369">
            <v>0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0</v>
          </cell>
        </row>
        <row r="6370">
          <cell r="C6370">
            <v>304824</v>
          </cell>
          <cell r="D6370" t="str">
            <v>Don Ruben E. Ecleo Sr. MNHS</v>
          </cell>
          <cell r="E6370">
            <v>0</v>
          </cell>
          <cell r="F6370">
            <v>0</v>
          </cell>
          <cell r="G6370">
            <v>0</v>
          </cell>
          <cell r="H6370">
            <v>0</v>
          </cell>
          <cell r="I6370">
            <v>1</v>
          </cell>
          <cell r="J6370">
            <v>0</v>
          </cell>
          <cell r="K6370">
            <v>0</v>
          </cell>
          <cell r="L6370">
            <v>0</v>
          </cell>
        </row>
        <row r="6371">
          <cell r="C6371">
            <v>304825</v>
          </cell>
          <cell r="D6371" t="str">
            <v>Cuarenta National High School</v>
          </cell>
          <cell r="E6371">
            <v>0</v>
          </cell>
          <cell r="F6371">
            <v>0</v>
          </cell>
          <cell r="G6371">
            <v>0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>
            <v>0</v>
          </cell>
        </row>
        <row r="6372">
          <cell r="C6372">
            <v>304827</v>
          </cell>
          <cell r="D6372" t="str">
            <v>Liberty National High School</v>
          </cell>
          <cell r="E6372">
            <v>0</v>
          </cell>
          <cell r="F6372">
            <v>0</v>
          </cell>
          <cell r="G6372">
            <v>0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>
            <v>0</v>
          </cell>
        </row>
        <row r="6373">
          <cell r="C6373">
            <v>304836</v>
          </cell>
          <cell r="D6373" t="str">
            <v>Melgar National High School</v>
          </cell>
          <cell r="E6373">
            <v>0</v>
          </cell>
          <cell r="F6373">
            <v>0</v>
          </cell>
          <cell r="G6373">
            <v>0</v>
          </cell>
          <cell r="H6373">
            <v>0</v>
          </cell>
          <cell r="I6373">
            <v>0</v>
          </cell>
          <cell r="J6373">
            <v>2</v>
          </cell>
          <cell r="K6373">
            <v>0</v>
          </cell>
          <cell r="L6373">
            <v>0</v>
          </cell>
        </row>
        <row r="6374">
          <cell r="C6374">
            <v>304839</v>
          </cell>
          <cell r="D6374" t="str">
            <v>Plaridel National High School</v>
          </cell>
          <cell r="E6374">
            <v>0</v>
          </cell>
          <cell r="F6374">
            <v>0</v>
          </cell>
          <cell r="G6374">
            <v>0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0</v>
          </cell>
        </row>
        <row r="6375">
          <cell r="C6375">
            <v>304840</v>
          </cell>
          <cell r="D6375" t="str">
            <v>R. E. Ecleo Sr. National High School</v>
          </cell>
          <cell r="E6375">
            <v>0</v>
          </cell>
          <cell r="F6375">
            <v>0</v>
          </cell>
          <cell r="G6375">
            <v>0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>
            <v>0</v>
          </cell>
        </row>
        <row r="6376">
          <cell r="C6376">
            <v>304842</v>
          </cell>
          <cell r="D6376" t="str">
            <v>Puerto Princesa National High School</v>
          </cell>
          <cell r="E6376">
            <v>0</v>
          </cell>
          <cell r="F6376">
            <v>0</v>
          </cell>
          <cell r="G6376">
            <v>0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0</v>
          </cell>
        </row>
        <row r="6377">
          <cell r="C6377">
            <v>304844</v>
          </cell>
          <cell r="D6377" t="str">
            <v>Sering National High School</v>
          </cell>
          <cell r="E6377">
            <v>0</v>
          </cell>
          <cell r="F6377">
            <v>0</v>
          </cell>
          <cell r="G6377">
            <v>0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>
            <v>0</v>
          </cell>
        </row>
        <row r="6378">
          <cell r="C6378">
            <v>304851</v>
          </cell>
          <cell r="D6378" t="str">
            <v>Tag-abaca National High School</v>
          </cell>
          <cell r="E6378">
            <v>0</v>
          </cell>
          <cell r="F6378">
            <v>0</v>
          </cell>
          <cell r="G6378">
            <v>0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>
            <v>0</v>
          </cell>
        </row>
        <row r="6379">
          <cell r="C6379">
            <v>304852</v>
          </cell>
          <cell r="D6379" t="str">
            <v>Rita-Glenda National High School</v>
          </cell>
          <cell r="E6379">
            <v>0</v>
          </cell>
          <cell r="F6379">
            <v>0</v>
          </cell>
          <cell r="G6379">
            <v>0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>
            <v>0</v>
          </cell>
        </row>
        <row r="6380">
          <cell r="C6380">
            <v>304854</v>
          </cell>
          <cell r="D6380" t="str">
            <v>Tubajon National High School</v>
          </cell>
          <cell r="E6380">
            <v>0</v>
          </cell>
          <cell r="F6380">
            <v>0</v>
          </cell>
          <cell r="G6380">
            <v>0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>
            <v>0</v>
          </cell>
        </row>
        <row r="6381">
          <cell r="C6381">
            <v>317801</v>
          </cell>
          <cell r="D6381" t="str">
            <v>Rosita National High School</v>
          </cell>
          <cell r="E6381">
            <v>0</v>
          </cell>
          <cell r="F6381">
            <v>0</v>
          </cell>
          <cell r="G6381">
            <v>0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>
            <v>0</v>
          </cell>
        </row>
        <row r="6382">
          <cell r="C6382">
            <v>317802</v>
          </cell>
          <cell r="D6382" t="str">
            <v>Valencia National High School</v>
          </cell>
          <cell r="E6382">
            <v>0</v>
          </cell>
          <cell r="F6382">
            <v>0</v>
          </cell>
          <cell r="G6382">
            <v>0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>
            <v>0</v>
          </cell>
        </row>
        <row r="6383">
          <cell r="C6383">
            <v>317805</v>
          </cell>
          <cell r="D6383" t="str">
            <v>Trinidad Mapa-Gupana NHS</v>
          </cell>
          <cell r="E6383">
            <v>0</v>
          </cell>
          <cell r="F6383">
            <v>0</v>
          </cell>
          <cell r="G6383">
            <v>0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0</v>
          </cell>
        </row>
        <row r="6384">
          <cell r="C6384">
            <v>324401</v>
          </cell>
          <cell r="D6384" t="str">
            <v>Llamera National High School</v>
          </cell>
          <cell r="E6384">
            <v>0</v>
          </cell>
          <cell r="F6384">
            <v>0</v>
          </cell>
          <cell r="G6384">
            <v>0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>
            <v>0</v>
          </cell>
        </row>
        <row r="6385">
          <cell r="C6385">
            <v>324402</v>
          </cell>
          <cell r="D6385" t="str">
            <v>Jade B. Ecleo- Aurelio National High School</v>
          </cell>
          <cell r="E6385">
            <v>0</v>
          </cell>
          <cell r="F6385">
            <v>0</v>
          </cell>
          <cell r="G6385">
            <v>0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0</v>
          </cell>
        </row>
        <row r="6386">
          <cell r="C6386">
            <v>324403</v>
          </cell>
          <cell r="D6386" t="str">
            <v>Edera NHS</v>
          </cell>
          <cell r="E6386">
            <v>0</v>
          </cell>
          <cell r="F6386">
            <v>0</v>
          </cell>
          <cell r="G6386">
            <v>0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>
            <v>0</v>
          </cell>
        </row>
        <row r="6387">
          <cell r="C6387">
            <v>324404</v>
          </cell>
          <cell r="D6387" t="str">
            <v>New Nazareth National High School</v>
          </cell>
          <cell r="E6387">
            <v>0</v>
          </cell>
          <cell r="F6387">
            <v>0</v>
          </cell>
          <cell r="G6387">
            <v>0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>
            <v>0</v>
          </cell>
        </row>
        <row r="6388">
          <cell r="C6388">
            <v>324406</v>
          </cell>
          <cell r="D6388" t="str">
            <v>Primitivo J. Ebol Memorial National High School</v>
          </cell>
          <cell r="E6388">
            <v>0</v>
          </cell>
          <cell r="F6388">
            <v>0</v>
          </cell>
          <cell r="G6388">
            <v>0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0</v>
          </cell>
        </row>
        <row r="6389">
          <cell r="C6389">
            <v>324407</v>
          </cell>
          <cell r="D6389" t="str">
            <v>Malinao National High School</v>
          </cell>
          <cell r="E6389">
            <v>0</v>
          </cell>
          <cell r="F6389">
            <v>0</v>
          </cell>
          <cell r="G6389">
            <v>0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0</v>
          </cell>
        </row>
        <row r="6390">
          <cell r="C6390">
            <v>340528</v>
          </cell>
          <cell r="D6390" t="str">
            <v>Loreto  National High School</v>
          </cell>
          <cell r="E6390">
            <v>0</v>
          </cell>
          <cell r="F6390">
            <v>0</v>
          </cell>
          <cell r="G6390">
            <v>0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0</v>
          </cell>
        </row>
        <row r="6391">
          <cell r="C6391">
            <v>304707</v>
          </cell>
          <cell r="D6391" t="str">
            <v>Bayugan NCHS</v>
          </cell>
          <cell r="E6391">
            <v>0</v>
          </cell>
          <cell r="F6391">
            <v>0</v>
          </cell>
          <cell r="G6391">
            <v>0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>
            <v>0</v>
          </cell>
        </row>
        <row r="6392">
          <cell r="C6392">
            <v>304723</v>
          </cell>
          <cell r="D6392" t="str">
            <v>Marcelina NHS</v>
          </cell>
          <cell r="E6392">
            <v>0</v>
          </cell>
          <cell r="F6392">
            <v>0</v>
          </cell>
          <cell r="G6392">
            <v>0</v>
          </cell>
          <cell r="H6392">
            <v>0</v>
          </cell>
          <cell r="I6392">
            <v>0</v>
          </cell>
          <cell r="J6392">
            <v>0</v>
          </cell>
          <cell r="K6392">
            <v>0</v>
          </cell>
          <cell r="L6392">
            <v>0</v>
          </cell>
        </row>
        <row r="6393">
          <cell r="C6393">
            <v>304724</v>
          </cell>
          <cell r="D6393" t="str">
            <v>Mt. Olive National High School</v>
          </cell>
          <cell r="E6393">
            <v>0</v>
          </cell>
          <cell r="F6393">
            <v>0</v>
          </cell>
          <cell r="G6393">
            <v>0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>
            <v>0</v>
          </cell>
        </row>
        <row r="6394">
          <cell r="C6394">
            <v>304728</v>
          </cell>
          <cell r="D6394" t="str">
            <v>Noli National High School</v>
          </cell>
          <cell r="E6394">
            <v>0</v>
          </cell>
          <cell r="F6394">
            <v>0</v>
          </cell>
          <cell r="G6394">
            <v>0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0</v>
          </cell>
        </row>
        <row r="6395">
          <cell r="C6395">
            <v>304729</v>
          </cell>
          <cell r="D6395" t="str">
            <v>Calaitan NHS</v>
          </cell>
          <cell r="E6395">
            <v>0</v>
          </cell>
          <cell r="F6395">
            <v>0</v>
          </cell>
          <cell r="G6395">
            <v>0</v>
          </cell>
          <cell r="H6395">
            <v>0</v>
          </cell>
          <cell r="I6395">
            <v>0</v>
          </cell>
          <cell r="J6395">
            <v>2</v>
          </cell>
          <cell r="K6395">
            <v>0</v>
          </cell>
          <cell r="L6395">
            <v>0</v>
          </cell>
        </row>
        <row r="6396">
          <cell r="C6396">
            <v>304732</v>
          </cell>
          <cell r="D6396" t="str">
            <v>Salvacion National High School</v>
          </cell>
          <cell r="E6396">
            <v>0</v>
          </cell>
          <cell r="F6396">
            <v>0</v>
          </cell>
          <cell r="G6396">
            <v>0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>
            <v>0</v>
          </cell>
        </row>
        <row r="6397">
          <cell r="C6397">
            <v>304735</v>
          </cell>
          <cell r="D6397" t="str">
            <v>SAN JUAN NATIONAL HIGH SCHOOL</v>
          </cell>
          <cell r="E6397">
            <v>0</v>
          </cell>
          <cell r="F6397">
            <v>0</v>
          </cell>
          <cell r="G6397">
            <v>0</v>
          </cell>
          <cell r="H6397">
            <v>0</v>
          </cell>
          <cell r="I6397">
            <v>1</v>
          </cell>
          <cell r="J6397">
            <v>0</v>
          </cell>
          <cell r="K6397">
            <v>2</v>
          </cell>
          <cell r="L6397">
            <v>0</v>
          </cell>
        </row>
        <row r="6398">
          <cell r="C6398">
            <v>340297</v>
          </cell>
          <cell r="D6398" t="str">
            <v>STAND ALONE SHS</v>
          </cell>
          <cell r="E6398">
            <v>0</v>
          </cell>
          <cell r="F6398">
            <v>0</v>
          </cell>
          <cell r="G6398">
            <v>0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>
            <v>0</v>
          </cell>
        </row>
        <row r="6399">
          <cell r="C6399">
            <v>304676</v>
          </cell>
          <cell r="D6399" t="str">
            <v>Calamba NHS</v>
          </cell>
          <cell r="E6399">
            <v>0</v>
          </cell>
          <cell r="F6399">
            <v>0</v>
          </cell>
          <cell r="G6399">
            <v>0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>
            <v>0</v>
          </cell>
        </row>
        <row r="6400">
          <cell r="C6400">
            <v>304699</v>
          </cell>
          <cell r="D6400" t="str">
            <v>Cabadbaran City National High School</v>
          </cell>
          <cell r="E6400">
            <v>0</v>
          </cell>
          <cell r="F6400">
            <v>0</v>
          </cell>
          <cell r="G6400">
            <v>0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0</v>
          </cell>
        </row>
        <row r="6401">
          <cell r="C6401">
            <v>317307</v>
          </cell>
          <cell r="D6401" t="str">
            <v>Del Pilar NHS</v>
          </cell>
          <cell r="E6401">
            <v>0</v>
          </cell>
          <cell r="F6401">
            <v>0</v>
          </cell>
          <cell r="G6401">
            <v>0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0</v>
          </cell>
        </row>
        <row r="6402">
          <cell r="C6402">
            <v>330101</v>
          </cell>
          <cell r="D6402" t="str">
            <v>Puting Bato National High School</v>
          </cell>
          <cell r="E6402">
            <v>0</v>
          </cell>
          <cell r="F6402">
            <v>0</v>
          </cell>
          <cell r="G6402">
            <v>0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0</v>
          </cell>
        </row>
        <row r="6403">
          <cell r="C6403">
            <v>340341</v>
          </cell>
          <cell r="D6403" t="str">
            <v>La Union SHS (Stand Alone)</v>
          </cell>
          <cell r="E6403">
            <v>0</v>
          </cell>
          <cell r="F6403">
            <v>0</v>
          </cell>
          <cell r="G6403">
            <v>0</v>
          </cell>
          <cell r="H6403">
            <v>0</v>
          </cell>
          <cell r="I6403">
            <v>5</v>
          </cell>
          <cell r="J6403">
            <v>2</v>
          </cell>
          <cell r="K6403">
            <v>1</v>
          </cell>
          <cell r="L6403">
            <v>0</v>
          </cell>
        </row>
        <row r="6404">
          <cell r="C6404">
            <v>304871</v>
          </cell>
          <cell r="D6404" t="str">
            <v>Buenavista National High School</v>
          </cell>
          <cell r="E6404">
            <v>0</v>
          </cell>
          <cell r="F6404">
            <v>0</v>
          </cell>
          <cell r="G6404">
            <v>0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0</v>
          </cell>
        </row>
        <row r="6405">
          <cell r="C6405">
            <v>304922</v>
          </cell>
          <cell r="D6405" t="str">
            <v>Tandag National Science High School</v>
          </cell>
          <cell r="E6405">
            <v>0</v>
          </cell>
          <cell r="F6405">
            <v>0</v>
          </cell>
          <cell r="G6405">
            <v>0</v>
          </cell>
          <cell r="H6405">
            <v>0</v>
          </cell>
          <cell r="I6405">
            <v>5</v>
          </cell>
          <cell r="J6405">
            <v>7</v>
          </cell>
          <cell r="K6405">
            <v>0</v>
          </cell>
          <cell r="L6405">
            <v>3</v>
          </cell>
        </row>
        <row r="6406">
          <cell r="C6406">
            <v>500587</v>
          </cell>
          <cell r="D6406" t="str">
            <v>Carmen Integrated School</v>
          </cell>
          <cell r="E6406">
            <v>0</v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0</v>
          </cell>
        </row>
        <row r="6407">
          <cell r="C6407">
            <v>305003</v>
          </cell>
          <cell r="D6407" t="str">
            <v>Camp Siongco NHS</v>
          </cell>
          <cell r="E6407">
            <v>0</v>
          </cell>
          <cell r="F6407">
            <v>0</v>
          </cell>
          <cell r="G6407">
            <v>0</v>
          </cell>
          <cell r="H6407">
            <v>2</v>
          </cell>
          <cell r="I6407">
            <v>0</v>
          </cell>
          <cell r="J6407">
            <v>0</v>
          </cell>
          <cell r="K6407">
            <v>0</v>
          </cell>
          <cell r="L6407">
            <v>0</v>
          </cell>
        </row>
        <row r="6408">
          <cell r="C6408">
            <v>305007</v>
          </cell>
          <cell r="D6408" t="str">
            <v>Dinganen-Buldon NHS</v>
          </cell>
          <cell r="E6408">
            <v>0</v>
          </cell>
          <cell r="F6408">
            <v>0</v>
          </cell>
          <cell r="G6408">
            <v>0</v>
          </cell>
          <cell r="H6408">
            <v>0</v>
          </cell>
          <cell r="I6408">
            <v>0</v>
          </cell>
          <cell r="J6408">
            <v>3</v>
          </cell>
          <cell r="K6408">
            <v>0</v>
          </cell>
          <cell r="L6408">
            <v>3</v>
          </cell>
        </row>
        <row r="6409">
          <cell r="C6409">
            <v>305008</v>
          </cell>
          <cell r="D6409" t="str">
            <v>Gayonga National High School</v>
          </cell>
          <cell r="E6409">
            <v>0</v>
          </cell>
          <cell r="F6409">
            <v>0</v>
          </cell>
          <cell r="G6409">
            <v>0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0</v>
          </cell>
        </row>
        <row r="6410">
          <cell r="C6410">
            <v>305011</v>
          </cell>
          <cell r="D6410" t="str">
            <v>Kabuntalan NHS</v>
          </cell>
          <cell r="E6410">
            <v>0</v>
          </cell>
          <cell r="F6410">
            <v>0</v>
          </cell>
          <cell r="G6410">
            <v>0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0</v>
          </cell>
        </row>
        <row r="6411">
          <cell r="C6411">
            <v>305013</v>
          </cell>
          <cell r="D6411" t="str">
            <v>Litayen National High School</v>
          </cell>
          <cell r="E6411">
            <v>0</v>
          </cell>
          <cell r="F6411">
            <v>0</v>
          </cell>
          <cell r="G6411">
            <v>3</v>
          </cell>
          <cell r="H6411">
            <v>2</v>
          </cell>
          <cell r="I6411">
            <v>3</v>
          </cell>
          <cell r="J6411">
            <v>2</v>
          </cell>
          <cell r="K6411">
            <v>3</v>
          </cell>
          <cell r="L6411">
            <v>2</v>
          </cell>
        </row>
        <row r="6412">
          <cell r="C6412">
            <v>305015</v>
          </cell>
          <cell r="D6412" t="str">
            <v>ARMM Regional Science High School</v>
          </cell>
          <cell r="E6412">
            <v>0</v>
          </cell>
          <cell r="F6412">
            <v>0</v>
          </cell>
          <cell r="G6412">
            <v>0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0</v>
          </cell>
        </row>
        <row r="6413">
          <cell r="C6413">
            <v>305016</v>
          </cell>
          <cell r="D6413" t="str">
            <v>Matanog NHS</v>
          </cell>
          <cell r="E6413">
            <v>0</v>
          </cell>
          <cell r="F6413">
            <v>0</v>
          </cell>
          <cell r="G6413">
            <v>1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1</v>
          </cell>
        </row>
        <row r="6414">
          <cell r="C6414">
            <v>305017</v>
          </cell>
          <cell r="D6414" t="str">
            <v>Amir Bara Lidasan NHS</v>
          </cell>
          <cell r="E6414">
            <v>0</v>
          </cell>
          <cell r="F6414">
            <v>1</v>
          </cell>
          <cell r="G6414">
            <v>0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0</v>
          </cell>
        </row>
        <row r="6415">
          <cell r="C6415">
            <v>305018</v>
          </cell>
          <cell r="D6415" t="str">
            <v>Parang National High School</v>
          </cell>
          <cell r="E6415">
            <v>0</v>
          </cell>
          <cell r="F6415">
            <v>0</v>
          </cell>
          <cell r="G6415">
            <v>0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>
            <v>0</v>
          </cell>
        </row>
        <row r="6416">
          <cell r="C6416">
            <v>305021</v>
          </cell>
          <cell r="D6416" t="str">
            <v>Sarilikha HS</v>
          </cell>
          <cell r="E6416">
            <v>0</v>
          </cell>
          <cell r="F6416">
            <v>0</v>
          </cell>
          <cell r="G6416">
            <v>0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>
            <v>0</v>
          </cell>
        </row>
        <row r="6417">
          <cell r="C6417">
            <v>305023</v>
          </cell>
          <cell r="D6417" t="str">
            <v>Sultan Barira NHS</v>
          </cell>
          <cell r="E6417">
            <v>0</v>
          </cell>
          <cell r="F6417">
            <v>0</v>
          </cell>
          <cell r="G6417">
            <v>0</v>
          </cell>
          <cell r="H6417">
            <v>1</v>
          </cell>
          <cell r="I6417">
            <v>0</v>
          </cell>
          <cell r="J6417">
            <v>0</v>
          </cell>
          <cell r="K6417">
            <v>0</v>
          </cell>
          <cell r="L6417">
            <v>0</v>
          </cell>
        </row>
        <row r="6418">
          <cell r="C6418">
            <v>305024</v>
          </cell>
          <cell r="D6418" t="str">
            <v>Sultan Kudarat NHS</v>
          </cell>
          <cell r="E6418">
            <v>0</v>
          </cell>
          <cell r="F6418">
            <v>0</v>
          </cell>
          <cell r="G6418">
            <v>0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>
            <v>0</v>
          </cell>
        </row>
        <row r="6419">
          <cell r="C6419">
            <v>318301</v>
          </cell>
          <cell r="D6419" t="str">
            <v>Datu Usngan S. Mastura NHS</v>
          </cell>
          <cell r="E6419">
            <v>0</v>
          </cell>
          <cell r="F6419">
            <v>0</v>
          </cell>
          <cell r="G6419">
            <v>0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0</v>
          </cell>
        </row>
        <row r="6420">
          <cell r="C6420">
            <v>318309</v>
          </cell>
          <cell r="D6420" t="str">
            <v>Datu Arnel Datukon NHS</v>
          </cell>
          <cell r="E6420">
            <v>0</v>
          </cell>
          <cell r="F6420">
            <v>0</v>
          </cell>
          <cell r="G6420">
            <v>1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>
            <v>1</v>
          </cell>
        </row>
        <row r="6421">
          <cell r="C6421">
            <v>318313</v>
          </cell>
          <cell r="D6421" t="str">
            <v>Ruth Manion Babao Mem. NHS</v>
          </cell>
          <cell r="E6421">
            <v>0</v>
          </cell>
          <cell r="F6421">
            <v>0</v>
          </cell>
          <cell r="G6421">
            <v>0</v>
          </cell>
          <cell r="H6421">
            <v>1</v>
          </cell>
          <cell r="I6421">
            <v>1</v>
          </cell>
          <cell r="J6421">
            <v>0</v>
          </cell>
          <cell r="K6421">
            <v>0</v>
          </cell>
          <cell r="L6421">
            <v>0</v>
          </cell>
        </row>
        <row r="6422">
          <cell r="C6422">
            <v>318326</v>
          </cell>
          <cell r="D6422" t="str">
            <v>Nuling National High School</v>
          </cell>
          <cell r="E6422">
            <v>0</v>
          </cell>
          <cell r="F6422">
            <v>0</v>
          </cell>
          <cell r="G6422">
            <v>0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0</v>
          </cell>
        </row>
        <row r="6423">
          <cell r="C6423">
            <v>324301</v>
          </cell>
          <cell r="D6423" t="str">
            <v>Upi Agricultural School</v>
          </cell>
          <cell r="E6423">
            <v>0</v>
          </cell>
          <cell r="F6423">
            <v>0</v>
          </cell>
          <cell r="G6423">
            <v>0</v>
          </cell>
          <cell r="H6423">
            <v>2</v>
          </cell>
          <cell r="I6423">
            <v>0</v>
          </cell>
          <cell r="J6423">
            <v>2</v>
          </cell>
          <cell r="K6423">
            <v>0</v>
          </cell>
          <cell r="L6423">
            <v>0</v>
          </cell>
        </row>
        <row r="6424">
          <cell r="C6424">
            <v>324302</v>
          </cell>
          <cell r="D6424" t="str">
            <v>Datu Malambut NHS</v>
          </cell>
          <cell r="E6424">
            <v>0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0</v>
          </cell>
        </row>
        <row r="6425">
          <cell r="C6425">
            <v>324303</v>
          </cell>
          <cell r="D6425" t="str">
            <v>Bai Hanina S. Sinsuat NHS</v>
          </cell>
          <cell r="E6425">
            <v>0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0</v>
          </cell>
        </row>
        <row r="6426">
          <cell r="C6426">
            <v>326001</v>
          </cell>
          <cell r="D6426" t="str">
            <v>Making Integrated Vocational &amp; Technology High School</v>
          </cell>
          <cell r="E6426">
            <v>0</v>
          </cell>
          <cell r="F6426">
            <v>0</v>
          </cell>
          <cell r="G6426">
            <v>0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0</v>
          </cell>
        </row>
        <row r="6427">
          <cell r="C6427">
            <v>326501</v>
          </cell>
          <cell r="D6427" t="str">
            <v>Sulon National High School</v>
          </cell>
          <cell r="E6427">
            <v>0</v>
          </cell>
          <cell r="F6427">
            <v>0</v>
          </cell>
          <cell r="G6427">
            <v>0</v>
          </cell>
          <cell r="H6427">
            <v>3</v>
          </cell>
          <cell r="I6427">
            <v>0</v>
          </cell>
          <cell r="J6427">
            <v>0</v>
          </cell>
          <cell r="K6427">
            <v>0</v>
          </cell>
          <cell r="L6427">
            <v>0</v>
          </cell>
        </row>
        <row r="6428">
          <cell r="C6428">
            <v>326503</v>
          </cell>
          <cell r="D6428" t="str">
            <v>Datu Mantato National High School</v>
          </cell>
          <cell r="E6428">
            <v>0</v>
          </cell>
          <cell r="F6428">
            <v>1</v>
          </cell>
          <cell r="G6428">
            <v>0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0</v>
          </cell>
        </row>
        <row r="6429">
          <cell r="C6429">
            <v>304926</v>
          </cell>
          <cell r="D6429" t="str">
            <v>Atong-Atong NHS</v>
          </cell>
          <cell r="E6429">
            <v>0</v>
          </cell>
          <cell r="F6429">
            <v>0</v>
          </cell>
          <cell r="G6429">
            <v>0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0</v>
          </cell>
        </row>
        <row r="6430">
          <cell r="C6430">
            <v>304927</v>
          </cell>
          <cell r="D6430" t="str">
            <v>Atong-Atong NHS - Tairan Annex</v>
          </cell>
          <cell r="E6430">
            <v>0</v>
          </cell>
          <cell r="F6430">
            <v>0</v>
          </cell>
          <cell r="G6430">
            <v>0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0</v>
          </cell>
        </row>
        <row r="6431">
          <cell r="C6431">
            <v>304934</v>
          </cell>
          <cell r="D6431" t="str">
            <v>Bubuan NHS-Saluping Annex</v>
          </cell>
          <cell r="E6431">
            <v>0</v>
          </cell>
          <cell r="F6431">
            <v>0</v>
          </cell>
          <cell r="G6431">
            <v>0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0</v>
          </cell>
        </row>
        <row r="6432">
          <cell r="C6432">
            <v>304936</v>
          </cell>
          <cell r="D6432" t="str">
            <v>Concepcion NHS</v>
          </cell>
          <cell r="E6432">
            <v>0</v>
          </cell>
          <cell r="F6432">
            <v>0</v>
          </cell>
          <cell r="G6432">
            <v>0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0</v>
          </cell>
        </row>
        <row r="6433">
          <cell r="C6433">
            <v>304937</v>
          </cell>
          <cell r="D6433" t="str">
            <v>Jacinto Cuevas NHS</v>
          </cell>
          <cell r="E6433">
            <v>0</v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0</v>
          </cell>
        </row>
        <row r="6434">
          <cell r="C6434">
            <v>304941</v>
          </cell>
          <cell r="D6434" t="str">
            <v>Lubukan NHS</v>
          </cell>
          <cell r="E6434">
            <v>0</v>
          </cell>
          <cell r="F6434">
            <v>0</v>
          </cell>
          <cell r="G6434">
            <v>0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0</v>
          </cell>
        </row>
        <row r="6435">
          <cell r="C6435">
            <v>304943</v>
          </cell>
          <cell r="D6435" t="str">
            <v>Maluso NHS</v>
          </cell>
          <cell r="E6435">
            <v>0</v>
          </cell>
          <cell r="F6435">
            <v>0</v>
          </cell>
          <cell r="G6435">
            <v>0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>
            <v>0</v>
          </cell>
        </row>
        <row r="6436">
          <cell r="C6436">
            <v>304947</v>
          </cell>
          <cell r="D6436" t="str">
            <v>Sinangkapan NHS</v>
          </cell>
          <cell r="E6436">
            <v>0</v>
          </cell>
          <cell r="F6436">
            <v>0</v>
          </cell>
          <cell r="G6436">
            <v>2</v>
          </cell>
          <cell r="H6436">
            <v>0</v>
          </cell>
          <cell r="I6436">
            <v>2</v>
          </cell>
          <cell r="J6436">
            <v>1</v>
          </cell>
          <cell r="K6436">
            <v>1</v>
          </cell>
          <cell r="L6436">
            <v>2</v>
          </cell>
        </row>
        <row r="6437">
          <cell r="C6437">
            <v>304948</v>
          </cell>
          <cell r="D6437" t="str">
            <v>Sinulatan NHS</v>
          </cell>
          <cell r="E6437">
            <v>0</v>
          </cell>
          <cell r="F6437">
            <v>0</v>
          </cell>
          <cell r="G6437">
            <v>0</v>
          </cell>
          <cell r="H6437">
            <v>0</v>
          </cell>
          <cell r="I6437">
            <v>2</v>
          </cell>
          <cell r="J6437">
            <v>8</v>
          </cell>
          <cell r="K6437">
            <v>0</v>
          </cell>
          <cell r="L6437">
            <v>0</v>
          </cell>
        </row>
        <row r="6438">
          <cell r="C6438">
            <v>304949</v>
          </cell>
          <cell r="D6438" t="str">
            <v>Sinulatan NHS-Tuburan Annex</v>
          </cell>
          <cell r="E6438">
            <v>0</v>
          </cell>
          <cell r="F6438">
            <v>0</v>
          </cell>
          <cell r="G6438">
            <v>0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>
            <v>0</v>
          </cell>
        </row>
        <row r="6439">
          <cell r="C6439">
            <v>304950</v>
          </cell>
          <cell r="D6439" t="str">
            <v>Sumisip Agro-Fisheries School</v>
          </cell>
          <cell r="E6439">
            <v>0</v>
          </cell>
          <cell r="F6439">
            <v>1</v>
          </cell>
          <cell r="G6439">
            <v>0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>
            <v>0</v>
          </cell>
        </row>
        <row r="6440">
          <cell r="C6440">
            <v>304952</v>
          </cell>
          <cell r="D6440" t="str">
            <v>Sumisip NHS-Manggal Annex</v>
          </cell>
          <cell r="E6440">
            <v>0</v>
          </cell>
          <cell r="F6440">
            <v>0</v>
          </cell>
          <cell r="G6440">
            <v>0</v>
          </cell>
          <cell r="H6440">
            <v>0</v>
          </cell>
          <cell r="I6440">
            <v>1</v>
          </cell>
          <cell r="J6440">
            <v>0</v>
          </cell>
          <cell r="K6440">
            <v>1</v>
          </cell>
          <cell r="L6440">
            <v>0</v>
          </cell>
        </row>
        <row r="6441">
          <cell r="C6441">
            <v>304953</v>
          </cell>
          <cell r="D6441" t="str">
            <v>Sumisip NHS-Tumahubong Annex</v>
          </cell>
          <cell r="E6441">
            <v>0</v>
          </cell>
          <cell r="F6441">
            <v>0</v>
          </cell>
          <cell r="G6441">
            <v>0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>
            <v>0</v>
          </cell>
        </row>
        <row r="6442">
          <cell r="C6442">
            <v>304954</v>
          </cell>
          <cell r="D6442" t="str">
            <v>Tipo-Tipo NHS</v>
          </cell>
          <cell r="E6442">
            <v>0</v>
          </cell>
          <cell r="F6442">
            <v>0</v>
          </cell>
          <cell r="G6442">
            <v>0</v>
          </cell>
          <cell r="H6442">
            <v>0</v>
          </cell>
          <cell r="I6442">
            <v>0</v>
          </cell>
          <cell r="J6442">
            <v>3</v>
          </cell>
          <cell r="K6442">
            <v>0</v>
          </cell>
          <cell r="L6442">
            <v>0</v>
          </cell>
        </row>
        <row r="6443">
          <cell r="C6443">
            <v>318003</v>
          </cell>
          <cell r="D6443" t="str">
            <v>Buton NHS</v>
          </cell>
          <cell r="E6443">
            <v>0</v>
          </cell>
          <cell r="F6443">
            <v>0</v>
          </cell>
          <cell r="G6443">
            <v>0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0</v>
          </cell>
        </row>
        <row r="6444">
          <cell r="C6444">
            <v>318004</v>
          </cell>
          <cell r="D6444" t="str">
            <v>Upper Bato-Bato National High School</v>
          </cell>
          <cell r="E6444">
            <v>0</v>
          </cell>
          <cell r="F6444">
            <v>0</v>
          </cell>
          <cell r="G6444">
            <v>0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0</v>
          </cell>
        </row>
        <row r="6445">
          <cell r="C6445">
            <v>304955</v>
          </cell>
          <cell r="D6445" t="str">
            <v>Acoon Memorial National High School</v>
          </cell>
          <cell r="E6445">
            <v>0</v>
          </cell>
          <cell r="F6445">
            <v>0</v>
          </cell>
          <cell r="G6445">
            <v>0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0</v>
          </cell>
        </row>
        <row r="6446">
          <cell r="C6446">
            <v>304957</v>
          </cell>
          <cell r="D6446" t="str">
            <v>Ambor MNHS</v>
          </cell>
          <cell r="E6446">
            <v>0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0</v>
          </cell>
        </row>
        <row r="6447">
          <cell r="C6447">
            <v>304958</v>
          </cell>
          <cell r="D6447" t="str">
            <v>Balindong NHS</v>
          </cell>
          <cell r="E6447">
            <v>0</v>
          </cell>
          <cell r="F6447">
            <v>0</v>
          </cell>
          <cell r="G6447">
            <v>0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0</v>
          </cell>
        </row>
        <row r="6448">
          <cell r="C6448">
            <v>304960</v>
          </cell>
          <cell r="D6448" t="str">
            <v>Buadiposo-Buntong NHS</v>
          </cell>
          <cell r="E6448">
            <v>0</v>
          </cell>
          <cell r="F6448">
            <v>0</v>
          </cell>
          <cell r="G6448">
            <v>0</v>
          </cell>
          <cell r="H6448">
            <v>3</v>
          </cell>
          <cell r="I6448">
            <v>1</v>
          </cell>
          <cell r="J6448">
            <v>2</v>
          </cell>
          <cell r="K6448">
            <v>1</v>
          </cell>
          <cell r="L6448">
            <v>0</v>
          </cell>
        </row>
        <row r="6449">
          <cell r="C6449">
            <v>304962</v>
          </cell>
          <cell r="D6449" t="str">
            <v>Amai Manabilang Memorial NHS</v>
          </cell>
          <cell r="E6449">
            <v>0</v>
          </cell>
          <cell r="F6449">
            <v>4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0</v>
          </cell>
        </row>
        <row r="6450">
          <cell r="C6450">
            <v>304963</v>
          </cell>
          <cell r="D6450" t="str">
            <v>Datu Calaca MNCHS</v>
          </cell>
          <cell r="E6450">
            <v>0</v>
          </cell>
          <cell r="F6450">
            <v>0</v>
          </cell>
          <cell r="G6450">
            <v>0</v>
          </cell>
          <cell r="H6450">
            <v>3</v>
          </cell>
          <cell r="I6450">
            <v>1</v>
          </cell>
          <cell r="J6450">
            <v>10</v>
          </cell>
          <cell r="K6450">
            <v>1</v>
          </cell>
          <cell r="L6450">
            <v>4</v>
          </cell>
        </row>
        <row r="6451">
          <cell r="C6451">
            <v>304965</v>
          </cell>
          <cell r="D6451" t="str">
            <v>Datu Palawan Disomimba MNHS</v>
          </cell>
          <cell r="E6451">
            <v>0</v>
          </cell>
          <cell r="F6451">
            <v>0</v>
          </cell>
          <cell r="G6451">
            <v>0</v>
          </cell>
          <cell r="H6451">
            <v>0</v>
          </cell>
          <cell r="I6451">
            <v>2</v>
          </cell>
          <cell r="J6451">
            <v>4</v>
          </cell>
          <cell r="K6451">
            <v>2</v>
          </cell>
          <cell r="L6451">
            <v>4</v>
          </cell>
        </row>
        <row r="6452">
          <cell r="C6452">
            <v>304966</v>
          </cell>
          <cell r="D6452" t="str">
            <v>Kili-Kili NHS</v>
          </cell>
          <cell r="E6452">
            <v>0</v>
          </cell>
          <cell r="F6452">
            <v>0</v>
          </cell>
          <cell r="G6452">
            <v>1</v>
          </cell>
          <cell r="H6452">
            <v>0</v>
          </cell>
          <cell r="I6452">
            <v>1</v>
          </cell>
          <cell r="J6452">
            <v>0</v>
          </cell>
          <cell r="K6452">
            <v>1</v>
          </cell>
          <cell r="L6452">
            <v>0</v>
          </cell>
        </row>
        <row r="6453">
          <cell r="C6453">
            <v>304967</v>
          </cell>
          <cell r="D6453" t="str">
            <v>Sultan Labay Moriatao-Bae Technical-Vocational School</v>
          </cell>
          <cell r="E6453">
            <v>0</v>
          </cell>
          <cell r="F6453">
            <v>0</v>
          </cell>
          <cell r="G6453">
            <v>0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0</v>
          </cell>
        </row>
        <row r="6454">
          <cell r="C6454">
            <v>304968</v>
          </cell>
          <cell r="D6454" t="str">
            <v>Mangurun Memorial NHS</v>
          </cell>
          <cell r="E6454">
            <v>0</v>
          </cell>
          <cell r="F6454">
            <v>0</v>
          </cell>
          <cell r="G6454">
            <v>0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>
            <v>0</v>
          </cell>
        </row>
        <row r="6455">
          <cell r="C6455">
            <v>304970</v>
          </cell>
          <cell r="D6455" t="str">
            <v>Kakai Dayagun Dagalangit NHS</v>
          </cell>
          <cell r="E6455">
            <v>0</v>
          </cell>
          <cell r="F6455">
            <v>0</v>
          </cell>
          <cell r="G6455">
            <v>0</v>
          </cell>
          <cell r="H6455">
            <v>4</v>
          </cell>
          <cell r="I6455">
            <v>2</v>
          </cell>
          <cell r="J6455">
            <v>2</v>
          </cell>
          <cell r="K6455">
            <v>0</v>
          </cell>
          <cell r="L6455">
            <v>0</v>
          </cell>
        </row>
        <row r="6456">
          <cell r="C6456">
            <v>304971</v>
          </cell>
          <cell r="D6456" t="str">
            <v>Mulondo NHS</v>
          </cell>
          <cell r="E6456">
            <v>0</v>
          </cell>
          <cell r="F6456">
            <v>0</v>
          </cell>
          <cell r="G6456">
            <v>0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0</v>
          </cell>
        </row>
        <row r="6457">
          <cell r="C6457">
            <v>304972</v>
          </cell>
          <cell r="D6457" t="str">
            <v>Pagalongan NHS</v>
          </cell>
          <cell r="E6457">
            <v>0</v>
          </cell>
          <cell r="F6457">
            <v>0</v>
          </cell>
          <cell r="G6457">
            <v>0</v>
          </cell>
          <cell r="H6457">
            <v>4</v>
          </cell>
          <cell r="I6457">
            <v>0</v>
          </cell>
          <cell r="J6457">
            <v>4</v>
          </cell>
          <cell r="K6457">
            <v>0</v>
          </cell>
          <cell r="L6457">
            <v>0</v>
          </cell>
        </row>
        <row r="6458">
          <cell r="C6458">
            <v>304973</v>
          </cell>
          <cell r="D6458" t="str">
            <v>Piagapo NHS</v>
          </cell>
          <cell r="E6458">
            <v>0</v>
          </cell>
          <cell r="F6458">
            <v>0</v>
          </cell>
          <cell r="G6458">
            <v>0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0</v>
          </cell>
        </row>
        <row r="6459">
          <cell r="C6459">
            <v>304974</v>
          </cell>
          <cell r="D6459" t="str">
            <v>Pooni-Lomabao MNHS</v>
          </cell>
          <cell r="E6459">
            <v>0</v>
          </cell>
          <cell r="F6459">
            <v>0</v>
          </cell>
          <cell r="G6459">
            <v>0</v>
          </cell>
          <cell r="H6459">
            <v>3</v>
          </cell>
          <cell r="I6459">
            <v>0</v>
          </cell>
          <cell r="J6459">
            <v>2</v>
          </cell>
          <cell r="K6459">
            <v>0</v>
          </cell>
          <cell r="L6459">
            <v>1</v>
          </cell>
        </row>
        <row r="6460">
          <cell r="C6460">
            <v>304975</v>
          </cell>
          <cell r="D6460" t="str">
            <v>Sultan Angin Mem. NHS(Formerly Saguiaran NHS)</v>
          </cell>
          <cell r="E6460">
            <v>0</v>
          </cell>
          <cell r="F6460">
            <v>0</v>
          </cell>
          <cell r="G6460">
            <v>0</v>
          </cell>
          <cell r="H6460">
            <v>0</v>
          </cell>
          <cell r="I6460">
            <v>0</v>
          </cell>
          <cell r="J6460">
            <v>0</v>
          </cell>
          <cell r="K6460">
            <v>0</v>
          </cell>
          <cell r="L6460">
            <v>0</v>
          </cell>
        </row>
        <row r="6461">
          <cell r="C6461">
            <v>304976</v>
          </cell>
          <cell r="D6461" t="str">
            <v>Sampal MNHS</v>
          </cell>
          <cell r="E6461">
            <v>0</v>
          </cell>
          <cell r="F6461">
            <v>0</v>
          </cell>
          <cell r="G6461">
            <v>0</v>
          </cell>
          <cell r="H6461">
            <v>0</v>
          </cell>
          <cell r="I6461">
            <v>0</v>
          </cell>
          <cell r="J6461">
            <v>0</v>
          </cell>
          <cell r="K6461">
            <v>0</v>
          </cell>
          <cell r="L6461">
            <v>0</v>
          </cell>
        </row>
        <row r="6462">
          <cell r="C6462">
            <v>304977</v>
          </cell>
          <cell r="D6462" t="str">
            <v>Sarip MNHS</v>
          </cell>
          <cell r="E6462">
            <v>0</v>
          </cell>
          <cell r="F6462">
            <v>0</v>
          </cell>
          <cell r="G6462">
            <v>0</v>
          </cell>
          <cell r="H6462">
            <v>9</v>
          </cell>
          <cell r="I6462">
            <v>0</v>
          </cell>
          <cell r="J6462">
            <v>0</v>
          </cell>
          <cell r="K6462">
            <v>0</v>
          </cell>
          <cell r="L6462">
            <v>0</v>
          </cell>
        </row>
        <row r="6463">
          <cell r="C6463">
            <v>318104</v>
          </cell>
          <cell r="D6463" t="str">
            <v>Sultan Alimoddin MNHS</v>
          </cell>
          <cell r="E6463">
            <v>0</v>
          </cell>
          <cell r="F6463">
            <v>0</v>
          </cell>
          <cell r="G6463">
            <v>0</v>
          </cell>
          <cell r="H6463">
            <v>0</v>
          </cell>
          <cell r="I6463">
            <v>2</v>
          </cell>
          <cell r="J6463">
            <v>5</v>
          </cell>
          <cell r="K6463">
            <v>0</v>
          </cell>
          <cell r="L6463">
            <v>0</v>
          </cell>
        </row>
        <row r="6464">
          <cell r="C6464">
            <v>318107</v>
          </cell>
          <cell r="D6464" t="str">
            <v>Masiricampo Abantas Memorial NHS</v>
          </cell>
          <cell r="E6464">
            <v>0</v>
          </cell>
          <cell r="F6464">
            <v>8</v>
          </cell>
          <cell r="G6464">
            <v>0</v>
          </cell>
          <cell r="H6464">
            <v>0</v>
          </cell>
          <cell r="I6464">
            <v>1</v>
          </cell>
          <cell r="J6464">
            <v>3</v>
          </cell>
          <cell r="K6464">
            <v>1</v>
          </cell>
          <cell r="L6464">
            <v>3</v>
          </cell>
        </row>
        <row r="6465">
          <cell r="C6465">
            <v>318108</v>
          </cell>
          <cell r="D6465" t="str">
            <v>Sitty Amanie Moh. Kiram NHS</v>
          </cell>
          <cell r="E6465">
            <v>0</v>
          </cell>
          <cell r="F6465">
            <v>0</v>
          </cell>
          <cell r="G6465">
            <v>0</v>
          </cell>
          <cell r="H6465">
            <v>4</v>
          </cell>
          <cell r="I6465">
            <v>0</v>
          </cell>
          <cell r="J6465">
            <v>2</v>
          </cell>
          <cell r="K6465">
            <v>0</v>
          </cell>
          <cell r="L6465">
            <v>2</v>
          </cell>
        </row>
        <row r="6466">
          <cell r="C6466">
            <v>318109</v>
          </cell>
          <cell r="D6466" t="str">
            <v>Ansano Memorial NHS</v>
          </cell>
          <cell r="E6466">
            <v>0</v>
          </cell>
          <cell r="F6466">
            <v>0</v>
          </cell>
          <cell r="G6466">
            <v>0</v>
          </cell>
          <cell r="H6466">
            <v>1</v>
          </cell>
          <cell r="I6466">
            <v>0</v>
          </cell>
          <cell r="J6466">
            <v>5</v>
          </cell>
          <cell r="K6466">
            <v>0</v>
          </cell>
          <cell r="L6466">
            <v>0</v>
          </cell>
        </row>
        <row r="6467">
          <cell r="C6467">
            <v>318111</v>
          </cell>
          <cell r="D6467" t="str">
            <v>Ragayan National HS</v>
          </cell>
          <cell r="E6467">
            <v>0</v>
          </cell>
          <cell r="F6467">
            <v>0</v>
          </cell>
          <cell r="G6467">
            <v>0</v>
          </cell>
          <cell r="H6467">
            <v>6</v>
          </cell>
          <cell r="I6467">
            <v>2</v>
          </cell>
          <cell r="J6467">
            <v>6</v>
          </cell>
          <cell r="K6467">
            <v>2</v>
          </cell>
          <cell r="L6467">
            <v>6</v>
          </cell>
        </row>
        <row r="6468">
          <cell r="C6468">
            <v>318112</v>
          </cell>
          <cell r="D6468" t="str">
            <v>Bubonga Marantao NHS</v>
          </cell>
          <cell r="E6468">
            <v>0</v>
          </cell>
          <cell r="F6468">
            <v>0</v>
          </cell>
          <cell r="G6468">
            <v>0</v>
          </cell>
          <cell r="H6468">
            <v>5</v>
          </cell>
          <cell r="I6468">
            <v>0</v>
          </cell>
          <cell r="J6468">
            <v>0</v>
          </cell>
          <cell r="K6468">
            <v>0</v>
          </cell>
          <cell r="L6468">
            <v>0</v>
          </cell>
        </row>
        <row r="6469">
          <cell r="C6469">
            <v>318113</v>
          </cell>
          <cell r="D6469" t="str">
            <v>Macatanong Memorial NHS</v>
          </cell>
          <cell r="E6469">
            <v>0</v>
          </cell>
          <cell r="F6469">
            <v>0</v>
          </cell>
          <cell r="G6469">
            <v>0</v>
          </cell>
          <cell r="H6469">
            <v>1</v>
          </cell>
          <cell r="I6469">
            <v>0</v>
          </cell>
          <cell r="J6469">
            <v>1</v>
          </cell>
          <cell r="K6469">
            <v>0</v>
          </cell>
          <cell r="L6469">
            <v>1</v>
          </cell>
        </row>
        <row r="6470">
          <cell r="C6470">
            <v>318114</v>
          </cell>
          <cell r="D6470" t="str">
            <v>Sultan Guro Memorial NHS</v>
          </cell>
          <cell r="E6470">
            <v>0</v>
          </cell>
          <cell r="F6470">
            <v>0</v>
          </cell>
          <cell r="G6470">
            <v>0</v>
          </cell>
          <cell r="H6470">
            <v>0</v>
          </cell>
          <cell r="I6470">
            <v>2</v>
          </cell>
          <cell r="J6470">
            <v>8</v>
          </cell>
          <cell r="K6470">
            <v>0</v>
          </cell>
          <cell r="L6470">
            <v>0</v>
          </cell>
        </row>
        <row r="6471">
          <cell r="C6471">
            <v>318116</v>
          </cell>
          <cell r="D6471" t="str">
            <v>East Bayabao Integrated NHS of Vocational  Technology</v>
          </cell>
          <cell r="E6471">
            <v>0</v>
          </cell>
          <cell r="F6471">
            <v>0</v>
          </cell>
          <cell r="G6471">
            <v>0</v>
          </cell>
          <cell r="H6471">
            <v>3</v>
          </cell>
          <cell r="I6471">
            <v>1</v>
          </cell>
          <cell r="J6471">
            <v>3</v>
          </cell>
          <cell r="K6471">
            <v>1</v>
          </cell>
          <cell r="L6471">
            <v>3</v>
          </cell>
        </row>
        <row r="6472">
          <cell r="C6472">
            <v>318118</v>
          </cell>
          <cell r="D6472" t="str">
            <v>Johayver Maulana NHS</v>
          </cell>
          <cell r="E6472">
            <v>0</v>
          </cell>
          <cell r="F6472">
            <v>0</v>
          </cell>
          <cell r="G6472">
            <v>0</v>
          </cell>
          <cell r="H6472">
            <v>0</v>
          </cell>
          <cell r="I6472">
            <v>0</v>
          </cell>
          <cell r="J6472">
            <v>0</v>
          </cell>
          <cell r="K6472">
            <v>0</v>
          </cell>
          <cell r="L6472">
            <v>0</v>
          </cell>
        </row>
        <row r="6473">
          <cell r="C6473">
            <v>318124</v>
          </cell>
          <cell r="D6473" t="str">
            <v>M &amp; S Maito Basak NHS</v>
          </cell>
          <cell r="E6473">
            <v>0</v>
          </cell>
          <cell r="F6473">
            <v>0</v>
          </cell>
          <cell r="G6473">
            <v>0</v>
          </cell>
          <cell r="H6473">
            <v>6</v>
          </cell>
          <cell r="I6473">
            <v>0</v>
          </cell>
          <cell r="J6473">
            <v>4</v>
          </cell>
          <cell r="K6473">
            <v>0</v>
          </cell>
          <cell r="L6473">
            <v>4</v>
          </cell>
        </row>
        <row r="6474">
          <cell r="C6474">
            <v>318130</v>
          </cell>
          <cell r="D6474" t="str">
            <v>Panang NHS</v>
          </cell>
          <cell r="E6474">
            <v>0</v>
          </cell>
          <cell r="F6474">
            <v>0</v>
          </cell>
          <cell r="G6474">
            <v>0</v>
          </cell>
          <cell r="H6474">
            <v>0</v>
          </cell>
          <cell r="I6474">
            <v>0</v>
          </cell>
          <cell r="J6474">
            <v>0</v>
          </cell>
          <cell r="K6474">
            <v>0</v>
          </cell>
          <cell r="L6474">
            <v>0</v>
          </cell>
        </row>
        <row r="6475">
          <cell r="C6475">
            <v>318132</v>
          </cell>
          <cell r="D6475" t="str">
            <v>Milaya Saripada NHS</v>
          </cell>
          <cell r="E6475">
            <v>0</v>
          </cell>
          <cell r="F6475">
            <v>0</v>
          </cell>
          <cell r="G6475">
            <v>0</v>
          </cell>
          <cell r="H6475">
            <v>0</v>
          </cell>
          <cell r="I6475">
            <v>0</v>
          </cell>
          <cell r="J6475">
            <v>0</v>
          </cell>
          <cell r="K6475">
            <v>0</v>
          </cell>
          <cell r="L6475">
            <v>0</v>
          </cell>
        </row>
        <row r="6476">
          <cell r="C6476">
            <v>324601</v>
          </cell>
          <cell r="D6476" t="str">
            <v>Datu Mamintal Adiong Sr. Mem. NHS</v>
          </cell>
          <cell r="E6476">
            <v>0</v>
          </cell>
          <cell r="F6476">
            <v>0</v>
          </cell>
          <cell r="G6476">
            <v>0</v>
          </cell>
          <cell r="H6476">
            <v>10</v>
          </cell>
          <cell r="I6476">
            <v>0</v>
          </cell>
          <cell r="J6476">
            <v>0</v>
          </cell>
          <cell r="K6476">
            <v>0</v>
          </cell>
          <cell r="L6476">
            <v>0</v>
          </cell>
        </row>
        <row r="6477">
          <cell r="C6477">
            <v>304979</v>
          </cell>
          <cell r="D6477" t="str">
            <v>Andong National High School</v>
          </cell>
          <cell r="E6477">
            <v>0</v>
          </cell>
          <cell r="F6477">
            <v>0</v>
          </cell>
          <cell r="G6477">
            <v>0</v>
          </cell>
          <cell r="H6477">
            <v>1</v>
          </cell>
          <cell r="I6477">
            <v>0</v>
          </cell>
          <cell r="J6477">
            <v>0</v>
          </cell>
          <cell r="K6477">
            <v>0</v>
          </cell>
          <cell r="L6477">
            <v>0</v>
          </cell>
        </row>
        <row r="6478">
          <cell r="C6478">
            <v>304980</v>
          </cell>
          <cell r="D6478" t="str">
            <v>Bacolod-Kalawi National High School</v>
          </cell>
          <cell r="E6478">
            <v>0</v>
          </cell>
          <cell r="F6478">
            <v>0</v>
          </cell>
          <cell r="G6478">
            <v>0</v>
          </cell>
          <cell r="H6478">
            <v>0</v>
          </cell>
          <cell r="I6478">
            <v>0</v>
          </cell>
          <cell r="J6478">
            <v>1</v>
          </cell>
          <cell r="K6478">
            <v>1</v>
          </cell>
          <cell r="L6478">
            <v>3</v>
          </cell>
        </row>
        <row r="6479">
          <cell r="C6479">
            <v>304982</v>
          </cell>
          <cell r="D6479" t="str">
            <v>Bayang NHS</v>
          </cell>
          <cell r="E6479">
            <v>0</v>
          </cell>
          <cell r="F6479">
            <v>0</v>
          </cell>
          <cell r="G6479">
            <v>0</v>
          </cell>
          <cell r="H6479">
            <v>4</v>
          </cell>
          <cell r="I6479">
            <v>0</v>
          </cell>
          <cell r="J6479">
            <v>3</v>
          </cell>
          <cell r="K6479">
            <v>1</v>
          </cell>
          <cell r="L6479">
            <v>1</v>
          </cell>
        </row>
        <row r="6480">
          <cell r="C6480">
            <v>304983</v>
          </cell>
          <cell r="D6480" t="str">
            <v>Butig National High School</v>
          </cell>
          <cell r="E6480">
            <v>0</v>
          </cell>
          <cell r="F6480">
            <v>0</v>
          </cell>
          <cell r="G6480">
            <v>0</v>
          </cell>
          <cell r="H6480">
            <v>0</v>
          </cell>
          <cell r="I6480">
            <v>1</v>
          </cell>
          <cell r="J6480">
            <v>0</v>
          </cell>
          <cell r="K6480">
            <v>0</v>
          </cell>
          <cell r="L6480">
            <v>0</v>
          </cell>
        </row>
        <row r="6481">
          <cell r="C6481">
            <v>304985</v>
          </cell>
          <cell r="D6481" t="str">
            <v>Danugan NHS</v>
          </cell>
          <cell r="E6481">
            <v>0</v>
          </cell>
          <cell r="F6481">
            <v>0</v>
          </cell>
          <cell r="G6481">
            <v>0</v>
          </cell>
          <cell r="H6481">
            <v>0</v>
          </cell>
          <cell r="I6481">
            <v>0</v>
          </cell>
          <cell r="J6481">
            <v>1</v>
          </cell>
          <cell r="K6481">
            <v>0</v>
          </cell>
          <cell r="L6481">
            <v>0</v>
          </cell>
        </row>
        <row r="6482">
          <cell r="C6482">
            <v>304988</v>
          </cell>
          <cell r="D6482" t="str">
            <v>Lakitan National High School</v>
          </cell>
          <cell r="E6482">
            <v>0</v>
          </cell>
          <cell r="F6482">
            <v>0</v>
          </cell>
          <cell r="G6482">
            <v>0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>
            <v>0</v>
          </cell>
        </row>
        <row r="6483">
          <cell r="C6483">
            <v>304989</v>
          </cell>
          <cell r="D6483" t="str">
            <v>Mananayo NHS</v>
          </cell>
          <cell r="E6483">
            <v>0</v>
          </cell>
          <cell r="F6483">
            <v>0</v>
          </cell>
          <cell r="G6483">
            <v>0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>
            <v>0</v>
          </cell>
        </row>
        <row r="6484">
          <cell r="C6484">
            <v>304991</v>
          </cell>
          <cell r="D6484" t="str">
            <v>SULTAN ABDULMADID MARUHOM MEMORIAL NHS</v>
          </cell>
          <cell r="E6484">
            <v>0</v>
          </cell>
          <cell r="F6484">
            <v>0</v>
          </cell>
          <cell r="G6484">
            <v>0</v>
          </cell>
          <cell r="H6484">
            <v>4</v>
          </cell>
          <cell r="I6484">
            <v>0</v>
          </cell>
          <cell r="J6484">
            <v>3</v>
          </cell>
          <cell r="K6484">
            <v>1</v>
          </cell>
          <cell r="L6484">
            <v>1</v>
          </cell>
        </row>
        <row r="6485">
          <cell r="C6485">
            <v>304992</v>
          </cell>
          <cell r="D6485" t="str">
            <v>Nanagun National High School</v>
          </cell>
          <cell r="E6485">
            <v>0</v>
          </cell>
          <cell r="F6485">
            <v>0</v>
          </cell>
          <cell r="G6485">
            <v>0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>
            <v>0</v>
          </cell>
        </row>
        <row r="6486">
          <cell r="C6486">
            <v>304994</v>
          </cell>
          <cell r="D6486" t="str">
            <v>Pualas National High School</v>
          </cell>
          <cell r="E6486">
            <v>0</v>
          </cell>
          <cell r="F6486">
            <v>0</v>
          </cell>
          <cell r="G6486">
            <v>0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>
            <v>0</v>
          </cell>
        </row>
        <row r="6487">
          <cell r="C6487">
            <v>304997</v>
          </cell>
          <cell r="D6487" t="str">
            <v>Tubaran NHS</v>
          </cell>
          <cell r="E6487">
            <v>0</v>
          </cell>
          <cell r="F6487">
            <v>0</v>
          </cell>
          <cell r="G6487">
            <v>0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0</v>
          </cell>
        </row>
        <row r="6488">
          <cell r="C6488">
            <v>304998</v>
          </cell>
          <cell r="D6488" t="str">
            <v>Tugaya National High School</v>
          </cell>
          <cell r="E6488">
            <v>0</v>
          </cell>
          <cell r="F6488">
            <v>0</v>
          </cell>
          <cell r="G6488">
            <v>0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>
            <v>0</v>
          </cell>
        </row>
        <row r="6489">
          <cell r="C6489">
            <v>318201</v>
          </cell>
          <cell r="D6489" t="str">
            <v>Mauyag C. Papandayan SHS</v>
          </cell>
          <cell r="E6489">
            <v>0</v>
          </cell>
          <cell r="F6489">
            <v>0</v>
          </cell>
          <cell r="G6489">
            <v>0</v>
          </cell>
          <cell r="H6489">
            <v>6</v>
          </cell>
          <cell r="I6489">
            <v>1</v>
          </cell>
          <cell r="J6489">
            <v>3</v>
          </cell>
          <cell r="K6489">
            <v>1</v>
          </cell>
          <cell r="L6489">
            <v>1</v>
          </cell>
        </row>
        <row r="6490">
          <cell r="C6490">
            <v>318205</v>
          </cell>
          <cell r="D6490" t="str">
            <v>Sittie Ayeesha NHS</v>
          </cell>
          <cell r="E6490">
            <v>0</v>
          </cell>
          <cell r="F6490">
            <v>0</v>
          </cell>
          <cell r="G6490">
            <v>0</v>
          </cell>
          <cell r="H6490">
            <v>4</v>
          </cell>
          <cell r="I6490">
            <v>1</v>
          </cell>
          <cell r="J6490">
            <v>3</v>
          </cell>
          <cell r="K6490">
            <v>0</v>
          </cell>
          <cell r="L6490">
            <v>1</v>
          </cell>
        </row>
        <row r="6491">
          <cell r="C6491">
            <v>318208</v>
          </cell>
          <cell r="D6491" t="str">
            <v>Pagayawan National High School</v>
          </cell>
          <cell r="E6491">
            <v>0</v>
          </cell>
          <cell r="F6491">
            <v>0</v>
          </cell>
          <cell r="G6491">
            <v>1</v>
          </cell>
          <cell r="H6491">
            <v>3</v>
          </cell>
          <cell r="I6491">
            <v>0</v>
          </cell>
          <cell r="J6491">
            <v>1</v>
          </cell>
          <cell r="K6491">
            <v>1</v>
          </cell>
          <cell r="L6491">
            <v>2</v>
          </cell>
        </row>
        <row r="6492">
          <cell r="C6492">
            <v>318215</v>
          </cell>
          <cell r="D6492" t="str">
            <v>Al Hamlan NHS</v>
          </cell>
          <cell r="E6492">
            <v>0</v>
          </cell>
          <cell r="F6492">
            <v>0</v>
          </cell>
          <cell r="G6492">
            <v>0</v>
          </cell>
          <cell r="H6492">
            <v>2</v>
          </cell>
          <cell r="I6492">
            <v>1</v>
          </cell>
          <cell r="J6492">
            <v>1</v>
          </cell>
          <cell r="K6492">
            <v>1</v>
          </cell>
          <cell r="L6492">
            <v>1</v>
          </cell>
        </row>
        <row r="6493">
          <cell r="C6493">
            <v>318218</v>
          </cell>
          <cell r="D6493" t="str">
            <v>Madamba National High School</v>
          </cell>
          <cell r="E6493">
            <v>0</v>
          </cell>
          <cell r="F6493">
            <v>0</v>
          </cell>
          <cell r="G6493">
            <v>0</v>
          </cell>
          <cell r="H6493">
            <v>3</v>
          </cell>
          <cell r="I6493">
            <v>0</v>
          </cell>
          <cell r="J6493">
            <v>3</v>
          </cell>
          <cell r="K6493">
            <v>0</v>
          </cell>
          <cell r="L6493">
            <v>0</v>
          </cell>
        </row>
        <row r="6494">
          <cell r="C6494">
            <v>318220</v>
          </cell>
          <cell r="D6494" t="str">
            <v>Dilausan National High School</v>
          </cell>
          <cell r="E6494">
            <v>0</v>
          </cell>
          <cell r="F6494">
            <v>0</v>
          </cell>
          <cell r="G6494">
            <v>0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>
            <v>0</v>
          </cell>
        </row>
        <row r="6495">
          <cell r="C6495">
            <v>318221</v>
          </cell>
          <cell r="D6495" t="str">
            <v>Bacayawan National High School</v>
          </cell>
          <cell r="E6495">
            <v>0</v>
          </cell>
          <cell r="F6495">
            <v>0</v>
          </cell>
          <cell r="G6495">
            <v>0</v>
          </cell>
          <cell r="H6495">
            <v>4</v>
          </cell>
          <cell r="I6495">
            <v>0</v>
          </cell>
          <cell r="J6495">
            <v>1</v>
          </cell>
          <cell r="K6495">
            <v>2</v>
          </cell>
          <cell r="L6495">
            <v>1</v>
          </cell>
        </row>
        <row r="6496">
          <cell r="C6496">
            <v>318232</v>
          </cell>
          <cell r="D6496" t="str">
            <v>Bakikis NHS</v>
          </cell>
          <cell r="E6496">
            <v>0</v>
          </cell>
          <cell r="F6496">
            <v>0</v>
          </cell>
          <cell r="G6496">
            <v>0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>
            <v>0</v>
          </cell>
        </row>
        <row r="6497">
          <cell r="C6497">
            <v>318233</v>
          </cell>
          <cell r="D6497" t="str">
            <v>Balindong Pacalna National High School</v>
          </cell>
          <cell r="E6497">
            <v>0</v>
          </cell>
          <cell r="F6497">
            <v>0</v>
          </cell>
          <cell r="G6497">
            <v>0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>
            <v>0</v>
          </cell>
        </row>
        <row r="6498">
          <cell r="C6498">
            <v>318240</v>
          </cell>
          <cell r="D6498" t="str">
            <v>Malabang National High School</v>
          </cell>
          <cell r="E6498">
            <v>0</v>
          </cell>
          <cell r="F6498">
            <v>0</v>
          </cell>
          <cell r="G6498">
            <v>0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>
            <v>0</v>
          </cell>
        </row>
        <row r="6499">
          <cell r="C6499">
            <v>324704</v>
          </cell>
          <cell r="D6499" t="str">
            <v>Mamenting Memorial National High School</v>
          </cell>
          <cell r="E6499">
            <v>0</v>
          </cell>
          <cell r="F6499">
            <v>0</v>
          </cell>
          <cell r="G6499">
            <v>0</v>
          </cell>
          <cell r="H6499">
            <v>1</v>
          </cell>
          <cell r="I6499">
            <v>0</v>
          </cell>
          <cell r="J6499">
            <v>1</v>
          </cell>
          <cell r="K6499">
            <v>0</v>
          </cell>
          <cell r="L6499">
            <v>0</v>
          </cell>
        </row>
        <row r="6500">
          <cell r="C6500">
            <v>324706</v>
          </cell>
          <cell r="D6500" t="str">
            <v>Kapatagan National High School</v>
          </cell>
          <cell r="E6500">
            <v>0</v>
          </cell>
          <cell r="F6500">
            <v>0</v>
          </cell>
          <cell r="G6500">
            <v>0</v>
          </cell>
          <cell r="H6500">
            <v>0</v>
          </cell>
          <cell r="I6500">
            <v>2</v>
          </cell>
          <cell r="J6500">
            <v>2</v>
          </cell>
          <cell r="K6500">
            <v>0</v>
          </cell>
          <cell r="L6500">
            <v>0</v>
          </cell>
        </row>
        <row r="6501">
          <cell r="C6501">
            <v>324708</v>
          </cell>
          <cell r="D6501" t="str">
            <v>Sultan Mangalampa Daing NHS</v>
          </cell>
          <cell r="E6501">
            <v>0</v>
          </cell>
          <cell r="F6501">
            <v>0</v>
          </cell>
          <cell r="G6501">
            <v>0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0</v>
          </cell>
        </row>
        <row r="6502">
          <cell r="C6502">
            <v>324709</v>
          </cell>
          <cell r="D6502" t="str">
            <v>Ganassi NHS</v>
          </cell>
          <cell r="E6502">
            <v>0</v>
          </cell>
          <cell r="F6502">
            <v>0</v>
          </cell>
          <cell r="G6502">
            <v>0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0</v>
          </cell>
        </row>
        <row r="6503">
          <cell r="C6503">
            <v>324710</v>
          </cell>
          <cell r="D6503" t="str">
            <v>Madalum NHS</v>
          </cell>
          <cell r="E6503">
            <v>0</v>
          </cell>
          <cell r="F6503">
            <v>0</v>
          </cell>
          <cell r="G6503">
            <v>0</v>
          </cell>
          <cell r="H6503">
            <v>0</v>
          </cell>
          <cell r="I6503">
            <v>0</v>
          </cell>
          <cell r="J6503">
            <v>5</v>
          </cell>
          <cell r="K6503">
            <v>0</v>
          </cell>
          <cell r="L6503">
            <v>0</v>
          </cell>
        </row>
        <row r="6504">
          <cell r="C6504">
            <v>324712</v>
          </cell>
          <cell r="D6504" t="str">
            <v>Datu Raquib Zainodin National Highschool</v>
          </cell>
          <cell r="E6504">
            <v>0</v>
          </cell>
          <cell r="F6504">
            <v>0</v>
          </cell>
          <cell r="G6504">
            <v>0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>
            <v>0</v>
          </cell>
        </row>
        <row r="6505">
          <cell r="C6505">
            <v>324713</v>
          </cell>
          <cell r="D6505" t="str">
            <v>Aguam-Benito National High School</v>
          </cell>
          <cell r="E6505">
            <v>0</v>
          </cell>
          <cell r="F6505">
            <v>0</v>
          </cell>
          <cell r="G6505">
            <v>0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>
            <v>0</v>
          </cell>
        </row>
        <row r="6506">
          <cell r="C6506">
            <v>324716</v>
          </cell>
          <cell r="D6506" t="str">
            <v>Datu Aleem Balindong MNHS</v>
          </cell>
          <cell r="E6506">
            <v>0</v>
          </cell>
          <cell r="F6506">
            <v>0</v>
          </cell>
          <cell r="G6506">
            <v>0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>
            <v>0</v>
          </cell>
        </row>
        <row r="6507">
          <cell r="C6507">
            <v>304999</v>
          </cell>
          <cell r="D6507" t="str">
            <v>Ampatuan NHS</v>
          </cell>
          <cell r="E6507">
            <v>0</v>
          </cell>
          <cell r="F6507">
            <v>0</v>
          </cell>
          <cell r="G6507">
            <v>0</v>
          </cell>
          <cell r="H6507">
            <v>5</v>
          </cell>
          <cell r="I6507">
            <v>2</v>
          </cell>
          <cell r="J6507">
            <v>1</v>
          </cell>
          <cell r="K6507">
            <v>2</v>
          </cell>
          <cell r="L6507">
            <v>1</v>
          </cell>
        </row>
        <row r="6508">
          <cell r="C6508">
            <v>305001</v>
          </cell>
          <cell r="D6508" t="str">
            <v>Balungis NHS</v>
          </cell>
          <cell r="E6508">
            <v>0</v>
          </cell>
          <cell r="F6508">
            <v>0</v>
          </cell>
          <cell r="G6508">
            <v>0</v>
          </cell>
          <cell r="H6508">
            <v>3</v>
          </cell>
          <cell r="I6508">
            <v>0</v>
          </cell>
          <cell r="J6508">
            <v>0</v>
          </cell>
          <cell r="K6508">
            <v>0</v>
          </cell>
          <cell r="L6508">
            <v>0</v>
          </cell>
        </row>
        <row r="6509">
          <cell r="C6509">
            <v>305004</v>
          </cell>
          <cell r="D6509" t="str">
            <v>Datu Paglas NHS</v>
          </cell>
          <cell r="E6509">
            <v>0</v>
          </cell>
          <cell r="F6509">
            <v>0</v>
          </cell>
          <cell r="G6509">
            <v>0</v>
          </cell>
          <cell r="H6509">
            <v>6</v>
          </cell>
          <cell r="I6509">
            <v>1</v>
          </cell>
          <cell r="J6509">
            <v>5</v>
          </cell>
          <cell r="K6509">
            <v>0</v>
          </cell>
          <cell r="L6509">
            <v>2</v>
          </cell>
        </row>
        <row r="6510">
          <cell r="C6510">
            <v>305005</v>
          </cell>
          <cell r="D6510" t="str">
            <v>Datu Piang NHS</v>
          </cell>
          <cell r="E6510">
            <v>0</v>
          </cell>
          <cell r="F6510">
            <v>0</v>
          </cell>
          <cell r="G6510">
            <v>0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>
            <v>0</v>
          </cell>
        </row>
        <row r="6511">
          <cell r="C6511">
            <v>305006</v>
          </cell>
          <cell r="D6511" t="str">
            <v>Datu Udtog Matalam Sr. MNHS</v>
          </cell>
          <cell r="E6511">
            <v>0</v>
          </cell>
          <cell r="F6511">
            <v>0</v>
          </cell>
          <cell r="G6511">
            <v>0</v>
          </cell>
          <cell r="H6511">
            <v>0</v>
          </cell>
          <cell r="I6511">
            <v>0</v>
          </cell>
          <cell r="J6511">
            <v>0</v>
          </cell>
          <cell r="K6511">
            <v>0</v>
          </cell>
          <cell r="L6511">
            <v>0</v>
          </cell>
        </row>
        <row r="6512">
          <cell r="C6512">
            <v>305009</v>
          </cell>
          <cell r="D6512" t="str">
            <v>Gen. Salipada K. Pendatun NHS</v>
          </cell>
          <cell r="E6512">
            <v>0</v>
          </cell>
          <cell r="F6512">
            <v>0</v>
          </cell>
          <cell r="G6512">
            <v>0</v>
          </cell>
          <cell r="H6512">
            <v>2</v>
          </cell>
          <cell r="I6512">
            <v>0</v>
          </cell>
          <cell r="J6512">
            <v>1</v>
          </cell>
          <cell r="K6512">
            <v>1</v>
          </cell>
          <cell r="L6512">
            <v>0</v>
          </cell>
        </row>
        <row r="6513">
          <cell r="C6513">
            <v>305010</v>
          </cell>
          <cell r="D6513" t="str">
            <v>Paglat NHS</v>
          </cell>
          <cell r="E6513">
            <v>0</v>
          </cell>
          <cell r="F6513">
            <v>0</v>
          </cell>
          <cell r="G6513">
            <v>12</v>
          </cell>
          <cell r="H6513">
            <v>0</v>
          </cell>
          <cell r="I6513">
            <v>1</v>
          </cell>
          <cell r="J6513">
            <v>3</v>
          </cell>
          <cell r="K6513">
            <v>1</v>
          </cell>
          <cell r="L6513">
            <v>0</v>
          </cell>
        </row>
        <row r="6514">
          <cell r="C6514">
            <v>305012</v>
          </cell>
          <cell r="D6514" t="str">
            <v>Kauran NHS</v>
          </cell>
          <cell r="E6514">
            <v>0</v>
          </cell>
          <cell r="F6514">
            <v>0</v>
          </cell>
          <cell r="G6514">
            <v>0</v>
          </cell>
          <cell r="H6514">
            <v>1</v>
          </cell>
          <cell r="I6514">
            <v>1</v>
          </cell>
          <cell r="J6514">
            <v>0</v>
          </cell>
          <cell r="K6514">
            <v>0</v>
          </cell>
          <cell r="L6514">
            <v>1</v>
          </cell>
        </row>
        <row r="6515">
          <cell r="C6515">
            <v>305014</v>
          </cell>
          <cell r="D6515" t="str">
            <v>Maguindanao NHS</v>
          </cell>
          <cell r="E6515">
            <v>0</v>
          </cell>
          <cell r="F6515">
            <v>5</v>
          </cell>
          <cell r="G6515">
            <v>0</v>
          </cell>
          <cell r="H6515">
            <v>1</v>
          </cell>
          <cell r="I6515">
            <v>1</v>
          </cell>
          <cell r="J6515">
            <v>1</v>
          </cell>
          <cell r="K6515">
            <v>2</v>
          </cell>
          <cell r="L6515">
            <v>3</v>
          </cell>
        </row>
        <row r="6516">
          <cell r="C6516">
            <v>305022</v>
          </cell>
          <cell r="D6516" t="str">
            <v>South Upi NHS</v>
          </cell>
          <cell r="E6516">
            <v>0</v>
          </cell>
          <cell r="F6516">
            <v>0</v>
          </cell>
          <cell r="G6516">
            <v>1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>
            <v>0</v>
          </cell>
        </row>
        <row r="6517">
          <cell r="C6517">
            <v>305025</v>
          </cell>
          <cell r="D6517" t="str">
            <v>Rajah Buayan NHS</v>
          </cell>
          <cell r="E6517">
            <v>0</v>
          </cell>
          <cell r="F6517">
            <v>0</v>
          </cell>
          <cell r="G6517">
            <v>0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>
            <v>0</v>
          </cell>
        </row>
        <row r="6518">
          <cell r="C6518">
            <v>305026</v>
          </cell>
          <cell r="D6518" t="str">
            <v>Mamasapano NHS</v>
          </cell>
          <cell r="E6518">
            <v>0</v>
          </cell>
          <cell r="F6518">
            <v>0</v>
          </cell>
          <cell r="G6518">
            <v>0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>
            <v>0</v>
          </cell>
        </row>
        <row r="6519">
          <cell r="C6519">
            <v>305027</v>
          </cell>
          <cell r="D6519" t="str">
            <v>Talayan NHS</v>
          </cell>
          <cell r="E6519">
            <v>0</v>
          </cell>
          <cell r="F6519">
            <v>0</v>
          </cell>
          <cell r="G6519">
            <v>1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>
            <v>0</v>
          </cell>
        </row>
        <row r="6520">
          <cell r="C6520">
            <v>305028</v>
          </cell>
          <cell r="D6520" t="str">
            <v>Tunggol NHS</v>
          </cell>
          <cell r="E6520">
            <v>0</v>
          </cell>
          <cell r="F6520">
            <v>0</v>
          </cell>
          <cell r="G6520">
            <v>0</v>
          </cell>
          <cell r="H6520">
            <v>2</v>
          </cell>
          <cell r="I6520">
            <v>0</v>
          </cell>
          <cell r="J6520">
            <v>2</v>
          </cell>
          <cell r="K6520">
            <v>0</v>
          </cell>
          <cell r="L6520">
            <v>2</v>
          </cell>
        </row>
        <row r="6521">
          <cell r="C6521">
            <v>318304</v>
          </cell>
          <cell r="D6521" t="str">
            <v>Bulod NHS</v>
          </cell>
          <cell r="E6521">
            <v>0</v>
          </cell>
          <cell r="F6521">
            <v>0</v>
          </cell>
          <cell r="G6521">
            <v>0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0</v>
          </cell>
        </row>
        <row r="6522">
          <cell r="C6522">
            <v>318305</v>
          </cell>
          <cell r="D6522" t="str">
            <v>Datu Mamalo Memorial NHS</v>
          </cell>
          <cell r="E6522">
            <v>0</v>
          </cell>
          <cell r="F6522">
            <v>0</v>
          </cell>
          <cell r="G6522">
            <v>1</v>
          </cell>
          <cell r="H6522">
            <v>1</v>
          </cell>
          <cell r="I6522">
            <v>0</v>
          </cell>
          <cell r="J6522">
            <v>0</v>
          </cell>
          <cell r="K6522">
            <v>1</v>
          </cell>
          <cell r="L6522">
            <v>1</v>
          </cell>
        </row>
        <row r="6523">
          <cell r="C6523">
            <v>318307</v>
          </cell>
          <cell r="D6523" t="str">
            <v>Buluan NHS</v>
          </cell>
          <cell r="E6523">
            <v>0</v>
          </cell>
          <cell r="F6523">
            <v>0</v>
          </cell>
          <cell r="G6523">
            <v>0</v>
          </cell>
          <cell r="H6523">
            <v>4</v>
          </cell>
          <cell r="I6523">
            <v>0</v>
          </cell>
          <cell r="J6523">
            <v>0</v>
          </cell>
          <cell r="K6523">
            <v>0</v>
          </cell>
          <cell r="L6523">
            <v>0</v>
          </cell>
        </row>
        <row r="6524">
          <cell r="C6524">
            <v>318308</v>
          </cell>
          <cell r="D6524" t="str">
            <v>Kilangan NHS</v>
          </cell>
          <cell r="E6524">
            <v>0</v>
          </cell>
          <cell r="F6524">
            <v>0</v>
          </cell>
          <cell r="G6524">
            <v>9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>
            <v>0</v>
          </cell>
        </row>
        <row r="6525">
          <cell r="C6525">
            <v>318310</v>
          </cell>
          <cell r="D6525" t="str">
            <v>Sapakan NHS</v>
          </cell>
          <cell r="E6525">
            <v>1</v>
          </cell>
          <cell r="F6525">
            <v>0</v>
          </cell>
          <cell r="G6525">
            <v>0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>
            <v>0</v>
          </cell>
        </row>
        <row r="6526">
          <cell r="C6526">
            <v>318312</v>
          </cell>
          <cell r="D6526" t="str">
            <v>Datu Tahir Ampatuan NHS</v>
          </cell>
          <cell r="E6526">
            <v>0</v>
          </cell>
          <cell r="F6526">
            <v>0</v>
          </cell>
          <cell r="G6526">
            <v>0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0</v>
          </cell>
        </row>
        <row r="6527">
          <cell r="C6527">
            <v>318314</v>
          </cell>
          <cell r="D6527" t="str">
            <v>Datu Sailila NHS</v>
          </cell>
          <cell r="E6527">
            <v>0</v>
          </cell>
          <cell r="F6527">
            <v>0</v>
          </cell>
          <cell r="G6527">
            <v>0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0</v>
          </cell>
        </row>
        <row r="6528">
          <cell r="C6528">
            <v>318315</v>
          </cell>
          <cell r="D6528" t="str">
            <v>Datu Saudi Uy Ampatuan NHS</v>
          </cell>
          <cell r="E6528">
            <v>0</v>
          </cell>
          <cell r="F6528">
            <v>0</v>
          </cell>
          <cell r="G6528">
            <v>5</v>
          </cell>
          <cell r="H6528">
            <v>0</v>
          </cell>
          <cell r="I6528">
            <v>0</v>
          </cell>
          <cell r="J6528">
            <v>0</v>
          </cell>
          <cell r="K6528">
            <v>1</v>
          </cell>
          <cell r="L6528">
            <v>5</v>
          </cell>
        </row>
        <row r="6529">
          <cell r="C6529">
            <v>318317</v>
          </cell>
          <cell r="D6529" t="str">
            <v>Hadji Datu Abubakar K. Pendatun NHS</v>
          </cell>
          <cell r="E6529">
            <v>0</v>
          </cell>
          <cell r="F6529">
            <v>0</v>
          </cell>
          <cell r="G6529">
            <v>0</v>
          </cell>
          <cell r="H6529">
            <v>0</v>
          </cell>
          <cell r="I6529">
            <v>1</v>
          </cell>
          <cell r="J6529">
            <v>3</v>
          </cell>
          <cell r="K6529">
            <v>0</v>
          </cell>
          <cell r="L6529">
            <v>0</v>
          </cell>
        </row>
        <row r="6530">
          <cell r="C6530">
            <v>318318</v>
          </cell>
          <cell r="D6530" t="str">
            <v>Guindulungan NHS</v>
          </cell>
          <cell r="E6530">
            <v>0</v>
          </cell>
          <cell r="F6530">
            <v>0</v>
          </cell>
          <cell r="G6530">
            <v>2</v>
          </cell>
          <cell r="H6530">
            <v>0</v>
          </cell>
          <cell r="I6530">
            <v>0</v>
          </cell>
          <cell r="J6530">
            <v>0</v>
          </cell>
          <cell r="K6530">
            <v>1</v>
          </cell>
          <cell r="L6530">
            <v>1</v>
          </cell>
        </row>
        <row r="6531">
          <cell r="C6531">
            <v>318322</v>
          </cell>
          <cell r="D6531" t="str">
            <v>Datu Abdula M. Camino MNHS</v>
          </cell>
          <cell r="E6531">
            <v>0</v>
          </cell>
          <cell r="F6531">
            <v>0</v>
          </cell>
          <cell r="G6531">
            <v>0</v>
          </cell>
          <cell r="H6531">
            <v>0</v>
          </cell>
          <cell r="I6531">
            <v>0</v>
          </cell>
          <cell r="J6531">
            <v>1</v>
          </cell>
          <cell r="K6531">
            <v>0</v>
          </cell>
          <cell r="L6531">
            <v>1</v>
          </cell>
        </row>
        <row r="6532">
          <cell r="C6532">
            <v>318323</v>
          </cell>
          <cell r="D6532" t="str">
            <v>Datu Unsay NHS</v>
          </cell>
          <cell r="E6532">
            <v>0</v>
          </cell>
          <cell r="F6532">
            <v>0</v>
          </cell>
          <cell r="G6532">
            <v>2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2</v>
          </cell>
        </row>
        <row r="6533">
          <cell r="C6533">
            <v>318324</v>
          </cell>
          <cell r="D6533" t="str">
            <v>Bai Tembabay NHS</v>
          </cell>
          <cell r="E6533">
            <v>0</v>
          </cell>
          <cell r="F6533">
            <v>0</v>
          </cell>
          <cell r="G6533">
            <v>0</v>
          </cell>
          <cell r="H6533">
            <v>9</v>
          </cell>
          <cell r="I6533">
            <v>6</v>
          </cell>
          <cell r="J6533">
            <v>6</v>
          </cell>
          <cell r="K6533">
            <v>0</v>
          </cell>
          <cell r="L6533">
            <v>0</v>
          </cell>
        </row>
        <row r="6534">
          <cell r="C6534">
            <v>318329</v>
          </cell>
          <cell r="D6534" t="str">
            <v>Lumao NHS</v>
          </cell>
          <cell r="E6534">
            <v>0</v>
          </cell>
          <cell r="F6534">
            <v>0</v>
          </cell>
          <cell r="G6534">
            <v>3</v>
          </cell>
          <cell r="H6534">
            <v>0</v>
          </cell>
          <cell r="I6534">
            <v>1</v>
          </cell>
          <cell r="J6534">
            <v>2</v>
          </cell>
          <cell r="K6534">
            <v>1</v>
          </cell>
          <cell r="L6534">
            <v>2</v>
          </cell>
        </row>
        <row r="6535">
          <cell r="C6535">
            <v>318330</v>
          </cell>
          <cell r="D6535" t="str">
            <v>Pandan NHS</v>
          </cell>
          <cell r="E6535">
            <v>0</v>
          </cell>
          <cell r="F6535">
            <v>0</v>
          </cell>
          <cell r="G6535">
            <v>3</v>
          </cell>
          <cell r="H6535">
            <v>0</v>
          </cell>
          <cell r="I6535">
            <v>0</v>
          </cell>
          <cell r="J6535">
            <v>4</v>
          </cell>
          <cell r="K6535">
            <v>0</v>
          </cell>
          <cell r="L6535">
            <v>4</v>
          </cell>
        </row>
        <row r="6536">
          <cell r="C6536">
            <v>318332</v>
          </cell>
          <cell r="D6536" t="str">
            <v>Manindolo NHS</v>
          </cell>
          <cell r="E6536">
            <v>0</v>
          </cell>
          <cell r="F6536">
            <v>0</v>
          </cell>
          <cell r="G6536">
            <v>0</v>
          </cell>
          <cell r="H6536">
            <v>2</v>
          </cell>
          <cell r="I6536">
            <v>0</v>
          </cell>
          <cell r="J6536">
            <v>0</v>
          </cell>
          <cell r="K6536">
            <v>0</v>
          </cell>
          <cell r="L6536">
            <v>0</v>
          </cell>
        </row>
        <row r="6537">
          <cell r="C6537">
            <v>318333</v>
          </cell>
          <cell r="D6537" t="str">
            <v>Katong Madidis NHS</v>
          </cell>
          <cell r="E6537">
            <v>0</v>
          </cell>
          <cell r="F6537">
            <v>0</v>
          </cell>
          <cell r="G6537">
            <v>4</v>
          </cell>
          <cell r="H6537">
            <v>4</v>
          </cell>
          <cell r="I6537">
            <v>1</v>
          </cell>
          <cell r="J6537">
            <v>0</v>
          </cell>
          <cell r="K6537">
            <v>0</v>
          </cell>
          <cell r="L6537">
            <v>0</v>
          </cell>
        </row>
        <row r="6538">
          <cell r="C6538">
            <v>318334</v>
          </cell>
          <cell r="D6538" t="str">
            <v>Mangudadatu NHS</v>
          </cell>
          <cell r="E6538">
            <v>0</v>
          </cell>
          <cell r="F6538">
            <v>0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0</v>
          </cell>
        </row>
        <row r="6539">
          <cell r="C6539">
            <v>318335</v>
          </cell>
          <cell r="D6539" t="str">
            <v>Maulana NHS</v>
          </cell>
          <cell r="E6539">
            <v>0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0</v>
          </cell>
        </row>
        <row r="6540">
          <cell r="C6540">
            <v>318336</v>
          </cell>
          <cell r="D6540" t="str">
            <v>Pandag NHS</v>
          </cell>
          <cell r="E6540">
            <v>0</v>
          </cell>
          <cell r="F6540">
            <v>0</v>
          </cell>
          <cell r="G6540">
            <v>0</v>
          </cell>
          <cell r="H6540">
            <v>3</v>
          </cell>
          <cell r="I6540">
            <v>2</v>
          </cell>
          <cell r="J6540">
            <v>0</v>
          </cell>
          <cell r="K6540">
            <v>2</v>
          </cell>
          <cell r="L6540">
            <v>0</v>
          </cell>
        </row>
        <row r="6541">
          <cell r="C6541">
            <v>318341</v>
          </cell>
          <cell r="D6541" t="str">
            <v>Hadji Salik Kalaing NHS</v>
          </cell>
          <cell r="E6541">
            <v>0</v>
          </cell>
          <cell r="F6541">
            <v>0</v>
          </cell>
          <cell r="G6541">
            <v>0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>
            <v>0</v>
          </cell>
        </row>
        <row r="6542">
          <cell r="C6542">
            <v>305030</v>
          </cell>
          <cell r="D6542" t="str">
            <v>Jolo Agricultral School</v>
          </cell>
          <cell r="E6542">
            <v>0</v>
          </cell>
          <cell r="F6542">
            <v>0</v>
          </cell>
          <cell r="G6542">
            <v>0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>
            <v>0</v>
          </cell>
        </row>
        <row r="6543">
          <cell r="C6543">
            <v>305032</v>
          </cell>
          <cell r="D6543" t="str">
            <v>Jolo School of Fisheries</v>
          </cell>
          <cell r="E6543">
            <v>0</v>
          </cell>
          <cell r="F6543">
            <v>0</v>
          </cell>
          <cell r="G6543">
            <v>0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>
            <v>0</v>
          </cell>
        </row>
        <row r="6544">
          <cell r="C6544">
            <v>305033</v>
          </cell>
          <cell r="D6544" t="str">
            <v>K. Caluang NHS</v>
          </cell>
          <cell r="E6544">
            <v>0</v>
          </cell>
          <cell r="F6544">
            <v>0</v>
          </cell>
          <cell r="G6544">
            <v>2</v>
          </cell>
          <cell r="H6544">
            <v>0</v>
          </cell>
          <cell r="I6544">
            <v>1</v>
          </cell>
          <cell r="J6544">
            <v>1</v>
          </cell>
          <cell r="K6544">
            <v>0</v>
          </cell>
          <cell r="L6544">
            <v>0</v>
          </cell>
        </row>
        <row r="6545">
          <cell r="C6545">
            <v>305034</v>
          </cell>
          <cell r="D6545" t="str">
            <v>Laminusa National High School</v>
          </cell>
          <cell r="E6545">
            <v>0</v>
          </cell>
          <cell r="F6545">
            <v>0</v>
          </cell>
          <cell r="G6545">
            <v>0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>
            <v>0</v>
          </cell>
        </row>
        <row r="6546">
          <cell r="C6546">
            <v>305035</v>
          </cell>
          <cell r="D6546" t="str">
            <v>Lugus NHS</v>
          </cell>
          <cell r="E6546">
            <v>0</v>
          </cell>
          <cell r="F6546">
            <v>0</v>
          </cell>
          <cell r="G6546">
            <v>2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>
            <v>0</v>
          </cell>
        </row>
        <row r="6547">
          <cell r="C6547">
            <v>305036</v>
          </cell>
          <cell r="D6547" t="str">
            <v>LUUK NATIONAL HIGH SCHOOL</v>
          </cell>
          <cell r="E6547">
            <v>0</v>
          </cell>
          <cell r="F6547">
            <v>0</v>
          </cell>
          <cell r="G6547">
            <v>0</v>
          </cell>
          <cell r="H6547">
            <v>0</v>
          </cell>
          <cell r="I6547">
            <v>0</v>
          </cell>
          <cell r="J6547">
            <v>0</v>
          </cell>
          <cell r="K6547">
            <v>0</v>
          </cell>
          <cell r="L6547">
            <v>0</v>
          </cell>
        </row>
        <row r="6548">
          <cell r="C6548">
            <v>305037</v>
          </cell>
          <cell r="D6548" t="str">
            <v>Maimbung NHS-main</v>
          </cell>
          <cell r="E6548">
            <v>1</v>
          </cell>
          <cell r="F6548">
            <v>0</v>
          </cell>
          <cell r="G6548">
            <v>0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0</v>
          </cell>
        </row>
        <row r="6549">
          <cell r="C6549">
            <v>305038</v>
          </cell>
          <cell r="D6549" t="str">
            <v>Old Panamao NHS</v>
          </cell>
          <cell r="E6549">
            <v>0</v>
          </cell>
          <cell r="F6549">
            <v>0</v>
          </cell>
          <cell r="G6549">
            <v>3</v>
          </cell>
          <cell r="H6549">
            <v>3</v>
          </cell>
          <cell r="I6549">
            <v>0</v>
          </cell>
          <cell r="J6549">
            <v>3</v>
          </cell>
          <cell r="K6549">
            <v>0</v>
          </cell>
          <cell r="L6549">
            <v>2</v>
          </cell>
        </row>
        <row r="6550">
          <cell r="C6550">
            <v>305039</v>
          </cell>
          <cell r="D6550" t="str">
            <v>Hadji Panglima Tahil National High School</v>
          </cell>
          <cell r="E6550">
            <v>0</v>
          </cell>
          <cell r="F6550">
            <v>0</v>
          </cell>
          <cell r="G6550">
            <v>0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0</v>
          </cell>
        </row>
        <row r="6551">
          <cell r="C6551">
            <v>305040</v>
          </cell>
          <cell r="D6551" t="str">
            <v>Pandami National High School</v>
          </cell>
          <cell r="E6551">
            <v>0</v>
          </cell>
          <cell r="F6551">
            <v>0</v>
          </cell>
          <cell r="G6551">
            <v>0</v>
          </cell>
          <cell r="H6551">
            <v>0</v>
          </cell>
          <cell r="I6551">
            <v>3</v>
          </cell>
          <cell r="J6551">
            <v>0</v>
          </cell>
          <cell r="K6551">
            <v>3</v>
          </cell>
          <cell r="L6551">
            <v>0</v>
          </cell>
        </row>
        <row r="6552">
          <cell r="C6552">
            <v>305041</v>
          </cell>
          <cell r="D6552" t="str">
            <v>Panglima Estino NHS-MAIN</v>
          </cell>
          <cell r="E6552">
            <v>0</v>
          </cell>
          <cell r="F6552">
            <v>0</v>
          </cell>
          <cell r="G6552">
            <v>0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>
            <v>0</v>
          </cell>
        </row>
        <row r="6553">
          <cell r="C6553">
            <v>305042</v>
          </cell>
          <cell r="D6553" t="str">
            <v>Pangutaran NHS</v>
          </cell>
          <cell r="E6553">
            <v>0</v>
          </cell>
          <cell r="F6553">
            <v>0</v>
          </cell>
          <cell r="G6553">
            <v>0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0</v>
          </cell>
        </row>
        <row r="6554">
          <cell r="C6554">
            <v>305043</v>
          </cell>
          <cell r="D6554" t="str">
            <v>Parang NHS</v>
          </cell>
          <cell r="E6554">
            <v>0</v>
          </cell>
          <cell r="F6554">
            <v>0</v>
          </cell>
          <cell r="G6554">
            <v>0</v>
          </cell>
          <cell r="H6554">
            <v>0</v>
          </cell>
          <cell r="I6554">
            <v>1</v>
          </cell>
          <cell r="J6554">
            <v>0</v>
          </cell>
          <cell r="K6554">
            <v>3</v>
          </cell>
          <cell r="L6554">
            <v>2</v>
          </cell>
        </row>
        <row r="6555">
          <cell r="C6555">
            <v>305044</v>
          </cell>
          <cell r="D6555" t="str">
            <v>Pata NHS</v>
          </cell>
          <cell r="E6555">
            <v>0</v>
          </cell>
          <cell r="F6555">
            <v>0</v>
          </cell>
          <cell r="G6555">
            <v>0</v>
          </cell>
          <cell r="H6555">
            <v>0</v>
          </cell>
          <cell r="I6555">
            <v>0</v>
          </cell>
          <cell r="J6555">
            <v>4</v>
          </cell>
          <cell r="K6555">
            <v>0</v>
          </cell>
          <cell r="L6555">
            <v>4</v>
          </cell>
        </row>
        <row r="6556">
          <cell r="C6556">
            <v>305045</v>
          </cell>
          <cell r="D6556" t="str">
            <v>Patikul NHS</v>
          </cell>
          <cell r="E6556">
            <v>0</v>
          </cell>
          <cell r="F6556">
            <v>1</v>
          </cell>
          <cell r="G6556">
            <v>0</v>
          </cell>
          <cell r="H6556">
            <v>0</v>
          </cell>
          <cell r="I6556">
            <v>1</v>
          </cell>
          <cell r="J6556">
            <v>0</v>
          </cell>
          <cell r="K6556">
            <v>0</v>
          </cell>
          <cell r="L6556">
            <v>0</v>
          </cell>
        </row>
        <row r="6557">
          <cell r="C6557">
            <v>305046</v>
          </cell>
          <cell r="D6557" t="str">
            <v>Sulu National High School</v>
          </cell>
          <cell r="E6557">
            <v>0</v>
          </cell>
          <cell r="F6557">
            <v>0</v>
          </cell>
          <cell r="G6557">
            <v>0</v>
          </cell>
          <cell r="H6557">
            <v>11</v>
          </cell>
          <cell r="I6557">
            <v>0</v>
          </cell>
          <cell r="J6557">
            <v>0</v>
          </cell>
          <cell r="K6557">
            <v>0</v>
          </cell>
          <cell r="L6557">
            <v>0</v>
          </cell>
        </row>
        <row r="6558">
          <cell r="C6558">
            <v>305047</v>
          </cell>
          <cell r="D6558" t="str">
            <v>Talipao National High School-Senior High</v>
          </cell>
          <cell r="E6558">
            <v>0</v>
          </cell>
          <cell r="F6558">
            <v>0</v>
          </cell>
          <cell r="G6558">
            <v>0</v>
          </cell>
          <cell r="H6558">
            <v>3</v>
          </cell>
          <cell r="I6558">
            <v>0</v>
          </cell>
          <cell r="J6558">
            <v>0</v>
          </cell>
          <cell r="K6558">
            <v>0</v>
          </cell>
          <cell r="L6558">
            <v>0</v>
          </cell>
        </row>
        <row r="6559">
          <cell r="C6559">
            <v>305048</v>
          </cell>
          <cell r="D6559" t="str">
            <v>Tapul National High School</v>
          </cell>
          <cell r="E6559">
            <v>0</v>
          </cell>
          <cell r="F6559">
            <v>0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0</v>
          </cell>
        </row>
        <row r="6560">
          <cell r="C6560">
            <v>305049</v>
          </cell>
          <cell r="D6560" t="str">
            <v>Tongkil NHS</v>
          </cell>
          <cell r="E6560">
            <v>0</v>
          </cell>
          <cell r="F6560">
            <v>0</v>
          </cell>
          <cell r="G6560">
            <v>0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>
            <v>0</v>
          </cell>
        </row>
        <row r="6561">
          <cell r="C6561">
            <v>318402</v>
          </cell>
          <cell r="D6561" t="str">
            <v>Pasil Indanan</v>
          </cell>
          <cell r="E6561">
            <v>0</v>
          </cell>
          <cell r="F6561">
            <v>0</v>
          </cell>
          <cell r="G6561">
            <v>0</v>
          </cell>
          <cell r="H6561">
            <v>1</v>
          </cell>
          <cell r="I6561">
            <v>0</v>
          </cell>
          <cell r="J6561">
            <v>0</v>
          </cell>
          <cell r="K6561">
            <v>0</v>
          </cell>
          <cell r="L6561">
            <v>1</v>
          </cell>
        </row>
        <row r="6562">
          <cell r="C6562">
            <v>318403</v>
          </cell>
          <cell r="D6562" t="str">
            <v>Timbangan Indanan</v>
          </cell>
          <cell r="E6562">
            <v>0</v>
          </cell>
          <cell r="F6562">
            <v>0</v>
          </cell>
          <cell r="G6562">
            <v>0</v>
          </cell>
          <cell r="H6562">
            <v>1</v>
          </cell>
          <cell r="I6562">
            <v>0</v>
          </cell>
          <cell r="J6562">
            <v>0</v>
          </cell>
          <cell r="K6562">
            <v>0</v>
          </cell>
          <cell r="L6562">
            <v>0</v>
          </cell>
        </row>
        <row r="6563">
          <cell r="C6563">
            <v>318404</v>
          </cell>
          <cell r="D6563" t="str">
            <v>Capual NHS</v>
          </cell>
          <cell r="E6563">
            <v>0</v>
          </cell>
          <cell r="F6563">
            <v>0</v>
          </cell>
          <cell r="G6563">
            <v>4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>
            <v>0</v>
          </cell>
        </row>
        <row r="6564">
          <cell r="C6564">
            <v>318405</v>
          </cell>
          <cell r="D6564" t="str">
            <v>Lower Patibulan Panamao</v>
          </cell>
          <cell r="E6564">
            <v>0</v>
          </cell>
          <cell r="F6564">
            <v>0</v>
          </cell>
          <cell r="G6564">
            <v>3</v>
          </cell>
          <cell r="H6564">
            <v>3</v>
          </cell>
          <cell r="I6564">
            <v>0</v>
          </cell>
          <cell r="J6564">
            <v>2</v>
          </cell>
          <cell r="K6564">
            <v>1</v>
          </cell>
          <cell r="L6564">
            <v>1</v>
          </cell>
        </row>
        <row r="6565">
          <cell r="C6565">
            <v>318406</v>
          </cell>
          <cell r="D6565" t="str">
            <v>Lapak National School of Fisheries</v>
          </cell>
          <cell r="E6565">
            <v>0</v>
          </cell>
          <cell r="F6565">
            <v>0</v>
          </cell>
          <cell r="G6565">
            <v>0</v>
          </cell>
          <cell r="H6565">
            <v>2</v>
          </cell>
          <cell r="I6565">
            <v>1</v>
          </cell>
          <cell r="J6565">
            <v>0</v>
          </cell>
          <cell r="K6565">
            <v>0</v>
          </cell>
          <cell r="L6565">
            <v>0</v>
          </cell>
        </row>
        <row r="6566">
          <cell r="C6566">
            <v>318408</v>
          </cell>
          <cell r="D6566" t="str">
            <v>Maimbung Technical Vocational High School</v>
          </cell>
          <cell r="E6566">
            <v>0</v>
          </cell>
          <cell r="F6566">
            <v>0</v>
          </cell>
          <cell r="G6566">
            <v>0</v>
          </cell>
          <cell r="H6566">
            <v>0</v>
          </cell>
          <cell r="I6566">
            <v>2</v>
          </cell>
          <cell r="J6566">
            <v>0</v>
          </cell>
          <cell r="K6566">
            <v>2</v>
          </cell>
          <cell r="L6566">
            <v>0</v>
          </cell>
        </row>
        <row r="6567">
          <cell r="C6567">
            <v>318410</v>
          </cell>
          <cell r="D6567" t="str">
            <v>Jolo Agricultural School-Annex (Bato-Bato)</v>
          </cell>
          <cell r="E6567">
            <v>0</v>
          </cell>
          <cell r="F6567">
            <v>0</v>
          </cell>
          <cell r="G6567">
            <v>0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>
            <v>0</v>
          </cell>
        </row>
        <row r="6568">
          <cell r="C6568">
            <v>305050</v>
          </cell>
          <cell r="D6568" t="str">
            <v>Balimbing NHS</v>
          </cell>
          <cell r="E6568">
            <v>0</v>
          </cell>
          <cell r="F6568">
            <v>0</v>
          </cell>
          <cell r="G6568">
            <v>0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0</v>
          </cell>
        </row>
        <row r="6569">
          <cell r="C6569">
            <v>305051</v>
          </cell>
          <cell r="D6569" t="str">
            <v>Banaran NHS</v>
          </cell>
          <cell r="E6569">
            <v>0</v>
          </cell>
          <cell r="F6569">
            <v>0</v>
          </cell>
          <cell r="G6569">
            <v>0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>
            <v>0</v>
          </cell>
        </row>
        <row r="6570">
          <cell r="C6570">
            <v>305053</v>
          </cell>
          <cell r="D6570" t="str">
            <v>Batu-Batu NHS</v>
          </cell>
          <cell r="E6570">
            <v>0</v>
          </cell>
          <cell r="F6570">
            <v>8</v>
          </cell>
          <cell r="G6570">
            <v>0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1</v>
          </cell>
        </row>
        <row r="6571">
          <cell r="C6571">
            <v>305056</v>
          </cell>
          <cell r="D6571" t="str">
            <v>Mantabuan NHS</v>
          </cell>
          <cell r="E6571">
            <v>0</v>
          </cell>
          <cell r="F6571">
            <v>2</v>
          </cell>
          <cell r="G6571">
            <v>2</v>
          </cell>
          <cell r="H6571">
            <v>0</v>
          </cell>
          <cell r="I6571">
            <v>1</v>
          </cell>
          <cell r="J6571">
            <v>0</v>
          </cell>
          <cell r="K6571">
            <v>2</v>
          </cell>
          <cell r="L6571">
            <v>2</v>
          </cell>
        </row>
        <row r="6572">
          <cell r="C6572">
            <v>305057</v>
          </cell>
          <cell r="D6572" t="str">
            <v>Manuk Mangkaw NHS</v>
          </cell>
          <cell r="E6572">
            <v>0</v>
          </cell>
          <cell r="F6572">
            <v>0</v>
          </cell>
          <cell r="G6572">
            <v>0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0</v>
          </cell>
        </row>
        <row r="6573">
          <cell r="C6573">
            <v>305060</v>
          </cell>
          <cell r="D6573" t="str">
            <v>Sipangkot NHS</v>
          </cell>
          <cell r="E6573">
            <v>0</v>
          </cell>
          <cell r="F6573">
            <v>0</v>
          </cell>
          <cell r="G6573">
            <v>0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0</v>
          </cell>
        </row>
        <row r="6574">
          <cell r="C6574">
            <v>305061</v>
          </cell>
          <cell r="D6574" t="str">
            <v>Hadja Jatol Ahaja NHS</v>
          </cell>
          <cell r="E6574">
            <v>0</v>
          </cell>
          <cell r="F6574">
            <v>0</v>
          </cell>
          <cell r="G6574">
            <v>0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0</v>
          </cell>
        </row>
        <row r="6575">
          <cell r="C6575">
            <v>305063</v>
          </cell>
          <cell r="D6575" t="str">
            <v>Tandubanak NHS</v>
          </cell>
          <cell r="E6575">
            <v>0</v>
          </cell>
          <cell r="F6575">
            <v>0</v>
          </cell>
          <cell r="G6575">
            <v>0</v>
          </cell>
          <cell r="H6575">
            <v>0</v>
          </cell>
          <cell r="I6575">
            <v>1</v>
          </cell>
          <cell r="J6575">
            <v>0</v>
          </cell>
          <cell r="K6575">
            <v>1</v>
          </cell>
          <cell r="L6575">
            <v>1</v>
          </cell>
        </row>
        <row r="6576">
          <cell r="C6576">
            <v>305064</v>
          </cell>
          <cell r="D6576" t="str">
            <v>Tandubas School of Fisheries</v>
          </cell>
          <cell r="E6576">
            <v>0</v>
          </cell>
          <cell r="F6576">
            <v>0</v>
          </cell>
          <cell r="G6576">
            <v>0</v>
          </cell>
          <cell r="H6576">
            <v>1</v>
          </cell>
          <cell r="I6576">
            <v>1</v>
          </cell>
          <cell r="J6576">
            <v>1</v>
          </cell>
          <cell r="K6576">
            <v>1</v>
          </cell>
          <cell r="L6576">
            <v>1</v>
          </cell>
        </row>
        <row r="6577">
          <cell r="C6577">
            <v>305065</v>
          </cell>
          <cell r="D6577" t="str">
            <v>Tawi-Tawi School of Fisheries</v>
          </cell>
          <cell r="E6577">
            <v>0</v>
          </cell>
          <cell r="F6577">
            <v>0</v>
          </cell>
          <cell r="G6577">
            <v>0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>
            <v>0</v>
          </cell>
        </row>
        <row r="6578">
          <cell r="C6578">
            <v>305066</v>
          </cell>
          <cell r="D6578" t="str">
            <v>Tawi Tawi SAT</v>
          </cell>
          <cell r="E6578">
            <v>0</v>
          </cell>
          <cell r="F6578">
            <v>0</v>
          </cell>
          <cell r="G6578">
            <v>0</v>
          </cell>
          <cell r="H6578">
            <v>6</v>
          </cell>
          <cell r="I6578">
            <v>1</v>
          </cell>
          <cell r="J6578">
            <v>5</v>
          </cell>
          <cell r="K6578">
            <v>1</v>
          </cell>
          <cell r="L6578">
            <v>5</v>
          </cell>
        </row>
        <row r="6579">
          <cell r="C6579">
            <v>305067</v>
          </cell>
          <cell r="D6579" t="str">
            <v>Tawi Tawi West Coast Agricultural high school</v>
          </cell>
          <cell r="E6579">
            <v>0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0</v>
          </cell>
        </row>
        <row r="6580">
          <cell r="C6580">
            <v>305068</v>
          </cell>
          <cell r="D6580" t="str">
            <v>Tubig-indangan National High School</v>
          </cell>
          <cell r="E6580">
            <v>0</v>
          </cell>
          <cell r="F6580">
            <v>0</v>
          </cell>
          <cell r="G6580">
            <v>0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>
            <v>0</v>
          </cell>
        </row>
        <row r="6581">
          <cell r="C6581">
            <v>305069</v>
          </cell>
          <cell r="D6581" t="str">
            <v>Turtle Island HS</v>
          </cell>
          <cell r="E6581">
            <v>0</v>
          </cell>
          <cell r="F6581">
            <v>0</v>
          </cell>
          <cell r="G6581">
            <v>0</v>
          </cell>
          <cell r="H6581">
            <v>6</v>
          </cell>
          <cell r="I6581">
            <v>0</v>
          </cell>
          <cell r="J6581">
            <v>1</v>
          </cell>
          <cell r="K6581">
            <v>0</v>
          </cell>
          <cell r="L6581">
            <v>1</v>
          </cell>
        </row>
        <row r="6582">
          <cell r="C6582">
            <v>305071</v>
          </cell>
          <cell r="D6582" t="str">
            <v>Ungus Matata NHS</v>
          </cell>
          <cell r="E6582">
            <v>0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0</v>
          </cell>
        </row>
        <row r="6583">
          <cell r="C6583">
            <v>318502</v>
          </cell>
          <cell r="D6583" t="str">
            <v>Pagasinan NHS</v>
          </cell>
          <cell r="E6583">
            <v>0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0</v>
          </cell>
        </row>
        <row r="6584">
          <cell r="C6584">
            <v>318504</v>
          </cell>
          <cell r="D6584" t="str">
            <v>Hadji Omarsani Tambut NHS</v>
          </cell>
          <cell r="E6584">
            <v>0</v>
          </cell>
          <cell r="F6584">
            <v>0</v>
          </cell>
          <cell r="G6584">
            <v>0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>
            <v>0</v>
          </cell>
        </row>
        <row r="6585">
          <cell r="C6585">
            <v>318505</v>
          </cell>
          <cell r="D6585" t="str">
            <v>Boloboc Science and Technology High School</v>
          </cell>
          <cell r="E6585">
            <v>0</v>
          </cell>
          <cell r="F6585">
            <v>0</v>
          </cell>
          <cell r="G6585">
            <v>0</v>
          </cell>
          <cell r="H6585">
            <v>0</v>
          </cell>
          <cell r="I6585">
            <v>1</v>
          </cell>
          <cell r="J6585">
            <v>0</v>
          </cell>
          <cell r="K6585">
            <v>1</v>
          </cell>
          <cell r="L6585">
            <v>1</v>
          </cell>
        </row>
        <row r="6586">
          <cell r="C6586">
            <v>345750</v>
          </cell>
          <cell r="D6586" t="str">
            <v>Mapun National High School</v>
          </cell>
          <cell r="E6586">
            <v>0</v>
          </cell>
          <cell r="F6586">
            <v>0</v>
          </cell>
          <cell r="G6586">
            <v>0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>
            <v>0</v>
          </cell>
        </row>
        <row r="6587">
          <cell r="C6587">
            <v>501266</v>
          </cell>
          <cell r="D6587" t="str">
            <v>Tabawan Integrated School</v>
          </cell>
          <cell r="E6587">
            <v>0</v>
          </cell>
          <cell r="F6587">
            <v>0</v>
          </cell>
          <cell r="G6587">
            <v>0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>
            <v>0</v>
          </cell>
        </row>
        <row r="6588">
          <cell r="C6588">
            <v>305072</v>
          </cell>
          <cell r="D6588" t="str">
            <v>Angoyao NHS</v>
          </cell>
          <cell r="E6588">
            <v>0</v>
          </cell>
          <cell r="F6588">
            <v>0</v>
          </cell>
          <cell r="G6588">
            <v>0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>
            <v>0</v>
          </cell>
        </row>
        <row r="6589">
          <cell r="C6589">
            <v>305073</v>
          </cell>
          <cell r="D6589" t="str">
            <v>MARAWI CITY NATIONAL HIGH SCHOOL</v>
          </cell>
          <cell r="E6589">
            <v>0</v>
          </cell>
          <cell r="F6589">
            <v>0</v>
          </cell>
          <cell r="G6589">
            <v>0</v>
          </cell>
          <cell r="H6589">
            <v>0</v>
          </cell>
          <cell r="I6589">
            <v>3</v>
          </cell>
          <cell r="J6589">
            <v>10</v>
          </cell>
          <cell r="K6589">
            <v>0</v>
          </cell>
          <cell r="L6589">
            <v>0</v>
          </cell>
        </row>
        <row r="6590">
          <cell r="C6590">
            <v>318601</v>
          </cell>
          <cell r="D6590" t="str">
            <v>Dansalan National High School</v>
          </cell>
          <cell r="E6590">
            <v>0</v>
          </cell>
          <cell r="F6590">
            <v>0</v>
          </cell>
          <cell r="G6590">
            <v>0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>
            <v>0</v>
          </cell>
        </row>
        <row r="6591">
          <cell r="C6591">
            <v>318602</v>
          </cell>
          <cell r="D6591" t="str">
            <v>Lake Lanao NHS</v>
          </cell>
          <cell r="E6591">
            <v>0</v>
          </cell>
          <cell r="F6591">
            <v>0</v>
          </cell>
          <cell r="G6591">
            <v>0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0</v>
          </cell>
        </row>
        <row r="6592">
          <cell r="C6592">
            <v>318605</v>
          </cell>
          <cell r="D6592" t="str">
            <v>RPMD National Science HS</v>
          </cell>
          <cell r="E6592">
            <v>0</v>
          </cell>
          <cell r="F6592">
            <v>0</v>
          </cell>
          <cell r="G6592">
            <v>0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0</v>
          </cell>
        </row>
        <row r="6593">
          <cell r="C6593">
            <v>304935</v>
          </cell>
          <cell r="D6593" t="str">
            <v>Colony National High School</v>
          </cell>
          <cell r="E6593">
            <v>0</v>
          </cell>
          <cell r="F6593">
            <v>0</v>
          </cell>
          <cell r="G6593">
            <v>0</v>
          </cell>
          <cell r="H6593">
            <v>0</v>
          </cell>
          <cell r="I6593">
            <v>3</v>
          </cell>
          <cell r="J6593">
            <v>2</v>
          </cell>
          <cell r="K6593">
            <v>0</v>
          </cell>
          <cell r="L6593">
            <v>0</v>
          </cell>
        </row>
        <row r="6594">
          <cell r="C6594">
            <v>304939</v>
          </cell>
          <cell r="D6594" t="str">
            <v>Lamitan National High School</v>
          </cell>
          <cell r="E6594">
            <v>0</v>
          </cell>
          <cell r="F6594">
            <v>0</v>
          </cell>
          <cell r="G6594">
            <v>0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0</v>
          </cell>
        </row>
        <row r="6595">
          <cell r="C6595">
            <v>304945</v>
          </cell>
          <cell r="D6595" t="str">
            <v>Parangbasak NHS</v>
          </cell>
          <cell r="E6595">
            <v>0</v>
          </cell>
          <cell r="F6595">
            <v>0</v>
          </cell>
          <cell r="G6595">
            <v>0</v>
          </cell>
          <cell r="H6595">
            <v>0</v>
          </cell>
          <cell r="I6595">
            <v>0</v>
          </cell>
          <cell r="J6595">
            <v>1</v>
          </cell>
          <cell r="K6595">
            <v>1</v>
          </cell>
          <cell r="L6595">
            <v>0</v>
          </cell>
        </row>
        <row r="6596">
          <cell r="C6596">
            <v>318001</v>
          </cell>
          <cell r="D6596" t="str">
            <v>Ubit NHS</v>
          </cell>
          <cell r="E6596">
            <v>0</v>
          </cell>
          <cell r="F6596">
            <v>0</v>
          </cell>
          <cell r="G6596">
            <v>0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>
            <v>0</v>
          </cell>
        </row>
        <row r="6597">
          <cell r="C6597">
            <v>305074</v>
          </cell>
          <cell r="D6597" t="str">
            <v>Abas NHS</v>
          </cell>
          <cell r="E6597">
            <v>0</v>
          </cell>
          <cell r="F6597">
            <v>0</v>
          </cell>
          <cell r="G6597">
            <v>0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0</v>
          </cell>
        </row>
        <row r="6598">
          <cell r="C6598">
            <v>305075</v>
          </cell>
          <cell r="D6598" t="str">
            <v>Abra HS</v>
          </cell>
          <cell r="E6598">
            <v>0</v>
          </cell>
          <cell r="F6598">
            <v>0</v>
          </cell>
          <cell r="G6598">
            <v>0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>
            <v>0</v>
          </cell>
        </row>
        <row r="6599">
          <cell r="C6599">
            <v>305076</v>
          </cell>
          <cell r="D6599" t="str">
            <v>Baay National High School</v>
          </cell>
          <cell r="E6599">
            <v>0</v>
          </cell>
          <cell r="F6599">
            <v>0</v>
          </cell>
          <cell r="G6599">
            <v>0</v>
          </cell>
          <cell r="H6599">
            <v>0</v>
          </cell>
          <cell r="I6599">
            <v>0</v>
          </cell>
          <cell r="J6599">
            <v>0</v>
          </cell>
          <cell r="K6599">
            <v>0</v>
          </cell>
          <cell r="L6599">
            <v>0</v>
          </cell>
        </row>
        <row r="6600">
          <cell r="C6600">
            <v>305078</v>
          </cell>
          <cell r="D6600" t="str">
            <v>Boliney NHS</v>
          </cell>
          <cell r="E6600">
            <v>0</v>
          </cell>
          <cell r="F6600">
            <v>0</v>
          </cell>
          <cell r="G6600">
            <v>0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>
            <v>0</v>
          </cell>
        </row>
        <row r="6601">
          <cell r="C6601">
            <v>305080</v>
          </cell>
          <cell r="D6601" t="str">
            <v>Capitan NHS</v>
          </cell>
          <cell r="E6601">
            <v>0</v>
          </cell>
          <cell r="F6601">
            <v>0</v>
          </cell>
          <cell r="G6601">
            <v>0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>
            <v>0</v>
          </cell>
        </row>
        <row r="6602">
          <cell r="C6602">
            <v>305081</v>
          </cell>
          <cell r="D6602" t="str">
            <v>Cayapa NHS</v>
          </cell>
          <cell r="E6602">
            <v>0</v>
          </cell>
          <cell r="F6602">
            <v>0</v>
          </cell>
          <cell r="G6602">
            <v>0</v>
          </cell>
          <cell r="H6602">
            <v>0</v>
          </cell>
          <cell r="I6602">
            <v>0</v>
          </cell>
          <cell r="J6602">
            <v>0</v>
          </cell>
          <cell r="K6602">
            <v>0</v>
          </cell>
          <cell r="L6602">
            <v>0</v>
          </cell>
        </row>
        <row r="6603">
          <cell r="C6603">
            <v>305082</v>
          </cell>
          <cell r="D6603" t="str">
            <v>Cristina B. Gonzales MHS</v>
          </cell>
          <cell r="E6603">
            <v>0</v>
          </cell>
          <cell r="F6603">
            <v>0</v>
          </cell>
          <cell r="G6603">
            <v>0</v>
          </cell>
          <cell r="H6603">
            <v>0</v>
          </cell>
          <cell r="I6603">
            <v>5</v>
          </cell>
          <cell r="J6603">
            <v>1</v>
          </cell>
          <cell r="K6603">
            <v>0</v>
          </cell>
          <cell r="L6603">
            <v>0</v>
          </cell>
        </row>
        <row r="6604">
          <cell r="C6604">
            <v>305083</v>
          </cell>
          <cell r="D6604" t="str">
            <v>Dalit National High School</v>
          </cell>
          <cell r="E6604">
            <v>0</v>
          </cell>
          <cell r="F6604">
            <v>0</v>
          </cell>
          <cell r="G6604">
            <v>0</v>
          </cell>
          <cell r="H6604">
            <v>0</v>
          </cell>
          <cell r="I6604">
            <v>0</v>
          </cell>
          <cell r="J6604">
            <v>3</v>
          </cell>
          <cell r="K6604">
            <v>0</v>
          </cell>
          <cell r="L6604">
            <v>3</v>
          </cell>
        </row>
        <row r="6605">
          <cell r="C6605">
            <v>305084</v>
          </cell>
          <cell r="D6605" t="str">
            <v>Dilong National High School</v>
          </cell>
          <cell r="E6605">
            <v>0</v>
          </cell>
          <cell r="F6605">
            <v>0</v>
          </cell>
          <cell r="G6605">
            <v>0</v>
          </cell>
          <cell r="H6605">
            <v>0</v>
          </cell>
          <cell r="I6605">
            <v>0</v>
          </cell>
          <cell r="J6605">
            <v>0</v>
          </cell>
          <cell r="K6605">
            <v>0</v>
          </cell>
          <cell r="L6605">
            <v>0</v>
          </cell>
        </row>
        <row r="6606">
          <cell r="C6606">
            <v>305085</v>
          </cell>
          <cell r="D6606" t="str">
            <v>Dugong National High School</v>
          </cell>
          <cell r="E6606">
            <v>0</v>
          </cell>
          <cell r="F6606">
            <v>0</v>
          </cell>
          <cell r="G6606">
            <v>0</v>
          </cell>
          <cell r="H6606">
            <v>0</v>
          </cell>
          <cell r="I6606">
            <v>0</v>
          </cell>
          <cell r="J6606">
            <v>0</v>
          </cell>
          <cell r="K6606">
            <v>0</v>
          </cell>
          <cell r="L6606">
            <v>0</v>
          </cell>
        </row>
        <row r="6607">
          <cell r="C6607">
            <v>305086</v>
          </cell>
          <cell r="D6607" t="str">
            <v>Gaddani NHS</v>
          </cell>
          <cell r="E6607">
            <v>0</v>
          </cell>
          <cell r="F6607">
            <v>0</v>
          </cell>
          <cell r="G6607">
            <v>0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>
            <v>0</v>
          </cell>
        </row>
        <row r="6608">
          <cell r="C6608">
            <v>305087</v>
          </cell>
          <cell r="D6608" t="str">
            <v>Langiden NHS</v>
          </cell>
          <cell r="E6608">
            <v>0</v>
          </cell>
          <cell r="F6608">
            <v>0</v>
          </cell>
          <cell r="G6608">
            <v>0</v>
          </cell>
          <cell r="H6608">
            <v>0</v>
          </cell>
          <cell r="I6608">
            <v>0</v>
          </cell>
          <cell r="J6608">
            <v>0</v>
          </cell>
          <cell r="K6608">
            <v>0</v>
          </cell>
          <cell r="L6608">
            <v>0</v>
          </cell>
        </row>
        <row r="6609">
          <cell r="C6609">
            <v>305088</v>
          </cell>
          <cell r="D6609" t="str">
            <v>Lul-luno NHS</v>
          </cell>
          <cell r="E6609">
            <v>0</v>
          </cell>
          <cell r="F6609">
            <v>0</v>
          </cell>
          <cell r="G6609">
            <v>0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>
            <v>0</v>
          </cell>
        </row>
        <row r="6610">
          <cell r="C6610">
            <v>305089</v>
          </cell>
          <cell r="D6610" t="str">
            <v>Luzong NHS</v>
          </cell>
          <cell r="E6610">
            <v>0</v>
          </cell>
          <cell r="F6610">
            <v>0</v>
          </cell>
          <cell r="G6610">
            <v>0</v>
          </cell>
          <cell r="H6610">
            <v>0</v>
          </cell>
          <cell r="I6610">
            <v>1</v>
          </cell>
          <cell r="J6610">
            <v>1</v>
          </cell>
          <cell r="K6610">
            <v>1</v>
          </cell>
          <cell r="L6610">
            <v>1</v>
          </cell>
        </row>
        <row r="6611">
          <cell r="C6611">
            <v>305090</v>
          </cell>
          <cell r="D6611" t="str">
            <v>Mataragan NAS</v>
          </cell>
          <cell r="E6611">
            <v>0</v>
          </cell>
          <cell r="F6611">
            <v>0</v>
          </cell>
          <cell r="G6611">
            <v>0</v>
          </cell>
          <cell r="H6611">
            <v>0</v>
          </cell>
          <cell r="I6611">
            <v>0</v>
          </cell>
          <cell r="J6611">
            <v>0</v>
          </cell>
          <cell r="K6611">
            <v>0</v>
          </cell>
          <cell r="L6611">
            <v>0</v>
          </cell>
        </row>
        <row r="6612">
          <cell r="C6612">
            <v>305091</v>
          </cell>
          <cell r="D6612" t="str">
            <v>Northern Abra NHS</v>
          </cell>
          <cell r="E6612">
            <v>0</v>
          </cell>
          <cell r="F6612">
            <v>0</v>
          </cell>
          <cell r="G6612">
            <v>0</v>
          </cell>
          <cell r="H6612">
            <v>0</v>
          </cell>
          <cell r="I6612">
            <v>0</v>
          </cell>
          <cell r="J6612">
            <v>0</v>
          </cell>
          <cell r="K6612">
            <v>0</v>
          </cell>
          <cell r="L6612">
            <v>0</v>
          </cell>
        </row>
        <row r="6613">
          <cell r="C6613">
            <v>305092</v>
          </cell>
          <cell r="D6613" t="str">
            <v>Pangtod NHS</v>
          </cell>
          <cell r="E6613">
            <v>0</v>
          </cell>
          <cell r="F6613">
            <v>0</v>
          </cell>
          <cell r="G6613">
            <v>0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>
            <v>0</v>
          </cell>
        </row>
        <row r="6614">
          <cell r="C6614">
            <v>305093</v>
          </cell>
          <cell r="D6614" t="str">
            <v>Pilar Rural High School</v>
          </cell>
          <cell r="E6614">
            <v>0</v>
          </cell>
          <cell r="F6614">
            <v>0</v>
          </cell>
          <cell r="G6614">
            <v>0</v>
          </cell>
          <cell r="H6614">
            <v>0</v>
          </cell>
          <cell r="I6614">
            <v>0</v>
          </cell>
          <cell r="J6614">
            <v>3</v>
          </cell>
          <cell r="K6614">
            <v>0</v>
          </cell>
          <cell r="L6614">
            <v>2</v>
          </cell>
        </row>
        <row r="6615">
          <cell r="C6615">
            <v>305094</v>
          </cell>
          <cell r="D6615" t="str">
            <v>Pulot National High School</v>
          </cell>
          <cell r="E6615">
            <v>0</v>
          </cell>
          <cell r="F6615">
            <v>0</v>
          </cell>
          <cell r="G6615">
            <v>0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>
            <v>0</v>
          </cell>
        </row>
        <row r="6616">
          <cell r="C6616">
            <v>305095</v>
          </cell>
          <cell r="D6616" t="str">
            <v>Quidaoen NHS</v>
          </cell>
          <cell r="E6616">
            <v>0</v>
          </cell>
          <cell r="F6616">
            <v>0</v>
          </cell>
          <cell r="G6616">
            <v>0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>
            <v>0</v>
          </cell>
        </row>
        <row r="6617">
          <cell r="C6617">
            <v>305096</v>
          </cell>
          <cell r="D6617" t="str">
            <v>Rosalio Eduarte NHS</v>
          </cell>
          <cell r="E6617">
            <v>0</v>
          </cell>
          <cell r="F6617">
            <v>0</v>
          </cell>
          <cell r="G6617">
            <v>0</v>
          </cell>
          <cell r="H6617">
            <v>0</v>
          </cell>
          <cell r="I6617">
            <v>0</v>
          </cell>
          <cell r="J6617">
            <v>0</v>
          </cell>
          <cell r="K6617">
            <v>0</v>
          </cell>
          <cell r="L6617">
            <v>0</v>
          </cell>
        </row>
        <row r="6618">
          <cell r="C6618">
            <v>305097</v>
          </cell>
          <cell r="D6618" t="str">
            <v>San Isidro NHS</v>
          </cell>
          <cell r="E6618">
            <v>0</v>
          </cell>
          <cell r="F6618">
            <v>0</v>
          </cell>
          <cell r="G6618">
            <v>0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>
            <v>0</v>
          </cell>
        </row>
        <row r="6619">
          <cell r="C6619">
            <v>305098</v>
          </cell>
          <cell r="D6619" t="str">
            <v>Manabo NHS (San Jose Catacdegan NHS)</v>
          </cell>
          <cell r="E6619">
            <v>0</v>
          </cell>
          <cell r="F6619">
            <v>0</v>
          </cell>
          <cell r="G6619">
            <v>0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>
            <v>0</v>
          </cell>
        </row>
        <row r="6620">
          <cell r="C6620">
            <v>305099</v>
          </cell>
          <cell r="D6620" t="str">
            <v>San Quintin NHS</v>
          </cell>
          <cell r="E6620">
            <v>0</v>
          </cell>
          <cell r="F6620">
            <v>0</v>
          </cell>
          <cell r="G6620">
            <v>0</v>
          </cell>
          <cell r="H6620">
            <v>0</v>
          </cell>
          <cell r="I6620">
            <v>0</v>
          </cell>
          <cell r="J6620">
            <v>0</v>
          </cell>
          <cell r="K6620">
            <v>0</v>
          </cell>
          <cell r="L6620">
            <v>0</v>
          </cell>
        </row>
        <row r="6621">
          <cell r="C6621">
            <v>305100</v>
          </cell>
          <cell r="D6621" t="str">
            <v>Supo NHS</v>
          </cell>
          <cell r="E6621">
            <v>0</v>
          </cell>
          <cell r="F6621">
            <v>0</v>
          </cell>
          <cell r="G6621">
            <v>0</v>
          </cell>
          <cell r="H6621">
            <v>0</v>
          </cell>
          <cell r="I6621">
            <v>0</v>
          </cell>
          <cell r="J6621">
            <v>0</v>
          </cell>
          <cell r="K6621">
            <v>0</v>
          </cell>
          <cell r="L6621">
            <v>0</v>
          </cell>
        </row>
        <row r="6622">
          <cell r="C6622">
            <v>305101</v>
          </cell>
          <cell r="D6622" t="str">
            <v>Suyo National High School</v>
          </cell>
          <cell r="E6622">
            <v>0</v>
          </cell>
          <cell r="F6622">
            <v>0</v>
          </cell>
          <cell r="G6622">
            <v>0</v>
          </cell>
          <cell r="H6622">
            <v>0</v>
          </cell>
          <cell r="I6622">
            <v>0</v>
          </cell>
          <cell r="J6622">
            <v>0</v>
          </cell>
          <cell r="K6622">
            <v>0</v>
          </cell>
          <cell r="L6622">
            <v>0</v>
          </cell>
        </row>
        <row r="6623">
          <cell r="C6623">
            <v>305102</v>
          </cell>
          <cell r="D6623" t="str">
            <v>Tagodtod National High School</v>
          </cell>
          <cell r="E6623">
            <v>0</v>
          </cell>
          <cell r="F6623">
            <v>0</v>
          </cell>
          <cell r="G6623">
            <v>0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>
            <v>0</v>
          </cell>
        </row>
        <row r="6624">
          <cell r="C6624">
            <v>305103</v>
          </cell>
          <cell r="D6624" t="str">
            <v>Tiempo NHS</v>
          </cell>
          <cell r="E6624">
            <v>0</v>
          </cell>
          <cell r="F6624">
            <v>0</v>
          </cell>
          <cell r="G6624">
            <v>0</v>
          </cell>
          <cell r="H6624">
            <v>0</v>
          </cell>
          <cell r="I6624">
            <v>0</v>
          </cell>
          <cell r="J6624">
            <v>0</v>
          </cell>
          <cell r="K6624">
            <v>0</v>
          </cell>
          <cell r="L6624">
            <v>0</v>
          </cell>
        </row>
        <row r="6625">
          <cell r="C6625">
            <v>305104</v>
          </cell>
          <cell r="D6625" t="str">
            <v>Tineg National High School</v>
          </cell>
          <cell r="E6625">
            <v>0</v>
          </cell>
          <cell r="F6625">
            <v>0</v>
          </cell>
          <cell r="G6625">
            <v>0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>
            <v>0</v>
          </cell>
        </row>
        <row r="6626">
          <cell r="C6626">
            <v>305105</v>
          </cell>
          <cell r="D6626" t="str">
            <v>Western Abra NHS</v>
          </cell>
          <cell r="E6626">
            <v>0</v>
          </cell>
          <cell r="F6626">
            <v>0</v>
          </cell>
          <cell r="G6626">
            <v>0</v>
          </cell>
          <cell r="H6626">
            <v>0</v>
          </cell>
          <cell r="I6626">
            <v>0</v>
          </cell>
          <cell r="J6626">
            <v>0</v>
          </cell>
          <cell r="K6626">
            <v>0</v>
          </cell>
          <cell r="L6626">
            <v>0</v>
          </cell>
        </row>
        <row r="6627">
          <cell r="C6627">
            <v>318701</v>
          </cell>
          <cell r="D6627" t="str">
            <v>MARC YSRAEL B. BERNOS MEMORIAL NATIONAL HIGH SCHOOL</v>
          </cell>
          <cell r="E6627">
            <v>0</v>
          </cell>
          <cell r="F6627">
            <v>0</v>
          </cell>
          <cell r="G6627">
            <v>0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>
            <v>0</v>
          </cell>
        </row>
        <row r="6628">
          <cell r="C6628">
            <v>500590</v>
          </cell>
          <cell r="D6628" t="str">
            <v>Penarrubia Integrated School</v>
          </cell>
          <cell r="E6628">
            <v>0</v>
          </cell>
          <cell r="F6628">
            <v>0</v>
          </cell>
          <cell r="G6628">
            <v>0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>
            <v>0</v>
          </cell>
        </row>
        <row r="6629">
          <cell r="C6629">
            <v>305106</v>
          </cell>
          <cell r="D6629" t="str">
            <v>Apayao National Industrial Agricultural High School</v>
          </cell>
          <cell r="E6629">
            <v>0</v>
          </cell>
          <cell r="F6629">
            <v>0</v>
          </cell>
          <cell r="G6629">
            <v>0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>
            <v>0</v>
          </cell>
        </row>
        <row r="6630">
          <cell r="C6630">
            <v>305107</v>
          </cell>
          <cell r="D6630" t="str">
            <v>Apayao Science High Shool</v>
          </cell>
          <cell r="E6630">
            <v>0</v>
          </cell>
          <cell r="F6630">
            <v>0</v>
          </cell>
          <cell r="G6630">
            <v>0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>
            <v>0</v>
          </cell>
        </row>
        <row r="6631">
          <cell r="C6631">
            <v>305108</v>
          </cell>
          <cell r="D6631" t="str">
            <v>BAC-DA National High School</v>
          </cell>
          <cell r="E6631">
            <v>0</v>
          </cell>
          <cell r="F6631">
            <v>0</v>
          </cell>
          <cell r="G6631">
            <v>0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0</v>
          </cell>
        </row>
        <row r="6632">
          <cell r="C6632">
            <v>305109</v>
          </cell>
          <cell r="D6632" t="str">
            <v>Sta. Marcela NHS</v>
          </cell>
          <cell r="E6632">
            <v>0</v>
          </cell>
          <cell r="F6632">
            <v>0</v>
          </cell>
          <cell r="G6632">
            <v>0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0</v>
          </cell>
        </row>
        <row r="6633">
          <cell r="C6633">
            <v>305110</v>
          </cell>
          <cell r="D6633" t="str">
            <v>Calanasan NHS</v>
          </cell>
          <cell r="E6633">
            <v>0</v>
          </cell>
          <cell r="F6633">
            <v>0</v>
          </cell>
          <cell r="G6633">
            <v>0</v>
          </cell>
          <cell r="H6633">
            <v>0</v>
          </cell>
          <cell r="I6633">
            <v>0</v>
          </cell>
          <cell r="J6633">
            <v>3</v>
          </cell>
          <cell r="K6633">
            <v>0</v>
          </cell>
          <cell r="L6633">
            <v>0</v>
          </cell>
        </row>
        <row r="6634">
          <cell r="C6634">
            <v>305111</v>
          </cell>
          <cell r="D6634" t="str">
            <v>Conner Central NHS Main</v>
          </cell>
          <cell r="E6634">
            <v>0</v>
          </cell>
          <cell r="F6634">
            <v>0</v>
          </cell>
          <cell r="G6634">
            <v>0</v>
          </cell>
          <cell r="H6634">
            <v>0</v>
          </cell>
          <cell r="I6634">
            <v>2</v>
          </cell>
          <cell r="J6634">
            <v>2</v>
          </cell>
          <cell r="K6634">
            <v>0</v>
          </cell>
          <cell r="L6634">
            <v>0</v>
          </cell>
        </row>
        <row r="6635">
          <cell r="C6635">
            <v>305112</v>
          </cell>
          <cell r="D6635" t="str">
            <v>Conner National HS</v>
          </cell>
          <cell r="E6635">
            <v>0</v>
          </cell>
          <cell r="F6635">
            <v>0</v>
          </cell>
          <cell r="G6635">
            <v>0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>
            <v>0</v>
          </cell>
        </row>
        <row r="6636">
          <cell r="C6636">
            <v>305113</v>
          </cell>
          <cell r="D6636" t="str">
            <v>FLORA NATIONAL HIGH SCHOOL</v>
          </cell>
          <cell r="E6636">
            <v>0</v>
          </cell>
          <cell r="F6636">
            <v>0</v>
          </cell>
          <cell r="G6636">
            <v>2</v>
          </cell>
          <cell r="H6636">
            <v>0</v>
          </cell>
          <cell r="I6636">
            <v>1</v>
          </cell>
          <cell r="J6636">
            <v>1</v>
          </cell>
          <cell r="K6636">
            <v>1</v>
          </cell>
          <cell r="L6636">
            <v>0</v>
          </cell>
        </row>
        <row r="6637">
          <cell r="C6637">
            <v>305114</v>
          </cell>
          <cell r="D6637" t="str">
            <v>Gov. Benjamin Leguiab Sr. Memorial NHS</v>
          </cell>
          <cell r="E6637">
            <v>0</v>
          </cell>
          <cell r="F6637">
            <v>0</v>
          </cell>
          <cell r="G6637">
            <v>0</v>
          </cell>
          <cell r="H6637">
            <v>0</v>
          </cell>
          <cell r="I6637">
            <v>0</v>
          </cell>
          <cell r="J6637">
            <v>0</v>
          </cell>
          <cell r="K6637">
            <v>0</v>
          </cell>
          <cell r="L6637">
            <v>0</v>
          </cell>
        </row>
        <row r="6638">
          <cell r="C6638">
            <v>305115</v>
          </cell>
          <cell r="D6638" t="str">
            <v>Kabugao Agro-Ind'l. HS</v>
          </cell>
          <cell r="E6638">
            <v>0</v>
          </cell>
          <cell r="F6638">
            <v>0</v>
          </cell>
          <cell r="G6638">
            <v>0</v>
          </cell>
          <cell r="H6638">
            <v>0</v>
          </cell>
          <cell r="I6638">
            <v>0</v>
          </cell>
          <cell r="J6638">
            <v>0</v>
          </cell>
          <cell r="K6638">
            <v>0</v>
          </cell>
          <cell r="L6638">
            <v>0</v>
          </cell>
        </row>
        <row r="6639">
          <cell r="C6639">
            <v>305116</v>
          </cell>
          <cell r="D6639" t="str">
            <v>Luna National High School</v>
          </cell>
          <cell r="E6639">
            <v>0</v>
          </cell>
          <cell r="F6639">
            <v>0</v>
          </cell>
          <cell r="G6639">
            <v>0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>
            <v>0</v>
          </cell>
        </row>
        <row r="6640">
          <cell r="C6640">
            <v>305118</v>
          </cell>
          <cell r="D6640" t="str">
            <v>Mataguisi Comp. HS Main</v>
          </cell>
          <cell r="E6640">
            <v>0</v>
          </cell>
          <cell r="F6640">
            <v>0</v>
          </cell>
          <cell r="G6640">
            <v>0</v>
          </cell>
          <cell r="H6640">
            <v>0</v>
          </cell>
          <cell r="I6640">
            <v>2</v>
          </cell>
          <cell r="J6640">
            <v>1</v>
          </cell>
          <cell r="K6640">
            <v>0</v>
          </cell>
          <cell r="L6640">
            <v>0</v>
          </cell>
        </row>
        <row r="6641">
          <cell r="C6641">
            <v>305120</v>
          </cell>
          <cell r="D6641" t="str">
            <v>MAYOR GUILLERMO A. BARSATAN MEMORIAL SCHOOL OF ARTS AND TRADE</v>
          </cell>
          <cell r="E6641">
            <v>0</v>
          </cell>
          <cell r="F6641">
            <v>0</v>
          </cell>
          <cell r="G6641">
            <v>0</v>
          </cell>
          <cell r="H6641">
            <v>0</v>
          </cell>
          <cell r="I6641">
            <v>0</v>
          </cell>
          <cell r="J6641">
            <v>0</v>
          </cell>
          <cell r="K6641">
            <v>0</v>
          </cell>
          <cell r="L6641">
            <v>0</v>
          </cell>
        </row>
        <row r="6642">
          <cell r="C6642">
            <v>305121</v>
          </cell>
          <cell r="D6642" t="str">
            <v>Mayor Ricardo de San Jose, Sr. Comp. HS</v>
          </cell>
          <cell r="E6642">
            <v>0</v>
          </cell>
          <cell r="F6642">
            <v>0</v>
          </cell>
          <cell r="G6642">
            <v>1</v>
          </cell>
          <cell r="H6642">
            <v>0</v>
          </cell>
          <cell r="I6642">
            <v>1</v>
          </cell>
          <cell r="J6642">
            <v>0</v>
          </cell>
          <cell r="K6642">
            <v>0</v>
          </cell>
          <cell r="L6642">
            <v>0</v>
          </cell>
        </row>
        <row r="6643">
          <cell r="C6643">
            <v>305122</v>
          </cell>
          <cell r="D6643" t="str">
            <v>Pio Dalim Memorial SAT Main</v>
          </cell>
          <cell r="E6643">
            <v>0</v>
          </cell>
          <cell r="F6643">
            <v>0</v>
          </cell>
          <cell r="G6643">
            <v>0</v>
          </cell>
          <cell r="H6643">
            <v>0</v>
          </cell>
          <cell r="I6643">
            <v>2</v>
          </cell>
          <cell r="J6643">
            <v>7</v>
          </cell>
          <cell r="K6643">
            <v>0</v>
          </cell>
          <cell r="L6643">
            <v>2</v>
          </cell>
        </row>
        <row r="6644">
          <cell r="C6644">
            <v>305123</v>
          </cell>
          <cell r="D6644" t="str">
            <v>Pudtol Vocational High School</v>
          </cell>
          <cell r="E6644">
            <v>0</v>
          </cell>
          <cell r="F6644">
            <v>0</v>
          </cell>
          <cell r="G6644">
            <v>0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>
            <v>0</v>
          </cell>
        </row>
        <row r="6645">
          <cell r="C6645">
            <v>305124</v>
          </cell>
          <cell r="D6645" t="str">
            <v>Sipa-Imelda NHS</v>
          </cell>
          <cell r="E6645">
            <v>0</v>
          </cell>
          <cell r="F6645">
            <v>0</v>
          </cell>
          <cell r="G6645">
            <v>0</v>
          </cell>
          <cell r="H6645">
            <v>0</v>
          </cell>
          <cell r="I6645">
            <v>0</v>
          </cell>
          <cell r="J6645">
            <v>0</v>
          </cell>
          <cell r="K6645">
            <v>0</v>
          </cell>
          <cell r="L6645">
            <v>0</v>
          </cell>
        </row>
        <row r="6646">
          <cell r="C6646">
            <v>318801</v>
          </cell>
          <cell r="D6646" t="str">
            <v>Tumog National Agricultural and trade High School</v>
          </cell>
          <cell r="E6646">
            <v>0</v>
          </cell>
          <cell r="F6646">
            <v>0</v>
          </cell>
          <cell r="G6646">
            <v>0</v>
          </cell>
          <cell r="H6646">
            <v>0</v>
          </cell>
          <cell r="I6646">
            <v>0</v>
          </cell>
          <cell r="J6646">
            <v>0</v>
          </cell>
          <cell r="K6646">
            <v>0</v>
          </cell>
          <cell r="L6646">
            <v>0</v>
          </cell>
        </row>
        <row r="6647">
          <cell r="C6647">
            <v>318802</v>
          </cell>
          <cell r="D6647" t="str">
            <v>Talifugo National High School</v>
          </cell>
          <cell r="E6647">
            <v>0</v>
          </cell>
          <cell r="F6647">
            <v>0</v>
          </cell>
          <cell r="G6647">
            <v>0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>
            <v>0</v>
          </cell>
        </row>
        <row r="6648">
          <cell r="C6648">
            <v>318803</v>
          </cell>
          <cell r="D6648" t="str">
            <v>Cupis National High School</v>
          </cell>
          <cell r="E6648">
            <v>0</v>
          </cell>
          <cell r="F6648">
            <v>0</v>
          </cell>
          <cell r="G6648">
            <v>0</v>
          </cell>
          <cell r="H6648">
            <v>0</v>
          </cell>
          <cell r="I6648">
            <v>0</v>
          </cell>
          <cell r="J6648">
            <v>3</v>
          </cell>
          <cell r="K6648">
            <v>0</v>
          </cell>
          <cell r="L6648">
            <v>0</v>
          </cell>
        </row>
        <row r="6649">
          <cell r="C6649">
            <v>318804</v>
          </cell>
          <cell r="D6649" t="str">
            <v>tanglagan national high school</v>
          </cell>
          <cell r="E6649">
            <v>0</v>
          </cell>
          <cell r="F6649">
            <v>0</v>
          </cell>
          <cell r="G6649">
            <v>0</v>
          </cell>
          <cell r="H6649">
            <v>0</v>
          </cell>
          <cell r="I6649">
            <v>0</v>
          </cell>
          <cell r="J6649">
            <v>0</v>
          </cell>
          <cell r="K6649">
            <v>0</v>
          </cell>
          <cell r="L6649">
            <v>0</v>
          </cell>
        </row>
        <row r="6650">
          <cell r="C6650">
            <v>318806</v>
          </cell>
          <cell r="D6650" t="str">
            <v>Kabugao National High School</v>
          </cell>
          <cell r="E6650">
            <v>0</v>
          </cell>
          <cell r="F6650">
            <v>0</v>
          </cell>
          <cell r="G6650">
            <v>0</v>
          </cell>
          <cell r="H6650">
            <v>0</v>
          </cell>
          <cell r="I6650">
            <v>1</v>
          </cell>
          <cell r="J6650">
            <v>2</v>
          </cell>
          <cell r="K6650">
            <v>1</v>
          </cell>
          <cell r="L6650">
            <v>2</v>
          </cell>
        </row>
        <row r="6651">
          <cell r="C6651">
            <v>318808</v>
          </cell>
          <cell r="D6651" t="str">
            <v>Allig National Agricultural and Trade HS</v>
          </cell>
          <cell r="E6651">
            <v>0</v>
          </cell>
          <cell r="F6651">
            <v>2</v>
          </cell>
          <cell r="G6651">
            <v>0</v>
          </cell>
          <cell r="H6651">
            <v>0</v>
          </cell>
          <cell r="I6651">
            <v>0</v>
          </cell>
          <cell r="J6651">
            <v>2</v>
          </cell>
          <cell r="K6651">
            <v>0</v>
          </cell>
          <cell r="L6651">
            <v>0</v>
          </cell>
        </row>
        <row r="6652">
          <cell r="C6652">
            <v>318811</v>
          </cell>
          <cell r="D6652" t="str">
            <v>Sta.Filomena School of Arts and Trade</v>
          </cell>
          <cell r="E6652">
            <v>0</v>
          </cell>
          <cell r="F6652">
            <v>0</v>
          </cell>
          <cell r="G6652">
            <v>0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0</v>
          </cell>
        </row>
        <row r="6653">
          <cell r="C6653">
            <v>305125</v>
          </cell>
          <cell r="D6653" t="str">
            <v>Alejo M. Pacalso Memorial National High School</v>
          </cell>
          <cell r="E6653">
            <v>0</v>
          </cell>
          <cell r="F6653">
            <v>1</v>
          </cell>
          <cell r="G6653">
            <v>0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>
            <v>0</v>
          </cell>
        </row>
        <row r="6654">
          <cell r="C6654">
            <v>305126</v>
          </cell>
          <cell r="D6654" t="str">
            <v>Ampucao National High School</v>
          </cell>
          <cell r="E6654">
            <v>0</v>
          </cell>
          <cell r="F6654">
            <v>0</v>
          </cell>
          <cell r="G6654">
            <v>0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0</v>
          </cell>
        </row>
        <row r="6655">
          <cell r="C6655">
            <v>305127</v>
          </cell>
          <cell r="D6655" t="str">
            <v>Loacan National High School</v>
          </cell>
          <cell r="E6655">
            <v>0</v>
          </cell>
          <cell r="F6655">
            <v>0</v>
          </cell>
          <cell r="G6655">
            <v>0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0</v>
          </cell>
        </row>
        <row r="6656">
          <cell r="C6656">
            <v>305128</v>
          </cell>
          <cell r="D6656" t="str">
            <v>Ampusongan NHS - Main</v>
          </cell>
          <cell r="E6656">
            <v>0</v>
          </cell>
          <cell r="F6656">
            <v>0</v>
          </cell>
          <cell r="G6656">
            <v>0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0</v>
          </cell>
        </row>
        <row r="6657">
          <cell r="C6657">
            <v>305129</v>
          </cell>
          <cell r="D6657" t="str">
            <v>Atok National High School</v>
          </cell>
          <cell r="E6657">
            <v>0</v>
          </cell>
          <cell r="F6657">
            <v>0</v>
          </cell>
          <cell r="G6657">
            <v>0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0</v>
          </cell>
        </row>
        <row r="6658">
          <cell r="C6658">
            <v>305130</v>
          </cell>
          <cell r="D6658" t="str">
            <v>Camp 30 National High School</v>
          </cell>
          <cell r="E6658">
            <v>0</v>
          </cell>
          <cell r="F6658">
            <v>0</v>
          </cell>
          <cell r="G6658">
            <v>0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0</v>
          </cell>
        </row>
        <row r="6659">
          <cell r="C6659">
            <v>305131</v>
          </cell>
          <cell r="D6659" t="str">
            <v>Bakun National High School</v>
          </cell>
          <cell r="E6659">
            <v>0</v>
          </cell>
          <cell r="F6659">
            <v>0</v>
          </cell>
          <cell r="G6659">
            <v>0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0</v>
          </cell>
        </row>
        <row r="6660">
          <cell r="C6660">
            <v>305132</v>
          </cell>
          <cell r="D6660" t="str">
            <v>Bedbed NHS</v>
          </cell>
          <cell r="E6660">
            <v>0</v>
          </cell>
          <cell r="F6660">
            <v>0</v>
          </cell>
          <cell r="G6660">
            <v>0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0</v>
          </cell>
        </row>
        <row r="6661">
          <cell r="C6661">
            <v>305133</v>
          </cell>
          <cell r="D6661" t="str">
            <v>Benguet National High School-Main</v>
          </cell>
          <cell r="E6661">
            <v>0</v>
          </cell>
          <cell r="F6661">
            <v>0</v>
          </cell>
          <cell r="G6661">
            <v>0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2</v>
          </cell>
        </row>
        <row r="6662">
          <cell r="C6662">
            <v>305134</v>
          </cell>
          <cell r="D6662" t="str">
            <v>Binga National High School</v>
          </cell>
          <cell r="E6662">
            <v>0</v>
          </cell>
          <cell r="F6662">
            <v>0</v>
          </cell>
          <cell r="G6662">
            <v>0</v>
          </cell>
          <cell r="H6662">
            <v>0</v>
          </cell>
          <cell r="I6662">
            <v>1</v>
          </cell>
          <cell r="J6662">
            <v>2</v>
          </cell>
          <cell r="K6662">
            <v>1</v>
          </cell>
          <cell r="L6662">
            <v>2</v>
          </cell>
        </row>
        <row r="6663">
          <cell r="C6663">
            <v>305135</v>
          </cell>
          <cell r="D6663" t="str">
            <v>Bokod NHS-Main</v>
          </cell>
          <cell r="E6663">
            <v>0</v>
          </cell>
          <cell r="F6663">
            <v>0</v>
          </cell>
          <cell r="G6663">
            <v>0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>
            <v>0</v>
          </cell>
        </row>
        <row r="6664">
          <cell r="C6664">
            <v>305136</v>
          </cell>
          <cell r="D6664" t="str">
            <v>Buguias NHS</v>
          </cell>
          <cell r="E6664">
            <v>0</v>
          </cell>
          <cell r="F6664">
            <v>0</v>
          </cell>
          <cell r="G6664">
            <v>0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>
            <v>0</v>
          </cell>
        </row>
        <row r="6665">
          <cell r="C6665">
            <v>305137</v>
          </cell>
          <cell r="D6665" t="str">
            <v>Catlubong National High School</v>
          </cell>
          <cell r="E6665">
            <v>0</v>
          </cell>
          <cell r="F6665">
            <v>0</v>
          </cell>
          <cell r="G6665">
            <v>0</v>
          </cell>
          <cell r="H6665">
            <v>0</v>
          </cell>
          <cell r="I6665">
            <v>0</v>
          </cell>
          <cell r="J6665">
            <v>0</v>
          </cell>
          <cell r="K6665">
            <v>0</v>
          </cell>
          <cell r="L6665">
            <v>0</v>
          </cell>
        </row>
        <row r="6666">
          <cell r="C6666">
            <v>305138</v>
          </cell>
          <cell r="D6666" t="str">
            <v>Loo National High School</v>
          </cell>
          <cell r="E6666">
            <v>0</v>
          </cell>
          <cell r="F6666">
            <v>0</v>
          </cell>
          <cell r="G6666">
            <v>0</v>
          </cell>
          <cell r="H6666">
            <v>0</v>
          </cell>
          <cell r="I6666">
            <v>0</v>
          </cell>
          <cell r="J6666">
            <v>0</v>
          </cell>
          <cell r="K6666">
            <v>0</v>
          </cell>
          <cell r="L6666">
            <v>0</v>
          </cell>
        </row>
        <row r="6667">
          <cell r="C6667">
            <v>305139</v>
          </cell>
          <cell r="D6667" t="str">
            <v>Cabiten NHS (RA9087)</v>
          </cell>
          <cell r="E6667">
            <v>0</v>
          </cell>
          <cell r="F6667">
            <v>0</v>
          </cell>
          <cell r="G6667">
            <v>0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>
            <v>0</v>
          </cell>
        </row>
        <row r="6668">
          <cell r="C6668">
            <v>305140</v>
          </cell>
          <cell r="D6668" t="str">
            <v>Cordillera Regional Science High School</v>
          </cell>
          <cell r="E6668">
            <v>0</v>
          </cell>
          <cell r="F6668">
            <v>0</v>
          </cell>
          <cell r="G6668">
            <v>0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>
            <v>0</v>
          </cell>
        </row>
        <row r="6669">
          <cell r="C6669">
            <v>305141</v>
          </cell>
          <cell r="D6669" t="str">
            <v>Evelio Javier Memorial NHS - Main</v>
          </cell>
          <cell r="E6669">
            <v>0</v>
          </cell>
          <cell r="F6669">
            <v>0</v>
          </cell>
          <cell r="G6669">
            <v>0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>
            <v>0</v>
          </cell>
        </row>
        <row r="6670">
          <cell r="C6670">
            <v>305142</v>
          </cell>
          <cell r="D6670" t="str">
            <v>Laurencio Fianza NHS - Main</v>
          </cell>
          <cell r="E6670">
            <v>0</v>
          </cell>
          <cell r="F6670">
            <v>0</v>
          </cell>
          <cell r="G6670">
            <v>0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>
            <v>0</v>
          </cell>
        </row>
        <row r="6671">
          <cell r="C6671">
            <v>305143</v>
          </cell>
          <cell r="D6671" t="str">
            <v>Gov. Bado Dangwa Agro-Industrial School</v>
          </cell>
          <cell r="E6671">
            <v>0</v>
          </cell>
          <cell r="F6671">
            <v>0</v>
          </cell>
          <cell r="G6671">
            <v>0</v>
          </cell>
          <cell r="H6671">
            <v>0</v>
          </cell>
          <cell r="I6671">
            <v>0</v>
          </cell>
          <cell r="J6671">
            <v>0</v>
          </cell>
          <cell r="K6671">
            <v>0</v>
          </cell>
          <cell r="L6671">
            <v>0</v>
          </cell>
        </row>
        <row r="6672">
          <cell r="C6672">
            <v>305144</v>
          </cell>
          <cell r="D6672" t="str">
            <v>Guinaoang National High School</v>
          </cell>
          <cell r="E6672">
            <v>0</v>
          </cell>
          <cell r="F6672">
            <v>0</v>
          </cell>
          <cell r="G6672">
            <v>0</v>
          </cell>
          <cell r="H6672">
            <v>0</v>
          </cell>
          <cell r="I6672">
            <v>0</v>
          </cell>
          <cell r="J6672">
            <v>0</v>
          </cell>
          <cell r="K6672">
            <v>0</v>
          </cell>
          <cell r="L6672">
            <v>0</v>
          </cell>
        </row>
        <row r="6673">
          <cell r="C6673">
            <v>305145</v>
          </cell>
          <cell r="D6673" t="str">
            <v>Kamora National High School</v>
          </cell>
          <cell r="E6673">
            <v>0</v>
          </cell>
          <cell r="F6673">
            <v>0</v>
          </cell>
          <cell r="G6673">
            <v>0</v>
          </cell>
          <cell r="H6673">
            <v>0</v>
          </cell>
          <cell r="I6673">
            <v>0</v>
          </cell>
          <cell r="J6673">
            <v>0</v>
          </cell>
          <cell r="K6673">
            <v>0</v>
          </cell>
          <cell r="L6673">
            <v>0</v>
          </cell>
        </row>
        <row r="6674">
          <cell r="C6674">
            <v>305146</v>
          </cell>
          <cell r="D6674" t="str">
            <v>Adaoay National High School</v>
          </cell>
          <cell r="E6674">
            <v>0</v>
          </cell>
          <cell r="F6674">
            <v>2</v>
          </cell>
          <cell r="G6674">
            <v>0</v>
          </cell>
          <cell r="H6674">
            <v>1</v>
          </cell>
          <cell r="I6674">
            <v>0</v>
          </cell>
          <cell r="J6674">
            <v>2</v>
          </cell>
          <cell r="K6674">
            <v>0</v>
          </cell>
          <cell r="L6674">
            <v>0</v>
          </cell>
        </row>
        <row r="6675">
          <cell r="C6675">
            <v>305147</v>
          </cell>
          <cell r="D6675" t="str">
            <v>Kapangan Central National High School (RA8839)</v>
          </cell>
          <cell r="E6675">
            <v>0</v>
          </cell>
          <cell r="F6675">
            <v>0</v>
          </cell>
          <cell r="G6675">
            <v>0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>
            <v>0</v>
          </cell>
        </row>
        <row r="6676">
          <cell r="C6676">
            <v>305148</v>
          </cell>
          <cell r="D6676" t="str">
            <v>Kapangan National High School</v>
          </cell>
          <cell r="E6676">
            <v>0</v>
          </cell>
          <cell r="F6676">
            <v>0</v>
          </cell>
          <cell r="G6676">
            <v>0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>
            <v>0</v>
          </cell>
        </row>
        <row r="6677">
          <cell r="C6677">
            <v>305149</v>
          </cell>
          <cell r="D6677" t="str">
            <v>Kibungan NHS</v>
          </cell>
          <cell r="E6677">
            <v>0</v>
          </cell>
          <cell r="F6677">
            <v>0</v>
          </cell>
          <cell r="G6677">
            <v>1</v>
          </cell>
          <cell r="H6677">
            <v>1</v>
          </cell>
          <cell r="I6677">
            <v>0</v>
          </cell>
          <cell r="J6677">
            <v>0</v>
          </cell>
          <cell r="K6677">
            <v>0</v>
          </cell>
          <cell r="L6677">
            <v>0</v>
          </cell>
        </row>
        <row r="6678">
          <cell r="C6678">
            <v>305150</v>
          </cell>
          <cell r="D6678" t="str">
            <v>Tacadang NHS</v>
          </cell>
          <cell r="E6678">
            <v>0</v>
          </cell>
          <cell r="F6678">
            <v>0</v>
          </cell>
          <cell r="G6678">
            <v>0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>
            <v>0</v>
          </cell>
        </row>
        <row r="6679">
          <cell r="C6679">
            <v>305151</v>
          </cell>
          <cell r="D6679" t="str">
            <v>Lepanto NHS</v>
          </cell>
          <cell r="E6679">
            <v>0</v>
          </cell>
          <cell r="F6679">
            <v>0</v>
          </cell>
          <cell r="G6679">
            <v>0</v>
          </cell>
          <cell r="H6679">
            <v>0</v>
          </cell>
          <cell r="I6679">
            <v>1</v>
          </cell>
          <cell r="J6679">
            <v>9</v>
          </cell>
          <cell r="K6679">
            <v>1</v>
          </cell>
          <cell r="L6679">
            <v>9</v>
          </cell>
        </row>
        <row r="6680">
          <cell r="C6680">
            <v>305152</v>
          </cell>
          <cell r="D6680" t="str">
            <v>Balili NHS-Main</v>
          </cell>
          <cell r="E6680">
            <v>0</v>
          </cell>
          <cell r="F6680">
            <v>0</v>
          </cell>
          <cell r="G6680">
            <v>0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>
            <v>0</v>
          </cell>
        </row>
        <row r="6681">
          <cell r="C6681">
            <v>305153</v>
          </cell>
          <cell r="D6681" t="str">
            <v>Tabio NHS</v>
          </cell>
          <cell r="E6681">
            <v>0</v>
          </cell>
          <cell r="F6681">
            <v>0</v>
          </cell>
          <cell r="G6681">
            <v>0</v>
          </cell>
          <cell r="H6681">
            <v>0</v>
          </cell>
          <cell r="I6681">
            <v>0</v>
          </cell>
          <cell r="J6681">
            <v>0</v>
          </cell>
          <cell r="K6681">
            <v>0</v>
          </cell>
          <cell r="L6681">
            <v>0</v>
          </cell>
        </row>
        <row r="6682">
          <cell r="C6682">
            <v>305154</v>
          </cell>
          <cell r="D6682" t="str">
            <v>Madaymen National High School</v>
          </cell>
          <cell r="E6682">
            <v>0</v>
          </cell>
          <cell r="F6682">
            <v>2</v>
          </cell>
          <cell r="G6682">
            <v>0</v>
          </cell>
          <cell r="H6682">
            <v>0</v>
          </cell>
          <cell r="I6682">
            <v>1</v>
          </cell>
          <cell r="J6682">
            <v>1</v>
          </cell>
          <cell r="K6682">
            <v>0</v>
          </cell>
          <cell r="L6682">
            <v>0</v>
          </cell>
        </row>
        <row r="6683">
          <cell r="C6683">
            <v>305155</v>
          </cell>
          <cell r="D6683" t="str">
            <v>Mankayan National High School</v>
          </cell>
          <cell r="E6683">
            <v>0</v>
          </cell>
          <cell r="F6683">
            <v>0</v>
          </cell>
          <cell r="G6683">
            <v>1</v>
          </cell>
          <cell r="H6683">
            <v>0</v>
          </cell>
          <cell r="I6683">
            <v>1</v>
          </cell>
          <cell r="J6683">
            <v>0</v>
          </cell>
          <cell r="K6683">
            <v>0</v>
          </cell>
          <cell r="L6683">
            <v>0</v>
          </cell>
        </row>
        <row r="6684">
          <cell r="C6684">
            <v>305156</v>
          </cell>
          <cell r="D6684" t="str">
            <v>Bulalacao NHS</v>
          </cell>
          <cell r="E6684">
            <v>0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0</v>
          </cell>
        </row>
        <row r="6685">
          <cell r="C6685">
            <v>305157</v>
          </cell>
          <cell r="D6685" t="str">
            <v>Sablan NHS</v>
          </cell>
          <cell r="E6685">
            <v>0</v>
          </cell>
          <cell r="F6685">
            <v>0</v>
          </cell>
          <cell r="G6685">
            <v>0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0</v>
          </cell>
        </row>
        <row r="6686">
          <cell r="C6686">
            <v>305158</v>
          </cell>
          <cell r="D6686" t="str">
            <v>Sinipsip NHS-Main</v>
          </cell>
          <cell r="E6686">
            <v>0</v>
          </cell>
          <cell r="F6686">
            <v>0</v>
          </cell>
          <cell r="G6686">
            <v>0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>
            <v>0</v>
          </cell>
        </row>
        <row r="6687">
          <cell r="C6687">
            <v>305159</v>
          </cell>
          <cell r="D6687" t="str">
            <v>Fianza Memorial National High School</v>
          </cell>
          <cell r="E6687">
            <v>0</v>
          </cell>
          <cell r="F6687">
            <v>0</v>
          </cell>
          <cell r="G6687">
            <v>0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>
            <v>0</v>
          </cell>
        </row>
        <row r="6688">
          <cell r="C6688">
            <v>305160</v>
          </cell>
          <cell r="D6688" t="str">
            <v>Tuba NHS (Nangalisan)</v>
          </cell>
          <cell r="E6688">
            <v>0</v>
          </cell>
          <cell r="F6688">
            <v>0</v>
          </cell>
          <cell r="G6688">
            <v>0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>
            <v>0</v>
          </cell>
        </row>
        <row r="6689">
          <cell r="C6689">
            <v>305161</v>
          </cell>
          <cell r="D6689" t="str">
            <v>Taloy Sur NHS</v>
          </cell>
          <cell r="E6689">
            <v>0</v>
          </cell>
          <cell r="F6689">
            <v>0</v>
          </cell>
          <cell r="G6689">
            <v>0</v>
          </cell>
          <cell r="H6689">
            <v>0</v>
          </cell>
          <cell r="I6689">
            <v>0</v>
          </cell>
          <cell r="J6689">
            <v>0</v>
          </cell>
          <cell r="K6689">
            <v>0</v>
          </cell>
          <cell r="L6689">
            <v>0</v>
          </cell>
        </row>
        <row r="6690">
          <cell r="C6690">
            <v>305162</v>
          </cell>
          <cell r="D6690" t="str">
            <v>Tublay School of Home Industries-Main</v>
          </cell>
          <cell r="E6690">
            <v>0</v>
          </cell>
          <cell r="F6690">
            <v>0</v>
          </cell>
          <cell r="G6690">
            <v>0</v>
          </cell>
          <cell r="H6690">
            <v>1</v>
          </cell>
          <cell r="I6690">
            <v>0</v>
          </cell>
          <cell r="J6690">
            <v>1</v>
          </cell>
          <cell r="K6690">
            <v>0</v>
          </cell>
          <cell r="L6690">
            <v>0</v>
          </cell>
        </row>
        <row r="6691">
          <cell r="C6691">
            <v>305163</v>
          </cell>
          <cell r="D6691" t="str">
            <v>Tublay School of Home Industries - Annex (Ambuklao)</v>
          </cell>
          <cell r="E6691">
            <v>0</v>
          </cell>
          <cell r="F6691">
            <v>0</v>
          </cell>
          <cell r="G6691">
            <v>0</v>
          </cell>
          <cell r="H6691">
            <v>0</v>
          </cell>
          <cell r="I6691">
            <v>0</v>
          </cell>
          <cell r="J6691">
            <v>0</v>
          </cell>
          <cell r="K6691">
            <v>0</v>
          </cell>
          <cell r="L6691">
            <v>0</v>
          </cell>
        </row>
        <row r="6692">
          <cell r="C6692">
            <v>305164</v>
          </cell>
          <cell r="D6692" t="str">
            <v>Tublay National Trade High School</v>
          </cell>
          <cell r="E6692">
            <v>0</v>
          </cell>
          <cell r="F6692">
            <v>0</v>
          </cell>
          <cell r="G6692">
            <v>0</v>
          </cell>
          <cell r="H6692">
            <v>0</v>
          </cell>
          <cell r="I6692">
            <v>0</v>
          </cell>
          <cell r="J6692">
            <v>0</v>
          </cell>
          <cell r="K6692">
            <v>0</v>
          </cell>
          <cell r="L6692">
            <v>0</v>
          </cell>
        </row>
        <row r="6693">
          <cell r="C6693">
            <v>305165</v>
          </cell>
          <cell r="D6693" t="str">
            <v>Twin Peaks National High School</v>
          </cell>
          <cell r="E6693">
            <v>6</v>
          </cell>
          <cell r="F6693">
            <v>0</v>
          </cell>
          <cell r="G6693">
            <v>0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0</v>
          </cell>
        </row>
        <row r="6694">
          <cell r="C6694">
            <v>318901</v>
          </cell>
          <cell r="D6694" t="str">
            <v>Daklan National High School</v>
          </cell>
          <cell r="E6694">
            <v>0</v>
          </cell>
          <cell r="F6694">
            <v>0</v>
          </cell>
          <cell r="G6694">
            <v>0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>
            <v>0</v>
          </cell>
        </row>
        <row r="6695">
          <cell r="C6695">
            <v>318902</v>
          </cell>
          <cell r="D6695" t="str">
            <v>Bangao NHS</v>
          </cell>
          <cell r="E6695">
            <v>0</v>
          </cell>
          <cell r="F6695">
            <v>0</v>
          </cell>
          <cell r="G6695">
            <v>0</v>
          </cell>
          <cell r="H6695">
            <v>0</v>
          </cell>
          <cell r="I6695">
            <v>0</v>
          </cell>
          <cell r="J6695">
            <v>0</v>
          </cell>
          <cell r="K6695">
            <v>0</v>
          </cell>
          <cell r="L6695">
            <v>0</v>
          </cell>
        </row>
        <row r="6696">
          <cell r="C6696">
            <v>318903</v>
          </cell>
          <cell r="D6696" t="str">
            <v>Tawangan-Lusod NHS</v>
          </cell>
          <cell r="E6696">
            <v>0</v>
          </cell>
          <cell r="F6696">
            <v>0</v>
          </cell>
          <cell r="G6696">
            <v>0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>
            <v>0</v>
          </cell>
        </row>
        <row r="6697">
          <cell r="C6697">
            <v>318904</v>
          </cell>
          <cell r="D6697" t="str">
            <v>Tuba Central NHS</v>
          </cell>
          <cell r="E6697">
            <v>0</v>
          </cell>
          <cell r="F6697">
            <v>0</v>
          </cell>
          <cell r="G6697">
            <v>0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0</v>
          </cell>
        </row>
        <row r="6698">
          <cell r="C6698">
            <v>318905</v>
          </cell>
          <cell r="D6698" t="str">
            <v>La Trinidad NHS</v>
          </cell>
          <cell r="E6698">
            <v>0</v>
          </cell>
          <cell r="F6698">
            <v>0</v>
          </cell>
          <cell r="G6698">
            <v>0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0</v>
          </cell>
        </row>
        <row r="6699">
          <cell r="C6699">
            <v>318906</v>
          </cell>
          <cell r="D6699" t="str">
            <v>Benguet NHS Annex- Alno</v>
          </cell>
          <cell r="E6699">
            <v>0</v>
          </cell>
          <cell r="F6699">
            <v>0</v>
          </cell>
          <cell r="G6699">
            <v>0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0</v>
          </cell>
        </row>
        <row r="6700">
          <cell r="C6700">
            <v>318908</v>
          </cell>
          <cell r="D6700" t="str">
            <v>Gov. Bado Dangwa Agro-Industrial School-Extension (Taba-ao)</v>
          </cell>
          <cell r="E6700">
            <v>0</v>
          </cell>
          <cell r="F6700">
            <v>0</v>
          </cell>
          <cell r="G6700">
            <v>0</v>
          </cell>
          <cell r="H6700">
            <v>0</v>
          </cell>
          <cell r="I6700">
            <v>0</v>
          </cell>
          <cell r="J6700">
            <v>0</v>
          </cell>
          <cell r="K6700">
            <v>0</v>
          </cell>
          <cell r="L6700">
            <v>0</v>
          </cell>
        </row>
        <row r="6701">
          <cell r="C6701">
            <v>318909</v>
          </cell>
          <cell r="D6701" t="str">
            <v>Eastern La Trinidad NHS</v>
          </cell>
          <cell r="E6701">
            <v>0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0</v>
          </cell>
        </row>
        <row r="6702">
          <cell r="C6702">
            <v>318910</v>
          </cell>
          <cell r="D6702" t="str">
            <v>Benguet NHS - Bineng Annex</v>
          </cell>
          <cell r="E6702">
            <v>0</v>
          </cell>
          <cell r="F6702">
            <v>0</v>
          </cell>
          <cell r="G6702">
            <v>0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0</v>
          </cell>
        </row>
        <row r="6703">
          <cell r="C6703">
            <v>318911</v>
          </cell>
          <cell r="D6703" t="str">
            <v>Bakun NHS Extension-Sinacbat</v>
          </cell>
          <cell r="E6703">
            <v>0</v>
          </cell>
          <cell r="F6703">
            <v>0</v>
          </cell>
          <cell r="G6703">
            <v>1</v>
          </cell>
          <cell r="H6703">
            <v>0</v>
          </cell>
          <cell r="I6703">
            <v>0</v>
          </cell>
          <cell r="J6703">
            <v>1</v>
          </cell>
          <cell r="K6703">
            <v>0</v>
          </cell>
          <cell r="L6703">
            <v>1</v>
          </cell>
        </row>
        <row r="6704">
          <cell r="C6704">
            <v>318912</v>
          </cell>
          <cell r="D6704" t="str">
            <v>Sinipsip NHS Extension - Natubleng</v>
          </cell>
          <cell r="E6704">
            <v>0</v>
          </cell>
          <cell r="F6704">
            <v>0</v>
          </cell>
          <cell r="G6704">
            <v>0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>
            <v>0</v>
          </cell>
        </row>
        <row r="6705">
          <cell r="C6705">
            <v>318913</v>
          </cell>
          <cell r="D6705" t="str">
            <v>Ampusongan National High School Annex-Kayapa</v>
          </cell>
          <cell r="E6705">
            <v>0</v>
          </cell>
          <cell r="F6705">
            <v>0</v>
          </cell>
          <cell r="G6705">
            <v>0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0</v>
          </cell>
        </row>
        <row r="6706">
          <cell r="C6706">
            <v>318914</v>
          </cell>
          <cell r="D6706" t="str">
            <v>Evelio Javier Memorial NHS Annex - Ansagan</v>
          </cell>
          <cell r="E6706">
            <v>0</v>
          </cell>
          <cell r="F6706">
            <v>0</v>
          </cell>
          <cell r="G6706">
            <v>0</v>
          </cell>
          <cell r="H6706">
            <v>0</v>
          </cell>
          <cell r="I6706">
            <v>1</v>
          </cell>
          <cell r="J6706">
            <v>1</v>
          </cell>
          <cell r="K6706">
            <v>0</v>
          </cell>
          <cell r="L6706">
            <v>0</v>
          </cell>
        </row>
        <row r="6707">
          <cell r="C6707">
            <v>318917</v>
          </cell>
          <cell r="D6707" t="str">
            <v>Balili NHS Annex-Cabacab</v>
          </cell>
          <cell r="E6707">
            <v>0</v>
          </cell>
          <cell r="F6707">
            <v>0</v>
          </cell>
          <cell r="G6707">
            <v>0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>
            <v>0</v>
          </cell>
        </row>
        <row r="6708">
          <cell r="C6708">
            <v>318918</v>
          </cell>
          <cell r="D6708" t="str">
            <v>Adaoay NHS Extension - Abucot</v>
          </cell>
          <cell r="E6708">
            <v>0</v>
          </cell>
          <cell r="F6708">
            <v>0</v>
          </cell>
          <cell r="G6708">
            <v>0</v>
          </cell>
          <cell r="H6708">
            <v>0</v>
          </cell>
          <cell r="I6708">
            <v>0</v>
          </cell>
          <cell r="J6708">
            <v>1</v>
          </cell>
          <cell r="K6708">
            <v>0</v>
          </cell>
          <cell r="L6708">
            <v>0</v>
          </cell>
        </row>
        <row r="6709">
          <cell r="C6709">
            <v>305166</v>
          </cell>
          <cell r="D6709" t="str">
            <v>Aguinaldo NHS</v>
          </cell>
          <cell r="E6709">
            <v>0</v>
          </cell>
          <cell r="F6709">
            <v>0</v>
          </cell>
          <cell r="G6709">
            <v>0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0</v>
          </cell>
        </row>
        <row r="6710">
          <cell r="C6710">
            <v>305167</v>
          </cell>
          <cell r="D6710" t="str">
            <v>Asipulo  National High School</v>
          </cell>
          <cell r="E6710">
            <v>0</v>
          </cell>
          <cell r="F6710">
            <v>0</v>
          </cell>
          <cell r="G6710">
            <v>0</v>
          </cell>
          <cell r="H6710">
            <v>0</v>
          </cell>
          <cell r="I6710">
            <v>0</v>
          </cell>
          <cell r="J6710">
            <v>0</v>
          </cell>
          <cell r="K6710">
            <v>0</v>
          </cell>
          <cell r="L6710">
            <v>0</v>
          </cell>
        </row>
        <row r="6711">
          <cell r="C6711">
            <v>305168</v>
          </cell>
          <cell r="D6711" t="str">
            <v>Ayangan National Agricultural &amp; Vocational HS</v>
          </cell>
          <cell r="E6711">
            <v>0</v>
          </cell>
          <cell r="F6711">
            <v>0</v>
          </cell>
          <cell r="G6711">
            <v>0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>
            <v>0</v>
          </cell>
        </row>
        <row r="6712">
          <cell r="C6712">
            <v>305170</v>
          </cell>
          <cell r="D6712" t="str">
            <v>Banaue National High School</v>
          </cell>
          <cell r="E6712">
            <v>0</v>
          </cell>
          <cell r="F6712">
            <v>0</v>
          </cell>
          <cell r="G6712">
            <v>0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>
            <v>0</v>
          </cell>
        </row>
        <row r="6713">
          <cell r="C6713">
            <v>305171</v>
          </cell>
          <cell r="D6713" t="str">
            <v>Eastern Potia National High School</v>
          </cell>
          <cell r="E6713">
            <v>0</v>
          </cell>
          <cell r="F6713">
            <v>0</v>
          </cell>
          <cell r="G6713">
            <v>0</v>
          </cell>
          <cell r="H6713">
            <v>0</v>
          </cell>
          <cell r="I6713">
            <v>0</v>
          </cell>
          <cell r="J6713">
            <v>0</v>
          </cell>
          <cell r="K6713">
            <v>0</v>
          </cell>
          <cell r="L6713">
            <v>0</v>
          </cell>
        </row>
        <row r="6714">
          <cell r="C6714">
            <v>305172</v>
          </cell>
          <cell r="D6714" t="str">
            <v>Gohang NHS</v>
          </cell>
          <cell r="E6714">
            <v>1</v>
          </cell>
          <cell r="F6714">
            <v>0</v>
          </cell>
          <cell r="G6714">
            <v>0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>
            <v>0</v>
          </cell>
        </row>
        <row r="6715">
          <cell r="C6715">
            <v>305173</v>
          </cell>
          <cell r="D6715" t="str">
            <v>Haliap NHS</v>
          </cell>
          <cell r="E6715">
            <v>0</v>
          </cell>
          <cell r="F6715">
            <v>0</v>
          </cell>
          <cell r="G6715">
            <v>0</v>
          </cell>
          <cell r="H6715">
            <v>0</v>
          </cell>
          <cell r="I6715">
            <v>0</v>
          </cell>
          <cell r="J6715">
            <v>0</v>
          </cell>
          <cell r="K6715">
            <v>0</v>
          </cell>
          <cell r="L6715">
            <v>0</v>
          </cell>
        </row>
        <row r="6716">
          <cell r="C6716">
            <v>305174</v>
          </cell>
          <cell r="D6716" t="str">
            <v>Natcak NHS</v>
          </cell>
          <cell r="E6716">
            <v>0</v>
          </cell>
          <cell r="F6716">
            <v>0</v>
          </cell>
          <cell r="G6716">
            <v>0</v>
          </cell>
          <cell r="H6716">
            <v>0</v>
          </cell>
          <cell r="I6716">
            <v>0</v>
          </cell>
          <cell r="J6716">
            <v>0</v>
          </cell>
          <cell r="K6716">
            <v>0</v>
          </cell>
          <cell r="L6716">
            <v>0</v>
          </cell>
        </row>
        <row r="6717">
          <cell r="C6717">
            <v>305175</v>
          </cell>
          <cell r="D6717" t="str">
            <v>Camandag NHS</v>
          </cell>
          <cell r="E6717">
            <v>0</v>
          </cell>
          <cell r="F6717">
            <v>0</v>
          </cell>
          <cell r="G6717">
            <v>0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0</v>
          </cell>
        </row>
        <row r="6718">
          <cell r="C6718">
            <v>305176</v>
          </cell>
          <cell r="D6718" t="str">
            <v>Hapid NHS</v>
          </cell>
          <cell r="E6718">
            <v>0</v>
          </cell>
          <cell r="F6718">
            <v>0</v>
          </cell>
          <cell r="G6718">
            <v>0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0</v>
          </cell>
        </row>
        <row r="6719">
          <cell r="C6719">
            <v>305177</v>
          </cell>
          <cell r="D6719" t="str">
            <v>Ifugao Technical Vocational School</v>
          </cell>
          <cell r="E6719">
            <v>0</v>
          </cell>
          <cell r="F6719">
            <v>0</v>
          </cell>
          <cell r="G6719">
            <v>0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0</v>
          </cell>
        </row>
        <row r="6720">
          <cell r="C6720">
            <v>305178</v>
          </cell>
          <cell r="D6720" t="str">
            <v>Hingyon NHS</v>
          </cell>
          <cell r="E6720">
            <v>0</v>
          </cell>
          <cell r="F6720">
            <v>0</v>
          </cell>
          <cell r="G6720">
            <v>0</v>
          </cell>
          <cell r="H6720">
            <v>0</v>
          </cell>
          <cell r="I6720">
            <v>0</v>
          </cell>
          <cell r="J6720">
            <v>2</v>
          </cell>
          <cell r="K6720">
            <v>0</v>
          </cell>
          <cell r="L6720">
            <v>2</v>
          </cell>
        </row>
        <row r="6721">
          <cell r="C6721">
            <v>305180</v>
          </cell>
          <cell r="D6721" t="str">
            <v>Hungduan National High School</v>
          </cell>
          <cell r="E6721">
            <v>1</v>
          </cell>
          <cell r="F6721">
            <v>0</v>
          </cell>
          <cell r="G6721">
            <v>0</v>
          </cell>
          <cell r="H6721">
            <v>0</v>
          </cell>
          <cell r="I6721">
            <v>0</v>
          </cell>
          <cell r="J6721">
            <v>1</v>
          </cell>
          <cell r="K6721">
            <v>0</v>
          </cell>
          <cell r="L6721">
            <v>0</v>
          </cell>
        </row>
        <row r="6722">
          <cell r="C6722">
            <v>305181</v>
          </cell>
          <cell r="D6722" t="str">
            <v>Ifugao Prov'l. Science HS</v>
          </cell>
          <cell r="E6722">
            <v>0</v>
          </cell>
          <cell r="F6722">
            <v>0</v>
          </cell>
          <cell r="G6722">
            <v>0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>
            <v>0</v>
          </cell>
        </row>
        <row r="6723">
          <cell r="C6723">
            <v>305182</v>
          </cell>
          <cell r="D6723" t="str">
            <v>Kiangan NHS</v>
          </cell>
          <cell r="E6723">
            <v>0</v>
          </cell>
          <cell r="F6723">
            <v>0</v>
          </cell>
          <cell r="G6723">
            <v>0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>
            <v>0</v>
          </cell>
        </row>
        <row r="6724">
          <cell r="C6724">
            <v>305183</v>
          </cell>
          <cell r="D6724" t="str">
            <v>Lawig NHS (Main)</v>
          </cell>
          <cell r="E6724">
            <v>0</v>
          </cell>
          <cell r="F6724">
            <v>0</v>
          </cell>
          <cell r="G6724">
            <v>0</v>
          </cell>
          <cell r="H6724">
            <v>0</v>
          </cell>
          <cell r="I6724">
            <v>0</v>
          </cell>
          <cell r="J6724">
            <v>0</v>
          </cell>
          <cell r="K6724">
            <v>0</v>
          </cell>
          <cell r="L6724">
            <v>0</v>
          </cell>
        </row>
        <row r="6725">
          <cell r="C6725">
            <v>305185</v>
          </cell>
          <cell r="D6725" t="str">
            <v>Mayoyao NHS</v>
          </cell>
          <cell r="E6725">
            <v>0</v>
          </cell>
          <cell r="F6725">
            <v>0</v>
          </cell>
          <cell r="G6725">
            <v>0</v>
          </cell>
          <cell r="H6725">
            <v>0</v>
          </cell>
          <cell r="I6725">
            <v>0</v>
          </cell>
          <cell r="J6725">
            <v>0</v>
          </cell>
          <cell r="K6725">
            <v>0</v>
          </cell>
          <cell r="L6725">
            <v>0</v>
          </cell>
        </row>
        <row r="6726">
          <cell r="C6726">
            <v>305187</v>
          </cell>
          <cell r="D6726" t="str">
            <v>Namillangan NHS</v>
          </cell>
          <cell r="E6726">
            <v>0</v>
          </cell>
          <cell r="F6726">
            <v>0</v>
          </cell>
          <cell r="G6726">
            <v>0</v>
          </cell>
          <cell r="H6726">
            <v>0</v>
          </cell>
          <cell r="I6726">
            <v>0</v>
          </cell>
          <cell r="J6726">
            <v>0</v>
          </cell>
          <cell r="K6726">
            <v>0</v>
          </cell>
          <cell r="L6726">
            <v>0</v>
          </cell>
        </row>
        <row r="6727">
          <cell r="C6727">
            <v>305188</v>
          </cell>
          <cell r="D6727" t="str">
            <v>Pinto NHS</v>
          </cell>
          <cell r="E6727">
            <v>0</v>
          </cell>
          <cell r="F6727">
            <v>1</v>
          </cell>
          <cell r="G6727">
            <v>0</v>
          </cell>
          <cell r="H6727">
            <v>0</v>
          </cell>
          <cell r="I6727">
            <v>0</v>
          </cell>
          <cell r="J6727">
            <v>1</v>
          </cell>
          <cell r="K6727">
            <v>0</v>
          </cell>
          <cell r="L6727">
            <v>0</v>
          </cell>
        </row>
        <row r="6728">
          <cell r="C6728">
            <v>305190</v>
          </cell>
          <cell r="D6728" t="str">
            <v>Sta. Maria National High School</v>
          </cell>
          <cell r="E6728">
            <v>1</v>
          </cell>
          <cell r="F6728">
            <v>10</v>
          </cell>
          <cell r="G6728">
            <v>0</v>
          </cell>
          <cell r="H6728">
            <v>0</v>
          </cell>
          <cell r="I6728">
            <v>3</v>
          </cell>
          <cell r="J6728">
            <v>0</v>
          </cell>
          <cell r="K6728">
            <v>1</v>
          </cell>
          <cell r="L6728">
            <v>0</v>
          </cell>
        </row>
        <row r="6729">
          <cell r="C6729">
            <v>305192</v>
          </cell>
          <cell r="D6729" t="str">
            <v>Tinoc NHS</v>
          </cell>
          <cell r="E6729">
            <v>0</v>
          </cell>
          <cell r="F6729">
            <v>0</v>
          </cell>
          <cell r="G6729">
            <v>0</v>
          </cell>
          <cell r="H6729">
            <v>0</v>
          </cell>
          <cell r="I6729">
            <v>0</v>
          </cell>
          <cell r="J6729">
            <v>0</v>
          </cell>
          <cell r="K6729">
            <v>0</v>
          </cell>
          <cell r="L6729">
            <v>0</v>
          </cell>
        </row>
        <row r="6730">
          <cell r="C6730">
            <v>305193</v>
          </cell>
          <cell r="D6730" t="str">
            <v>Kalanguya NHS</v>
          </cell>
          <cell r="E6730">
            <v>1</v>
          </cell>
          <cell r="F6730">
            <v>1</v>
          </cell>
          <cell r="G6730">
            <v>0</v>
          </cell>
          <cell r="H6730">
            <v>0</v>
          </cell>
          <cell r="I6730">
            <v>0</v>
          </cell>
          <cell r="J6730">
            <v>1</v>
          </cell>
          <cell r="K6730">
            <v>0</v>
          </cell>
          <cell r="L6730">
            <v>0</v>
          </cell>
        </row>
        <row r="6731">
          <cell r="C6731">
            <v>305194</v>
          </cell>
          <cell r="D6731" t="str">
            <v>Ubao National High School</v>
          </cell>
          <cell r="E6731">
            <v>1</v>
          </cell>
          <cell r="F6731">
            <v>0</v>
          </cell>
          <cell r="G6731">
            <v>0</v>
          </cell>
          <cell r="H6731">
            <v>0</v>
          </cell>
          <cell r="I6731">
            <v>1</v>
          </cell>
          <cell r="J6731">
            <v>1</v>
          </cell>
          <cell r="K6731">
            <v>0</v>
          </cell>
          <cell r="L6731">
            <v>0</v>
          </cell>
        </row>
        <row r="6732">
          <cell r="C6732">
            <v>319001</v>
          </cell>
          <cell r="D6732" t="str">
            <v>Bangbang National High School</v>
          </cell>
          <cell r="E6732">
            <v>0</v>
          </cell>
          <cell r="F6732">
            <v>0</v>
          </cell>
          <cell r="G6732">
            <v>0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>
            <v>0</v>
          </cell>
        </row>
        <row r="6733">
          <cell r="C6733">
            <v>319002</v>
          </cell>
          <cell r="D6733" t="str">
            <v>Rufino I. Chungalao Science HS</v>
          </cell>
          <cell r="E6733">
            <v>0</v>
          </cell>
          <cell r="F6733">
            <v>1</v>
          </cell>
          <cell r="G6733">
            <v>0</v>
          </cell>
          <cell r="H6733">
            <v>0</v>
          </cell>
          <cell r="I6733">
            <v>1</v>
          </cell>
          <cell r="J6733">
            <v>1</v>
          </cell>
          <cell r="K6733">
            <v>0</v>
          </cell>
          <cell r="L6733">
            <v>0</v>
          </cell>
        </row>
        <row r="6734">
          <cell r="C6734">
            <v>319006</v>
          </cell>
          <cell r="D6734" t="str">
            <v>Banaue NHS Annex</v>
          </cell>
          <cell r="E6734">
            <v>0</v>
          </cell>
          <cell r="F6734">
            <v>0</v>
          </cell>
          <cell r="G6734">
            <v>0</v>
          </cell>
          <cell r="H6734">
            <v>0</v>
          </cell>
          <cell r="I6734">
            <v>0</v>
          </cell>
          <cell r="J6734">
            <v>0</v>
          </cell>
          <cell r="K6734">
            <v>0</v>
          </cell>
          <cell r="L6734">
            <v>0</v>
          </cell>
        </row>
        <row r="6735">
          <cell r="C6735">
            <v>319008</v>
          </cell>
          <cell r="D6735" t="str">
            <v>Ubao NHS Extension</v>
          </cell>
          <cell r="E6735">
            <v>0</v>
          </cell>
          <cell r="F6735">
            <v>0</v>
          </cell>
          <cell r="G6735">
            <v>2</v>
          </cell>
          <cell r="H6735">
            <v>0</v>
          </cell>
          <cell r="I6735">
            <v>0</v>
          </cell>
          <cell r="J6735">
            <v>0</v>
          </cell>
          <cell r="K6735">
            <v>0</v>
          </cell>
          <cell r="L6735">
            <v>0</v>
          </cell>
        </row>
        <row r="6736">
          <cell r="C6736">
            <v>340118</v>
          </cell>
          <cell r="D6736" t="str">
            <v>SHS within Namulditan ES</v>
          </cell>
          <cell r="E6736">
            <v>1</v>
          </cell>
          <cell r="F6736">
            <v>0</v>
          </cell>
          <cell r="G6736">
            <v>0</v>
          </cell>
          <cell r="H6736">
            <v>0</v>
          </cell>
          <cell r="I6736">
            <v>0</v>
          </cell>
          <cell r="J6736">
            <v>1</v>
          </cell>
          <cell r="K6736">
            <v>0</v>
          </cell>
          <cell r="L6736">
            <v>0</v>
          </cell>
        </row>
        <row r="6737">
          <cell r="C6737">
            <v>500882</v>
          </cell>
          <cell r="D6737" t="str">
            <v>ALUPAPAN INTEGRATED SCHOOL</v>
          </cell>
          <cell r="E6737">
            <v>0</v>
          </cell>
          <cell r="F6737">
            <v>0</v>
          </cell>
          <cell r="G6737">
            <v>0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>
            <v>0</v>
          </cell>
        </row>
        <row r="6738">
          <cell r="C6738">
            <v>305197</v>
          </cell>
          <cell r="D6738" t="str">
            <v>Allaguia National High School</v>
          </cell>
          <cell r="E6738">
            <v>0</v>
          </cell>
          <cell r="F6738">
            <v>0</v>
          </cell>
          <cell r="G6738">
            <v>0</v>
          </cell>
          <cell r="H6738">
            <v>0</v>
          </cell>
          <cell r="I6738">
            <v>0</v>
          </cell>
          <cell r="J6738">
            <v>0</v>
          </cell>
          <cell r="K6738">
            <v>0</v>
          </cell>
          <cell r="L6738">
            <v>0</v>
          </cell>
        </row>
        <row r="6739">
          <cell r="C6739">
            <v>305199</v>
          </cell>
          <cell r="D6739" t="str">
            <v>Balbalan Agricultural and Industrial School</v>
          </cell>
          <cell r="E6739">
            <v>0</v>
          </cell>
          <cell r="F6739">
            <v>0</v>
          </cell>
          <cell r="G6739">
            <v>0</v>
          </cell>
          <cell r="H6739">
            <v>0</v>
          </cell>
          <cell r="I6739">
            <v>0</v>
          </cell>
          <cell r="J6739">
            <v>0</v>
          </cell>
          <cell r="K6739">
            <v>0</v>
          </cell>
          <cell r="L6739">
            <v>0</v>
          </cell>
        </row>
        <row r="6740">
          <cell r="C6740">
            <v>305201</v>
          </cell>
          <cell r="D6740" t="str">
            <v>Cal-owan Agricultural Vocational National High School</v>
          </cell>
          <cell r="E6740">
            <v>0</v>
          </cell>
          <cell r="F6740">
            <v>0</v>
          </cell>
          <cell r="G6740">
            <v>0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>
            <v>0</v>
          </cell>
        </row>
        <row r="6741">
          <cell r="C6741">
            <v>305202</v>
          </cell>
          <cell r="D6741" t="str">
            <v>Cawagayan National High School</v>
          </cell>
          <cell r="E6741">
            <v>0</v>
          </cell>
          <cell r="F6741">
            <v>0</v>
          </cell>
          <cell r="G6741">
            <v>0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>
            <v>0</v>
          </cell>
        </row>
        <row r="6742">
          <cell r="C6742">
            <v>305208</v>
          </cell>
          <cell r="D6742" t="str">
            <v>Southern Tinglayan National High School</v>
          </cell>
          <cell r="E6742">
            <v>0</v>
          </cell>
          <cell r="F6742">
            <v>0</v>
          </cell>
          <cell r="G6742">
            <v>0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>
            <v>0</v>
          </cell>
        </row>
        <row r="6743">
          <cell r="C6743">
            <v>305209</v>
          </cell>
          <cell r="D6743" t="str">
            <v>Kinama National High School</v>
          </cell>
          <cell r="E6743">
            <v>0</v>
          </cell>
          <cell r="F6743">
            <v>0</v>
          </cell>
          <cell r="G6743">
            <v>0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>
            <v>0</v>
          </cell>
        </row>
        <row r="6744">
          <cell r="C6744">
            <v>305210</v>
          </cell>
          <cell r="D6744" t="str">
            <v>Limos National High School</v>
          </cell>
          <cell r="E6744">
            <v>0</v>
          </cell>
          <cell r="F6744">
            <v>0</v>
          </cell>
          <cell r="G6744">
            <v>0</v>
          </cell>
          <cell r="H6744">
            <v>0</v>
          </cell>
          <cell r="I6744">
            <v>0</v>
          </cell>
          <cell r="J6744">
            <v>0</v>
          </cell>
          <cell r="K6744">
            <v>0</v>
          </cell>
          <cell r="L6744">
            <v>0</v>
          </cell>
        </row>
        <row r="6745">
          <cell r="C6745">
            <v>305211</v>
          </cell>
          <cell r="D6745" t="str">
            <v>Magtoma Pangol National High School-Main</v>
          </cell>
          <cell r="E6745">
            <v>0</v>
          </cell>
          <cell r="F6745">
            <v>0</v>
          </cell>
          <cell r="G6745">
            <v>0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>
            <v>0</v>
          </cell>
        </row>
        <row r="6746">
          <cell r="C6746">
            <v>305213</v>
          </cell>
          <cell r="D6746" t="str">
            <v>Pasil National High School</v>
          </cell>
          <cell r="E6746">
            <v>0</v>
          </cell>
          <cell r="F6746">
            <v>0</v>
          </cell>
          <cell r="G6746">
            <v>0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>
            <v>0</v>
          </cell>
        </row>
        <row r="6747">
          <cell r="C6747">
            <v>305214</v>
          </cell>
          <cell r="D6747" t="str">
            <v>Central Pasil National High School</v>
          </cell>
          <cell r="E6747">
            <v>0</v>
          </cell>
          <cell r="F6747">
            <v>0</v>
          </cell>
          <cell r="G6747">
            <v>0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>
            <v>0</v>
          </cell>
        </row>
        <row r="6748">
          <cell r="C6748">
            <v>305216</v>
          </cell>
          <cell r="D6748" t="str">
            <v>Pinukpuk Vocational School</v>
          </cell>
          <cell r="E6748">
            <v>0</v>
          </cell>
          <cell r="F6748">
            <v>0</v>
          </cell>
          <cell r="G6748">
            <v>0</v>
          </cell>
          <cell r="H6748">
            <v>0</v>
          </cell>
          <cell r="I6748">
            <v>0</v>
          </cell>
          <cell r="J6748">
            <v>0</v>
          </cell>
          <cell r="K6748">
            <v>0</v>
          </cell>
          <cell r="L6748">
            <v>0</v>
          </cell>
        </row>
        <row r="6749">
          <cell r="C6749">
            <v>305217</v>
          </cell>
          <cell r="D6749" t="str">
            <v>Rizal National School of Arts &amp; Trades</v>
          </cell>
          <cell r="E6749">
            <v>0</v>
          </cell>
          <cell r="F6749">
            <v>0</v>
          </cell>
          <cell r="G6749">
            <v>0</v>
          </cell>
          <cell r="H6749">
            <v>0</v>
          </cell>
          <cell r="I6749">
            <v>0</v>
          </cell>
          <cell r="J6749">
            <v>0</v>
          </cell>
          <cell r="K6749">
            <v>0</v>
          </cell>
          <cell r="L6749">
            <v>0</v>
          </cell>
        </row>
        <row r="6750">
          <cell r="C6750">
            <v>305218</v>
          </cell>
          <cell r="D6750" t="str">
            <v>Macutay Palao National High School</v>
          </cell>
          <cell r="E6750">
            <v>0</v>
          </cell>
          <cell r="F6750">
            <v>0</v>
          </cell>
          <cell r="G6750">
            <v>0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>
            <v>0</v>
          </cell>
        </row>
        <row r="6751">
          <cell r="C6751">
            <v>305219</v>
          </cell>
          <cell r="D6751" t="str">
            <v>Sumadel National High School</v>
          </cell>
          <cell r="E6751">
            <v>0</v>
          </cell>
          <cell r="F6751">
            <v>0</v>
          </cell>
          <cell r="G6751">
            <v>0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>
            <v>0</v>
          </cell>
        </row>
        <row r="6752">
          <cell r="C6752">
            <v>305220</v>
          </cell>
          <cell r="D6752" t="str">
            <v>Bangad National High School</v>
          </cell>
          <cell r="E6752">
            <v>0</v>
          </cell>
          <cell r="F6752">
            <v>0</v>
          </cell>
          <cell r="G6752">
            <v>0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0</v>
          </cell>
        </row>
        <row r="6753">
          <cell r="C6753">
            <v>305223</v>
          </cell>
          <cell r="D6753" t="str">
            <v>Lubuagan National High School</v>
          </cell>
          <cell r="E6753">
            <v>0</v>
          </cell>
          <cell r="F6753">
            <v>0</v>
          </cell>
          <cell r="G6753">
            <v>0</v>
          </cell>
          <cell r="H6753">
            <v>0</v>
          </cell>
          <cell r="I6753">
            <v>0</v>
          </cell>
          <cell r="J6753">
            <v>0</v>
          </cell>
          <cell r="K6753">
            <v>0</v>
          </cell>
          <cell r="L6753">
            <v>0</v>
          </cell>
        </row>
        <row r="6754">
          <cell r="C6754">
            <v>305224</v>
          </cell>
          <cell r="D6754" t="str">
            <v>Tanudan National High School</v>
          </cell>
          <cell r="E6754">
            <v>0</v>
          </cell>
          <cell r="F6754">
            <v>0</v>
          </cell>
          <cell r="G6754">
            <v>0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>
            <v>0</v>
          </cell>
        </row>
        <row r="6755">
          <cell r="C6755">
            <v>305225</v>
          </cell>
          <cell r="D6755" t="str">
            <v>Tanudan Vocational School</v>
          </cell>
          <cell r="E6755">
            <v>0</v>
          </cell>
          <cell r="F6755">
            <v>0</v>
          </cell>
          <cell r="G6755">
            <v>0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>
            <v>0</v>
          </cell>
        </row>
        <row r="6756">
          <cell r="C6756">
            <v>305227</v>
          </cell>
          <cell r="D6756" t="str">
            <v>Western Kalinga National High School</v>
          </cell>
          <cell r="E6756">
            <v>0</v>
          </cell>
          <cell r="F6756">
            <v>0</v>
          </cell>
          <cell r="G6756">
            <v>0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>
            <v>0</v>
          </cell>
        </row>
        <row r="6757">
          <cell r="C6757">
            <v>305542</v>
          </cell>
          <cell r="D6757" t="str">
            <v>MALAGNAT NATIONAL HIGH SCHOOL</v>
          </cell>
          <cell r="E6757">
            <v>0</v>
          </cell>
          <cell r="F6757">
            <v>0</v>
          </cell>
          <cell r="G6757">
            <v>0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>
            <v>0</v>
          </cell>
        </row>
        <row r="6758">
          <cell r="C6758">
            <v>319102</v>
          </cell>
          <cell r="D6758" t="str">
            <v>Magtoma Pangol National High School - Dupligan Annex</v>
          </cell>
          <cell r="E6758">
            <v>0</v>
          </cell>
          <cell r="F6758">
            <v>0</v>
          </cell>
          <cell r="G6758">
            <v>0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0</v>
          </cell>
        </row>
        <row r="6759">
          <cell r="C6759">
            <v>319106</v>
          </cell>
          <cell r="D6759" t="str">
            <v>Taloctoc General Comprehensive National High School</v>
          </cell>
          <cell r="E6759">
            <v>0</v>
          </cell>
          <cell r="F6759">
            <v>0</v>
          </cell>
          <cell r="G6759">
            <v>0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0</v>
          </cell>
        </row>
        <row r="6760">
          <cell r="C6760">
            <v>319107</v>
          </cell>
          <cell r="D6760" t="str">
            <v>Camalog National High School</v>
          </cell>
          <cell r="E6760">
            <v>0</v>
          </cell>
          <cell r="F6760">
            <v>0</v>
          </cell>
          <cell r="G6760">
            <v>0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>
            <v>0</v>
          </cell>
        </row>
        <row r="6761">
          <cell r="C6761">
            <v>319109</v>
          </cell>
          <cell r="D6761" t="str">
            <v>Socbot National High School</v>
          </cell>
          <cell r="E6761">
            <v>0</v>
          </cell>
          <cell r="F6761">
            <v>0</v>
          </cell>
          <cell r="G6761">
            <v>0</v>
          </cell>
          <cell r="H6761">
            <v>0</v>
          </cell>
          <cell r="I6761">
            <v>0</v>
          </cell>
          <cell r="J6761">
            <v>2</v>
          </cell>
          <cell r="K6761">
            <v>0</v>
          </cell>
          <cell r="L6761">
            <v>2</v>
          </cell>
        </row>
        <row r="6762">
          <cell r="C6762">
            <v>319114</v>
          </cell>
          <cell r="D6762" t="str">
            <v>Santor National High School</v>
          </cell>
          <cell r="E6762">
            <v>0</v>
          </cell>
          <cell r="F6762">
            <v>0</v>
          </cell>
          <cell r="G6762">
            <v>0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0</v>
          </cell>
        </row>
        <row r="6763">
          <cell r="C6763">
            <v>319115</v>
          </cell>
          <cell r="D6763" t="str">
            <v>Tinglayan National High School</v>
          </cell>
          <cell r="E6763">
            <v>0</v>
          </cell>
          <cell r="F6763">
            <v>0</v>
          </cell>
          <cell r="G6763">
            <v>0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>
            <v>0</v>
          </cell>
        </row>
        <row r="6764">
          <cell r="C6764">
            <v>340131</v>
          </cell>
          <cell r="D6764" t="str">
            <v>SHS in Lubuagan, Kalinga</v>
          </cell>
          <cell r="E6764">
            <v>0</v>
          </cell>
          <cell r="F6764">
            <v>0</v>
          </cell>
          <cell r="G6764">
            <v>0</v>
          </cell>
          <cell r="H6764">
            <v>0</v>
          </cell>
          <cell r="I6764">
            <v>1</v>
          </cell>
          <cell r="J6764">
            <v>4</v>
          </cell>
          <cell r="K6764">
            <v>1</v>
          </cell>
          <cell r="L6764">
            <v>4</v>
          </cell>
        </row>
        <row r="6765">
          <cell r="C6765">
            <v>305230</v>
          </cell>
          <cell r="D6765" t="str">
            <v>Bacarri National Trade &amp; Agricultural School</v>
          </cell>
          <cell r="E6765">
            <v>0</v>
          </cell>
          <cell r="F6765">
            <v>0</v>
          </cell>
          <cell r="G6765">
            <v>0</v>
          </cell>
          <cell r="H6765">
            <v>0</v>
          </cell>
          <cell r="I6765">
            <v>0</v>
          </cell>
          <cell r="J6765">
            <v>0</v>
          </cell>
          <cell r="K6765">
            <v>0</v>
          </cell>
          <cell r="L6765">
            <v>0</v>
          </cell>
        </row>
        <row r="6766">
          <cell r="C6766">
            <v>305231</v>
          </cell>
          <cell r="D6766" t="str">
            <v>Paracelis Technical &amp; Vocational High School</v>
          </cell>
          <cell r="E6766">
            <v>0</v>
          </cell>
          <cell r="F6766">
            <v>0</v>
          </cell>
          <cell r="G6766">
            <v>0</v>
          </cell>
          <cell r="H6766">
            <v>1</v>
          </cell>
          <cell r="I6766">
            <v>0</v>
          </cell>
          <cell r="J6766">
            <v>0</v>
          </cell>
          <cell r="K6766">
            <v>0</v>
          </cell>
          <cell r="L6766">
            <v>0</v>
          </cell>
        </row>
        <row r="6767">
          <cell r="C6767">
            <v>305237</v>
          </cell>
          <cell r="D6767" t="str">
            <v>Besao National High School</v>
          </cell>
          <cell r="E6767">
            <v>0</v>
          </cell>
          <cell r="F6767">
            <v>0</v>
          </cell>
          <cell r="G6767">
            <v>0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>
            <v>0</v>
          </cell>
        </row>
        <row r="6768">
          <cell r="C6768">
            <v>305239</v>
          </cell>
          <cell r="D6768" t="str">
            <v>Butigue National High School</v>
          </cell>
          <cell r="E6768">
            <v>0</v>
          </cell>
          <cell r="F6768">
            <v>0</v>
          </cell>
          <cell r="G6768">
            <v>0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>
            <v>0</v>
          </cell>
        </row>
        <row r="6769">
          <cell r="C6769">
            <v>305240</v>
          </cell>
          <cell r="D6769" t="str">
            <v>Cagubatan National High School</v>
          </cell>
          <cell r="E6769">
            <v>0</v>
          </cell>
          <cell r="F6769">
            <v>0</v>
          </cell>
          <cell r="G6769">
            <v>0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>
            <v>0</v>
          </cell>
        </row>
        <row r="6770">
          <cell r="C6770">
            <v>305242</v>
          </cell>
          <cell r="D6770" t="str">
            <v>Eastern Bontoc NAVHS</v>
          </cell>
          <cell r="E6770">
            <v>0</v>
          </cell>
          <cell r="F6770">
            <v>0</v>
          </cell>
          <cell r="G6770">
            <v>0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0</v>
          </cell>
        </row>
        <row r="6771">
          <cell r="C6771">
            <v>305244</v>
          </cell>
          <cell r="D6771" t="str">
            <v>Guinzadan National High School</v>
          </cell>
          <cell r="E6771">
            <v>0</v>
          </cell>
          <cell r="F6771">
            <v>0</v>
          </cell>
          <cell r="G6771">
            <v>0</v>
          </cell>
          <cell r="H6771">
            <v>0</v>
          </cell>
          <cell r="I6771">
            <v>9</v>
          </cell>
          <cell r="J6771">
            <v>10</v>
          </cell>
          <cell r="K6771">
            <v>9</v>
          </cell>
          <cell r="L6771">
            <v>10</v>
          </cell>
        </row>
        <row r="6772">
          <cell r="C6772">
            <v>305247</v>
          </cell>
          <cell r="D6772" t="str">
            <v>Lubon National High School</v>
          </cell>
          <cell r="E6772">
            <v>0</v>
          </cell>
          <cell r="F6772">
            <v>0</v>
          </cell>
          <cell r="G6772">
            <v>0</v>
          </cell>
          <cell r="H6772">
            <v>0</v>
          </cell>
          <cell r="I6772">
            <v>0</v>
          </cell>
          <cell r="J6772">
            <v>0</v>
          </cell>
          <cell r="K6772">
            <v>0</v>
          </cell>
          <cell r="L6772">
            <v>0</v>
          </cell>
        </row>
        <row r="6773">
          <cell r="C6773">
            <v>305248</v>
          </cell>
          <cell r="D6773" t="str">
            <v>Mabaay National High School</v>
          </cell>
          <cell r="E6773">
            <v>0</v>
          </cell>
          <cell r="F6773">
            <v>0</v>
          </cell>
          <cell r="G6773">
            <v>0</v>
          </cell>
          <cell r="H6773">
            <v>0</v>
          </cell>
          <cell r="I6773">
            <v>0</v>
          </cell>
          <cell r="J6773">
            <v>0</v>
          </cell>
          <cell r="K6773">
            <v>0</v>
          </cell>
          <cell r="L6773">
            <v>0</v>
          </cell>
        </row>
        <row r="6774">
          <cell r="C6774">
            <v>305251</v>
          </cell>
          <cell r="D6774" t="str">
            <v>Masla National High School</v>
          </cell>
          <cell r="E6774">
            <v>0</v>
          </cell>
          <cell r="F6774">
            <v>0</v>
          </cell>
          <cell r="G6774">
            <v>0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>
            <v>0</v>
          </cell>
        </row>
        <row r="6775">
          <cell r="C6775">
            <v>305252</v>
          </cell>
          <cell r="D6775" t="str">
            <v>Mt. Data National High School</v>
          </cell>
          <cell r="E6775">
            <v>0</v>
          </cell>
          <cell r="F6775">
            <v>0</v>
          </cell>
          <cell r="G6775">
            <v>0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>
            <v>0</v>
          </cell>
        </row>
        <row r="6776">
          <cell r="C6776">
            <v>305255</v>
          </cell>
          <cell r="D6776" t="str">
            <v>Mt. Prov. Gen. Comprehensive HS</v>
          </cell>
          <cell r="E6776">
            <v>0</v>
          </cell>
          <cell r="F6776">
            <v>0</v>
          </cell>
          <cell r="G6776">
            <v>0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>
            <v>0</v>
          </cell>
        </row>
        <row r="6777">
          <cell r="C6777">
            <v>305259</v>
          </cell>
          <cell r="D6777" t="str">
            <v>Otucan-Bila National High School</v>
          </cell>
          <cell r="E6777">
            <v>0</v>
          </cell>
          <cell r="F6777">
            <v>0</v>
          </cell>
          <cell r="G6777">
            <v>0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>
            <v>0</v>
          </cell>
        </row>
        <row r="6778">
          <cell r="C6778">
            <v>305260</v>
          </cell>
          <cell r="D6778" t="str">
            <v>Panabungen School of Arts, trades, and Home Industries</v>
          </cell>
          <cell r="E6778">
            <v>0</v>
          </cell>
          <cell r="F6778">
            <v>0</v>
          </cell>
          <cell r="G6778">
            <v>0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0</v>
          </cell>
        </row>
        <row r="6779">
          <cell r="C6779">
            <v>305261</v>
          </cell>
          <cell r="D6779" t="str">
            <v>Paracelis National High School</v>
          </cell>
          <cell r="E6779">
            <v>0</v>
          </cell>
          <cell r="F6779">
            <v>0</v>
          </cell>
          <cell r="G6779">
            <v>0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0</v>
          </cell>
        </row>
        <row r="6780">
          <cell r="C6780">
            <v>305262</v>
          </cell>
          <cell r="D6780" t="str">
            <v>Pingad National High School</v>
          </cell>
          <cell r="E6780">
            <v>0</v>
          </cell>
          <cell r="F6780">
            <v>0</v>
          </cell>
          <cell r="G6780">
            <v>0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0</v>
          </cell>
        </row>
        <row r="6781">
          <cell r="C6781">
            <v>305263</v>
          </cell>
          <cell r="D6781" t="str">
            <v>Sabangan National High School</v>
          </cell>
          <cell r="E6781">
            <v>0</v>
          </cell>
          <cell r="F6781">
            <v>0</v>
          </cell>
          <cell r="G6781">
            <v>0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0</v>
          </cell>
        </row>
        <row r="6782">
          <cell r="C6782">
            <v>305264</v>
          </cell>
          <cell r="D6782" t="str">
            <v>Sadanga National Technical Vocational and Skills Training High School</v>
          </cell>
          <cell r="E6782">
            <v>0</v>
          </cell>
          <cell r="F6782">
            <v>0</v>
          </cell>
          <cell r="G6782">
            <v>0</v>
          </cell>
          <cell r="H6782">
            <v>0</v>
          </cell>
          <cell r="I6782">
            <v>1</v>
          </cell>
          <cell r="J6782">
            <v>3</v>
          </cell>
          <cell r="K6782">
            <v>0</v>
          </cell>
          <cell r="L6782">
            <v>1</v>
          </cell>
        </row>
        <row r="6783">
          <cell r="C6783">
            <v>305265</v>
          </cell>
          <cell r="D6783" t="str">
            <v>Sagada National High School</v>
          </cell>
          <cell r="E6783">
            <v>0</v>
          </cell>
          <cell r="F6783">
            <v>0</v>
          </cell>
          <cell r="G6783">
            <v>0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0</v>
          </cell>
        </row>
        <row r="6784">
          <cell r="C6784">
            <v>305266</v>
          </cell>
          <cell r="D6784" t="str">
            <v>Ankileng NHS (Suyo NHS)</v>
          </cell>
          <cell r="E6784">
            <v>0</v>
          </cell>
          <cell r="F6784">
            <v>0</v>
          </cell>
          <cell r="G6784">
            <v>0</v>
          </cell>
          <cell r="H6784">
            <v>1</v>
          </cell>
          <cell r="I6784">
            <v>0</v>
          </cell>
          <cell r="J6784">
            <v>0</v>
          </cell>
          <cell r="K6784">
            <v>0</v>
          </cell>
          <cell r="L6784">
            <v>0</v>
          </cell>
        </row>
        <row r="6785">
          <cell r="C6785">
            <v>305267</v>
          </cell>
          <cell r="D6785" t="str">
            <v>Tadian School of Arts &amp; Trades</v>
          </cell>
          <cell r="E6785">
            <v>0</v>
          </cell>
          <cell r="F6785">
            <v>0</v>
          </cell>
          <cell r="G6785">
            <v>0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0</v>
          </cell>
        </row>
        <row r="6786">
          <cell r="C6786">
            <v>319217</v>
          </cell>
          <cell r="D6786" t="str">
            <v>Dacudac National High School</v>
          </cell>
          <cell r="E6786">
            <v>0</v>
          </cell>
          <cell r="F6786">
            <v>0</v>
          </cell>
          <cell r="G6786">
            <v>0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0</v>
          </cell>
        </row>
        <row r="6787">
          <cell r="C6787">
            <v>319220</v>
          </cell>
          <cell r="D6787" t="str">
            <v>Anonat National Agricultural and Vocational High School</v>
          </cell>
          <cell r="E6787">
            <v>0</v>
          </cell>
          <cell r="F6787">
            <v>0</v>
          </cell>
          <cell r="G6787">
            <v>0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0</v>
          </cell>
        </row>
        <row r="6788">
          <cell r="C6788">
            <v>340155</v>
          </cell>
          <cell r="D6788" t="str">
            <v>Natonin Stand Alone Senior High School</v>
          </cell>
          <cell r="E6788">
            <v>0</v>
          </cell>
          <cell r="F6788">
            <v>0</v>
          </cell>
          <cell r="G6788">
            <v>0</v>
          </cell>
          <cell r="H6788">
            <v>0</v>
          </cell>
          <cell r="I6788">
            <v>4</v>
          </cell>
          <cell r="J6788">
            <v>8</v>
          </cell>
          <cell r="K6788">
            <v>4</v>
          </cell>
          <cell r="L6788">
            <v>8</v>
          </cell>
        </row>
        <row r="6789">
          <cell r="C6789">
            <v>303115</v>
          </cell>
          <cell r="D6789" t="str">
            <v>PHILIPPINE SCIENCE HIGH SCHOOL - CORDILLERA ADMINISTRATIVE REGION</v>
          </cell>
          <cell r="E6789">
            <v>0</v>
          </cell>
          <cell r="F6789">
            <v>0</v>
          </cell>
          <cell r="G6789">
            <v>0</v>
          </cell>
          <cell r="H6789">
            <v>0</v>
          </cell>
          <cell r="I6789">
            <v>0</v>
          </cell>
          <cell r="J6789">
            <v>0</v>
          </cell>
          <cell r="K6789">
            <v>0</v>
          </cell>
          <cell r="L6789">
            <v>0</v>
          </cell>
        </row>
        <row r="6790">
          <cell r="C6790">
            <v>305269</v>
          </cell>
          <cell r="D6790" t="str">
            <v>Baguio City High School - Main</v>
          </cell>
          <cell r="E6790">
            <v>0</v>
          </cell>
          <cell r="F6790">
            <v>0</v>
          </cell>
          <cell r="G6790">
            <v>0</v>
          </cell>
          <cell r="H6790">
            <v>0</v>
          </cell>
          <cell r="I6790">
            <v>0</v>
          </cell>
          <cell r="J6790">
            <v>0</v>
          </cell>
          <cell r="K6790">
            <v>0</v>
          </cell>
          <cell r="L6790">
            <v>0</v>
          </cell>
        </row>
        <row r="6791">
          <cell r="C6791">
            <v>305275</v>
          </cell>
          <cell r="D6791" t="str">
            <v>Mil-an National High School</v>
          </cell>
          <cell r="E6791">
            <v>0</v>
          </cell>
          <cell r="F6791">
            <v>0</v>
          </cell>
          <cell r="G6791">
            <v>0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>
            <v>0</v>
          </cell>
        </row>
        <row r="6792">
          <cell r="C6792">
            <v>305279</v>
          </cell>
          <cell r="D6792" t="str">
            <v>Sto. Tomas National High School</v>
          </cell>
          <cell r="E6792">
            <v>0</v>
          </cell>
          <cell r="F6792">
            <v>0</v>
          </cell>
          <cell r="G6792">
            <v>0</v>
          </cell>
          <cell r="H6792">
            <v>0</v>
          </cell>
          <cell r="I6792">
            <v>2</v>
          </cell>
          <cell r="J6792">
            <v>8</v>
          </cell>
          <cell r="K6792">
            <v>2</v>
          </cell>
          <cell r="L6792">
            <v>9</v>
          </cell>
        </row>
        <row r="6793">
          <cell r="C6793">
            <v>305280</v>
          </cell>
          <cell r="D6793" t="str">
            <v>Irisan National High School</v>
          </cell>
          <cell r="E6793">
            <v>0</v>
          </cell>
          <cell r="F6793">
            <v>0</v>
          </cell>
          <cell r="G6793">
            <v>0</v>
          </cell>
          <cell r="H6793">
            <v>0</v>
          </cell>
          <cell r="I6793">
            <v>0</v>
          </cell>
          <cell r="J6793">
            <v>0</v>
          </cell>
          <cell r="K6793">
            <v>0</v>
          </cell>
          <cell r="L6793">
            <v>0</v>
          </cell>
        </row>
        <row r="6794">
          <cell r="C6794">
            <v>305281</v>
          </cell>
          <cell r="D6794" t="str">
            <v>Pines City National High School</v>
          </cell>
          <cell r="E6794">
            <v>0</v>
          </cell>
          <cell r="F6794">
            <v>0</v>
          </cell>
          <cell r="G6794">
            <v>0</v>
          </cell>
          <cell r="H6794">
            <v>0</v>
          </cell>
          <cell r="I6794">
            <v>0</v>
          </cell>
          <cell r="J6794">
            <v>0</v>
          </cell>
          <cell r="K6794">
            <v>0</v>
          </cell>
          <cell r="L6794">
            <v>0</v>
          </cell>
        </row>
        <row r="6795">
          <cell r="C6795">
            <v>305282</v>
          </cell>
          <cell r="D6795" t="str">
            <v>Guisad Valley National High School</v>
          </cell>
          <cell r="E6795">
            <v>0</v>
          </cell>
          <cell r="F6795">
            <v>0</v>
          </cell>
          <cell r="G6795">
            <v>0</v>
          </cell>
          <cell r="H6795">
            <v>0</v>
          </cell>
          <cell r="I6795">
            <v>0</v>
          </cell>
          <cell r="J6795">
            <v>0</v>
          </cell>
          <cell r="K6795">
            <v>0</v>
          </cell>
          <cell r="L6795">
            <v>0</v>
          </cell>
        </row>
        <row r="6796">
          <cell r="C6796">
            <v>305284</v>
          </cell>
          <cell r="D6796" t="str">
            <v>Joaquin Smith National High School</v>
          </cell>
          <cell r="E6796">
            <v>0</v>
          </cell>
          <cell r="F6796">
            <v>0</v>
          </cell>
          <cell r="G6796">
            <v>0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>
            <v>0</v>
          </cell>
        </row>
        <row r="6797">
          <cell r="C6797">
            <v>340055</v>
          </cell>
          <cell r="D6797" t="str">
            <v>Baguio City National Science High School</v>
          </cell>
          <cell r="E6797">
            <v>0</v>
          </cell>
          <cell r="F6797">
            <v>0</v>
          </cell>
          <cell r="G6797">
            <v>0</v>
          </cell>
          <cell r="H6797">
            <v>0</v>
          </cell>
          <cell r="I6797">
            <v>9</v>
          </cell>
          <cell r="J6797">
            <v>21</v>
          </cell>
          <cell r="K6797">
            <v>0</v>
          </cell>
          <cell r="L6797">
            <v>0</v>
          </cell>
        </row>
        <row r="6798">
          <cell r="C6798">
            <v>305195</v>
          </cell>
          <cell r="D6798" t="str">
            <v>Agbannawag National High School</v>
          </cell>
          <cell r="E6798">
            <v>0</v>
          </cell>
          <cell r="F6798">
            <v>0</v>
          </cell>
          <cell r="G6798">
            <v>0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0</v>
          </cell>
        </row>
        <row r="6799">
          <cell r="C6799">
            <v>305198</v>
          </cell>
          <cell r="D6799" t="str">
            <v>Balawag National High School</v>
          </cell>
          <cell r="E6799">
            <v>0</v>
          </cell>
          <cell r="F6799">
            <v>0</v>
          </cell>
          <cell r="G6799">
            <v>0</v>
          </cell>
          <cell r="H6799">
            <v>0</v>
          </cell>
          <cell r="I6799">
            <v>0</v>
          </cell>
          <cell r="J6799">
            <v>4</v>
          </cell>
          <cell r="K6799">
            <v>0</v>
          </cell>
          <cell r="L6799">
            <v>4</v>
          </cell>
        </row>
        <row r="6800">
          <cell r="C6800">
            <v>305203</v>
          </cell>
          <cell r="D6800" t="str">
            <v>Cudal National High School</v>
          </cell>
          <cell r="E6800">
            <v>0</v>
          </cell>
          <cell r="F6800">
            <v>0</v>
          </cell>
          <cell r="G6800">
            <v>0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>
            <v>0</v>
          </cell>
        </row>
        <row r="6801">
          <cell r="C6801">
            <v>305205</v>
          </cell>
          <cell r="D6801" t="str">
            <v>Kalinga National High School</v>
          </cell>
          <cell r="E6801">
            <v>0</v>
          </cell>
          <cell r="F6801">
            <v>0</v>
          </cell>
          <cell r="G6801">
            <v>0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>
            <v>0</v>
          </cell>
        </row>
        <row r="6802">
          <cell r="C6802">
            <v>305212</v>
          </cell>
          <cell r="D6802" t="str">
            <v>Nambaran Agro-Industrial National High School</v>
          </cell>
          <cell r="E6802">
            <v>0</v>
          </cell>
          <cell r="F6802">
            <v>0</v>
          </cell>
          <cell r="G6802">
            <v>0</v>
          </cell>
          <cell r="H6802">
            <v>0</v>
          </cell>
          <cell r="I6802">
            <v>0</v>
          </cell>
          <cell r="J6802">
            <v>0</v>
          </cell>
          <cell r="K6802">
            <v>1</v>
          </cell>
          <cell r="L6802">
            <v>2</v>
          </cell>
        </row>
        <row r="6803">
          <cell r="C6803">
            <v>305221</v>
          </cell>
          <cell r="D6803" t="str">
            <v>Tabuk City National High School</v>
          </cell>
          <cell r="E6803">
            <v>0</v>
          </cell>
          <cell r="F6803">
            <v>0</v>
          </cell>
          <cell r="G6803">
            <v>0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>
            <v>0</v>
          </cell>
        </row>
        <row r="6804">
          <cell r="C6804">
            <v>305222</v>
          </cell>
          <cell r="D6804" t="str">
            <v>New Tanglag National High School</v>
          </cell>
          <cell r="E6804">
            <v>0</v>
          </cell>
          <cell r="F6804">
            <v>0</v>
          </cell>
          <cell r="G6804">
            <v>0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>
            <v>0</v>
          </cell>
        </row>
        <row r="6805">
          <cell r="C6805">
            <v>305226</v>
          </cell>
          <cell r="D6805" t="str">
            <v>TUGA NATIONAL HIGH SCHOOL</v>
          </cell>
          <cell r="E6805">
            <v>0</v>
          </cell>
          <cell r="F6805">
            <v>0</v>
          </cell>
          <cell r="G6805">
            <v>0</v>
          </cell>
          <cell r="H6805">
            <v>0</v>
          </cell>
          <cell r="I6805">
            <v>1</v>
          </cell>
          <cell r="J6805">
            <v>1</v>
          </cell>
          <cell r="K6805">
            <v>1</v>
          </cell>
          <cell r="L6805">
            <v>1</v>
          </cell>
        </row>
        <row r="6806">
          <cell r="C6806">
            <v>319104</v>
          </cell>
          <cell r="D6806" t="str">
            <v>Bado Dangwa National High School</v>
          </cell>
          <cell r="E6806">
            <v>0</v>
          </cell>
          <cell r="F6806">
            <v>0</v>
          </cell>
          <cell r="G6806">
            <v>0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>
            <v>0</v>
          </cell>
        </row>
        <row r="6807">
          <cell r="C6807">
            <v>305608</v>
          </cell>
          <cell r="D6807" t="str">
            <v>San Juan City Academic Senior High School</v>
          </cell>
          <cell r="E6807">
            <v>0</v>
          </cell>
          <cell r="F6807">
            <v>0</v>
          </cell>
          <cell r="G6807">
            <v>0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>
            <v>0</v>
          </cell>
        </row>
        <row r="6808">
          <cell r="C6808">
            <v>305609</v>
          </cell>
          <cell r="D6808" t="str">
            <v>San Juan City Technical-Vocational and Livelihood -Senior High School</v>
          </cell>
          <cell r="E6808">
            <v>0</v>
          </cell>
          <cell r="F6808">
            <v>0</v>
          </cell>
          <cell r="G6808">
            <v>0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>
            <v>0</v>
          </cell>
        </row>
        <row r="6809">
          <cell r="C6809">
            <v>305454</v>
          </cell>
          <cell r="D6809" t="str">
            <v>San Rafael Technological and Vocational High School</v>
          </cell>
          <cell r="E6809">
            <v>0</v>
          </cell>
          <cell r="F6809">
            <v>0</v>
          </cell>
          <cell r="G6809">
            <v>0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>
            <v>0</v>
          </cell>
        </row>
        <row r="6810">
          <cell r="C6810">
            <v>305456</v>
          </cell>
          <cell r="D6810" t="str">
            <v>Kaunlaran High School</v>
          </cell>
          <cell r="E6810">
            <v>0</v>
          </cell>
          <cell r="F6810">
            <v>0</v>
          </cell>
          <cell r="G6810">
            <v>0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>
            <v>1</v>
          </cell>
        </row>
        <row r="6811">
          <cell r="C6811">
            <v>305457</v>
          </cell>
          <cell r="D6811" t="str">
            <v>Tangos National High School</v>
          </cell>
          <cell r="E6811">
            <v>0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0</v>
          </cell>
        </row>
        <row r="6812">
          <cell r="C6812">
            <v>305458</v>
          </cell>
          <cell r="D6812" t="str">
            <v>San Roque National High School</v>
          </cell>
          <cell r="E6812">
            <v>0</v>
          </cell>
          <cell r="F6812">
            <v>0</v>
          </cell>
          <cell r="G6812">
            <v>0</v>
          </cell>
          <cell r="H6812">
            <v>0</v>
          </cell>
          <cell r="I6812">
            <v>0</v>
          </cell>
          <cell r="J6812">
            <v>0</v>
          </cell>
          <cell r="K6812">
            <v>0</v>
          </cell>
          <cell r="L6812">
            <v>0</v>
          </cell>
        </row>
        <row r="6813">
          <cell r="C6813">
            <v>340628</v>
          </cell>
          <cell r="D6813" t="str">
            <v>SHS in Lisan, Navotas City</v>
          </cell>
          <cell r="E6813">
            <v>0</v>
          </cell>
          <cell r="F6813">
            <v>0</v>
          </cell>
          <cell r="G6813">
            <v>0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>
            <v>0</v>
          </cell>
        </row>
        <row r="6814">
          <cell r="C6814">
            <v>340629</v>
          </cell>
          <cell r="D6814" t="str">
            <v>SHS in Bangkulasi, Navotas City</v>
          </cell>
          <cell r="E6814">
            <v>0</v>
          </cell>
          <cell r="F6814">
            <v>0</v>
          </cell>
          <cell r="G6814">
            <v>0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>
            <v>0</v>
          </cell>
        </row>
        <row r="6815">
          <cell r="C6815">
            <v>305291</v>
          </cell>
          <cell r="D6815" t="str">
            <v>Tondo High School</v>
          </cell>
          <cell r="E6815">
            <v>0</v>
          </cell>
          <cell r="F6815">
            <v>0</v>
          </cell>
          <cell r="G6815">
            <v>0</v>
          </cell>
          <cell r="H6815">
            <v>0</v>
          </cell>
          <cell r="I6815">
            <v>4</v>
          </cell>
          <cell r="J6815">
            <v>5</v>
          </cell>
          <cell r="K6815">
            <v>0</v>
          </cell>
          <cell r="L6815">
            <v>0</v>
          </cell>
        </row>
        <row r="6816">
          <cell r="C6816">
            <v>305296</v>
          </cell>
          <cell r="D6816" t="str">
            <v>Pres. Sergio Osmena, Sr. High School</v>
          </cell>
          <cell r="E6816">
            <v>0</v>
          </cell>
          <cell r="F6816">
            <v>0</v>
          </cell>
          <cell r="G6816">
            <v>0</v>
          </cell>
          <cell r="H6816">
            <v>0</v>
          </cell>
          <cell r="I6816">
            <v>0</v>
          </cell>
          <cell r="J6816">
            <v>0</v>
          </cell>
          <cell r="K6816">
            <v>0</v>
          </cell>
          <cell r="L6816">
            <v>0</v>
          </cell>
        </row>
        <row r="6817">
          <cell r="C6817">
            <v>305297</v>
          </cell>
          <cell r="D6817" t="str">
            <v>Manuel L. Quezon High School</v>
          </cell>
          <cell r="E6817">
            <v>0</v>
          </cell>
          <cell r="F6817">
            <v>0</v>
          </cell>
          <cell r="G6817">
            <v>0</v>
          </cell>
          <cell r="H6817">
            <v>0</v>
          </cell>
          <cell r="I6817">
            <v>0</v>
          </cell>
          <cell r="J6817">
            <v>0</v>
          </cell>
          <cell r="K6817">
            <v>0</v>
          </cell>
          <cell r="L6817">
            <v>0</v>
          </cell>
        </row>
        <row r="6818">
          <cell r="C6818">
            <v>305298</v>
          </cell>
          <cell r="D6818" t="str">
            <v>Florentino Torres High School</v>
          </cell>
          <cell r="E6818">
            <v>0</v>
          </cell>
          <cell r="F6818">
            <v>0</v>
          </cell>
          <cell r="G6818">
            <v>0</v>
          </cell>
          <cell r="H6818">
            <v>0</v>
          </cell>
          <cell r="I6818">
            <v>0</v>
          </cell>
          <cell r="J6818">
            <v>0</v>
          </cell>
          <cell r="K6818">
            <v>0</v>
          </cell>
          <cell r="L6818">
            <v>0</v>
          </cell>
        </row>
        <row r="6819">
          <cell r="C6819">
            <v>305299</v>
          </cell>
          <cell r="D6819" t="str">
            <v>Dona Teodora Alonzo HS</v>
          </cell>
          <cell r="E6819">
            <v>0</v>
          </cell>
          <cell r="F6819">
            <v>0</v>
          </cell>
          <cell r="G6819">
            <v>0</v>
          </cell>
          <cell r="H6819">
            <v>0</v>
          </cell>
          <cell r="I6819">
            <v>0</v>
          </cell>
          <cell r="J6819">
            <v>0</v>
          </cell>
          <cell r="K6819">
            <v>0</v>
          </cell>
          <cell r="L6819">
            <v>0</v>
          </cell>
        </row>
        <row r="6820">
          <cell r="C6820">
            <v>305300</v>
          </cell>
          <cell r="D6820" t="str">
            <v>Cayetano Arellano High School</v>
          </cell>
          <cell r="E6820">
            <v>0</v>
          </cell>
          <cell r="F6820">
            <v>0</v>
          </cell>
          <cell r="G6820">
            <v>0</v>
          </cell>
          <cell r="H6820">
            <v>0</v>
          </cell>
          <cell r="I6820">
            <v>3</v>
          </cell>
          <cell r="J6820">
            <v>1</v>
          </cell>
          <cell r="K6820">
            <v>0</v>
          </cell>
          <cell r="L6820">
            <v>0</v>
          </cell>
        </row>
        <row r="6821">
          <cell r="C6821">
            <v>305301</v>
          </cell>
          <cell r="D6821" t="str">
            <v>Ramon Q. Avancena High School</v>
          </cell>
          <cell r="E6821">
            <v>0</v>
          </cell>
          <cell r="F6821">
            <v>0</v>
          </cell>
          <cell r="G6821">
            <v>0</v>
          </cell>
          <cell r="H6821">
            <v>0</v>
          </cell>
          <cell r="I6821">
            <v>0</v>
          </cell>
          <cell r="J6821">
            <v>0</v>
          </cell>
          <cell r="K6821">
            <v>0</v>
          </cell>
          <cell r="L6821">
            <v>0</v>
          </cell>
        </row>
        <row r="6822">
          <cell r="C6822">
            <v>305302</v>
          </cell>
          <cell r="D6822" t="str">
            <v>Jose Abad Santos High School</v>
          </cell>
          <cell r="E6822">
            <v>0</v>
          </cell>
          <cell r="F6822">
            <v>0</v>
          </cell>
          <cell r="G6822">
            <v>0</v>
          </cell>
          <cell r="H6822">
            <v>0</v>
          </cell>
          <cell r="I6822">
            <v>0</v>
          </cell>
          <cell r="J6822">
            <v>0</v>
          </cell>
          <cell r="K6822">
            <v>0</v>
          </cell>
          <cell r="L6822">
            <v>0</v>
          </cell>
        </row>
        <row r="6823">
          <cell r="C6823">
            <v>305303</v>
          </cell>
          <cell r="D6823" t="str">
            <v>Raja Soliman Science and Technology High School</v>
          </cell>
          <cell r="E6823">
            <v>0</v>
          </cell>
          <cell r="F6823">
            <v>0</v>
          </cell>
          <cell r="G6823">
            <v>0</v>
          </cell>
          <cell r="H6823">
            <v>0</v>
          </cell>
          <cell r="I6823">
            <v>0</v>
          </cell>
          <cell r="J6823">
            <v>0</v>
          </cell>
          <cell r="K6823">
            <v>0</v>
          </cell>
          <cell r="L6823">
            <v>0</v>
          </cell>
        </row>
        <row r="6824">
          <cell r="C6824">
            <v>305307</v>
          </cell>
          <cell r="D6824" t="str">
            <v>Claro M. Recto High School</v>
          </cell>
          <cell r="E6824">
            <v>0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0</v>
          </cell>
        </row>
        <row r="6825">
          <cell r="C6825">
            <v>305308</v>
          </cell>
          <cell r="D6825" t="str">
            <v>Valeriano E. Fugoso Memorial High School</v>
          </cell>
          <cell r="E6825">
            <v>0</v>
          </cell>
          <cell r="F6825">
            <v>0</v>
          </cell>
          <cell r="G6825">
            <v>0</v>
          </cell>
          <cell r="H6825">
            <v>0</v>
          </cell>
          <cell r="I6825">
            <v>0</v>
          </cell>
          <cell r="J6825">
            <v>0</v>
          </cell>
          <cell r="K6825">
            <v>0</v>
          </cell>
          <cell r="L6825">
            <v>0</v>
          </cell>
        </row>
        <row r="6826">
          <cell r="C6826">
            <v>305309</v>
          </cell>
          <cell r="D6826" t="str">
            <v>M.Araullo High School</v>
          </cell>
          <cell r="E6826">
            <v>0</v>
          </cell>
          <cell r="F6826">
            <v>0</v>
          </cell>
          <cell r="G6826">
            <v>0</v>
          </cell>
          <cell r="H6826">
            <v>0</v>
          </cell>
          <cell r="I6826">
            <v>0</v>
          </cell>
          <cell r="J6826">
            <v>0</v>
          </cell>
          <cell r="K6826">
            <v>0</v>
          </cell>
          <cell r="L6826">
            <v>0</v>
          </cell>
        </row>
        <row r="6827">
          <cell r="C6827">
            <v>305310</v>
          </cell>
          <cell r="D6827" t="str">
            <v>Carlos P. Garcia High School</v>
          </cell>
          <cell r="E6827">
            <v>0</v>
          </cell>
          <cell r="F6827">
            <v>0</v>
          </cell>
          <cell r="G6827">
            <v>0</v>
          </cell>
          <cell r="H6827">
            <v>0</v>
          </cell>
          <cell r="I6827">
            <v>0</v>
          </cell>
          <cell r="J6827">
            <v>0</v>
          </cell>
          <cell r="K6827">
            <v>0</v>
          </cell>
          <cell r="L6827">
            <v>0</v>
          </cell>
        </row>
        <row r="6828">
          <cell r="C6828">
            <v>305312</v>
          </cell>
          <cell r="D6828" t="str">
            <v>Manila Science High School</v>
          </cell>
          <cell r="E6828">
            <v>0</v>
          </cell>
          <cell r="F6828">
            <v>0</v>
          </cell>
          <cell r="G6828">
            <v>0</v>
          </cell>
          <cell r="H6828">
            <v>0</v>
          </cell>
          <cell r="I6828">
            <v>0</v>
          </cell>
          <cell r="J6828">
            <v>0</v>
          </cell>
          <cell r="K6828">
            <v>0</v>
          </cell>
          <cell r="L6828">
            <v>0</v>
          </cell>
        </row>
        <row r="6829">
          <cell r="C6829">
            <v>305313</v>
          </cell>
          <cell r="D6829" t="str">
            <v>I. Villamor High School</v>
          </cell>
          <cell r="E6829">
            <v>0</v>
          </cell>
          <cell r="F6829">
            <v>0</v>
          </cell>
          <cell r="G6829">
            <v>0</v>
          </cell>
          <cell r="H6829">
            <v>0</v>
          </cell>
          <cell r="I6829">
            <v>7</v>
          </cell>
          <cell r="J6829">
            <v>11</v>
          </cell>
          <cell r="K6829">
            <v>8</v>
          </cell>
          <cell r="L6829">
            <v>11</v>
          </cell>
        </row>
        <row r="6830">
          <cell r="C6830">
            <v>305316</v>
          </cell>
          <cell r="D6830" t="str">
            <v>Mariano Marcos Memorial High School</v>
          </cell>
          <cell r="E6830">
            <v>0</v>
          </cell>
          <cell r="F6830">
            <v>0</v>
          </cell>
          <cell r="G6830">
            <v>0</v>
          </cell>
          <cell r="H6830">
            <v>0</v>
          </cell>
          <cell r="I6830">
            <v>0</v>
          </cell>
          <cell r="J6830">
            <v>0</v>
          </cell>
          <cell r="K6830">
            <v>0</v>
          </cell>
          <cell r="L6830">
            <v>0</v>
          </cell>
        </row>
        <row r="6831">
          <cell r="C6831">
            <v>305318</v>
          </cell>
          <cell r="D6831" t="str">
            <v>Manuel A. Roxas High School</v>
          </cell>
          <cell r="E6831">
            <v>0</v>
          </cell>
          <cell r="F6831">
            <v>0</v>
          </cell>
          <cell r="G6831">
            <v>0</v>
          </cell>
          <cell r="H6831">
            <v>0</v>
          </cell>
          <cell r="I6831">
            <v>13</v>
          </cell>
          <cell r="J6831">
            <v>18</v>
          </cell>
          <cell r="K6831">
            <v>0</v>
          </cell>
          <cell r="L6831">
            <v>0</v>
          </cell>
        </row>
        <row r="6832">
          <cell r="C6832">
            <v>305319</v>
          </cell>
          <cell r="D6832" t="str">
            <v>Eulogio Rodriguez Vocational High School</v>
          </cell>
          <cell r="E6832">
            <v>0</v>
          </cell>
          <cell r="F6832">
            <v>0</v>
          </cell>
          <cell r="G6832">
            <v>0</v>
          </cell>
          <cell r="H6832">
            <v>0</v>
          </cell>
          <cell r="I6832">
            <v>0</v>
          </cell>
          <cell r="J6832">
            <v>0</v>
          </cell>
          <cell r="K6832">
            <v>0</v>
          </cell>
          <cell r="L6832">
            <v>0</v>
          </cell>
        </row>
        <row r="6833">
          <cell r="C6833">
            <v>319401</v>
          </cell>
          <cell r="D6833" t="str">
            <v>Pres. Corazon C. Aquino High School/Manila HS Annex</v>
          </cell>
          <cell r="E6833">
            <v>0</v>
          </cell>
          <cell r="F6833">
            <v>0</v>
          </cell>
          <cell r="G6833">
            <v>0</v>
          </cell>
          <cell r="H6833">
            <v>0</v>
          </cell>
          <cell r="I6833">
            <v>0</v>
          </cell>
          <cell r="J6833">
            <v>0</v>
          </cell>
          <cell r="K6833">
            <v>0</v>
          </cell>
          <cell r="L6833">
            <v>0</v>
          </cell>
        </row>
        <row r="6834">
          <cell r="C6834">
            <v>340599</v>
          </cell>
          <cell r="D6834" t="str">
            <v>SHS within A.Maceda Intg. Sch.-Elem.</v>
          </cell>
          <cell r="E6834">
            <v>0</v>
          </cell>
          <cell r="F6834">
            <v>0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>
            <v>0</v>
          </cell>
        </row>
        <row r="6835">
          <cell r="C6835">
            <v>340601</v>
          </cell>
          <cell r="D6835" t="str">
            <v>SHS within Gen E. Aguinaldo Intg. (Elem)</v>
          </cell>
          <cell r="E6835">
            <v>0</v>
          </cell>
          <cell r="F6835">
            <v>0</v>
          </cell>
          <cell r="G6835">
            <v>0</v>
          </cell>
          <cell r="H6835">
            <v>0</v>
          </cell>
          <cell r="I6835">
            <v>3</v>
          </cell>
          <cell r="J6835">
            <v>4</v>
          </cell>
          <cell r="K6835">
            <v>0</v>
          </cell>
          <cell r="L6835">
            <v>0</v>
          </cell>
        </row>
        <row r="6836">
          <cell r="C6836">
            <v>340602</v>
          </cell>
          <cell r="D6836" t="str">
            <v>E. QUIRINO Senior High School within Bacood</v>
          </cell>
          <cell r="E6836">
            <v>0</v>
          </cell>
          <cell r="F6836">
            <v>0</v>
          </cell>
          <cell r="G6836">
            <v>0</v>
          </cell>
          <cell r="H6836">
            <v>0</v>
          </cell>
          <cell r="I6836">
            <v>0</v>
          </cell>
          <cell r="J6836">
            <v>0</v>
          </cell>
          <cell r="K6836">
            <v>0</v>
          </cell>
          <cell r="L6836">
            <v>0</v>
          </cell>
        </row>
        <row r="6837">
          <cell r="C6837">
            <v>500566</v>
          </cell>
          <cell r="D6837" t="str">
            <v>T. Paez Integrated School</v>
          </cell>
          <cell r="E6837">
            <v>0</v>
          </cell>
          <cell r="F6837">
            <v>0</v>
          </cell>
          <cell r="G6837">
            <v>0</v>
          </cell>
          <cell r="H6837">
            <v>0</v>
          </cell>
          <cell r="I6837">
            <v>0</v>
          </cell>
          <cell r="J6837">
            <v>0</v>
          </cell>
          <cell r="K6837">
            <v>0</v>
          </cell>
          <cell r="L6837">
            <v>0</v>
          </cell>
        </row>
        <row r="6838">
          <cell r="C6838">
            <v>500569</v>
          </cell>
          <cell r="D6838" t="str">
            <v>Gen. Emilio Aguinaldo Integrated School</v>
          </cell>
          <cell r="E6838">
            <v>0</v>
          </cell>
          <cell r="F6838">
            <v>0</v>
          </cell>
          <cell r="G6838">
            <v>0</v>
          </cell>
          <cell r="H6838">
            <v>0</v>
          </cell>
          <cell r="I6838">
            <v>3</v>
          </cell>
          <cell r="J6838">
            <v>4</v>
          </cell>
          <cell r="K6838">
            <v>0</v>
          </cell>
          <cell r="L6838">
            <v>0</v>
          </cell>
        </row>
        <row r="6839">
          <cell r="C6839">
            <v>305320</v>
          </cell>
          <cell r="D6839" t="str">
            <v>Balingasa HS</v>
          </cell>
          <cell r="E6839">
            <v>0</v>
          </cell>
          <cell r="F6839">
            <v>0</v>
          </cell>
          <cell r="G6839">
            <v>0</v>
          </cell>
          <cell r="H6839">
            <v>0</v>
          </cell>
          <cell r="I6839">
            <v>0</v>
          </cell>
          <cell r="J6839">
            <v>0</v>
          </cell>
          <cell r="K6839">
            <v>0</v>
          </cell>
          <cell r="L6839">
            <v>0</v>
          </cell>
        </row>
        <row r="6840">
          <cell r="C6840">
            <v>305322</v>
          </cell>
          <cell r="D6840" t="str">
            <v>Eulogio Rodriguez, Jr. HS</v>
          </cell>
          <cell r="E6840">
            <v>0</v>
          </cell>
          <cell r="F6840">
            <v>0</v>
          </cell>
          <cell r="G6840">
            <v>0</v>
          </cell>
          <cell r="H6840">
            <v>0</v>
          </cell>
          <cell r="I6840">
            <v>0</v>
          </cell>
          <cell r="J6840">
            <v>0</v>
          </cell>
          <cell r="K6840">
            <v>0</v>
          </cell>
          <cell r="L6840">
            <v>0</v>
          </cell>
        </row>
        <row r="6841">
          <cell r="C6841">
            <v>305326</v>
          </cell>
          <cell r="D6841" t="str">
            <v>Ernesto Rondon HS</v>
          </cell>
          <cell r="E6841">
            <v>0</v>
          </cell>
          <cell r="F6841">
            <v>0</v>
          </cell>
          <cell r="G6841">
            <v>0</v>
          </cell>
          <cell r="H6841">
            <v>0</v>
          </cell>
          <cell r="I6841">
            <v>0</v>
          </cell>
          <cell r="J6841">
            <v>0</v>
          </cell>
          <cell r="K6841">
            <v>0</v>
          </cell>
          <cell r="L6841">
            <v>0</v>
          </cell>
        </row>
        <row r="6842">
          <cell r="C6842">
            <v>305327</v>
          </cell>
          <cell r="D6842" t="str">
            <v>San Francisco High School</v>
          </cell>
          <cell r="E6842">
            <v>0</v>
          </cell>
          <cell r="F6842">
            <v>0</v>
          </cell>
          <cell r="G6842">
            <v>0</v>
          </cell>
          <cell r="H6842">
            <v>0</v>
          </cell>
          <cell r="I6842">
            <v>0</v>
          </cell>
          <cell r="J6842">
            <v>0</v>
          </cell>
          <cell r="K6842">
            <v>0</v>
          </cell>
          <cell r="L6842">
            <v>0</v>
          </cell>
        </row>
        <row r="6843">
          <cell r="C6843">
            <v>305329</v>
          </cell>
          <cell r="D6843" t="str">
            <v>Quezon City Science HS</v>
          </cell>
          <cell r="E6843">
            <v>0</v>
          </cell>
          <cell r="F6843">
            <v>0</v>
          </cell>
          <cell r="G6843">
            <v>0</v>
          </cell>
          <cell r="H6843">
            <v>0</v>
          </cell>
          <cell r="I6843">
            <v>13</v>
          </cell>
          <cell r="J6843">
            <v>11</v>
          </cell>
          <cell r="K6843">
            <v>0</v>
          </cell>
          <cell r="L6843">
            <v>0</v>
          </cell>
        </row>
        <row r="6844">
          <cell r="C6844">
            <v>305330</v>
          </cell>
          <cell r="D6844" t="str">
            <v>Batasan Hills National HS</v>
          </cell>
          <cell r="E6844">
            <v>0</v>
          </cell>
          <cell r="F6844">
            <v>0</v>
          </cell>
          <cell r="G6844">
            <v>0</v>
          </cell>
          <cell r="H6844">
            <v>0</v>
          </cell>
          <cell r="I6844">
            <v>0</v>
          </cell>
          <cell r="J6844">
            <v>0</v>
          </cell>
          <cell r="K6844">
            <v>0</v>
          </cell>
          <cell r="L6844">
            <v>0</v>
          </cell>
        </row>
        <row r="6845">
          <cell r="C6845">
            <v>305331</v>
          </cell>
          <cell r="D6845" t="str">
            <v>Commonwealth HS</v>
          </cell>
          <cell r="E6845">
            <v>0</v>
          </cell>
          <cell r="F6845">
            <v>0</v>
          </cell>
          <cell r="G6845">
            <v>0</v>
          </cell>
          <cell r="H6845">
            <v>0</v>
          </cell>
          <cell r="I6845">
            <v>0</v>
          </cell>
          <cell r="J6845">
            <v>0</v>
          </cell>
          <cell r="K6845">
            <v>0</v>
          </cell>
          <cell r="L6845">
            <v>0</v>
          </cell>
        </row>
        <row r="6846">
          <cell r="C6846">
            <v>305333</v>
          </cell>
          <cell r="D6846" t="str">
            <v>Culiat High School</v>
          </cell>
          <cell r="E6846">
            <v>0</v>
          </cell>
          <cell r="F6846">
            <v>0</v>
          </cell>
          <cell r="G6846">
            <v>0</v>
          </cell>
          <cell r="H6846">
            <v>0</v>
          </cell>
          <cell r="I6846">
            <v>0</v>
          </cell>
          <cell r="J6846">
            <v>0</v>
          </cell>
          <cell r="K6846">
            <v>0</v>
          </cell>
          <cell r="L6846">
            <v>0</v>
          </cell>
        </row>
        <row r="6847">
          <cell r="C6847">
            <v>305335</v>
          </cell>
          <cell r="D6847" t="str">
            <v>Ismael Mathay Sr. High School</v>
          </cell>
          <cell r="E6847">
            <v>0</v>
          </cell>
          <cell r="F6847">
            <v>0</v>
          </cell>
          <cell r="G6847">
            <v>0</v>
          </cell>
          <cell r="H6847">
            <v>0</v>
          </cell>
          <cell r="I6847">
            <v>0</v>
          </cell>
          <cell r="J6847">
            <v>0</v>
          </cell>
          <cell r="K6847">
            <v>0</v>
          </cell>
          <cell r="L6847">
            <v>0</v>
          </cell>
        </row>
        <row r="6848">
          <cell r="C6848">
            <v>305336</v>
          </cell>
          <cell r="D6848" t="str">
            <v>Lagro HS</v>
          </cell>
          <cell r="E6848">
            <v>0</v>
          </cell>
          <cell r="F6848">
            <v>0</v>
          </cell>
          <cell r="G6848">
            <v>2</v>
          </cell>
          <cell r="H6848">
            <v>0</v>
          </cell>
          <cell r="I6848">
            <v>2</v>
          </cell>
          <cell r="J6848">
            <v>2</v>
          </cell>
          <cell r="K6848">
            <v>2</v>
          </cell>
          <cell r="L6848">
            <v>2</v>
          </cell>
        </row>
        <row r="6849">
          <cell r="C6849">
            <v>305339</v>
          </cell>
          <cell r="D6849" t="str">
            <v>North Fairview HS</v>
          </cell>
          <cell r="E6849">
            <v>0</v>
          </cell>
          <cell r="F6849">
            <v>0</v>
          </cell>
          <cell r="G6849">
            <v>0</v>
          </cell>
          <cell r="H6849">
            <v>0</v>
          </cell>
          <cell r="I6849">
            <v>0</v>
          </cell>
          <cell r="J6849">
            <v>0</v>
          </cell>
          <cell r="K6849">
            <v>0</v>
          </cell>
          <cell r="L6849">
            <v>0</v>
          </cell>
        </row>
        <row r="6850">
          <cell r="C6850">
            <v>305340</v>
          </cell>
          <cell r="D6850" t="str">
            <v>Novaliches HS</v>
          </cell>
          <cell r="E6850">
            <v>0</v>
          </cell>
          <cell r="F6850">
            <v>0</v>
          </cell>
          <cell r="G6850">
            <v>0</v>
          </cell>
          <cell r="H6850">
            <v>0</v>
          </cell>
          <cell r="I6850">
            <v>7</v>
          </cell>
          <cell r="J6850">
            <v>17</v>
          </cell>
          <cell r="K6850">
            <v>0</v>
          </cell>
          <cell r="L6850">
            <v>0</v>
          </cell>
        </row>
        <row r="6851">
          <cell r="C6851">
            <v>305343</v>
          </cell>
          <cell r="D6851" t="str">
            <v>New Era High School</v>
          </cell>
          <cell r="E6851">
            <v>0</v>
          </cell>
          <cell r="F6851">
            <v>0</v>
          </cell>
          <cell r="G6851">
            <v>0</v>
          </cell>
          <cell r="H6851">
            <v>0</v>
          </cell>
          <cell r="I6851">
            <v>0</v>
          </cell>
          <cell r="J6851">
            <v>0</v>
          </cell>
          <cell r="K6851">
            <v>0</v>
          </cell>
          <cell r="L6851">
            <v>0</v>
          </cell>
        </row>
        <row r="6852">
          <cell r="C6852">
            <v>305345</v>
          </cell>
          <cell r="D6852" t="str">
            <v>Balara HS</v>
          </cell>
          <cell r="E6852">
            <v>0</v>
          </cell>
          <cell r="F6852">
            <v>0</v>
          </cell>
          <cell r="G6852">
            <v>0</v>
          </cell>
          <cell r="H6852">
            <v>0</v>
          </cell>
          <cell r="I6852">
            <v>0</v>
          </cell>
          <cell r="J6852">
            <v>0</v>
          </cell>
          <cell r="K6852">
            <v>0</v>
          </cell>
          <cell r="L6852">
            <v>0</v>
          </cell>
        </row>
        <row r="6853">
          <cell r="C6853">
            <v>305346</v>
          </cell>
          <cell r="D6853" t="str">
            <v>Camp Gen. E. Aguinaldo HS</v>
          </cell>
          <cell r="E6853">
            <v>0</v>
          </cell>
          <cell r="F6853">
            <v>0</v>
          </cell>
          <cell r="G6853">
            <v>0</v>
          </cell>
          <cell r="H6853">
            <v>0</v>
          </cell>
          <cell r="I6853">
            <v>5</v>
          </cell>
          <cell r="J6853">
            <v>6</v>
          </cell>
          <cell r="K6853">
            <v>5</v>
          </cell>
          <cell r="L6853">
            <v>6</v>
          </cell>
        </row>
        <row r="6854">
          <cell r="C6854">
            <v>305350</v>
          </cell>
          <cell r="D6854" t="str">
            <v>Quirino HS</v>
          </cell>
          <cell r="E6854">
            <v>0</v>
          </cell>
          <cell r="F6854">
            <v>0</v>
          </cell>
          <cell r="G6854">
            <v>0</v>
          </cell>
          <cell r="H6854">
            <v>0</v>
          </cell>
          <cell r="I6854">
            <v>0</v>
          </cell>
          <cell r="J6854">
            <v>0</v>
          </cell>
          <cell r="K6854">
            <v>0</v>
          </cell>
          <cell r="L6854">
            <v>0</v>
          </cell>
        </row>
        <row r="6855">
          <cell r="C6855">
            <v>305352</v>
          </cell>
          <cell r="D6855" t="str">
            <v>Juan Sumulong High School</v>
          </cell>
          <cell r="E6855">
            <v>0</v>
          </cell>
          <cell r="F6855">
            <v>0</v>
          </cell>
          <cell r="G6855">
            <v>0</v>
          </cell>
          <cell r="H6855">
            <v>0</v>
          </cell>
          <cell r="I6855">
            <v>0</v>
          </cell>
          <cell r="J6855">
            <v>0</v>
          </cell>
          <cell r="K6855">
            <v>0</v>
          </cell>
          <cell r="L6855">
            <v>0</v>
          </cell>
        </row>
        <row r="6856">
          <cell r="C6856">
            <v>305353</v>
          </cell>
          <cell r="D6856" t="str">
            <v>Krus na Ligas HS</v>
          </cell>
          <cell r="E6856">
            <v>0</v>
          </cell>
          <cell r="F6856">
            <v>0</v>
          </cell>
          <cell r="G6856">
            <v>0</v>
          </cell>
          <cell r="H6856">
            <v>0</v>
          </cell>
          <cell r="I6856">
            <v>0</v>
          </cell>
          <cell r="J6856">
            <v>0</v>
          </cell>
          <cell r="K6856">
            <v>0</v>
          </cell>
          <cell r="L6856">
            <v>0</v>
          </cell>
        </row>
        <row r="6857">
          <cell r="C6857">
            <v>305354</v>
          </cell>
          <cell r="D6857" t="str">
            <v>Flora A. Ylagan HS</v>
          </cell>
          <cell r="E6857">
            <v>0</v>
          </cell>
          <cell r="F6857">
            <v>0</v>
          </cell>
          <cell r="G6857">
            <v>0</v>
          </cell>
          <cell r="H6857">
            <v>0</v>
          </cell>
          <cell r="I6857">
            <v>0</v>
          </cell>
          <cell r="J6857">
            <v>0</v>
          </cell>
          <cell r="K6857">
            <v>0</v>
          </cell>
          <cell r="L6857">
            <v>0</v>
          </cell>
        </row>
        <row r="6858">
          <cell r="C6858">
            <v>305355</v>
          </cell>
          <cell r="D6858" t="str">
            <v>Carlos L. Albert HS</v>
          </cell>
          <cell r="E6858">
            <v>0</v>
          </cell>
          <cell r="F6858">
            <v>0</v>
          </cell>
          <cell r="G6858">
            <v>0</v>
          </cell>
          <cell r="H6858">
            <v>0</v>
          </cell>
          <cell r="I6858">
            <v>0</v>
          </cell>
          <cell r="J6858">
            <v>0</v>
          </cell>
          <cell r="K6858">
            <v>0</v>
          </cell>
          <cell r="L6858">
            <v>0</v>
          </cell>
        </row>
        <row r="6859">
          <cell r="C6859">
            <v>305358</v>
          </cell>
          <cell r="D6859" t="str">
            <v>Ramon Magsaysay (Cubao) HS</v>
          </cell>
          <cell r="E6859">
            <v>0</v>
          </cell>
          <cell r="F6859">
            <v>0</v>
          </cell>
          <cell r="G6859">
            <v>0</v>
          </cell>
          <cell r="H6859">
            <v>0</v>
          </cell>
          <cell r="I6859">
            <v>8</v>
          </cell>
          <cell r="J6859">
            <v>5</v>
          </cell>
          <cell r="K6859">
            <v>1</v>
          </cell>
          <cell r="L6859">
            <v>0</v>
          </cell>
        </row>
        <row r="6860">
          <cell r="C6860">
            <v>305359</v>
          </cell>
          <cell r="D6860" t="str">
            <v>Quezon City High School</v>
          </cell>
          <cell r="E6860">
            <v>0</v>
          </cell>
          <cell r="F6860">
            <v>0</v>
          </cell>
          <cell r="G6860">
            <v>0</v>
          </cell>
          <cell r="H6860">
            <v>0</v>
          </cell>
          <cell r="I6860">
            <v>29</v>
          </cell>
          <cell r="J6860">
            <v>90</v>
          </cell>
          <cell r="K6860">
            <v>29</v>
          </cell>
          <cell r="L6860">
            <v>90</v>
          </cell>
        </row>
        <row r="6861">
          <cell r="C6861">
            <v>305360</v>
          </cell>
          <cell r="D6861" t="str">
            <v>Don Alejandro Roces, Sr. Sci. &amp; Tech. HS</v>
          </cell>
          <cell r="E6861">
            <v>0</v>
          </cell>
          <cell r="F6861">
            <v>0</v>
          </cell>
          <cell r="G6861">
            <v>0</v>
          </cell>
          <cell r="H6861">
            <v>0</v>
          </cell>
          <cell r="I6861">
            <v>10</v>
          </cell>
          <cell r="J6861">
            <v>4</v>
          </cell>
          <cell r="K6861">
            <v>0</v>
          </cell>
          <cell r="L6861">
            <v>0</v>
          </cell>
        </row>
        <row r="6862">
          <cell r="C6862">
            <v>305361</v>
          </cell>
          <cell r="D6862" t="str">
            <v>Manuel A. Roxas HS</v>
          </cell>
          <cell r="E6862">
            <v>0</v>
          </cell>
          <cell r="F6862">
            <v>0</v>
          </cell>
          <cell r="G6862">
            <v>0</v>
          </cell>
          <cell r="H6862">
            <v>0</v>
          </cell>
          <cell r="I6862">
            <v>0</v>
          </cell>
          <cell r="J6862">
            <v>0</v>
          </cell>
          <cell r="K6862">
            <v>0</v>
          </cell>
          <cell r="L6862">
            <v>0</v>
          </cell>
        </row>
        <row r="6863">
          <cell r="C6863">
            <v>305362</v>
          </cell>
          <cell r="D6863" t="str">
            <v>Dr. Josefa Jara Martinez HS</v>
          </cell>
          <cell r="E6863">
            <v>0</v>
          </cell>
          <cell r="F6863">
            <v>0</v>
          </cell>
          <cell r="G6863">
            <v>0</v>
          </cell>
          <cell r="H6863">
            <v>0</v>
          </cell>
          <cell r="I6863">
            <v>0</v>
          </cell>
          <cell r="J6863">
            <v>0</v>
          </cell>
          <cell r="K6863">
            <v>0</v>
          </cell>
          <cell r="L6863">
            <v>0</v>
          </cell>
        </row>
        <row r="6864">
          <cell r="C6864">
            <v>305591</v>
          </cell>
          <cell r="D6864" t="str">
            <v>Vito L. Belarmino Senior High School</v>
          </cell>
          <cell r="E6864">
            <v>0</v>
          </cell>
          <cell r="F6864">
            <v>0</v>
          </cell>
          <cell r="G6864">
            <v>0</v>
          </cell>
          <cell r="H6864">
            <v>0</v>
          </cell>
          <cell r="I6864">
            <v>0</v>
          </cell>
          <cell r="J6864">
            <v>0</v>
          </cell>
          <cell r="K6864">
            <v>0</v>
          </cell>
          <cell r="L6864">
            <v>0</v>
          </cell>
        </row>
        <row r="6865">
          <cell r="C6865">
            <v>305615</v>
          </cell>
          <cell r="D6865" t="str">
            <v>Justice Cecilia Muñoz Palma Senior High School</v>
          </cell>
          <cell r="E6865">
            <v>0</v>
          </cell>
          <cell r="F6865">
            <v>0</v>
          </cell>
          <cell r="G6865">
            <v>0</v>
          </cell>
          <cell r="H6865">
            <v>0</v>
          </cell>
          <cell r="I6865">
            <v>0</v>
          </cell>
          <cell r="J6865">
            <v>0</v>
          </cell>
          <cell r="K6865">
            <v>0</v>
          </cell>
          <cell r="L6865">
            <v>0</v>
          </cell>
        </row>
        <row r="6866">
          <cell r="C6866">
            <v>319501</v>
          </cell>
          <cell r="D6866" t="str">
            <v>Holy Spirit National High School</v>
          </cell>
          <cell r="E6866">
            <v>0</v>
          </cell>
          <cell r="F6866">
            <v>0</v>
          </cell>
          <cell r="G6866">
            <v>0</v>
          </cell>
          <cell r="H6866">
            <v>0</v>
          </cell>
          <cell r="I6866">
            <v>0</v>
          </cell>
          <cell r="J6866">
            <v>0</v>
          </cell>
          <cell r="K6866">
            <v>0</v>
          </cell>
          <cell r="L6866">
            <v>0</v>
          </cell>
        </row>
        <row r="6867">
          <cell r="C6867">
            <v>319505</v>
          </cell>
          <cell r="D6867" t="str">
            <v>Judge Feliciano Belmonte, Sr. HS</v>
          </cell>
          <cell r="E6867">
            <v>0</v>
          </cell>
          <cell r="F6867">
            <v>0</v>
          </cell>
          <cell r="G6867">
            <v>0</v>
          </cell>
          <cell r="H6867">
            <v>0</v>
          </cell>
          <cell r="I6867">
            <v>0</v>
          </cell>
          <cell r="J6867">
            <v>0</v>
          </cell>
          <cell r="K6867">
            <v>0</v>
          </cell>
          <cell r="L6867">
            <v>0</v>
          </cell>
        </row>
        <row r="6868">
          <cell r="C6868">
            <v>319506</v>
          </cell>
          <cell r="D6868" t="str">
            <v>National Orthopedic Hospital School for Crippled Children</v>
          </cell>
          <cell r="E6868">
            <v>0</v>
          </cell>
          <cell r="F6868">
            <v>0</v>
          </cell>
          <cell r="G6868">
            <v>0</v>
          </cell>
          <cell r="H6868">
            <v>0</v>
          </cell>
          <cell r="I6868">
            <v>0</v>
          </cell>
          <cell r="J6868">
            <v>0</v>
          </cell>
          <cell r="K6868">
            <v>0</v>
          </cell>
          <cell r="L6868">
            <v>0</v>
          </cell>
        </row>
        <row r="6869">
          <cell r="C6869">
            <v>330510</v>
          </cell>
          <cell r="D6869" t="str">
            <v>Philippine Science High School Main Campus - Metro Manila</v>
          </cell>
          <cell r="E6869">
            <v>0</v>
          </cell>
          <cell r="F6869">
            <v>0</v>
          </cell>
          <cell r="G6869">
            <v>0</v>
          </cell>
          <cell r="H6869">
            <v>0</v>
          </cell>
          <cell r="I6869">
            <v>0</v>
          </cell>
          <cell r="J6869">
            <v>0</v>
          </cell>
          <cell r="K6869">
            <v>0</v>
          </cell>
          <cell r="L6869">
            <v>0</v>
          </cell>
        </row>
        <row r="6870">
          <cell r="C6870">
            <v>340690</v>
          </cell>
          <cell r="D6870" t="str">
            <v>Sta. Lucia Senior High School</v>
          </cell>
          <cell r="E6870">
            <v>0</v>
          </cell>
          <cell r="F6870">
            <v>0</v>
          </cell>
          <cell r="G6870">
            <v>0</v>
          </cell>
          <cell r="H6870">
            <v>0</v>
          </cell>
          <cell r="I6870">
            <v>0</v>
          </cell>
          <cell r="J6870">
            <v>0</v>
          </cell>
          <cell r="K6870">
            <v>0</v>
          </cell>
          <cell r="L6870">
            <v>0</v>
          </cell>
        </row>
        <row r="6871">
          <cell r="C6871">
            <v>340694</v>
          </cell>
          <cell r="D6871" t="str">
            <v>SHS within E. Abada ES</v>
          </cell>
          <cell r="E6871">
            <v>0</v>
          </cell>
          <cell r="F6871">
            <v>0</v>
          </cell>
          <cell r="G6871">
            <v>0</v>
          </cell>
          <cell r="H6871">
            <v>0</v>
          </cell>
          <cell r="I6871">
            <v>0</v>
          </cell>
          <cell r="J6871">
            <v>0</v>
          </cell>
          <cell r="K6871">
            <v>0</v>
          </cell>
          <cell r="L6871">
            <v>0</v>
          </cell>
        </row>
        <row r="6872">
          <cell r="C6872">
            <v>340695</v>
          </cell>
          <cell r="D6872" t="str">
            <v>SHS within Kamuning ES - A&amp;D</v>
          </cell>
          <cell r="E6872">
            <v>0</v>
          </cell>
          <cell r="F6872">
            <v>0</v>
          </cell>
          <cell r="G6872">
            <v>0</v>
          </cell>
          <cell r="H6872">
            <v>0</v>
          </cell>
          <cell r="I6872">
            <v>0</v>
          </cell>
          <cell r="J6872">
            <v>0</v>
          </cell>
          <cell r="K6872">
            <v>0</v>
          </cell>
          <cell r="L6872">
            <v>0</v>
          </cell>
        </row>
        <row r="6873">
          <cell r="C6873">
            <v>340696</v>
          </cell>
          <cell r="D6873" t="str">
            <v>SHS within Pinyahan ES</v>
          </cell>
          <cell r="E6873">
            <v>0</v>
          </cell>
          <cell r="F6873">
            <v>0</v>
          </cell>
          <cell r="G6873">
            <v>0</v>
          </cell>
          <cell r="H6873">
            <v>0</v>
          </cell>
          <cell r="I6873">
            <v>0</v>
          </cell>
          <cell r="J6873">
            <v>0</v>
          </cell>
          <cell r="K6873">
            <v>0</v>
          </cell>
          <cell r="L6873">
            <v>0</v>
          </cell>
        </row>
        <row r="6874">
          <cell r="C6874">
            <v>340697</v>
          </cell>
          <cell r="D6874" t="str">
            <v>Jose Maria Panganiban Senior High School</v>
          </cell>
          <cell r="E6874">
            <v>0</v>
          </cell>
          <cell r="F6874">
            <v>0</v>
          </cell>
          <cell r="G6874">
            <v>0</v>
          </cell>
          <cell r="H6874">
            <v>0</v>
          </cell>
          <cell r="I6874">
            <v>0</v>
          </cell>
          <cell r="J6874">
            <v>0</v>
          </cell>
          <cell r="K6874">
            <v>0</v>
          </cell>
          <cell r="L6874">
            <v>0</v>
          </cell>
        </row>
        <row r="6875">
          <cell r="C6875">
            <v>340698</v>
          </cell>
          <cell r="D6875" t="str">
            <v>SHS within Toro Hills ES</v>
          </cell>
          <cell r="E6875">
            <v>0</v>
          </cell>
          <cell r="F6875">
            <v>0</v>
          </cell>
          <cell r="G6875">
            <v>0</v>
          </cell>
          <cell r="H6875">
            <v>0</v>
          </cell>
          <cell r="I6875">
            <v>0</v>
          </cell>
          <cell r="J6875">
            <v>0</v>
          </cell>
          <cell r="K6875">
            <v>0</v>
          </cell>
          <cell r="L6875">
            <v>0</v>
          </cell>
        </row>
        <row r="6876">
          <cell r="C6876">
            <v>360867</v>
          </cell>
          <cell r="D6876" t="str">
            <v>SHS in Kaligayahan (Rivera Property - bask of Kaligayahan ES)</v>
          </cell>
          <cell r="E6876">
            <v>0</v>
          </cell>
          <cell r="F6876">
            <v>0</v>
          </cell>
          <cell r="G6876">
            <v>0</v>
          </cell>
          <cell r="H6876">
            <v>0</v>
          </cell>
          <cell r="I6876">
            <v>0</v>
          </cell>
          <cell r="J6876">
            <v>0</v>
          </cell>
          <cell r="K6876">
            <v>0</v>
          </cell>
          <cell r="L6876">
            <v>0</v>
          </cell>
        </row>
        <row r="6877">
          <cell r="C6877">
            <v>360868</v>
          </cell>
          <cell r="D6877" t="str">
            <v>SHS within MH del Pilar ES</v>
          </cell>
          <cell r="E6877">
            <v>0</v>
          </cell>
          <cell r="F6877">
            <v>0</v>
          </cell>
          <cell r="G6877">
            <v>0</v>
          </cell>
          <cell r="H6877">
            <v>0</v>
          </cell>
          <cell r="I6877">
            <v>0</v>
          </cell>
          <cell r="J6877">
            <v>0</v>
          </cell>
          <cell r="K6877">
            <v>0</v>
          </cell>
          <cell r="L6877">
            <v>0</v>
          </cell>
        </row>
        <row r="6878">
          <cell r="C6878">
            <v>360869</v>
          </cell>
          <cell r="D6878" t="str">
            <v>SHS within Bagong Pag-asa ES</v>
          </cell>
          <cell r="E6878">
            <v>0</v>
          </cell>
          <cell r="F6878">
            <v>0</v>
          </cell>
          <cell r="G6878">
            <v>0</v>
          </cell>
          <cell r="H6878">
            <v>0</v>
          </cell>
          <cell r="I6878">
            <v>0</v>
          </cell>
          <cell r="J6878">
            <v>0</v>
          </cell>
          <cell r="K6878">
            <v>0</v>
          </cell>
          <cell r="L6878">
            <v>0</v>
          </cell>
        </row>
        <row r="6879">
          <cell r="C6879">
            <v>360870</v>
          </cell>
          <cell r="D6879" t="str">
            <v>SHS in Apolonio Samson</v>
          </cell>
          <cell r="E6879">
            <v>0</v>
          </cell>
          <cell r="F6879">
            <v>0</v>
          </cell>
          <cell r="G6879">
            <v>0</v>
          </cell>
          <cell r="H6879">
            <v>0</v>
          </cell>
          <cell r="I6879">
            <v>0</v>
          </cell>
          <cell r="J6879">
            <v>0</v>
          </cell>
          <cell r="K6879">
            <v>0</v>
          </cell>
          <cell r="L6879">
            <v>0</v>
          </cell>
        </row>
        <row r="6880">
          <cell r="C6880">
            <v>360871</v>
          </cell>
          <cell r="D6880" t="str">
            <v>SHS within P. Tuazon ES</v>
          </cell>
          <cell r="E6880">
            <v>0</v>
          </cell>
          <cell r="F6880">
            <v>0</v>
          </cell>
          <cell r="G6880">
            <v>0</v>
          </cell>
          <cell r="H6880">
            <v>0</v>
          </cell>
          <cell r="I6880">
            <v>0</v>
          </cell>
          <cell r="J6880">
            <v>0</v>
          </cell>
          <cell r="K6880">
            <v>0</v>
          </cell>
          <cell r="L6880">
            <v>0</v>
          </cell>
        </row>
        <row r="6881">
          <cell r="C6881">
            <v>305363</v>
          </cell>
          <cell r="D6881" t="str">
            <v>Pasay City North High School - Main, M. Dela Cruz Campus</v>
          </cell>
          <cell r="E6881">
            <v>0</v>
          </cell>
          <cell r="F6881">
            <v>0</v>
          </cell>
          <cell r="G6881">
            <v>0</v>
          </cell>
          <cell r="H6881">
            <v>0</v>
          </cell>
          <cell r="I6881">
            <v>0</v>
          </cell>
          <cell r="J6881">
            <v>0</v>
          </cell>
          <cell r="K6881">
            <v>0</v>
          </cell>
          <cell r="L6881">
            <v>0</v>
          </cell>
        </row>
        <row r="6882">
          <cell r="C6882">
            <v>305364</v>
          </cell>
          <cell r="D6882" t="str">
            <v>Pasay City North HS - Tramo Campus</v>
          </cell>
          <cell r="E6882">
            <v>0</v>
          </cell>
          <cell r="F6882">
            <v>0</v>
          </cell>
          <cell r="G6882">
            <v>0</v>
          </cell>
          <cell r="H6882">
            <v>0</v>
          </cell>
          <cell r="I6882">
            <v>0</v>
          </cell>
          <cell r="J6882">
            <v>0</v>
          </cell>
          <cell r="K6882">
            <v>0</v>
          </cell>
          <cell r="L6882">
            <v>0</v>
          </cell>
        </row>
        <row r="6883">
          <cell r="C6883">
            <v>305367</v>
          </cell>
          <cell r="D6883" t="str">
            <v>Pasay City East HS</v>
          </cell>
          <cell r="E6883">
            <v>0</v>
          </cell>
          <cell r="F6883">
            <v>0</v>
          </cell>
          <cell r="G6883">
            <v>0</v>
          </cell>
          <cell r="H6883">
            <v>0</v>
          </cell>
          <cell r="I6883">
            <v>0</v>
          </cell>
          <cell r="J6883">
            <v>0</v>
          </cell>
          <cell r="K6883">
            <v>0</v>
          </cell>
          <cell r="L6883">
            <v>0</v>
          </cell>
        </row>
        <row r="6884">
          <cell r="C6884">
            <v>305368</v>
          </cell>
          <cell r="D6884" t="str">
            <v>Pasay City West HS</v>
          </cell>
          <cell r="E6884">
            <v>0</v>
          </cell>
          <cell r="F6884">
            <v>0</v>
          </cell>
          <cell r="G6884">
            <v>0</v>
          </cell>
          <cell r="H6884">
            <v>0</v>
          </cell>
          <cell r="I6884">
            <v>0</v>
          </cell>
          <cell r="J6884">
            <v>0</v>
          </cell>
          <cell r="K6884">
            <v>0</v>
          </cell>
          <cell r="L6884">
            <v>0</v>
          </cell>
        </row>
        <row r="6885">
          <cell r="C6885">
            <v>305369</v>
          </cell>
          <cell r="D6885" t="str">
            <v>Pasay City Science High School</v>
          </cell>
          <cell r="E6885">
            <v>0</v>
          </cell>
          <cell r="F6885">
            <v>0</v>
          </cell>
          <cell r="G6885">
            <v>0</v>
          </cell>
          <cell r="H6885">
            <v>0</v>
          </cell>
          <cell r="I6885">
            <v>3</v>
          </cell>
          <cell r="J6885">
            <v>5</v>
          </cell>
          <cell r="K6885">
            <v>0</v>
          </cell>
          <cell r="L6885">
            <v>0</v>
          </cell>
        </row>
        <row r="6886">
          <cell r="C6886">
            <v>305370</v>
          </cell>
          <cell r="D6886" t="str">
            <v>Pasay City South High School</v>
          </cell>
          <cell r="E6886">
            <v>0</v>
          </cell>
          <cell r="F6886">
            <v>0</v>
          </cell>
          <cell r="G6886">
            <v>0</v>
          </cell>
          <cell r="H6886">
            <v>0</v>
          </cell>
          <cell r="I6886">
            <v>0</v>
          </cell>
          <cell r="J6886">
            <v>0</v>
          </cell>
          <cell r="K6886">
            <v>0</v>
          </cell>
          <cell r="L6886">
            <v>0</v>
          </cell>
        </row>
        <row r="6887">
          <cell r="C6887">
            <v>319601</v>
          </cell>
          <cell r="D6887" t="str">
            <v>Kalayaan NHS</v>
          </cell>
          <cell r="E6887">
            <v>0</v>
          </cell>
          <cell r="F6887">
            <v>0</v>
          </cell>
          <cell r="G6887">
            <v>0</v>
          </cell>
          <cell r="H6887">
            <v>0</v>
          </cell>
          <cell r="I6887">
            <v>10</v>
          </cell>
          <cell r="J6887">
            <v>13</v>
          </cell>
          <cell r="K6887">
            <v>0</v>
          </cell>
          <cell r="L6887">
            <v>0</v>
          </cell>
        </row>
        <row r="6888">
          <cell r="C6888">
            <v>319604</v>
          </cell>
          <cell r="D6888" t="str">
            <v>President Corazon C. Aquino National High School</v>
          </cell>
          <cell r="E6888">
            <v>0</v>
          </cell>
          <cell r="F6888">
            <v>0</v>
          </cell>
          <cell r="G6888">
            <v>0</v>
          </cell>
          <cell r="H6888">
            <v>0</v>
          </cell>
          <cell r="I6888">
            <v>0</v>
          </cell>
          <cell r="J6888">
            <v>0</v>
          </cell>
          <cell r="K6888">
            <v>0</v>
          </cell>
          <cell r="L6888">
            <v>0</v>
          </cell>
        </row>
        <row r="6889">
          <cell r="C6889">
            <v>500328</v>
          </cell>
          <cell r="D6889" t="str">
            <v>Philippine National School for the Blind</v>
          </cell>
          <cell r="E6889">
            <v>0</v>
          </cell>
          <cell r="F6889">
            <v>0</v>
          </cell>
          <cell r="G6889">
            <v>0</v>
          </cell>
          <cell r="H6889">
            <v>0</v>
          </cell>
          <cell r="I6889">
            <v>0</v>
          </cell>
          <cell r="J6889">
            <v>0</v>
          </cell>
          <cell r="K6889">
            <v>0</v>
          </cell>
          <cell r="L6889">
            <v>0</v>
          </cell>
        </row>
        <row r="6890">
          <cell r="C6890">
            <v>500329</v>
          </cell>
          <cell r="D6890" t="str">
            <v>Philippine School for the Deaf</v>
          </cell>
          <cell r="E6890">
            <v>0</v>
          </cell>
          <cell r="F6890">
            <v>0</v>
          </cell>
          <cell r="G6890">
            <v>0</v>
          </cell>
          <cell r="H6890">
            <v>0</v>
          </cell>
          <cell r="I6890">
            <v>2</v>
          </cell>
          <cell r="J6890">
            <v>2</v>
          </cell>
          <cell r="K6890">
            <v>2</v>
          </cell>
          <cell r="L6890">
            <v>2</v>
          </cell>
        </row>
        <row r="6891">
          <cell r="C6891">
            <v>305375</v>
          </cell>
          <cell r="D6891" t="str">
            <v>Cielito Zamora Senior High School</v>
          </cell>
          <cell r="E6891">
            <v>0</v>
          </cell>
          <cell r="F6891">
            <v>0</v>
          </cell>
          <cell r="G6891">
            <v>0</v>
          </cell>
          <cell r="H6891">
            <v>0</v>
          </cell>
          <cell r="I6891">
            <v>14</v>
          </cell>
          <cell r="J6891">
            <v>23</v>
          </cell>
          <cell r="K6891">
            <v>0</v>
          </cell>
          <cell r="L6891">
            <v>0</v>
          </cell>
        </row>
        <row r="6892">
          <cell r="C6892">
            <v>305376</v>
          </cell>
          <cell r="D6892" t="str">
            <v>Amparo High School</v>
          </cell>
          <cell r="E6892">
            <v>0</v>
          </cell>
          <cell r="F6892">
            <v>0</v>
          </cell>
          <cell r="G6892">
            <v>0</v>
          </cell>
          <cell r="H6892">
            <v>0</v>
          </cell>
          <cell r="I6892">
            <v>0</v>
          </cell>
          <cell r="J6892">
            <v>0</v>
          </cell>
          <cell r="K6892">
            <v>0</v>
          </cell>
          <cell r="L6892">
            <v>0</v>
          </cell>
        </row>
        <row r="6893">
          <cell r="C6893">
            <v>305378</v>
          </cell>
          <cell r="D6893" t="str">
            <v>NHC HS</v>
          </cell>
          <cell r="E6893">
            <v>0</v>
          </cell>
          <cell r="F6893">
            <v>0</v>
          </cell>
          <cell r="G6893">
            <v>0</v>
          </cell>
          <cell r="H6893">
            <v>0</v>
          </cell>
          <cell r="I6893">
            <v>3</v>
          </cell>
          <cell r="J6893">
            <v>10</v>
          </cell>
          <cell r="K6893">
            <v>0</v>
          </cell>
          <cell r="L6893">
            <v>0</v>
          </cell>
        </row>
        <row r="6894">
          <cell r="C6894">
            <v>305380</v>
          </cell>
          <cell r="D6894" t="str">
            <v>Tala High School</v>
          </cell>
          <cell r="E6894">
            <v>0</v>
          </cell>
          <cell r="F6894">
            <v>0</v>
          </cell>
          <cell r="G6894">
            <v>0</v>
          </cell>
          <cell r="H6894">
            <v>0</v>
          </cell>
          <cell r="I6894">
            <v>0</v>
          </cell>
          <cell r="J6894">
            <v>0</v>
          </cell>
          <cell r="K6894">
            <v>0</v>
          </cell>
          <cell r="L6894">
            <v>0</v>
          </cell>
        </row>
        <row r="6895">
          <cell r="C6895">
            <v>305381</v>
          </cell>
          <cell r="D6895" t="str">
            <v>Bagong Silang HS</v>
          </cell>
          <cell r="E6895">
            <v>0</v>
          </cell>
          <cell r="F6895">
            <v>0</v>
          </cell>
          <cell r="G6895">
            <v>0</v>
          </cell>
          <cell r="H6895">
            <v>0</v>
          </cell>
          <cell r="I6895">
            <v>0</v>
          </cell>
          <cell r="J6895">
            <v>0</v>
          </cell>
          <cell r="K6895">
            <v>0</v>
          </cell>
          <cell r="L6895">
            <v>0</v>
          </cell>
        </row>
        <row r="6896">
          <cell r="C6896">
            <v>305388</v>
          </cell>
          <cell r="D6896" t="str">
            <v>Caloocan HS</v>
          </cell>
          <cell r="E6896">
            <v>0</v>
          </cell>
          <cell r="F6896">
            <v>0</v>
          </cell>
          <cell r="G6896">
            <v>0</v>
          </cell>
          <cell r="H6896">
            <v>0</v>
          </cell>
          <cell r="I6896">
            <v>0</v>
          </cell>
          <cell r="J6896">
            <v>0</v>
          </cell>
          <cell r="K6896">
            <v>0</v>
          </cell>
          <cell r="L6896">
            <v>0</v>
          </cell>
        </row>
        <row r="6897">
          <cell r="C6897">
            <v>305389</v>
          </cell>
          <cell r="D6897" t="str">
            <v>Caloocan City Science HS</v>
          </cell>
          <cell r="E6897">
            <v>0</v>
          </cell>
          <cell r="F6897">
            <v>0</v>
          </cell>
          <cell r="G6897">
            <v>0</v>
          </cell>
          <cell r="H6897">
            <v>0</v>
          </cell>
          <cell r="I6897">
            <v>0</v>
          </cell>
          <cell r="J6897">
            <v>0</v>
          </cell>
          <cell r="K6897">
            <v>0</v>
          </cell>
          <cell r="L6897">
            <v>0</v>
          </cell>
        </row>
        <row r="6898">
          <cell r="C6898">
            <v>305392</v>
          </cell>
          <cell r="D6898" t="str">
            <v>M. B. Asistio Sr. HS Unit 1</v>
          </cell>
          <cell r="E6898">
            <v>0</v>
          </cell>
          <cell r="F6898">
            <v>0</v>
          </cell>
          <cell r="G6898">
            <v>0</v>
          </cell>
          <cell r="H6898">
            <v>0</v>
          </cell>
          <cell r="I6898">
            <v>0</v>
          </cell>
          <cell r="J6898">
            <v>0</v>
          </cell>
          <cell r="K6898">
            <v>0</v>
          </cell>
          <cell r="L6898">
            <v>0</v>
          </cell>
        </row>
        <row r="6899">
          <cell r="C6899">
            <v>305715</v>
          </cell>
          <cell r="D6899" t="str">
            <v>Vicente Malapitan (North Caloocan) Senior High School</v>
          </cell>
          <cell r="E6899">
            <v>0</v>
          </cell>
          <cell r="F6899">
            <v>0</v>
          </cell>
          <cell r="G6899">
            <v>0</v>
          </cell>
          <cell r="H6899">
            <v>0</v>
          </cell>
          <cell r="I6899">
            <v>0</v>
          </cell>
          <cell r="J6899">
            <v>0</v>
          </cell>
          <cell r="K6899">
            <v>0</v>
          </cell>
          <cell r="L6899">
            <v>0</v>
          </cell>
        </row>
        <row r="6900">
          <cell r="C6900">
            <v>305717</v>
          </cell>
          <cell r="D6900" t="str">
            <v>Brixton Senior High School</v>
          </cell>
          <cell r="E6900">
            <v>0</v>
          </cell>
          <cell r="F6900">
            <v>0</v>
          </cell>
          <cell r="G6900">
            <v>0</v>
          </cell>
          <cell r="H6900">
            <v>0</v>
          </cell>
          <cell r="I6900">
            <v>0</v>
          </cell>
          <cell r="J6900">
            <v>0</v>
          </cell>
          <cell r="K6900">
            <v>0</v>
          </cell>
          <cell r="L6900">
            <v>0</v>
          </cell>
        </row>
        <row r="6901">
          <cell r="C6901">
            <v>305724</v>
          </cell>
          <cell r="D6901" t="str">
            <v>Bagong Barrio Senior High School</v>
          </cell>
          <cell r="E6901">
            <v>0</v>
          </cell>
          <cell r="F6901">
            <v>0</v>
          </cell>
          <cell r="G6901">
            <v>0</v>
          </cell>
          <cell r="H6901">
            <v>0</v>
          </cell>
          <cell r="I6901">
            <v>0</v>
          </cell>
          <cell r="J6901">
            <v>0</v>
          </cell>
          <cell r="K6901">
            <v>0</v>
          </cell>
          <cell r="L6901">
            <v>0</v>
          </cell>
        </row>
        <row r="6902">
          <cell r="C6902">
            <v>305729</v>
          </cell>
          <cell r="D6902" t="str">
            <v>Samaria Senior High School</v>
          </cell>
          <cell r="E6902">
            <v>0</v>
          </cell>
          <cell r="F6902">
            <v>0</v>
          </cell>
          <cell r="G6902">
            <v>0</v>
          </cell>
          <cell r="H6902">
            <v>0</v>
          </cell>
          <cell r="I6902">
            <v>0</v>
          </cell>
          <cell r="J6902">
            <v>0</v>
          </cell>
          <cell r="K6902">
            <v>0</v>
          </cell>
          <cell r="L6902">
            <v>0</v>
          </cell>
        </row>
        <row r="6903">
          <cell r="C6903">
            <v>305748</v>
          </cell>
          <cell r="D6903" t="str">
            <v>Antonio Uy Tan Senior High School</v>
          </cell>
          <cell r="E6903">
            <v>0</v>
          </cell>
          <cell r="F6903">
            <v>0</v>
          </cell>
          <cell r="G6903">
            <v>0</v>
          </cell>
          <cell r="H6903">
            <v>0</v>
          </cell>
          <cell r="I6903">
            <v>0</v>
          </cell>
          <cell r="J6903">
            <v>0</v>
          </cell>
          <cell r="K6903">
            <v>0</v>
          </cell>
          <cell r="L6903">
            <v>0</v>
          </cell>
        </row>
        <row r="6904">
          <cell r="C6904">
            <v>319705</v>
          </cell>
          <cell r="D6904" t="str">
            <v>Maypajo High School</v>
          </cell>
          <cell r="E6904">
            <v>0</v>
          </cell>
          <cell r="F6904">
            <v>0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>
            <v>0</v>
          </cell>
        </row>
        <row r="6905">
          <cell r="C6905">
            <v>319707</v>
          </cell>
          <cell r="D6905" t="str">
            <v>Caloocan City Business High School</v>
          </cell>
          <cell r="E6905">
            <v>0</v>
          </cell>
          <cell r="F6905">
            <v>0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>
            <v>0</v>
          </cell>
        </row>
        <row r="6906">
          <cell r="C6906">
            <v>319708</v>
          </cell>
          <cell r="D6906" t="str">
            <v>Horacio Dela Costa High School</v>
          </cell>
          <cell r="E6906">
            <v>0</v>
          </cell>
          <cell r="F6906">
            <v>0</v>
          </cell>
          <cell r="G6906">
            <v>0</v>
          </cell>
          <cell r="H6906">
            <v>0</v>
          </cell>
          <cell r="I6906">
            <v>0</v>
          </cell>
          <cell r="J6906">
            <v>0</v>
          </cell>
          <cell r="K6906">
            <v>0</v>
          </cell>
          <cell r="L6906">
            <v>0</v>
          </cell>
        </row>
        <row r="6907">
          <cell r="C6907">
            <v>319711</v>
          </cell>
          <cell r="D6907" t="str">
            <v>Caloocan National Science and Technology High School</v>
          </cell>
          <cell r="E6907">
            <v>0</v>
          </cell>
          <cell r="F6907">
            <v>0</v>
          </cell>
          <cell r="G6907">
            <v>0</v>
          </cell>
          <cell r="H6907">
            <v>0</v>
          </cell>
          <cell r="I6907">
            <v>0</v>
          </cell>
          <cell r="J6907">
            <v>0</v>
          </cell>
          <cell r="K6907">
            <v>0</v>
          </cell>
          <cell r="L6907">
            <v>0</v>
          </cell>
        </row>
        <row r="6908">
          <cell r="C6908">
            <v>500330</v>
          </cell>
          <cell r="D6908" t="str">
            <v>Tandang Sora IS</v>
          </cell>
          <cell r="E6908">
            <v>0</v>
          </cell>
          <cell r="F6908">
            <v>0</v>
          </cell>
          <cell r="G6908">
            <v>0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>
            <v>0</v>
          </cell>
        </row>
        <row r="6909">
          <cell r="C6909">
            <v>305393</v>
          </cell>
          <cell r="D6909" t="str">
            <v>Mandaluyong High School</v>
          </cell>
          <cell r="E6909">
            <v>0</v>
          </cell>
          <cell r="F6909">
            <v>0</v>
          </cell>
          <cell r="G6909">
            <v>0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>
            <v>0</v>
          </cell>
        </row>
        <row r="6910">
          <cell r="C6910">
            <v>305394</v>
          </cell>
          <cell r="D6910" t="str">
            <v>Mataas na Paaralang Neptali A. Gonzales</v>
          </cell>
          <cell r="E6910">
            <v>0</v>
          </cell>
          <cell r="F6910">
            <v>0</v>
          </cell>
          <cell r="G6910">
            <v>0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</row>
        <row r="6911">
          <cell r="C6911">
            <v>305395</v>
          </cell>
          <cell r="D6911" t="str">
            <v>City of Mandaluyong Science HS</v>
          </cell>
          <cell r="E6911">
            <v>0</v>
          </cell>
          <cell r="F6911">
            <v>0</v>
          </cell>
          <cell r="G6911">
            <v>0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>
            <v>0</v>
          </cell>
        </row>
        <row r="6912">
          <cell r="C6912">
            <v>305396</v>
          </cell>
          <cell r="D6912" t="str">
            <v>Bonifacio Javier National High School</v>
          </cell>
          <cell r="E6912">
            <v>0</v>
          </cell>
          <cell r="F6912">
            <v>0</v>
          </cell>
          <cell r="G6912">
            <v>0</v>
          </cell>
          <cell r="H6912">
            <v>0</v>
          </cell>
          <cell r="I6912">
            <v>0</v>
          </cell>
          <cell r="J6912">
            <v>0</v>
          </cell>
          <cell r="K6912">
            <v>0</v>
          </cell>
          <cell r="L6912">
            <v>0</v>
          </cell>
        </row>
        <row r="6913">
          <cell r="C6913">
            <v>500051</v>
          </cell>
          <cell r="D6913" t="str">
            <v>Andres Bonifacio Integrated School</v>
          </cell>
          <cell r="E6913">
            <v>0</v>
          </cell>
          <cell r="F6913">
            <v>0</v>
          </cell>
          <cell r="G6913">
            <v>0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>
            <v>0</v>
          </cell>
        </row>
        <row r="6914">
          <cell r="C6914">
            <v>500331</v>
          </cell>
          <cell r="D6914" t="str">
            <v>Isaac Lopez Integrated School (Isaac Lopez ES)</v>
          </cell>
          <cell r="E6914">
            <v>0</v>
          </cell>
          <cell r="F6914">
            <v>0</v>
          </cell>
          <cell r="G6914">
            <v>0</v>
          </cell>
          <cell r="H6914">
            <v>0</v>
          </cell>
          <cell r="I6914">
            <v>0</v>
          </cell>
          <cell r="J6914">
            <v>0</v>
          </cell>
          <cell r="K6914">
            <v>0</v>
          </cell>
          <cell r="L6914">
            <v>0</v>
          </cell>
        </row>
        <row r="6915">
          <cell r="C6915">
            <v>500332</v>
          </cell>
          <cell r="D6915" t="str">
            <v>Highway Hills Integrated School</v>
          </cell>
          <cell r="E6915">
            <v>0</v>
          </cell>
          <cell r="F6915">
            <v>0</v>
          </cell>
          <cell r="G6915">
            <v>0</v>
          </cell>
          <cell r="H6915">
            <v>0</v>
          </cell>
          <cell r="I6915">
            <v>0</v>
          </cell>
          <cell r="J6915">
            <v>0</v>
          </cell>
          <cell r="K6915">
            <v>0</v>
          </cell>
          <cell r="L6915">
            <v>0</v>
          </cell>
        </row>
        <row r="6916">
          <cell r="C6916">
            <v>500333</v>
          </cell>
          <cell r="D6916" t="str">
            <v>Eulogio Rodriguez Integrated School</v>
          </cell>
          <cell r="E6916">
            <v>0</v>
          </cell>
          <cell r="F6916">
            <v>0</v>
          </cell>
          <cell r="G6916">
            <v>0</v>
          </cell>
          <cell r="H6916">
            <v>0</v>
          </cell>
          <cell r="I6916">
            <v>0</v>
          </cell>
          <cell r="J6916">
            <v>0</v>
          </cell>
          <cell r="K6916">
            <v>8</v>
          </cell>
          <cell r="L6916">
            <v>9</v>
          </cell>
        </row>
        <row r="6917">
          <cell r="C6917">
            <v>500334</v>
          </cell>
          <cell r="D6917" t="str">
            <v>Jose Fabella Memorial School</v>
          </cell>
          <cell r="E6917">
            <v>0</v>
          </cell>
          <cell r="F6917">
            <v>0</v>
          </cell>
          <cell r="G6917">
            <v>0</v>
          </cell>
          <cell r="H6917">
            <v>0</v>
          </cell>
          <cell r="I6917">
            <v>0</v>
          </cell>
          <cell r="J6917">
            <v>0</v>
          </cell>
          <cell r="K6917">
            <v>0</v>
          </cell>
          <cell r="L6917">
            <v>0</v>
          </cell>
        </row>
        <row r="6918">
          <cell r="C6918">
            <v>500335</v>
          </cell>
          <cell r="D6918" t="str">
            <v>Ilaya Barangka Integrated School</v>
          </cell>
          <cell r="E6918">
            <v>0</v>
          </cell>
          <cell r="F6918">
            <v>0</v>
          </cell>
          <cell r="G6918">
            <v>0</v>
          </cell>
          <cell r="H6918">
            <v>0</v>
          </cell>
          <cell r="I6918">
            <v>0</v>
          </cell>
          <cell r="J6918">
            <v>0</v>
          </cell>
          <cell r="K6918">
            <v>0</v>
          </cell>
          <cell r="L6918">
            <v>0</v>
          </cell>
        </row>
        <row r="6919">
          <cell r="C6919">
            <v>500336</v>
          </cell>
          <cell r="D6919" t="str">
            <v>Addition Hills Integrated School</v>
          </cell>
          <cell r="E6919">
            <v>0</v>
          </cell>
          <cell r="F6919">
            <v>0</v>
          </cell>
          <cell r="G6919">
            <v>0</v>
          </cell>
          <cell r="H6919">
            <v>0</v>
          </cell>
          <cell r="I6919">
            <v>6</v>
          </cell>
          <cell r="J6919">
            <v>10</v>
          </cell>
          <cell r="K6919">
            <v>0</v>
          </cell>
          <cell r="L6919">
            <v>0</v>
          </cell>
        </row>
        <row r="6920">
          <cell r="C6920">
            <v>305398</v>
          </cell>
          <cell r="D6920" t="str">
            <v>Marikina HS</v>
          </cell>
          <cell r="E6920">
            <v>0</v>
          </cell>
          <cell r="F6920">
            <v>0</v>
          </cell>
          <cell r="G6920">
            <v>0</v>
          </cell>
          <cell r="H6920">
            <v>0</v>
          </cell>
          <cell r="I6920">
            <v>15</v>
          </cell>
          <cell r="J6920">
            <v>32</v>
          </cell>
          <cell r="K6920">
            <v>15</v>
          </cell>
          <cell r="L6920">
            <v>32</v>
          </cell>
        </row>
        <row r="6921">
          <cell r="C6921">
            <v>305399</v>
          </cell>
          <cell r="D6921" t="str">
            <v>Tañong HS</v>
          </cell>
          <cell r="E6921">
            <v>0</v>
          </cell>
          <cell r="F6921">
            <v>0</v>
          </cell>
          <cell r="G6921">
            <v>0</v>
          </cell>
          <cell r="H6921">
            <v>0</v>
          </cell>
          <cell r="I6921">
            <v>0</v>
          </cell>
          <cell r="J6921">
            <v>0</v>
          </cell>
          <cell r="K6921">
            <v>0</v>
          </cell>
          <cell r="L6921">
            <v>0</v>
          </cell>
        </row>
        <row r="6922">
          <cell r="C6922">
            <v>305401</v>
          </cell>
          <cell r="D6922" t="str">
            <v>Marikina Science HS</v>
          </cell>
          <cell r="E6922">
            <v>0</v>
          </cell>
          <cell r="F6922">
            <v>0</v>
          </cell>
          <cell r="G6922">
            <v>0</v>
          </cell>
          <cell r="H6922">
            <v>0</v>
          </cell>
          <cell r="I6922">
            <v>4</v>
          </cell>
          <cell r="J6922">
            <v>5</v>
          </cell>
          <cell r="K6922">
            <v>4</v>
          </cell>
          <cell r="L6922">
            <v>5</v>
          </cell>
        </row>
        <row r="6923">
          <cell r="C6923">
            <v>305402</v>
          </cell>
          <cell r="D6923" t="str">
            <v>Malanday NHS</v>
          </cell>
          <cell r="E6923">
            <v>0</v>
          </cell>
          <cell r="F6923">
            <v>0</v>
          </cell>
          <cell r="G6923">
            <v>0</v>
          </cell>
          <cell r="H6923">
            <v>0</v>
          </cell>
          <cell r="I6923">
            <v>0</v>
          </cell>
          <cell r="J6923">
            <v>0</v>
          </cell>
          <cell r="K6923">
            <v>0</v>
          </cell>
          <cell r="L6923">
            <v>0</v>
          </cell>
        </row>
        <row r="6924">
          <cell r="C6924">
            <v>305404</v>
          </cell>
          <cell r="D6924" t="str">
            <v>Parang HS</v>
          </cell>
          <cell r="E6924">
            <v>0</v>
          </cell>
          <cell r="F6924">
            <v>0</v>
          </cell>
          <cell r="G6924">
            <v>0</v>
          </cell>
          <cell r="H6924">
            <v>0</v>
          </cell>
          <cell r="I6924">
            <v>0</v>
          </cell>
          <cell r="J6924">
            <v>0</v>
          </cell>
          <cell r="K6924">
            <v>0</v>
          </cell>
          <cell r="L6924">
            <v>0</v>
          </cell>
        </row>
        <row r="6925">
          <cell r="C6925">
            <v>305405</v>
          </cell>
          <cell r="D6925" t="str">
            <v>Sta. Elena HS</v>
          </cell>
          <cell r="E6925">
            <v>0</v>
          </cell>
          <cell r="F6925">
            <v>0</v>
          </cell>
          <cell r="G6925">
            <v>0</v>
          </cell>
          <cell r="H6925">
            <v>0</v>
          </cell>
          <cell r="I6925">
            <v>0</v>
          </cell>
          <cell r="J6925">
            <v>0</v>
          </cell>
          <cell r="K6925">
            <v>0</v>
          </cell>
          <cell r="L6925">
            <v>0</v>
          </cell>
        </row>
        <row r="6926">
          <cell r="C6926">
            <v>319901</v>
          </cell>
          <cell r="D6926" t="str">
            <v>Nangka HS</v>
          </cell>
          <cell r="E6926">
            <v>0</v>
          </cell>
          <cell r="F6926">
            <v>0</v>
          </cell>
          <cell r="G6926">
            <v>0</v>
          </cell>
          <cell r="H6926">
            <v>0</v>
          </cell>
          <cell r="I6926">
            <v>0</v>
          </cell>
          <cell r="J6926">
            <v>0</v>
          </cell>
          <cell r="K6926">
            <v>0</v>
          </cell>
          <cell r="L6926">
            <v>0</v>
          </cell>
        </row>
        <row r="6927">
          <cell r="C6927">
            <v>319902</v>
          </cell>
          <cell r="D6927" t="str">
            <v>Fortune High School</v>
          </cell>
          <cell r="E6927">
            <v>0</v>
          </cell>
          <cell r="F6927">
            <v>0</v>
          </cell>
          <cell r="G6927">
            <v>0</v>
          </cell>
          <cell r="H6927">
            <v>0</v>
          </cell>
          <cell r="I6927">
            <v>0</v>
          </cell>
          <cell r="J6927">
            <v>0</v>
          </cell>
          <cell r="K6927">
            <v>0</v>
          </cell>
          <cell r="L6927">
            <v>0</v>
          </cell>
        </row>
        <row r="6928">
          <cell r="C6928">
            <v>319903</v>
          </cell>
          <cell r="D6928" t="str">
            <v>Barangka NHS</v>
          </cell>
          <cell r="E6928">
            <v>0</v>
          </cell>
          <cell r="F6928">
            <v>0</v>
          </cell>
          <cell r="G6928">
            <v>0</v>
          </cell>
          <cell r="H6928">
            <v>0</v>
          </cell>
          <cell r="I6928">
            <v>0</v>
          </cell>
          <cell r="J6928">
            <v>0</v>
          </cell>
          <cell r="K6928">
            <v>0</v>
          </cell>
          <cell r="L6928">
            <v>0</v>
          </cell>
        </row>
        <row r="6929">
          <cell r="C6929">
            <v>319904</v>
          </cell>
          <cell r="D6929" t="str">
            <v>Kalumpang National High School</v>
          </cell>
          <cell r="E6929">
            <v>0</v>
          </cell>
          <cell r="F6929">
            <v>0</v>
          </cell>
          <cell r="G6929">
            <v>0</v>
          </cell>
          <cell r="H6929">
            <v>0</v>
          </cell>
          <cell r="I6929">
            <v>0</v>
          </cell>
          <cell r="J6929">
            <v>0</v>
          </cell>
          <cell r="K6929">
            <v>0</v>
          </cell>
          <cell r="L6929">
            <v>0</v>
          </cell>
        </row>
        <row r="6930">
          <cell r="C6930">
            <v>319905</v>
          </cell>
          <cell r="D6930" t="str">
            <v>San Roque National High School</v>
          </cell>
          <cell r="E6930">
            <v>0</v>
          </cell>
          <cell r="F6930">
            <v>0</v>
          </cell>
          <cell r="G6930">
            <v>0</v>
          </cell>
          <cell r="H6930">
            <v>0</v>
          </cell>
          <cell r="I6930">
            <v>0</v>
          </cell>
          <cell r="J6930">
            <v>0</v>
          </cell>
          <cell r="K6930">
            <v>0</v>
          </cell>
          <cell r="L6930">
            <v>0</v>
          </cell>
        </row>
        <row r="6931">
          <cell r="C6931">
            <v>319906</v>
          </cell>
          <cell r="D6931" t="str">
            <v>Sto. Nino National High School</v>
          </cell>
          <cell r="E6931">
            <v>0</v>
          </cell>
          <cell r="F6931">
            <v>0</v>
          </cell>
          <cell r="G6931">
            <v>0</v>
          </cell>
          <cell r="H6931">
            <v>0</v>
          </cell>
          <cell r="I6931">
            <v>0</v>
          </cell>
          <cell r="J6931">
            <v>0</v>
          </cell>
          <cell r="K6931">
            <v>0</v>
          </cell>
          <cell r="L6931">
            <v>0</v>
          </cell>
        </row>
        <row r="6932">
          <cell r="C6932">
            <v>319907</v>
          </cell>
          <cell r="D6932" t="str">
            <v>Jesus Dela Peña National High School</v>
          </cell>
          <cell r="E6932">
            <v>0</v>
          </cell>
          <cell r="F6932">
            <v>0</v>
          </cell>
          <cell r="G6932">
            <v>0</v>
          </cell>
          <cell r="H6932">
            <v>0</v>
          </cell>
          <cell r="I6932">
            <v>0</v>
          </cell>
          <cell r="J6932">
            <v>0</v>
          </cell>
          <cell r="K6932">
            <v>0</v>
          </cell>
          <cell r="L6932">
            <v>0</v>
          </cell>
        </row>
        <row r="6933">
          <cell r="C6933">
            <v>500052</v>
          </cell>
          <cell r="D6933" t="str">
            <v>Concepcion Integrated School</v>
          </cell>
          <cell r="E6933">
            <v>0</v>
          </cell>
          <cell r="F6933">
            <v>0</v>
          </cell>
          <cell r="G6933">
            <v>0</v>
          </cell>
          <cell r="H6933">
            <v>0</v>
          </cell>
          <cell r="I6933">
            <v>0</v>
          </cell>
          <cell r="J6933">
            <v>0</v>
          </cell>
          <cell r="K6933">
            <v>0</v>
          </cell>
          <cell r="L6933">
            <v>0</v>
          </cell>
        </row>
        <row r="6934">
          <cell r="C6934">
            <v>305406</v>
          </cell>
          <cell r="D6934" t="str">
            <v>Makati High School</v>
          </cell>
          <cell r="E6934">
            <v>0</v>
          </cell>
          <cell r="F6934">
            <v>0</v>
          </cell>
          <cell r="G6934">
            <v>0</v>
          </cell>
          <cell r="H6934">
            <v>0</v>
          </cell>
          <cell r="I6934">
            <v>0</v>
          </cell>
          <cell r="J6934">
            <v>0</v>
          </cell>
          <cell r="K6934">
            <v>0</v>
          </cell>
          <cell r="L6934">
            <v>0</v>
          </cell>
        </row>
        <row r="6935">
          <cell r="C6935">
            <v>305410</v>
          </cell>
          <cell r="D6935" t="str">
            <v>Makati West HS (Makati Science HS)</v>
          </cell>
          <cell r="E6935">
            <v>0</v>
          </cell>
          <cell r="F6935">
            <v>0</v>
          </cell>
          <cell r="G6935">
            <v>0</v>
          </cell>
          <cell r="H6935">
            <v>0</v>
          </cell>
          <cell r="I6935">
            <v>0</v>
          </cell>
          <cell r="J6935">
            <v>0</v>
          </cell>
          <cell r="K6935">
            <v>0</v>
          </cell>
          <cell r="L6935">
            <v>0</v>
          </cell>
        </row>
        <row r="6936">
          <cell r="C6936">
            <v>305411</v>
          </cell>
          <cell r="D6936" t="str">
            <v>Fort Bonifacio HS</v>
          </cell>
          <cell r="E6936">
            <v>0</v>
          </cell>
          <cell r="F6936">
            <v>0</v>
          </cell>
          <cell r="G6936">
            <v>0</v>
          </cell>
          <cell r="H6936">
            <v>0</v>
          </cell>
          <cell r="I6936">
            <v>0</v>
          </cell>
          <cell r="J6936">
            <v>0</v>
          </cell>
          <cell r="K6936">
            <v>0</v>
          </cell>
          <cell r="L6936">
            <v>0</v>
          </cell>
        </row>
        <row r="6937">
          <cell r="C6937">
            <v>305412</v>
          </cell>
          <cell r="D6937" t="str">
            <v>Benigno "Ninoy" S. Aquino HS</v>
          </cell>
          <cell r="E6937">
            <v>0</v>
          </cell>
          <cell r="F6937">
            <v>1</v>
          </cell>
          <cell r="G6937">
            <v>0</v>
          </cell>
          <cell r="H6937">
            <v>0</v>
          </cell>
          <cell r="I6937">
            <v>0</v>
          </cell>
          <cell r="J6937">
            <v>0</v>
          </cell>
          <cell r="K6937">
            <v>0</v>
          </cell>
          <cell r="L6937">
            <v>0</v>
          </cell>
        </row>
        <row r="6938">
          <cell r="C6938">
            <v>320001</v>
          </cell>
          <cell r="D6938" t="str">
            <v>Pitogo HS</v>
          </cell>
          <cell r="E6938">
            <v>0</v>
          </cell>
          <cell r="F6938">
            <v>0</v>
          </cell>
          <cell r="G6938">
            <v>0</v>
          </cell>
          <cell r="H6938">
            <v>0</v>
          </cell>
          <cell r="I6938">
            <v>0</v>
          </cell>
          <cell r="J6938">
            <v>0</v>
          </cell>
          <cell r="K6938">
            <v>0</v>
          </cell>
          <cell r="L6938">
            <v>0</v>
          </cell>
        </row>
        <row r="6939">
          <cell r="C6939">
            <v>340554</v>
          </cell>
          <cell r="D6939" t="str">
            <v>SHS within Nemesio Yabut ES</v>
          </cell>
          <cell r="E6939">
            <v>0</v>
          </cell>
          <cell r="F6939">
            <v>0</v>
          </cell>
          <cell r="G6939">
            <v>0</v>
          </cell>
          <cell r="H6939">
            <v>0</v>
          </cell>
          <cell r="I6939">
            <v>0</v>
          </cell>
          <cell r="J6939">
            <v>0</v>
          </cell>
          <cell r="K6939">
            <v>0</v>
          </cell>
          <cell r="L6939">
            <v>0</v>
          </cell>
        </row>
        <row r="6940">
          <cell r="C6940">
            <v>340558</v>
          </cell>
          <cell r="D6940" t="str">
            <v>SHS within Maximo Estrella ES</v>
          </cell>
          <cell r="E6940">
            <v>0</v>
          </cell>
          <cell r="F6940">
            <v>0</v>
          </cell>
          <cell r="G6940">
            <v>0</v>
          </cell>
          <cell r="H6940">
            <v>0</v>
          </cell>
          <cell r="I6940">
            <v>0</v>
          </cell>
          <cell r="J6940">
            <v>0</v>
          </cell>
          <cell r="K6940">
            <v>0</v>
          </cell>
          <cell r="L6940">
            <v>0</v>
          </cell>
        </row>
        <row r="6941">
          <cell r="C6941">
            <v>305413</v>
          </cell>
          <cell r="D6941" t="str">
            <v>Rizal High School</v>
          </cell>
          <cell r="E6941">
            <v>0</v>
          </cell>
          <cell r="F6941">
            <v>0</v>
          </cell>
          <cell r="G6941">
            <v>0</v>
          </cell>
          <cell r="H6941">
            <v>0</v>
          </cell>
          <cell r="I6941">
            <v>0</v>
          </cell>
          <cell r="J6941">
            <v>0</v>
          </cell>
          <cell r="K6941">
            <v>0</v>
          </cell>
          <cell r="L6941">
            <v>0</v>
          </cell>
        </row>
        <row r="6942">
          <cell r="C6942">
            <v>305415</v>
          </cell>
          <cell r="D6942" t="str">
            <v>Kapitolyo HS</v>
          </cell>
          <cell r="E6942">
            <v>0</v>
          </cell>
          <cell r="F6942">
            <v>0</v>
          </cell>
          <cell r="G6942">
            <v>0</v>
          </cell>
          <cell r="H6942">
            <v>0</v>
          </cell>
          <cell r="I6942">
            <v>0</v>
          </cell>
          <cell r="J6942">
            <v>0</v>
          </cell>
          <cell r="K6942">
            <v>0</v>
          </cell>
          <cell r="L6942">
            <v>0</v>
          </cell>
        </row>
        <row r="6943">
          <cell r="C6943">
            <v>305416</v>
          </cell>
          <cell r="D6943" t="str">
            <v>Eusebio HS</v>
          </cell>
          <cell r="E6943">
            <v>0</v>
          </cell>
          <cell r="F6943">
            <v>0</v>
          </cell>
          <cell r="G6943">
            <v>0</v>
          </cell>
          <cell r="H6943">
            <v>0</v>
          </cell>
          <cell r="I6943">
            <v>0</v>
          </cell>
          <cell r="J6943">
            <v>0</v>
          </cell>
          <cell r="K6943">
            <v>0</v>
          </cell>
          <cell r="L6943">
            <v>0</v>
          </cell>
        </row>
        <row r="6944">
          <cell r="C6944">
            <v>305419</v>
          </cell>
          <cell r="D6944" t="str">
            <v>Santolan HS</v>
          </cell>
          <cell r="E6944">
            <v>0</v>
          </cell>
          <cell r="F6944">
            <v>0</v>
          </cell>
          <cell r="G6944">
            <v>0</v>
          </cell>
          <cell r="H6944">
            <v>0</v>
          </cell>
          <cell r="I6944">
            <v>0</v>
          </cell>
          <cell r="J6944">
            <v>0</v>
          </cell>
          <cell r="K6944">
            <v>0</v>
          </cell>
          <cell r="L6944">
            <v>0</v>
          </cell>
        </row>
        <row r="6945">
          <cell r="C6945">
            <v>305420</v>
          </cell>
          <cell r="D6945" t="str">
            <v>Sta. Lucia HS</v>
          </cell>
          <cell r="E6945">
            <v>0</v>
          </cell>
          <cell r="F6945">
            <v>0</v>
          </cell>
          <cell r="G6945">
            <v>0</v>
          </cell>
          <cell r="H6945">
            <v>0</v>
          </cell>
          <cell r="I6945">
            <v>0</v>
          </cell>
          <cell r="J6945">
            <v>0</v>
          </cell>
          <cell r="K6945">
            <v>0</v>
          </cell>
          <cell r="L6945">
            <v>0</v>
          </cell>
        </row>
        <row r="6946">
          <cell r="C6946">
            <v>305422</v>
          </cell>
          <cell r="D6946" t="str">
            <v>Rizal Experimental Station And Pilot School for Cottage Industries (RESPSCI)</v>
          </cell>
          <cell r="E6946">
            <v>0</v>
          </cell>
          <cell r="F6946">
            <v>0</v>
          </cell>
          <cell r="G6946">
            <v>0</v>
          </cell>
          <cell r="H6946">
            <v>0</v>
          </cell>
          <cell r="I6946">
            <v>0</v>
          </cell>
          <cell r="J6946">
            <v>0</v>
          </cell>
          <cell r="K6946">
            <v>0</v>
          </cell>
          <cell r="L6946">
            <v>0</v>
          </cell>
        </row>
        <row r="6947">
          <cell r="C6947">
            <v>320101</v>
          </cell>
          <cell r="D6947" t="str">
            <v>Pasig City Science HS</v>
          </cell>
          <cell r="E6947">
            <v>0</v>
          </cell>
          <cell r="F6947">
            <v>0</v>
          </cell>
          <cell r="G6947">
            <v>4</v>
          </cell>
          <cell r="H6947">
            <v>0</v>
          </cell>
          <cell r="I6947">
            <v>1</v>
          </cell>
          <cell r="J6947">
            <v>3</v>
          </cell>
          <cell r="K6947">
            <v>1</v>
          </cell>
          <cell r="L6947">
            <v>3</v>
          </cell>
        </row>
        <row r="6948">
          <cell r="C6948">
            <v>320102</v>
          </cell>
          <cell r="D6948" t="str">
            <v>Nagpayong High School</v>
          </cell>
          <cell r="E6948">
            <v>0</v>
          </cell>
          <cell r="F6948">
            <v>0</v>
          </cell>
          <cell r="G6948">
            <v>0</v>
          </cell>
          <cell r="H6948">
            <v>0</v>
          </cell>
          <cell r="I6948">
            <v>0</v>
          </cell>
          <cell r="J6948">
            <v>0</v>
          </cell>
          <cell r="K6948">
            <v>0</v>
          </cell>
          <cell r="L6948">
            <v>0</v>
          </cell>
        </row>
        <row r="6949">
          <cell r="C6949">
            <v>340654</v>
          </cell>
          <cell r="D6949" t="str">
            <v>SHS in Buting, Pasig City</v>
          </cell>
          <cell r="E6949">
            <v>0</v>
          </cell>
          <cell r="F6949">
            <v>0</v>
          </cell>
          <cell r="G6949">
            <v>0</v>
          </cell>
          <cell r="H6949">
            <v>0</v>
          </cell>
          <cell r="I6949">
            <v>0</v>
          </cell>
          <cell r="J6949">
            <v>0</v>
          </cell>
          <cell r="K6949">
            <v>0</v>
          </cell>
          <cell r="L6949">
            <v>0</v>
          </cell>
        </row>
        <row r="6950">
          <cell r="C6950">
            <v>340655</v>
          </cell>
          <cell r="D6950" t="str">
            <v>Ugong Pasig National High School</v>
          </cell>
          <cell r="E6950">
            <v>0</v>
          </cell>
          <cell r="F6950">
            <v>0</v>
          </cell>
          <cell r="G6950">
            <v>0</v>
          </cell>
          <cell r="H6950">
            <v>0</v>
          </cell>
          <cell r="I6950">
            <v>0</v>
          </cell>
          <cell r="J6950">
            <v>0</v>
          </cell>
          <cell r="K6950">
            <v>0</v>
          </cell>
          <cell r="L6950">
            <v>0</v>
          </cell>
        </row>
        <row r="6951">
          <cell r="C6951">
            <v>340656</v>
          </cell>
          <cell r="D6951" t="str">
            <v>San Lorenzo Ruiz Senior High School</v>
          </cell>
          <cell r="E6951">
            <v>0</v>
          </cell>
          <cell r="F6951">
            <v>0</v>
          </cell>
          <cell r="G6951">
            <v>0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>
            <v>0</v>
          </cell>
        </row>
        <row r="6952">
          <cell r="C6952">
            <v>305424</v>
          </cell>
          <cell r="D6952" t="str">
            <v>Paranaque National High School Main</v>
          </cell>
          <cell r="E6952">
            <v>0</v>
          </cell>
          <cell r="F6952">
            <v>0</v>
          </cell>
          <cell r="G6952">
            <v>0</v>
          </cell>
          <cell r="H6952">
            <v>0</v>
          </cell>
          <cell r="I6952">
            <v>0</v>
          </cell>
          <cell r="J6952">
            <v>0</v>
          </cell>
          <cell r="K6952">
            <v>0</v>
          </cell>
          <cell r="L6952">
            <v>0</v>
          </cell>
        </row>
        <row r="6953">
          <cell r="C6953">
            <v>305426</v>
          </cell>
          <cell r="D6953" t="str">
            <v>Paranaque National High School - Baclaran</v>
          </cell>
          <cell r="E6953">
            <v>0</v>
          </cell>
          <cell r="F6953">
            <v>0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>
            <v>0</v>
          </cell>
        </row>
        <row r="6954">
          <cell r="C6954">
            <v>305428</v>
          </cell>
          <cell r="D6954" t="str">
            <v>Dr. Arcadio Santos NHS - Main</v>
          </cell>
          <cell r="E6954">
            <v>0</v>
          </cell>
          <cell r="F6954">
            <v>0</v>
          </cell>
          <cell r="G6954">
            <v>0</v>
          </cell>
          <cell r="H6954">
            <v>0</v>
          </cell>
          <cell r="I6954">
            <v>0</v>
          </cell>
          <cell r="J6954">
            <v>0</v>
          </cell>
          <cell r="K6954">
            <v>0</v>
          </cell>
          <cell r="L6954">
            <v>0</v>
          </cell>
        </row>
        <row r="6955">
          <cell r="C6955">
            <v>320201</v>
          </cell>
          <cell r="D6955" t="str">
            <v>Paranaque Science HS</v>
          </cell>
          <cell r="E6955">
            <v>0</v>
          </cell>
          <cell r="F6955">
            <v>0</v>
          </cell>
          <cell r="G6955">
            <v>0</v>
          </cell>
          <cell r="H6955">
            <v>0</v>
          </cell>
          <cell r="I6955">
            <v>0</v>
          </cell>
          <cell r="J6955">
            <v>0</v>
          </cell>
          <cell r="K6955">
            <v>0</v>
          </cell>
          <cell r="L6955">
            <v>0</v>
          </cell>
        </row>
        <row r="6956">
          <cell r="C6956">
            <v>320203</v>
          </cell>
          <cell r="D6956" t="str">
            <v>Moonwalk National High School</v>
          </cell>
          <cell r="E6956">
            <v>0</v>
          </cell>
          <cell r="F6956">
            <v>0</v>
          </cell>
          <cell r="G6956">
            <v>0</v>
          </cell>
          <cell r="H6956">
            <v>0</v>
          </cell>
          <cell r="I6956">
            <v>0</v>
          </cell>
          <cell r="J6956">
            <v>0</v>
          </cell>
          <cell r="K6956">
            <v>0</v>
          </cell>
          <cell r="L6956">
            <v>0</v>
          </cell>
        </row>
        <row r="6957">
          <cell r="C6957">
            <v>320204</v>
          </cell>
          <cell r="D6957" t="str">
            <v>Sun Valley National High School</v>
          </cell>
          <cell r="E6957">
            <v>0</v>
          </cell>
          <cell r="F6957">
            <v>0</v>
          </cell>
          <cell r="G6957">
            <v>0</v>
          </cell>
          <cell r="H6957">
            <v>0</v>
          </cell>
          <cell r="I6957">
            <v>0</v>
          </cell>
          <cell r="J6957">
            <v>0</v>
          </cell>
          <cell r="K6957">
            <v>0</v>
          </cell>
          <cell r="L6957">
            <v>0</v>
          </cell>
        </row>
        <row r="6958">
          <cell r="C6958">
            <v>320205</v>
          </cell>
          <cell r="D6958" t="str">
            <v>Don Bosco High School Parañaque</v>
          </cell>
          <cell r="E6958">
            <v>0</v>
          </cell>
          <cell r="F6958">
            <v>0</v>
          </cell>
          <cell r="G6958">
            <v>0</v>
          </cell>
          <cell r="H6958">
            <v>0</v>
          </cell>
          <cell r="I6958">
            <v>0</v>
          </cell>
          <cell r="J6958">
            <v>0</v>
          </cell>
          <cell r="K6958">
            <v>0</v>
          </cell>
          <cell r="L6958">
            <v>0</v>
          </cell>
        </row>
        <row r="6959">
          <cell r="C6959">
            <v>340635</v>
          </cell>
          <cell r="D6959" t="str">
            <v>Sto. Niño Senior High School</v>
          </cell>
          <cell r="E6959">
            <v>0</v>
          </cell>
          <cell r="F6959">
            <v>0</v>
          </cell>
          <cell r="G6959">
            <v>0</v>
          </cell>
          <cell r="H6959">
            <v>0</v>
          </cell>
          <cell r="I6959">
            <v>0</v>
          </cell>
          <cell r="J6959">
            <v>0</v>
          </cell>
          <cell r="K6959">
            <v>0</v>
          </cell>
          <cell r="L6959">
            <v>0</v>
          </cell>
        </row>
        <row r="6960">
          <cell r="C6960">
            <v>340636</v>
          </cell>
          <cell r="D6960" t="str">
            <v>PARAÑAQUE SENIOR HIGH SCHOOL</v>
          </cell>
          <cell r="E6960">
            <v>0</v>
          </cell>
          <cell r="F6960">
            <v>0</v>
          </cell>
          <cell r="G6960">
            <v>0</v>
          </cell>
          <cell r="H6960">
            <v>0</v>
          </cell>
          <cell r="I6960">
            <v>0</v>
          </cell>
          <cell r="J6960">
            <v>4</v>
          </cell>
          <cell r="K6960">
            <v>0</v>
          </cell>
          <cell r="L6960">
            <v>0</v>
          </cell>
        </row>
        <row r="6961">
          <cell r="C6961">
            <v>305430</v>
          </cell>
          <cell r="D6961" t="str">
            <v>Las Piñas National High School</v>
          </cell>
          <cell r="E6961">
            <v>0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>
            <v>0</v>
          </cell>
        </row>
        <row r="6962">
          <cell r="C6962">
            <v>305432</v>
          </cell>
          <cell r="D6962" t="str">
            <v>Golden Acres NHS</v>
          </cell>
          <cell r="E6962">
            <v>0</v>
          </cell>
          <cell r="F6962">
            <v>0</v>
          </cell>
          <cell r="G6962">
            <v>0</v>
          </cell>
          <cell r="H6962">
            <v>0</v>
          </cell>
          <cell r="I6962">
            <v>0</v>
          </cell>
          <cell r="J6962">
            <v>0</v>
          </cell>
          <cell r="K6962">
            <v>0</v>
          </cell>
          <cell r="L6962">
            <v>0</v>
          </cell>
        </row>
        <row r="6963">
          <cell r="C6963">
            <v>320304</v>
          </cell>
          <cell r="D6963" t="str">
            <v>Las Pinas City National Science High School</v>
          </cell>
          <cell r="E6963">
            <v>0</v>
          </cell>
          <cell r="F6963">
            <v>0</v>
          </cell>
          <cell r="G6963">
            <v>0</v>
          </cell>
          <cell r="H6963">
            <v>0</v>
          </cell>
          <cell r="I6963">
            <v>0</v>
          </cell>
          <cell r="J6963">
            <v>0</v>
          </cell>
          <cell r="K6963">
            <v>0</v>
          </cell>
          <cell r="L6963">
            <v>0</v>
          </cell>
        </row>
        <row r="6964">
          <cell r="C6964">
            <v>320307</v>
          </cell>
          <cell r="D6964" t="str">
            <v>Las Piñas City Technical-Vocational High School</v>
          </cell>
          <cell r="E6964">
            <v>0</v>
          </cell>
          <cell r="F6964">
            <v>0</v>
          </cell>
          <cell r="G6964">
            <v>0</v>
          </cell>
          <cell r="H6964">
            <v>0</v>
          </cell>
          <cell r="I6964">
            <v>0</v>
          </cell>
          <cell r="J6964">
            <v>0</v>
          </cell>
          <cell r="K6964">
            <v>0</v>
          </cell>
          <cell r="L6964">
            <v>0</v>
          </cell>
        </row>
        <row r="6965">
          <cell r="C6965">
            <v>340548</v>
          </cell>
          <cell r="D6965" t="str">
            <v>Las Piñas City National Senior High School-Manuyo Campus</v>
          </cell>
          <cell r="E6965">
            <v>0</v>
          </cell>
          <cell r="F6965">
            <v>0</v>
          </cell>
          <cell r="G6965">
            <v>0</v>
          </cell>
          <cell r="H6965">
            <v>0</v>
          </cell>
          <cell r="I6965">
            <v>0</v>
          </cell>
          <cell r="J6965">
            <v>0</v>
          </cell>
          <cell r="K6965">
            <v>0</v>
          </cell>
          <cell r="L6965">
            <v>0</v>
          </cell>
        </row>
        <row r="6966">
          <cell r="C6966">
            <v>340550</v>
          </cell>
          <cell r="D6966" t="str">
            <v>Las Piñas City National Senior High School - CAA Campus</v>
          </cell>
          <cell r="E6966">
            <v>0</v>
          </cell>
          <cell r="F6966">
            <v>0</v>
          </cell>
          <cell r="G6966">
            <v>0</v>
          </cell>
          <cell r="H6966">
            <v>0</v>
          </cell>
          <cell r="I6966">
            <v>18</v>
          </cell>
          <cell r="J6966">
            <v>23</v>
          </cell>
          <cell r="K6966">
            <v>7</v>
          </cell>
          <cell r="L6966">
            <v>13</v>
          </cell>
        </row>
        <row r="6967">
          <cell r="C6967">
            <v>340551</v>
          </cell>
          <cell r="D6967" t="str">
            <v>Las Piñas City National Senior High School - Dona Josefa Campus</v>
          </cell>
          <cell r="E6967">
            <v>0</v>
          </cell>
          <cell r="F6967">
            <v>0</v>
          </cell>
          <cell r="G6967">
            <v>0</v>
          </cell>
          <cell r="H6967">
            <v>0</v>
          </cell>
          <cell r="I6967">
            <v>10</v>
          </cell>
          <cell r="J6967">
            <v>30</v>
          </cell>
          <cell r="K6967">
            <v>0</v>
          </cell>
          <cell r="L6967">
            <v>0</v>
          </cell>
        </row>
        <row r="6968">
          <cell r="C6968">
            <v>340552</v>
          </cell>
          <cell r="D6968" t="str">
            <v>Las Piñas City National Senior High School- Talon Dos Campus</v>
          </cell>
          <cell r="E6968">
            <v>0</v>
          </cell>
          <cell r="F6968">
            <v>0</v>
          </cell>
          <cell r="G6968">
            <v>0</v>
          </cell>
          <cell r="H6968">
            <v>0</v>
          </cell>
          <cell r="I6968">
            <v>0</v>
          </cell>
          <cell r="J6968">
            <v>0</v>
          </cell>
          <cell r="K6968">
            <v>0</v>
          </cell>
          <cell r="L6968">
            <v>0</v>
          </cell>
        </row>
        <row r="6969">
          <cell r="C6969">
            <v>305436</v>
          </cell>
          <cell r="D6969" t="str">
            <v>Polo National High School</v>
          </cell>
          <cell r="E6969">
            <v>0</v>
          </cell>
          <cell r="F6969">
            <v>0</v>
          </cell>
          <cell r="G6969">
            <v>0</v>
          </cell>
          <cell r="H6969">
            <v>0</v>
          </cell>
          <cell r="I6969">
            <v>0</v>
          </cell>
          <cell r="J6969">
            <v>0</v>
          </cell>
          <cell r="K6969">
            <v>0</v>
          </cell>
          <cell r="L6969">
            <v>0</v>
          </cell>
        </row>
        <row r="6970">
          <cell r="C6970">
            <v>305437</v>
          </cell>
          <cell r="D6970" t="str">
            <v>Dalandanan National High School</v>
          </cell>
          <cell r="E6970">
            <v>0</v>
          </cell>
          <cell r="F6970">
            <v>0</v>
          </cell>
          <cell r="G6970">
            <v>0</v>
          </cell>
          <cell r="H6970">
            <v>0</v>
          </cell>
          <cell r="I6970">
            <v>0</v>
          </cell>
          <cell r="J6970">
            <v>0</v>
          </cell>
          <cell r="K6970">
            <v>0</v>
          </cell>
          <cell r="L6970">
            <v>0</v>
          </cell>
        </row>
        <row r="6971">
          <cell r="C6971">
            <v>305438</v>
          </cell>
          <cell r="D6971" t="str">
            <v>Malinta National High School</v>
          </cell>
          <cell r="E6971">
            <v>0</v>
          </cell>
          <cell r="F6971">
            <v>0</v>
          </cell>
          <cell r="G6971">
            <v>0</v>
          </cell>
          <cell r="H6971">
            <v>0</v>
          </cell>
          <cell r="I6971">
            <v>0</v>
          </cell>
          <cell r="J6971">
            <v>0</v>
          </cell>
          <cell r="K6971">
            <v>0</v>
          </cell>
          <cell r="L6971">
            <v>0</v>
          </cell>
        </row>
        <row r="6972">
          <cell r="C6972">
            <v>305440</v>
          </cell>
          <cell r="D6972" t="str">
            <v>Lawang Bato National High School</v>
          </cell>
          <cell r="E6972">
            <v>0</v>
          </cell>
          <cell r="F6972">
            <v>0</v>
          </cell>
          <cell r="G6972">
            <v>0</v>
          </cell>
          <cell r="H6972">
            <v>0</v>
          </cell>
          <cell r="I6972">
            <v>0</v>
          </cell>
          <cell r="J6972">
            <v>0</v>
          </cell>
          <cell r="K6972">
            <v>0</v>
          </cell>
          <cell r="L6972">
            <v>0</v>
          </cell>
        </row>
        <row r="6973">
          <cell r="C6973">
            <v>305441</v>
          </cell>
          <cell r="D6973" t="str">
            <v>Valenzuela NHS</v>
          </cell>
          <cell r="E6973">
            <v>0</v>
          </cell>
          <cell r="F6973">
            <v>0</v>
          </cell>
          <cell r="G6973">
            <v>0</v>
          </cell>
          <cell r="H6973">
            <v>0</v>
          </cell>
          <cell r="I6973">
            <v>0</v>
          </cell>
          <cell r="J6973">
            <v>0</v>
          </cell>
          <cell r="K6973">
            <v>0</v>
          </cell>
          <cell r="L6973">
            <v>0</v>
          </cell>
        </row>
        <row r="6974">
          <cell r="C6974">
            <v>305442</v>
          </cell>
          <cell r="D6974" t="str">
            <v>Parada NHS</v>
          </cell>
          <cell r="E6974">
            <v>0</v>
          </cell>
          <cell r="F6974">
            <v>0</v>
          </cell>
          <cell r="G6974">
            <v>0</v>
          </cell>
          <cell r="H6974">
            <v>0</v>
          </cell>
          <cell r="I6974">
            <v>0</v>
          </cell>
          <cell r="J6974">
            <v>0</v>
          </cell>
          <cell r="K6974">
            <v>0</v>
          </cell>
          <cell r="L6974">
            <v>0</v>
          </cell>
        </row>
        <row r="6975">
          <cell r="C6975">
            <v>305445</v>
          </cell>
          <cell r="D6975" t="str">
            <v>Caruhatan National High School</v>
          </cell>
          <cell r="E6975">
            <v>0</v>
          </cell>
          <cell r="F6975">
            <v>0</v>
          </cell>
          <cell r="G6975">
            <v>0</v>
          </cell>
          <cell r="H6975">
            <v>0</v>
          </cell>
          <cell r="I6975">
            <v>0</v>
          </cell>
          <cell r="J6975">
            <v>0</v>
          </cell>
          <cell r="K6975">
            <v>0</v>
          </cell>
          <cell r="L6975">
            <v>0</v>
          </cell>
        </row>
        <row r="6976">
          <cell r="C6976">
            <v>305446</v>
          </cell>
          <cell r="D6976" t="str">
            <v>Sitero Francisco Mem. NHS</v>
          </cell>
          <cell r="E6976">
            <v>0</v>
          </cell>
          <cell r="F6976">
            <v>0</v>
          </cell>
          <cell r="G6976">
            <v>0</v>
          </cell>
          <cell r="H6976">
            <v>0</v>
          </cell>
          <cell r="I6976">
            <v>0</v>
          </cell>
          <cell r="J6976">
            <v>0</v>
          </cell>
          <cell r="K6976">
            <v>0</v>
          </cell>
          <cell r="L6976">
            <v>0</v>
          </cell>
        </row>
        <row r="6977">
          <cell r="C6977">
            <v>305565</v>
          </cell>
          <cell r="D6977" t="str">
            <v>Punturin Senior High School</v>
          </cell>
          <cell r="E6977">
            <v>0</v>
          </cell>
          <cell r="F6977">
            <v>0</v>
          </cell>
          <cell r="G6977">
            <v>0</v>
          </cell>
          <cell r="H6977">
            <v>0</v>
          </cell>
          <cell r="I6977">
            <v>8</v>
          </cell>
          <cell r="J6977">
            <v>2</v>
          </cell>
          <cell r="K6977">
            <v>0</v>
          </cell>
          <cell r="L6977">
            <v>0</v>
          </cell>
        </row>
        <row r="6978">
          <cell r="C6978">
            <v>305576</v>
          </cell>
          <cell r="D6978" t="str">
            <v>Ugong Senior High School</v>
          </cell>
          <cell r="E6978">
            <v>0</v>
          </cell>
          <cell r="F6978">
            <v>0</v>
          </cell>
          <cell r="G6978">
            <v>0</v>
          </cell>
          <cell r="H6978">
            <v>0</v>
          </cell>
          <cell r="I6978">
            <v>0</v>
          </cell>
          <cell r="J6978">
            <v>0</v>
          </cell>
          <cell r="K6978">
            <v>0</v>
          </cell>
          <cell r="L6978">
            <v>0</v>
          </cell>
        </row>
        <row r="6979">
          <cell r="C6979">
            <v>305708</v>
          </cell>
          <cell r="D6979" t="str">
            <v>Lingunan Senior High School</v>
          </cell>
          <cell r="E6979">
            <v>0</v>
          </cell>
          <cell r="F6979">
            <v>0</v>
          </cell>
          <cell r="G6979">
            <v>0</v>
          </cell>
          <cell r="H6979">
            <v>0</v>
          </cell>
          <cell r="I6979">
            <v>0</v>
          </cell>
          <cell r="J6979">
            <v>0</v>
          </cell>
          <cell r="K6979">
            <v>0</v>
          </cell>
          <cell r="L6979">
            <v>0</v>
          </cell>
        </row>
        <row r="6980">
          <cell r="C6980">
            <v>320401</v>
          </cell>
          <cell r="D6980" t="str">
            <v>Valenzuela City School of Mathematics and Science</v>
          </cell>
          <cell r="E6980">
            <v>0</v>
          </cell>
          <cell r="F6980">
            <v>0</v>
          </cell>
          <cell r="G6980">
            <v>0</v>
          </cell>
          <cell r="H6980">
            <v>0</v>
          </cell>
          <cell r="I6980">
            <v>0</v>
          </cell>
          <cell r="J6980">
            <v>0</v>
          </cell>
          <cell r="K6980">
            <v>0</v>
          </cell>
          <cell r="L6980">
            <v>0</v>
          </cell>
        </row>
        <row r="6981">
          <cell r="C6981">
            <v>320402</v>
          </cell>
          <cell r="D6981" t="str">
            <v>Vicente Trinidad National High School (Punturin NHS)</v>
          </cell>
          <cell r="E6981">
            <v>0</v>
          </cell>
          <cell r="F6981">
            <v>0</v>
          </cell>
          <cell r="G6981">
            <v>0</v>
          </cell>
          <cell r="H6981">
            <v>0</v>
          </cell>
          <cell r="I6981">
            <v>0</v>
          </cell>
          <cell r="J6981">
            <v>0</v>
          </cell>
          <cell r="K6981">
            <v>0</v>
          </cell>
          <cell r="L6981">
            <v>0</v>
          </cell>
        </row>
        <row r="6982">
          <cell r="C6982">
            <v>320404</v>
          </cell>
          <cell r="D6982" t="str">
            <v>Bignay National High School</v>
          </cell>
          <cell r="E6982">
            <v>0</v>
          </cell>
          <cell r="F6982">
            <v>0</v>
          </cell>
          <cell r="G6982">
            <v>0</v>
          </cell>
          <cell r="H6982">
            <v>0</v>
          </cell>
          <cell r="I6982">
            <v>0</v>
          </cell>
          <cell r="J6982">
            <v>0</v>
          </cell>
          <cell r="K6982">
            <v>0</v>
          </cell>
          <cell r="L6982">
            <v>0</v>
          </cell>
        </row>
        <row r="6983">
          <cell r="C6983">
            <v>320407</v>
          </cell>
          <cell r="D6983" t="str">
            <v>Wawang Pulo National High School</v>
          </cell>
          <cell r="E6983">
            <v>0</v>
          </cell>
          <cell r="F6983">
            <v>0</v>
          </cell>
          <cell r="G6983">
            <v>0</v>
          </cell>
          <cell r="H6983">
            <v>0</v>
          </cell>
          <cell r="I6983">
            <v>3</v>
          </cell>
          <cell r="J6983">
            <v>5</v>
          </cell>
          <cell r="K6983">
            <v>0</v>
          </cell>
          <cell r="L6983">
            <v>0</v>
          </cell>
        </row>
        <row r="6984">
          <cell r="C6984">
            <v>340729</v>
          </cell>
          <cell r="D6984" t="str">
            <v>Paso de Blas Senior High School</v>
          </cell>
          <cell r="E6984">
            <v>0</v>
          </cell>
          <cell r="F6984">
            <v>0</v>
          </cell>
          <cell r="G6984">
            <v>0</v>
          </cell>
          <cell r="H6984">
            <v>0</v>
          </cell>
          <cell r="I6984">
            <v>0</v>
          </cell>
          <cell r="J6984">
            <v>0</v>
          </cell>
          <cell r="K6984">
            <v>0</v>
          </cell>
          <cell r="L6984">
            <v>0</v>
          </cell>
        </row>
        <row r="6985">
          <cell r="C6985">
            <v>302149</v>
          </cell>
          <cell r="D6985" t="str">
            <v>Santiago Syjuco Memorial Integrated Secondary School</v>
          </cell>
          <cell r="E6985">
            <v>0</v>
          </cell>
          <cell r="F6985">
            <v>0</v>
          </cell>
          <cell r="G6985">
            <v>0</v>
          </cell>
          <cell r="H6985">
            <v>1</v>
          </cell>
          <cell r="I6985">
            <v>0</v>
          </cell>
          <cell r="J6985">
            <v>0</v>
          </cell>
          <cell r="K6985">
            <v>1</v>
          </cell>
          <cell r="L6985">
            <v>0</v>
          </cell>
        </row>
        <row r="6986">
          <cell r="C6986">
            <v>302387</v>
          </cell>
          <cell r="D6986" t="str">
            <v>Malabon City Techvoc and Entrepreneurship Senior High School (CMPI Campus)</v>
          </cell>
          <cell r="E6986">
            <v>0</v>
          </cell>
          <cell r="F6986">
            <v>0</v>
          </cell>
          <cell r="G6986">
            <v>0</v>
          </cell>
          <cell r="H6986">
            <v>0</v>
          </cell>
          <cell r="I6986">
            <v>0</v>
          </cell>
          <cell r="J6986">
            <v>0</v>
          </cell>
          <cell r="K6986">
            <v>0</v>
          </cell>
          <cell r="L6986">
            <v>0</v>
          </cell>
        </row>
        <row r="6987">
          <cell r="C6987">
            <v>305447</v>
          </cell>
          <cell r="D6987" t="str">
            <v>Malabon National High School</v>
          </cell>
          <cell r="E6987">
            <v>0</v>
          </cell>
          <cell r="F6987">
            <v>0</v>
          </cell>
          <cell r="G6987">
            <v>0</v>
          </cell>
          <cell r="H6987">
            <v>0</v>
          </cell>
          <cell r="I6987">
            <v>9</v>
          </cell>
          <cell r="J6987">
            <v>13</v>
          </cell>
          <cell r="K6987">
            <v>3</v>
          </cell>
          <cell r="L6987">
            <v>0</v>
          </cell>
        </row>
        <row r="6988">
          <cell r="C6988">
            <v>305449</v>
          </cell>
          <cell r="D6988" t="str">
            <v>Potrero NHS</v>
          </cell>
          <cell r="E6988">
            <v>0</v>
          </cell>
          <cell r="F6988">
            <v>0</v>
          </cell>
          <cell r="G6988">
            <v>0</v>
          </cell>
          <cell r="H6988">
            <v>0</v>
          </cell>
          <cell r="I6988">
            <v>0</v>
          </cell>
          <cell r="J6988">
            <v>0</v>
          </cell>
          <cell r="K6988">
            <v>0</v>
          </cell>
          <cell r="L6988">
            <v>0</v>
          </cell>
        </row>
        <row r="6989">
          <cell r="C6989">
            <v>305450</v>
          </cell>
          <cell r="D6989" t="str">
            <v>Panghulo NHS</v>
          </cell>
          <cell r="E6989">
            <v>0</v>
          </cell>
          <cell r="F6989">
            <v>0</v>
          </cell>
          <cell r="G6989">
            <v>0</v>
          </cell>
          <cell r="H6989">
            <v>0</v>
          </cell>
          <cell r="I6989">
            <v>0</v>
          </cell>
          <cell r="J6989">
            <v>0</v>
          </cell>
          <cell r="K6989">
            <v>0</v>
          </cell>
          <cell r="L6989">
            <v>0</v>
          </cell>
        </row>
        <row r="6990">
          <cell r="C6990">
            <v>305452</v>
          </cell>
          <cell r="D6990" t="str">
            <v>Tinajeros NHS</v>
          </cell>
          <cell r="E6990">
            <v>0</v>
          </cell>
          <cell r="F6990">
            <v>0</v>
          </cell>
          <cell r="G6990">
            <v>0</v>
          </cell>
          <cell r="H6990">
            <v>0</v>
          </cell>
          <cell r="I6990">
            <v>0</v>
          </cell>
          <cell r="J6990">
            <v>0</v>
          </cell>
          <cell r="K6990">
            <v>0</v>
          </cell>
          <cell r="L6990">
            <v>0</v>
          </cell>
        </row>
        <row r="6991">
          <cell r="C6991">
            <v>320502</v>
          </cell>
          <cell r="D6991" t="str">
            <v>Concepcion Technical - Vocational School</v>
          </cell>
          <cell r="E6991">
            <v>0</v>
          </cell>
          <cell r="F6991">
            <v>0</v>
          </cell>
          <cell r="G6991">
            <v>0</v>
          </cell>
          <cell r="H6991">
            <v>0</v>
          </cell>
          <cell r="I6991">
            <v>3</v>
          </cell>
          <cell r="J6991">
            <v>7</v>
          </cell>
          <cell r="K6991">
            <v>2</v>
          </cell>
          <cell r="L6991">
            <v>0</v>
          </cell>
        </row>
        <row r="6992">
          <cell r="C6992">
            <v>320504</v>
          </cell>
          <cell r="D6992" t="str">
            <v>Acacia National High School</v>
          </cell>
          <cell r="E6992">
            <v>0</v>
          </cell>
          <cell r="F6992">
            <v>0</v>
          </cell>
          <cell r="G6992">
            <v>0</v>
          </cell>
          <cell r="H6992">
            <v>0</v>
          </cell>
          <cell r="I6992">
            <v>0</v>
          </cell>
          <cell r="J6992">
            <v>0</v>
          </cell>
          <cell r="K6992">
            <v>0</v>
          </cell>
          <cell r="L6992">
            <v>0</v>
          </cell>
        </row>
        <row r="6993">
          <cell r="C6993">
            <v>340567</v>
          </cell>
          <cell r="D6993" t="str">
            <v>Imelda Integrated Secondary School</v>
          </cell>
          <cell r="E6993">
            <v>0</v>
          </cell>
          <cell r="F6993">
            <v>0</v>
          </cell>
          <cell r="G6993">
            <v>0</v>
          </cell>
          <cell r="H6993">
            <v>0</v>
          </cell>
          <cell r="I6993">
            <v>0</v>
          </cell>
          <cell r="J6993">
            <v>0</v>
          </cell>
          <cell r="K6993">
            <v>0</v>
          </cell>
          <cell r="L6993">
            <v>0</v>
          </cell>
        </row>
        <row r="6994">
          <cell r="C6994">
            <v>340568</v>
          </cell>
          <cell r="D6994" t="str">
            <v>SHS within Ninoy Aquino ES</v>
          </cell>
          <cell r="E6994">
            <v>0</v>
          </cell>
          <cell r="F6994">
            <v>0</v>
          </cell>
          <cell r="G6994">
            <v>0</v>
          </cell>
          <cell r="H6994">
            <v>0</v>
          </cell>
          <cell r="I6994">
            <v>6</v>
          </cell>
          <cell r="J6994">
            <v>7</v>
          </cell>
          <cell r="K6994">
            <v>0</v>
          </cell>
          <cell r="L6994">
            <v>0</v>
          </cell>
        </row>
        <row r="6995">
          <cell r="C6995">
            <v>304946</v>
          </cell>
          <cell r="D6995" t="str">
            <v>SHS in Barangay Fort Bonifacio</v>
          </cell>
          <cell r="E6995">
            <v>0</v>
          </cell>
          <cell r="F6995">
            <v>0</v>
          </cell>
          <cell r="G6995">
            <v>0</v>
          </cell>
          <cell r="H6995">
            <v>0</v>
          </cell>
          <cell r="I6995">
            <v>1</v>
          </cell>
          <cell r="J6995">
            <v>1</v>
          </cell>
          <cell r="K6995">
            <v>1</v>
          </cell>
          <cell r="L6995">
            <v>0</v>
          </cell>
        </row>
        <row r="6996">
          <cell r="C6996">
            <v>305459</v>
          </cell>
          <cell r="D6996" t="str">
            <v>Bagumbayan National High School</v>
          </cell>
          <cell r="E6996">
            <v>0</v>
          </cell>
          <cell r="F6996">
            <v>0</v>
          </cell>
          <cell r="G6996">
            <v>0</v>
          </cell>
          <cell r="H6996">
            <v>0</v>
          </cell>
          <cell r="I6996">
            <v>0</v>
          </cell>
          <cell r="J6996">
            <v>0</v>
          </cell>
          <cell r="K6996">
            <v>0</v>
          </cell>
          <cell r="L6996">
            <v>0</v>
          </cell>
        </row>
        <row r="6997">
          <cell r="C6997">
            <v>305460</v>
          </cell>
          <cell r="D6997" t="str">
            <v>Taguig National High School</v>
          </cell>
          <cell r="E6997">
            <v>0</v>
          </cell>
          <cell r="F6997">
            <v>0</v>
          </cell>
          <cell r="G6997">
            <v>0</v>
          </cell>
          <cell r="H6997">
            <v>0</v>
          </cell>
          <cell r="I6997">
            <v>0</v>
          </cell>
          <cell r="J6997">
            <v>0</v>
          </cell>
          <cell r="K6997">
            <v>0</v>
          </cell>
          <cell r="L6997">
            <v>0</v>
          </cell>
        </row>
        <row r="6998">
          <cell r="C6998">
            <v>305462</v>
          </cell>
          <cell r="D6998" t="str">
            <v>Gen. Ricardo G. Papa, Sr. Memorial HS Annex</v>
          </cell>
          <cell r="E6998">
            <v>0</v>
          </cell>
          <cell r="F6998">
            <v>0</v>
          </cell>
          <cell r="G6998">
            <v>0</v>
          </cell>
          <cell r="H6998">
            <v>0</v>
          </cell>
          <cell r="I6998">
            <v>0</v>
          </cell>
          <cell r="J6998">
            <v>0</v>
          </cell>
          <cell r="K6998">
            <v>0</v>
          </cell>
          <cell r="L6998">
            <v>0</v>
          </cell>
        </row>
        <row r="6999">
          <cell r="C6999">
            <v>305463</v>
          </cell>
          <cell r="D6999" t="str">
            <v>Signal Village National High School</v>
          </cell>
          <cell r="E6999">
            <v>0</v>
          </cell>
          <cell r="F6999">
            <v>0</v>
          </cell>
          <cell r="G6999">
            <v>0</v>
          </cell>
          <cell r="H6999">
            <v>0</v>
          </cell>
          <cell r="I6999">
            <v>0</v>
          </cell>
          <cell r="J6999">
            <v>0</v>
          </cell>
          <cell r="K6999">
            <v>0</v>
          </cell>
          <cell r="L6999">
            <v>0</v>
          </cell>
        </row>
        <row r="7000">
          <cell r="C7000">
            <v>305464</v>
          </cell>
          <cell r="D7000" t="str">
            <v>Tipas National High School</v>
          </cell>
          <cell r="E7000">
            <v>0</v>
          </cell>
          <cell r="F7000">
            <v>0</v>
          </cell>
          <cell r="G7000">
            <v>0</v>
          </cell>
          <cell r="H7000">
            <v>0</v>
          </cell>
          <cell r="I7000">
            <v>0</v>
          </cell>
          <cell r="J7000">
            <v>0</v>
          </cell>
          <cell r="K7000">
            <v>0</v>
          </cell>
          <cell r="L7000">
            <v>0</v>
          </cell>
        </row>
        <row r="7001">
          <cell r="C7001">
            <v>305465</v>
          </cell>
          <cell r="D7001" t="str">
            <v>Western Bicutan NHS</v>
          </cell>
          <cell r="E7001">
            <v>0</v>
          </cell>
          <cell r="F7001">
            <v>0</v>
          </cell>
          <cell r="G7001">
            <v>0</v>
          </cell>
          <cell r="H7001">
            <v>0</v>
          </cell>
          <cell r="I7001">
            <v>0</v>
          </cell>
          <cell r="J7001">
            <v>0</v>
          </cell>
          <cell r="K7001">
            <v>0</v>
          </cell>
          <cell r="L7001">
            <v>0</v>
          </cell>
        </row>
        <row r="7002">
          <cell r="C7002">
            <v>305466</v>
          </cell>
          <cell r="D7002" t="str">
            <v>Pateros National High School</v>
          </cell>
          <cell r="E7002">
            <v>0</v>
          </cell>
          <cell r="F7002">
            <v>0</v>
          </cell>
          <cell r="G7002">
            <v>0</v>
          </cell>
          <cell r="H7002">
            <v>0</v>
          </cell>
          <cell r="I7002">
            <v>0</v>
          </cell>
          <cell r="J7002">
            <v>0</v>
          </cell>
          <cell r="K7002">
            <v>0</v>
          </cell>
          <cell r="L7002">
            <v>0</v>
          </cell>
        </row>
        <row r="7003">
          <cell r="C7003">
            <v>320601</v>
          </cell>
          <cell r="D7003" t="str">
            <v>Taguig Science High School</v>
          </cell>
          <cell r="E7003">
            <v>0</v>
          </cell>
          <cell r="F7003">
            <v>0</v>
          </cell>
          <cell r="G7003">
            <v>0</v>
          </cell>
          <cell r="H7003">
            <v>0</v>
          </cell>
          <cell r="I7003">
            <v>0</v>
          </cell>
          <cell r="J7003">
            <v>0</v>
          </cell>
          <cell r="K7003">
            <v>0</v>
          </cell>
          <cell r="L7003">
            <v>0</v>
          </cell>
        </row>
        <row r="7004">
          <cell r="C7004">
            <v>320602</v>
          </cell>
          <cell r="D7004" t="str">
            <v>Maria Asuncion Rodriguez Tiñga High School</v>
          </cell>
          <cell r="E7004">
            <v>0</v>
          </cell>
          <cell r="F7004">
            <v>0</v>
          </cell>
          <cell r="G7004">
            <v>0</v>
          </cell>
          <cell r="H7004">
            <v>0</v>
          </cell>
          <cell r="I7004">
            <v>0</v>
          </cell>
          <cell r="J7004">
            <v>0</v>
          </cell>
          <cell r="K7004">
            <v>0</v>
          </cell>
          <cell r="L7004">
            <v>0</v>
          </cell>
        </row>
        <row r="7005">
          <cell r="C7005">
            <v>320604</v>
          </cell>
          <cell r="D7005" t="str">
            <v>Sen. Renato "Compañero" Cayetano Memorial Science &amp; Technology High School</v>
          </cell>
          <cell r="E7005">
            <v>0</v>
          </cell>
          <cell r="F7005">
            <v>0</v>
          </cell>
          <cell r="G7005">
            <v>0</v>
          </cell>
          <cell r="H7005">
            <v>0</v>
          </cell>
          <cell r="I7005">
            <v>0</v>
          </cell>
          <cell r="J7005">
            <v>0</v>
          </cell>
          <cell r="K7005">
            <v>0</v>
          </cell>
          <cell r="L7005">
            <v>0</v>
          </cell>
        </row>
        <row r="7006">
          <cell r="C7006">
            <v>320605</v>
          </cell>
          <cell r="D7006" t="str">
            <v>Upper Bicutan National High School</v>
          </cell>
          <cell r="E7006">
            <v>0</v>
          </cell>
          <cell r="F7006">
            <v>0</v>
          </cell>
          <cell r="G7006">
            <v>0</v>
          </cell>
          <cell r="H7006">
            <v>0</v>
          </cell>
          <cell r="I7006">
            <v>0</v>
          </cell>
          <cell r="J7006">
            <v>0</v>
          </cell>
          <cell r="K7006">
            <v>0</v>
          </cell>
          <cell r="L7006">
            <v>0</v>
          </cell>
        </row>
        <row r="7007">
          <cell r="C7007">
            <v>320606</v>
          </cell>
          <cell r="D7007" t="str">
            <v>President Diosdado Macapagal HS - Signal VNHS Annex</v>
          </cell>
          <cell r="E7007">
            <v>0</v>
          </cell>
          <cell r="F7007">
            <v>0</v>
          </cell>
          <cell r="G7007">
            <v>0</v>
          </cell>
          <cell r="H7007">
            <v>0</v>
          </cell>
          <cell r="I7007">
            <v>0</v>
          </cell>
          <cell r="J7007">
            <v>0</v>
          </cell>
          <cell r="K7007">
            <v>0</v>
          </cell>
          <cell r="L7007">
            <v>0</v>
          </cell>
        </row>
        <row r="7008">
          <cell r="C7008">
            <v>320607</v>
          </cell>
          <cell r="D7008" t="str">
            <v>Mayor Simplicio Manalo National HS</v>
          </cell>
          <cell r="E7008">
            <v>0</v>
          </cell>
          <cell r="F7008">
            <v>0</v>
          </cell>
          <cell r="G7008">
            <v>0</v>
          </cell>
          <cell r="H7008">
            <v>0</v>
          </cell>
          <cell r="I7008">
            <v>0</v>
          </cell>
          <cell r="J7008">
            <v>0</v>
          </cell>
          <cell r="K7008">
            <v>0</v>
          </cell>
          <cell r="L7008">
            <v>0</v>
          </cell>
        </row>
        <row r="7009">
          <cell r="C7009">
            <v>340710</v>
          </cell>
          <cell r="D7009" t="str">
            <v>SHS within Taguig ES</v>
          </cell>
          <cell r="E7009">
            <v>0</v>
          </cell>
          <cell r="F7009">
            <v>0</v>
          </cell>
          <cell r="G7009">
            <v>0</v>
          </cell>
          <cell r="H7009">
            <v>0</v>
          </cell>
          <cell r="I7009">
            <v>0</v>
          </cell>
          <cell r="J7009">
            <v>0</v>
          </cell>
          <cell r="K7009">
            <v>0</v>
          </cell>
          <cell r="L7009">
            <v>0</v>
          </cell>
        </row>
        <row r="7010">
          <cell r="C7010">
            <v>500340</v>
          </cell>
          <cell r="D7010" t="str">
            <v>Kapitan Eddie T. Reyes Integrated School</v>
          </cell>
          <cell r="E7010">
            <v>0</v>
          </cell>
          <cell r="F7010">
            <v>0</v>
          </cell>
          <cell r="G7010">
            <v>0</v>
          </cell>
          <cell r="H7010">
            <v>0</v>
          </cell>
          <cell r="I7010">
            <v>0</v>
          </cell>
          <cell r="J7010">
            <v>0</v>
          </cell>
          <cell r="K7010">
            <v>1</v>
          </cell>
          <cell r="L7010">
            <v>0</v>
          </cell>
        </row>
        <row r="7011">
          <cell r="C7011">
            <v>303450</v>
          </cell>
          <cell r="D7011" t="str">
            <v>Cupang Senior High School</v>
          </cell>
          <cell r="E7011">
            <v>0</v>
          </cell>
          <cell r="F7011">
            <v>0</v>
          </cell>
          <cell r="G7011">
            <v>0</v>
          </cell>
          <cell r="H7011">
            <v>0</v>
          </cell>
          <cell r="I7011">
            <v>0</v>
          </cell>
          <cell r="J7011">
            <v>0</v>
          </cell>
          <cell r="K7011">
            <v>0</v>
          </cell>
          <cell r="L7011">
            <v>0</v>
          </cell>
        </row>
        <row r="7012">
          <cell r="C7012">
            <v>305468</v>
          </cell>
          <cell r="D7012" t="str">
            <v>Muntinlupa NHS</v>
          </cell>
          <cell r="E7012">
            <v>0</v>
          </cell>
          <cell r="F7012">
            <v>0</v>
          </cell>
          <cell r="G7012">
            <v>0</v>
          </cell>
          <cell r="H7012">
            <v>0</v>
          </cell>
          <cell r="I7012">
            <v>0</v>
          </cell>
          <cell r="J7012">
            <v>0</v>
          </cell>
          <cell r="K7012">
            <v>0</v>
          </cell>
          <cell r="L7012">
            <v>0</v>
          </cell>
        </row>
        <row r="7013">
          <cell r="C7013">
            <v>305469</v>
          </cell>
          <cell r="D7013" t="str">
            <v>Muntinlupa Science High School</v>
          </cell>
          <cell r="E7013">
            <v>0</v>
          </cell>
          <cell r="F7013">
            <v>0</v>
          </cell>
          <cell r="G7013">
            <v>0</v>
          </cell>
          <cell r="H7013">
            <v>0</v>
          </cell>
          <cell r="I7013">
            <v>0</v>
          </cell>
          <cell r="J7013">
            <v>0</v>
          </cell>
          <cell r="K7013">
            <v>0</v>
          </cell>
          <cell r="L7013">
            <v>0</v>
          </cell>
        </row>
        <row r="7014">
          <cell r="C7014">
            <v>320704</v>
          </cell>
          <cell r="D7014" t="str">
            <v>Muntinlupa NHS -Tunasan Annex</v>
          </cell>
          <cell r="E7014">
            <v>0</v>
          </cell>
          <cell r="F7014">
            <v>0</v>
          </cell>
          <cell r="G7014">
            <v>0</v>
          </cell>
          <cell r="H7014">
            <v>0</v>
          </cell>
          <cell r="I7014">
            <v>0</v>
          </cell>
          <cell r="J7014">
            <v>0</v>
          </cell>
          <cell r="K7014">
            <v>0</v>
          </cell>
          <cell r="L70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5324-AF77-4F2F-9AD0-0D9FEABC92AA}">
  <sheetPr codeName="Sheet1"/>
  <dimension ref="A1:AE62"/>
  <sheetViews>
    <sheetView zoomScale="85" zoomScaleNormal="85" workbookViewId="0">
      <pane xSplit="4" ySplit="8" topLeftCell="E45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63" sqref="A63:XFD232"/>
    </sheetView>
  </sheetViews>
  <sheetFormatPr defaultRowHeight="15"/>
  <cols>
    <col min="2" max="2" width="27.140625" bestFit="1" customWidth="1"/>
    <col min="13" max="30" width="9.85546875" customWidth="1"/>
  </cols>
  <sheetData>
    <row r="1" spans="1:31">
      <c r="A1" s="1" t="s">
        <v>0</v>
      </c>
    </row>
    <row r="2" spans="1:31">
      <c r="A2" s="1" t="s">
        <v>1</v>
      </c>
      <c r="L2" s="2"/>
    </row>
    <row r="3" spans="1:31">
      <c r="A3" s="1" t="s">
        <v>2</v>
      </c>
      <c r="L3" s="2"/>
    </row>
    <row r="4" spans="1:31" ht="31.9" customHeight="1">
      <c r="A4" s="1"/>
      <c r="L4" s="2"/>
      <c r="M4" s="14" t="s">
        <v>3</v>
      </c>
      <c r="N4" s="14"/>
      <c r="O4" s="14"/>
      <c r="P4" s="14"/>
      <c r="Q4" s="14"/>
      <c r="R4" s="14"/>
      <c r="S4" s="14"/>
      <c r="T4" s="14"/>
      <c r="U4" s="14" t="s">
        <v>4</v>
      </c>
      <c r="V4" s="14"/>
      <c r="W4" s="14"/>
      <c r="X4" s="14"/>
      <c r="Y4" s="14" t="s">
        <v>5</v>
      </c>
      <c r="Z4" s="14"/>
      <c r="AA4" s="14"/>
      <c r="AB4" s="14"/>
      <c r="AC4" s="14" t="s">
        <v>6</v>
      </c>
      <c r="AD4" s="14"/>
    </row>
    <row r="5" spans="1:31">
      <c r="A5" s="1"/>
      <c r="L5" s="2"/>
      <c r="M5" s="13" t="s">
        <v>4</v>
      </c>
      <c r="N5" s="13"/>
      <c r="O5" s="13"/>
      <c r="P5" s="13"/>
      <c r="Q5" s="13" t="s">
        <v>5</v>
      </c>
      <c r="R5" s="13"/>
      <c r="S5" s="13"/>
      <c r="T5" s="13"/>
      <c r="U5" s="13" t="s">
        <v>7</v>
      </c>
      <c r="V5" s="13"/>
      <c r="W5" s="13" t="s">
        <v>8</v>
      </c>
      <c r="X5" s="13"/>
      <c r="Y5" s="13" t="s">
        <v>7</v>
      </c>
      <c r="Z5" s="13"/>
      <c r="AA5" s="13" t="s">
        <v>8</v>
      </c>
      <c r="AB5" s="13"/>
      <c r="AC5" s="13" t="s">
        <v>9</v>
      </c>
      <c r="AD5" s="13"/>
    </row>
    <row r="6" spans="1:31" ht="75">
      <c r="M6" s="3" t="s">
        <v>10</v>
      </c>
      <c r="N6" s="3" t="s">
        <v>11</v>
      </c>
      <c r="O6" s="3" t="s">
        <v>12</v>
      </c>
      <c r="P6" s="3" t="s">
        <v>13</v>
      </c>
      <c r="Q6" s="3" t="s">
        <v>10</v>
      </c>
      <c r="R6" s="3" t="s">
        <v>11</v>
      </c>
      <c r="S6" s="3" t="s">
        <v>12</v>
      </c>
      <c r="T6" s="3" t="s">
        <v>13</v>
      </c>
      <c r="U6" s="3" t="s">
        <v>14</v>
      </c>
      <c r="V6" s="3" t="s">
        <v>15</v>
      </c>
      <c r="W6" s="3" t="s">
        <v>14</v>
      </c>
      <c r="X6" s="3" t="s">
        <v>15</v>
      </c>
      <c r="Y6" s="3" t="s">
        <v>14</v>
      </c>
      <c r="Z6" s="3" t="s">
        <v>15</v>
      </c>
      <c r="AA6" s="3" t="s">
        <v>14</v>
      </c>
      <c r="AB6" s="3" t="s">
        <v>15</v>
      </c>
      <c r="AC6" s="3" t="s">
        <v>14</v>
      </c>
      <c r="AD6" s="3" t="s">
        <v>15</v>
      </c>
    </row>
    <row r="7" spans="1:31">
      <c r="M7" s="4">
        <f t="shared" ref="M7:AD7" si="0">SUM(M9:M62)</f>
        <v>0</v>
      </c>
      <c r="N7" s="4">
        <f t="shared" si="0"/>
        <v>0</v>
      </c>
      <c r="O7" s="4">
        <f t="shared" si="0"/>
        <v>1</v>
      </c>
      <c r="P7" s="4">
        <f t="shared" si="0"/>
        <v>0</v>
      </c>
      <c r="Q7" s="4">
        <f t="shared" si="0"/>
        <v>0</v>
      </c>
      <c r="R7" s="4">
        <f t="shared" si="0"/>
        <v>7</v>
      </c>
      <c r="S7" s="4">
        <f t="shared" si="0"/>
        <v>8</v>
      </c>
      <c r="T7" s="4">
        <f t="shared" si="0"/>
        <v>2</v>
      </c>
      <c r="U7" s="4">
        <f t="shared" si="0"/>
        <v>0</v>
      </c>
      <c r="V7" s="4">
        <f t="shared" si="0"/>
        <v>2</v>
      </c>
      <c r="W7" s="4">
        <f t="shared" si="0"/>
        <v>0</v>
      </c>
      <c r="X7" s="4">
        <f t="shared" si="0"/>
        <v>1</v>
      </c>
      <c r="Y7" s="4">
        <f t="shared" si="0"/>
        <v>0</v>
      </c>
      <c r="Z7" s="4">
        <f t="shared" si="0"/>
        <v>17</v>
      </c>
      <c r="AA7" s="4">
        <f t="shared" si="0"/>
        <v>0</v>
      </c>
      <c r="AB7" s="4">
        <f t="shared" si="0"/>
        <v>8</v>
      </c>
      <c r="AC7" s="4">
        <f t="shared" si="0"/>
        <v>13</v>
      </c>
      <c r="AD7" s="4">
        <f t="shared" si="0"/>
        <v>5</v>
      </c>
    </row>
    <row r="8" spans="1:31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6" t="s">
        <v>27</v>
      </c>
      <c r="M8" s="7" t="s">
        <v>28</v>
      </c>
      <c r="N8" s="7" t="s">
        <v>29</v>
      </c>
      <c r="O8" s="7" t="s">
        <v>30</v>
      </c>
      <c r="P8" s="7" t="s">
        <v>31</v>
      </c>
      <c r="Q8" s="7" t="s">
        <v>32</v>
      </c>
      <c r="R8" s="7" t="s">
        <v>33</v>
      </c>
      <c r="S8" s="7" t="s">
        <v>34</v>
      </c>
      <c r="T8" s="7" t="s">
        <v>35</v>
      </c>
      <c r="U8" s="7" t="s">
        <v>36</v>
      </c>
      <c r="V8" s="7" t="s">
        <v>37</v>
      </c>
      <c r="W8" s="7" t="s">
        <v>38</v>
      </c>
      <c r="X8" s="7" t="s">
        <v>39</v>
      </c>
      <c r="Y8" s="7" t="s">
        <v>40</v>
      </c>
      <c r="Z8" s="7" t="s">
        <v>41</v>
      </c>
      <c r="AA8" s="7" t="s">
        <v>42</v>
      </c>
      <c r="AB8" s="7" t="s">
        <v>43</v>
      </c>
      <c r="AC8" s="7" t="s">
        <v>44</v>
      </c>
      <c r="AD8" s="7" t="s">
        <v>45</v>
      </c>
      <c r="AE8" s="7" t="s">
        <v>46</v>
      </c>
    </row>
    <row r="9" spans="1:31">
      <c r="A9" t="s">
        <v>47</v>
      </c>
      <c r="B9" t="s">
        <v>53</v>
      </c>
      <c r="C9" t="s">
        <v>54</v>
      </c>
      <c r="D9">
        <v>129374</v>
      </c>
      <c r="E9" t="s">
        <v>55</v>
      </c>
      <c r="F9" t="s">
        <v>56</v>
      </c>
      <c r="G9" t="s">
        <v>57</v>
      </c>
      <c r="H9" t="s">
        <v>58</v>
      </c>
      <c r="I9" t="s">
        <v>48</v>
      </c>
      <c r="J9" t="s">
        <v>59</v>
      </c>
      <c r="K9" t="s">
        <v>49</v>
      </c>
      <c r="L9" s="8" t="s">
        <v>50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1">
      <c r="A10" t="s">
        <v>47</v>
      </c>
      <c r="B10" t="s">
        <v>53</v>
      </c>
      <c r="C10" t="s">
        <v>54</v>
      </c>
      <c r="D10">
        <v>129375</v>
      </c>
      <c r="E10" t="s">
        <v>60</v>
      </c>
      <c r="F10" t="s">
        <v>61</v>
      </c>
      <c r="G10" t="s">
        <v>57</v>
      </c>
      <c r="H10" t="s">
        <v>58</v>
      </c>
      <c r="I10" t="s">
        <v>48</v>
      </c>
      <c r="J10" t="s">
        <v>59</v>
      </c>
      <c r="K10" t="s">
        <v>49</v>
      </c>
      <c r="L10" s="8" t="s">
        <v>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1">
      <c r="A11" t="s">
        <v>47</v>
      </c>
      <c r="B11" t="s">
        <v>53</v>
      </c>
      <c r="C11" t="s">
        <v>54</v>
      </c>
      <c r="D11">
        <v>129376</v>
      </c>
      <c r="E11" t="s">
        <v>62</v>
      </c>
      <c r="F11" t="s">
        <v>63</v>
      </c>
      <c r="G11" t="s">
        <v>57</v>
      </c>
      <c r="H11" t="s">
        <v>58</v>
      </c>
      <c r="I11" t="s">
        <v>48</v>
      </c>
      <c r="J11" t="s">
        <v>64</v>
      </c>
      <c r="K11" t="s">
        <v>49</v>
      </c>
      <c r="L11" s="8" t="s">
        <v>50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1">
      <c r="A12" t="s">
        <v>47</v>
      </c>
      <c r="B12" t="s">
        <v>53</v>
      </c>
      <c r="C12" t="s">
        <v>54</v>
      </c>
      <c r="D12">
        <v>129377</v>
      </c>
      <c r="E12" t="s">
        <v>65</v>
      </c>
      <c r="F12" t="s">
        <v>66</v>
      </c>
      <c r="G12" t="s">
        <v>57</v>
      </c>
      <c r="H12" t="s">
        <v>58</v>
      </c>
      <c r="I12" t="s">
        <v>48</v>
      </c>
      <c r="J12" t="s">
        <v>67</v>
      </c>
      <c r="K12" t="s">
        <v>49</v>
      </c>
      <c r="L12" s="8" t="s">
        <v>50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1">
      <c r="A13" t="s">
        <v>47</v>
      </c>
      <c r="B13" t="s">
        <v>53</v>
      </c>
      <c r="C13" t="s">
        <v>54</v>
      </c>
      <c r="D13">
        <v>129380</v>
      </c>
      <c r="E13" t="s">
        <v>68</v>
      </c>
      <c r="F13" t="s">
        <v>69</v>
      </c>
      <c r="G13" t="s">
        <v>57</v>
      </c>
      <c r="H13" t="s">
        <v>58</v>
      </c>
      <c r="I13" t="s">
        <v>48</v>
      </c>
      <c r="J13" t="s">
        <v>64</v>
      </c>
      <c r="K13" t="s">
        <v>49</v>
      </c>
      <c r="L13" s="8" t="s">
        <v>50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1</v>
      </c>
    </row>
    <row r="14" spans="1:31">
      <c r="A14" t="s">
        <v>47</v>
      </c>
      <c r="B14" t="s">
        <v>53</v>
      </c>
      <c r="C14" t="s">
        <v>54</v>
      </c>
      <c r="D14">
        <v>129381</v>
      </c>
      <c r="E14" t="s">
        <v>70</v>
      </c>
      <c r="F14" t="s">
        <v>71</v>
      </c>
      <c r="G14" t="s">
        <v>57</v>
      </c>
      <c r="H14" t="s">
        <v>58</v>
      </c>
      <c r="I14" t="s">
        <v>48</v>
      </c>
      <c r="J14" t="s">
        <v>64</v>
      </c>
      <c r="K14" t="s">
        <v>49</v>
      </c>
      <c r="L14" s="8" t="s">
        <v>50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0</v>
      </c>
      <c r="AB14">
        <v>0</v>
      </c>
      <c r="AC14">
        <v>3</v>
      </c>
      <c r="AD14">
        <v>0</v>
      </c>
    </row>
    <row r="15" spans="1:31">
      <c r="A15" t="s">
        <v>47</v>
      </c>
      <c r="B15" t="s">
        <v>53</v>
      </c>
      <c r="C15" t="s">
        <v>54</v>
      </c>
      <c r="D15">
        <v>129382</v>
      </c>
      <c r="E15" t="s">
        <v>72</v>
      </c>
      <c r="F15" t="s">
        <v>73</v>
      </c>
      <c r="G15" t="s">
        <v>57</v>
      </c>
      <c r="H15" t="s">
        <v>58</v>
      </c>
      <c r="I15" t="s">
        <v>48</v>
      </c>
      <c r="J15" t="s">
        <v>64</v>
      </c>
      <c r="K15" t="s">
        <v>49</v>
      </c>
      <c r="L15" s="8" t="s">
        <v>50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2</v>
      </c>
    </row>
    <row r="16" spans="1:31">
      <c r="A16" t="s">
        <v>47</v>
      </c>
      <c r="B16" t="s">
        <v>53</v>
      </c>
      <c r="C16" t="s">
        <v>54</v>
      </c>
      <c r="D16">
        <v>129383</v>
      </c>
      <c r="E16" t="s">
        <v>74</v>
      </c>
      <c r="F16" t="s">
        <v>75</v>
      </c>
      <c r="G16" t="s">
        <v>57</v>
      </c>
      <c r="H16" t="s">
        <v>58</v>
      </c>
      <c r="I16" t="s">
        <v>48</v>
      </c>
      <c r="J16" t="s">
        <v>64</v>
      </c>
      <c r="K16" t="s">
        <v>49</v>
      </c>
      <c r="L16" s="8" t="s">
        <v>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0</v>
      </c>
    </row>
    <row r="17" spans="1:30">
      <c r="A17" t="s">
        <v>47</v>
      </c>
      <c r="B17" t="s">
        <v>53</v>
      </c>
      <c r="C17" t="s">
        <v>54</v>
      </c>
      <c r="D17">
        <v>129384</v>
      </c>
      <c r="E17" t="s">
        <v>76</v>
      </c>
      <c r="F17" t="s">
        <v>77</v>
      </c>
      <c r="G17" t="s">
        <v>57</v>
      </c>
      <c r="H17" t="s">
        <v>58</v>
      </c>
      <c r="I17" t="s">
        <v>48</v>
      </c>
      <c r="J17" t="s">
        <v>64</v>
      </c>
      <c r="K17" t="s">
        <v>49</v>
      </c>
      <c r="L17" s="8" t="s">
        <v>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47</v>
      </c>
      <c r="B18" t="s">
        <v>53</v>
      </c>
      <c r="C18" t="s">
        <v>54</v>
      </c>
      <c r="D18">
        <v>129385</v>
      </c>
      <c r="E18" t="s">
        <v>78</v>
      </c>
      <c r="F18" t="s">
        <v>79</v>
      </c>
      <c r="G18" t="s">
        <v>57</v>
      </c>
      <c r="H18" t="s">
        <v>58</v>
      </c>
      <c r="I18" t="s">
        <v>48</v>
      </c>
      <c r="J18" t="s">
        <v>59</v>
      </c>
      <c r="K18" t="s">
        <v>49</v>
      </c>
      <c r="L18" s="8" t="s">
        <v>50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47</v>
      </c>
      <c r="B19" t="s">
        <v>53</v>
      </c>
      <c r="C19" t="s">
        <v>54</v>
      </c>
      <c r="D19">
        <v>129386</v>
      </c>
      <c r="E19" t="s">
        <v>80</v>
      </c>
      <c r="F19" t="s">
        <v>81</v>
      </c>
      <c r="G19" t="s">
        <v>57</v>
      </c>
      <c r="H19" t="s">
        <v>58</v>
      </c>
      <c r="I19" t="s">
        <v>48</v>
      </c>
      <c r="J19" t="s">
        <v>67</v>
      </c>
      <c r="K19" t="s">
        <v>49</v>
      </c>
      <c r="L19" s="8" t="s">
        <v>50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t="s">
        <v>47</v>
      </c>
      <c r="B20" t="s">
        <v>53</v>
      </c>
      <c r="C20" t="s">
        <v>54</v>
      </c>
      <c r="D20">
        <v>205504</v>
      </c>
      <c r="E20" t="s">
        <v>82</v>
      </c>
      <c r="F20" t="s">
        <v>71</v>
      </c>
      <c r="G20" t="s">
        <v>57</v>
      </c>
      <c r="H20" t="s">
        <v>58</v>
      </c>
      <c r="I20" t="s">
        <v>48</v>
      </c>
      <c r="J20" t="s">
        <v>64</v>
      </c>
      <c r="K20" t="s">
        <v>49</v>
      </c>
      <c r="L20" s="8" t="s">
        <v>50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47</v>
      </c>
      <c r="B21" t="s">
        <v>53</v>
      </c>
      <c r="C21" t="s">
        <v>54</v>
      </c>
      <c r="D21">
        <v>500454</v>
      </c>
      <c r="E21" t="s">
        <v>83</v>
      </c>
      <c r="F21" t="s">
        <v>84</v>
      </c>
      <c r="G21" t="s">
        <v>57</v>
      </c>
      <c r="H21" t="s">
        <v>58</v>
      </c>
      <c r="I21" t="s">
        <v>48</v>
      </c>
      <c r="J21" t="s">
        <v>67</v>
      </c>
      <c r="K21" t="s">
        <v>85</v>
      </c>
      <c r="L21" s="8" t="s">
        <v>86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47</v>
      </c>
      <c r="B22" t="s">
        <v>53</v>
      </c>
      <c r="C22" t="s">
        <v>54</v>
      </c>
      <c r="D22">
        <v>501424</v>
      </c>
      <c r="E22" t="s">
        <v>87</v>
      </c>
      <c r="F22" t="s">
        <v>88</v>
      </c>
      <c r="G22" t="s">
        <v>57</v>
      </c>
      <c r="H22" t="s">
        <v>58</v>
      </c>
      <c r="I22" t="s">
        <v>48</v>
      </c>
      <c r="J22" t="s">
        <v>89</v>
      </c>
      <c r="K22" t="s">
        <v>51</v>
      </c>
      <c r="L22" s="8" t="s">
        <v>52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47</v>
      </c>
      <c r="B23" t="s">
        <v>53</v>
      </c>
      <c r="C23" t="s">
        <v>90</v>
      </c>
      <c r="D23">
        <v>101813</v>
      </c>
      <c r="E23" t="s">
        <v>91</v>
      </c>
      <c r="F23" t="s">
        <v>92</v>
      </c>
      <c r="G23" t="s">
        <v>57</v>
      </c>
      <c r="H23" t="s">
        <v>58</v>
      </c>
      <c r="I23" t="s">
        <v>48</v>
      </c>
      <c r="J23" t="s">
        <v>93</v>
      </c>
      <c r="K23" t="s">
        <v>49</v>
      </c>
      <c r="L23" s="8" t="s">
        <v>50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>
        <v>0</v>
      </c>
      <c r="AC23">
        <v>1</v>
      </c>
      <c r="AD23">
        <v>0</v>
      </c>
    </row>
    <row r="24" spans="1:30">
      <c r="A24" t="s">
        <v>47</v>
      </c>
      <c r="B24" t="s">
        <v>53</v>
      </c>
      <c r="C24" t="s">
        <v>90</v>
      </c>
      <c r="D24">
        <v>129387</v>
      </c>
      <c r="E24" t="s">
        <v>94</v>
      </c>
      <c r="F24" t="s">
        <v>95</v>
      </c>
      <c r="G24" t="s">
        <v>57</v>
      </c>
      <c r="H24" t="s">
        <v>58</v>
      </c>
      <c r="I24" t="s">
        <v>48</v>
      </c>
      <c r="J24" t="s">
        <v>96</v>
      </c>
      <c r="K24" t="s">
        <v>49</v>
      </c>
      <c r="L24" s="8" t="s">
        <v>50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47</v>
      </c>
      <c r="B25" t="s">
        <v>53</v>
      </c>
      <c r="C25" t="s">
        <v>90</v>
      </c>
      <c r="D25">
        <v>129388</v>
      </c>
      <c r="E25" t="s">
        <v>97</v>
      </c>
      <c r="F25" t="s">
        <v>98</v>
      </c>
      <c r="G25" t="s">
        <v>57</v>
      </c>
      <c r="H25" t="s">
        <v>58</v>
      </c>
      <c r="I25" t="s">
        <v>48</v>
      </c>
      <c r="J25" t="s">
        <v>99</v>
      </c>
      <c r="K25" t="s">
        <v>49</v>
      </c>
      <c r="L25" s="8" t="s">
        <v>50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47</v>
      </c>
      <c r="B26" t="s">
        <v>53</v>
      </c>
      <c r="C26" t="s">
        <v>90</v>
      </c>
      <c r="D26">
        <v>129389</v>
      </c>
      <c r="E26" t="s">
        <v>100</v>
      </c>
      <c r="F26" t="s">
        <v>101</v>
      </c>
      <c r="G26" t="s">
        <v>57</v>
      </c>
      <c r="H26" t="s">
        <v>58</v>
      </c>
      <c r="I26" t="s">
        <v>48</v>
      </c>
      <c r="J26" t="s">
        <v>102</v>
      </c>
      <c r="K26" t="s">
        <v>49</v>
      </c>
      <c r="L26" s="8" t="s">
        <v>50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</v>
      </c>
      <c r="AA26">
        <v>0</v>
      </c>
      <c r="AB26">
        <v>2</v>
      </c>
      <c r="AC26">
        <v>0</v>
      </c>
      <c r="AD26">
        <v>0</v>
      </c>
    </row>
    <row r="27" spans="1:30">
      <c r="A27" t="s">
        <v>47</v>
      </c>
      <c r="B27" t="s">
        <v>53</v>
      </c>
      <c r="C27" t="s">
        <v>90</v>
      </c>
      <c r="D27">
        <v>129390</v>
      </c>
      <c r="E27" t="s">
        <v>103</v>
      </c>
      <c r="F27" t="s">
        <v>104</v>
      </c>
      <c r="G27" t="s">
        <v>57</v>
      </c>
      <c r="H27" t="s">
        <v>58</v>
      </c>
      <c r="I27" t="s">
        <v>48</v>
      </c>
      <c r="J27" t="s">
        <v>96</v>
      </c>
      <c r="K27" t="s">
        <v>49</v>
      </c>
      <c r="L27" s="8" t="s">
        <v>50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</row>
    <row r="28" spans="1:30">
      <c r="A28" t="s">
        <v>47</v>
      </c>
      <c r="B28" t="s">
        <v>53</v>
      </c>
      <c r="C28" t="s">
        <v>90</v>
      </c>
      <c r="D28">
        <v>129391</v>
      </c>
      <c r="E28" t="s">
        <v>105</v>
      </c>
      <c r="F28" t="s">
        <v>106</v>
      </c>
      <c r="G28" t="s">
        <v>57</v>
      </c>
      <c r="H28" t="s">
        <v>58</v>
      </c>
      <c r="I28" t="s">
        <v>48</v>
      </c>
      <c r="J28" t="s">
        <v>107</v>
      </c>
      <c r="K28" t="s">
        <v>49</v>
      </c>
      <c r="L28" s="8" t="s">
        <v>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47</v>
      </c>
      <c r="B29" t="s">
        <v>53</v>
      </c>
      <c r="C29" t="s">
        <v>90</v>
      </c>
      <c r="D29">
        <v>129392</v>
      </c>
      <c r="E29" t="s">
        <v>108</v>
      </c>
      <c r="F29" t="s">
        <v>109</v>
      </c>
      <c r="G29" t="s">
        <v>57</v>
      </c>
      <c r="H29" t="s">
        <v>58</v>
      </c>
      <c r="I29" t="s">
        <v>48</v>
      </c>
      <c r="J29" t="s">
        <v>110</v>
      </c>
      <c r="K29" t="s">
        <v>49</v>
      </c>
      <c r="L29" s="8" t="s">
        <v>50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47</v>
      </c>
      <c r="B30" t="s">
        <v>53</v>
      </c>
      <c r="C30" t="s">
        <v>90</v>
      </c>
      <c r="D30">
        <v>129393</v>
      </c>
      <c r="E30" t="s">
        <v>111</v>
      </c>
      <c r="F30" t="s">
        <v>112</v>
      </c>
      <c r="G30" t="s">
        <v>57</v>
      </c>
      <c r="H30" t="s">
        <v>58</v>
      </c>
      <c r="I30" t="s">
        <v>48</v>
      </c>
      <c r="J30" t="s">
        <v>113</v>
      </c>
      <c r="K30" t="s">
        <v>49</v>
      </c>
      <c r="L30" s="8" t="s">
        <v>50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47</v>
      </c>
      <c r="B31" t="s">
        <v>53</v>
      </c>
      <c r="C31" t="s">
        <v>90</v>
      </c>
      <c r="D31">
        <v>129394</v>
      </c>
      <c r="E31" t="s">
        <v>114</v>
      </c>
      <c r="F31" t="s">
        <v>115</v>
      </c>
      <c r="G31" t="s">
        <v>57</v>
      </c>
      <c r="H31" t="s">
        <v>58</v>
      </c>
      <c r="I31" t="s">
        <v>48</v>
      </c>
      <c r="J31" t="s">
        <v>107</v>
      </c>
      <c r="K31" t="s">
        <v>49</v>
      </c>
      <c r="L31" s="8" t="s">
        <v>50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47</v>
      </c>
      <c r="B32" t="s">
        <v>53</v>
      </c>
      <c r="C32" t="s">
        <v>90</v>
      </c>
      <c r="D32">
        <v>129395</v>
      </c>
      <c r="E32" t="s">
        <v>116</v>
      </c>
      <c r="F32" t="s">
        <v>117</v>
      </c>
      <c r="G32" t="s">
        <v>57</v>
      </c>
      <c r="H32" t="s">
        <v>58</v>
      </c>
      <c r="I32" t="s">
        <v>48</v>
      </c>
      <c r="J32" t="s">
        <v>102</v>
      </c>
      <c r="K32" t="s">
        <v>49</v>
      </c>
      <c r="L32" s="8" t="s">
        <v>50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47</v>
      </c>
      <c r="B33" t="s">
        <v>53</v>
      </c>
      <c r="C33" t="s">
        <v>90</v>
      </c>
      <c r="D33">
        <v>129396</v>
      </c>
      <c r="E33" t="s">
        <v>118</v>
      </c>
      <c r="F33" t="s">
        <v>119</v>
      </c>
      <c r="G33" t="s">
        <v>57</v>
      </c>
      <c r="H33" t="s">
        <v>58</v>
      </c>
      <c r="I33" t="s">
        <v>48</v>
      </c>
      <c r="J33" t="s">
        <v>113</v>
      </c>
      <c r="K33" t="s">
        <v>49</v>
      </c>
      <c r="L33" s="8" t="s">
        <v>50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</row>
    <row r="34" spans="1:30">
      <c r="A34" t="s">
        <v>47</v>
      </c>
      <c r="B34" t="s">
        <v>53</v>
      </c>
      <c r="C34" t="s">
        <v>90</v>
      </c>
      <c r="D34">
        <v>129397</v>
      </c>
      <c r="E34" t="s">
        <v>120</v>
      </c>
      <c r="F34" t="s">
        <v>121</v>
      </c>
      <c r="G34" t="s">
        <v>57</v>
      </c>
      <c r="H34" t="s">
        <v>58</v>
      </c>
      <c r="I34" t="s">
        <v>48</v>
      </c>
      <c r="J34" t="s">
        <v>122</v>
      </c>
      <c r="K34" t="s">
        <v>49</v>
      </c>
      <c r="L34" s="8" t="s">
        <v>50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</row>
    <row r="35" spans="1:30">
      <c r="A35" t="s">
        <v>47</v>
      </c>
      <c r="B35" t="s">
        <v>53</v>
      </c>
      <c r="C35" t="s">
        <v>90</v>
      </c>
      <c r="D35">
        <v>129398</v>
      </c>
      <c r="E35" t="s">
        <v>123</v>
      </c>
      <c r="F35" t="s">
        <v>124</v>
      </c>
      <c r="G35" t="s">
        <v>57</v>
      </c>
      <c r="H35" t="s">
        <v>58</v>
      </c>
      <c r="I35" t="s">
        <v>48</v>
      </c>
      <c r="J35" t="s">
        <v>125</v>
      </c>
      <c r="K35" t="s">
        <v>49</v>
      </c>
      <c r="L35" s="8" t="s">
        <v>50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t="s">
        <v>47</v>
      </c>
      <c r="B36" t="s">
        <v>53</v>
      </c>
      <c r="C36" t="s">
        <v>90</v>
      </c>
      <c r="D36">
        <v>129399</v>
      </c>
      <c r="E36" t="s">
        <v>126</v>
      </c>
      <c r="F36" t="s">
        <v>127</v>
      </c>
      <c r="G36" t="s">
        <v>57</v>
      </c>
      <c r="H36" t="s">
        <v>58</v>
      </c>
      <c r="I36" t="s">
        <v>48</v>
      </c>
      <c r="J36" t="s">
        <v>128</v>
      </c>
      <c r="K36" t="s">
        <v>49</v>
      </c>
      <c r="L36" s="8" t="s">
        <v>50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t="s">
        <v>47</v>
      </c>
      <c r="B37" t="s">
        <v>53</v>
      </c>
      <c r="C37" t="s">
        <v>90</v>
      </c>
      <c r="D37">
        <v>129400</v>
      </c>
      <c r="E37" t="s">
        <v>129</v>
      </c>
      <c r="F37" t="s">
        <v>130</v>
      </c>
      <c r="G37" t="s">
        <v>57</v>
      </c>
      <c r="H37" t="s">
        <v>58</v>
      </c>
      <c r="I37" t="s">
        <v>48</v>
      </c>
      <c r="J37" t="s">
        <v>125</v>
      </c>
      <c r="K37" t="s">
        <v>49</v>
      </c>
      <c r="L37" s="8" t="s">
        <v>50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t="s">
        <v>47</v>
      </c>
      <c r="B38" t="s">
        <v>53</v>
      </c>
      <c r="C38" t="s">
        <v>90</v>
      </c>
      <c r="D38">
        <v>129401</v>
      </c>
      <c r="E38" t="s">
        <v>131</v>
      </c>
      <c r="F38" t="s">
        <v>132</v>
      </c>
      <c r="G38" t="s">
        <v>57</v>
      </c>
      <c r="H38" t="s">
        <v>58</v>
      </c>
      <c r="I38" t="s">
        <v>48</v>
      </c>
      <c r="J38" t="s">
        <v>99</v>
      </c>
      <c r="K38" t="s">
        <v>49</v>
      </c>
      <c r="L38" s="8" t="s">
        <v>50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47</v>
      </c>
      <c r="B39" t="s">
        <v>53</v>
      </c>
      <c r="C39" t="s">
        <v>90</v>
      </c>
      <c r="D39">
        <v>129402</v>
      </c>
      <c r="E39" t="s">
        <v>133</v>
      </c>
      <c r="F39" t="s">
        <v>134</v>
      </c>
      <c r="G39" t="s">
        <v>57</v>
      </c>
      <c r="H39" t="s">
        <v>58</v>
      </c>
      <c r="I39" t="s">
        <v>48</v>
      </c>
      <c r="J39" t="s">
        <v>113</v>
      </c>
      <c r="K39" t="s">
        <v>49</v>
      </c>
      <c r="L39" s="8" t="s">
        <v>50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t="s">
        <v>47</v>
      </c>
      <c r="B40" t="s">
        <v>53</v>
      </c>
      <c r="C40" t="s">
        <v>90</v>
      </c>
      <c r="D40">
        <v>129403</v>
      </c>
      <c r="E40" t="s">
        <v>135</v>
      </c>
      <c r="F40" t="s">
        <v>136</v>
      </c>
      <c r="G40" t="s">
        <v>57</v>
      </c>
      <c r="H40" t="s">
        <v>58</v>
      </c>
      <c r="I40" t="s">
        <v>48</v>
      </c>
      <c r="J40" t="s">
        <v>93</v>
      </c>
      <c r="K40" t="s">
        <v>49</v>
      </c>
      <c r="L40" s="8" t="s">
        <v>50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</v>
      </c>
    </row>
    <row r="41" spans="1:30">
      <c r="A41" t="s">
        <v>47</v>
      </c>
      <c r="B41" t="s">
        <v>53</v>
      </c>
      <c r="C41" t="s">
        <v>90</v>
      </c>
      <c r="D41">
        <v>129404</v>
      </c>
      <c r="E41" t="s">
        <v>137</v>
      </c>
      <c r="F41" t="s">
        <v>138</v>
      </c>
      <c r="G41" t="s">
        <v>57</v>
      </c>
      <c r="H41" t="s">
        <v>58</v>
      </c>
      <c r="I41" t="s">
        <v>48</v>
      </c>
      <c r="J41" t="s">
        <v>139</v>
      </c>
      <c r="K41" t="s">
        <v>49</v>
      </c>
      <c r="L41" s="8" t="s">
        <v>50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t="s">
        <v>47</v>
      </c>
      <c r="B42" t="s">
        <v>53</v>
      </c>
      <c r="C42" t="s">
        <v>90</v>
      </c>
      <c r="D42">
        <v>129405</v>
      </c>
      <c r="E42" t="s">
        <v>140</v>
      </c>
      <c r="F42" t="s">
        <v>141</v>
      </c>
      <c r="G42" t="s">
        <v>57</v>
      </c>
      <c r="H42" t="s">
        <v>58</v>
      </c>
      <c r="I42" t="s">
        <v>48</v>
      </c>
      <c r="J42" t="s">
        <v>142</v>
      </c>
      <c r="K42" t="s">
        <v>49</v>
      </c>
      <c r="L42" s="8" t="s">
        <v>50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47</v>
      </c>
      <c r="B43" t="s">
        <v>53</v>
      </c>
      <c r="C43" t="s">
        <v>90</v>
      </c>
      <c r="D43">
        <v>129406</v>
      </c>
      <c r="E43" t="s">
        <v>143</v>
      </c>
      <c r="F43" t="s">
        <v>144</v>
      </c>
      <c r="G43" t="s">
        <v>57</v>
      </c>
      <c r="H43" t="s">
        <v>58</v>
      </c>
      <c r="I43" t="s">
        <v>48</v>
      </c>
      <c r="J43" t="s">
        <v>110</v>
      </c>
      <c r="K43" t="s">
        <v>49</v>
      </c>
      <c r="L43" s="8" t="s">
        <v>50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t="s">
        <v>47</v>
      </c>
      <c r="B44" t="s">
        <v>53</v>
      </c>
      <c r="C44" t="s">
        <v>90</v>
      </c>
      <c r="D44">
        <v>129407</v>
      </c>
      <c r="E44" t="s">
        <v>145</v>
      </c>
      <c r="F44" t="s">
        <v>146</v>
      </c>
      <c r="G44" t="s">
        <v>57</v>
      </c>
      <c r="H44" t="s">
        <v>58</v>
      </c>
      <c r="I44" t="s">
        <v>48</v>
      </c>
      <c r="J44" t="s">
        <v>122</v>
      </c>
      <c r="K44" t="s">
        <v>49</v>
      </c>
      <c r="L44" s="8" t="s">
        <v>50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 t="s">
        <v>47</v>
      </c>
      <c r="B45" t="s">
        <v>53</v>
      </c>
      <c r="C45" t="s">
        <v>90</v>
      </c>
      <c r="D45">
        <v>129408</v>
      </c>
      <c r="E45" t="s">
        <v>147</v>
      </c>
      <c r="F45" t="s">
        <v>148</v>
      </c>
      <c r="G45" t="s">
        <v>57</v>
      </c>
      <c r="H45" t="s">
        <v>58</v>
      </c>
      <c r="I45" t="s">
        <v>48</v>
      </c>
      <c r="J45" t="s">
        <v>125</v>
      </c>
      <c r="K45" t="s">
        <v>49</v>
      </c>
      <c r="L45" s="8" t="s">
        <v>50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t="s">
        <v>47</v>
      </c>
      <c r="B46" t="s">
        <v>53</v>
      </c>
      <c r="C46" t="s">
        <v>90</v>
      </c>
      <c r="D46">
        <v>129409</v>
      </c>
      <c r="E46" t="s">
        <v>149</v>
      </c>
      <c r="F46" t="s">
        <v>150</v>
      </c>
      <c r="G46" t="s">
        <v>57</v>
      </c>
      <c r="H46" t="s">
        <v>58</v>
      </c>
      <c r="I46" t="s">
        <v>48</v>
      </c>
      <c r="J46" t="s">
        <v>151</v>
      </c>
      <c r="K46" t="s">
        <v>49</v>
      </c>
      <c r="L46" s="8" t="s">
        <v>50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t="s">
        <v>47</v>
      </c>
      <c r="B47" t="s">
        <v>53</v>
      </c>
      <c r="C47" t="s">
        <v>90</v>
      </c>
      <c r="D47">
        <v>257001</v>
      </c>
      <c r="E47" t="s">
        <v>152</v>
      </c>
      <c r="F47" t="s">
        <v>153</v>
      </c>
      <c r="G47" t="s">
        <v>57</v>
      </c>
      <c r="H47" t="s">
        <v>58</v>
      </c>
      <c r="I47" t="s">
        <v>48</v>
      </c>
      <c r="J47" t="s">
        <v>102</v>
      </c>
      <c r="K47" t="s">
        <v>49</v>
      </c>
      <c r="L47" s="8" t="s">
        <v>50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0</v>
      </c>
      <c r="AB47">
        <v>0</v>
      </c>
      <c r="AC47">
        <v>0</v>
      </c>
      <c r="AD47">
        <v>0</v>
      </c>
    </row>
    <row r="48" spans="1:30">
      <c r="A48" t="s">
        <v>47</v>
      </c>
      <c r="B48" t="s">
        <v>53</v>
      </c>
      <c r="C48" t="s">
        <v>154</v>
      </c>
      <c r="D48">
        <v>102157</v>
      </c>
      <c r="E48" t="s">
        <v>155</v>
      </c>
      <c r="F48" t="s">
        <v>156</v>
      </c>
      <c r="G48" t="s">
        <v>57</v>
      </c>
      <c r="H48" t="s">
        <v>58</v>
      </c>
      <c r="I48" t="s">
        <v>48</v>
      </c>
      <c r="J48" t="s">
        <v>157</v>
      </c>
      <c r="K48" t="s">
        <v>49</v>
      </c>
      <c r="L48" s="8" t="s">
        <v>50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 t="s">
        <v>47</v>
      </c>
      <c r="B49" t="s">
        <v>53</v>
      </c>
      <c r="C49" t="s">
        <v>154</v>
      </c>
      <c r="D49">
        <v>102164</v>
      </c>
      <c r="E49" t="s">
        <v>158</v>
      </c>
      <c r="F49" t="s">
        <v>159</v>
      </c>
      <c r="G49" t="s">
        <v>57</v>
      </c>
      <c r="H49" t="s">
        <v>58</v>
      </c>
      <c r="I49" t="s">
        <v>48</v>
      </c>
      <c r="J49" t="s">
        <v>160</v>
      </c>
      <c r="K49" t="s">
        <v>49</v>
      </c>
      <c r="L49" s="8" t="s">
        <v>50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t="s">
        <v>47</v>
      </c>
      <c r="B50" t="s">
        <v>53</v>
      </c>
      <c r="C50" t="s">
        <v>154</v>
      </c>
      <c r="D50">
        <v>129410</v>
      </c>
      <c r="E50" t="s">
        <v>161</v>
      </c>
      <c r="F50" t="s">
        <v>162</v>
      </c>
      <c r="G50" t="s">
        <v>57</v>
      </c>
      <c r="H50" t="s">
        <v>58</v>
      </c>
      <c r="I50" t="s">
        <v>48</v>
      </c>
      <c r="J50" t="s">
        <v>163</v>
      </c>
      <c r="K50" t="s">
        <v>49</v>
      </c>
      <c r="L50" s="8" t="s">
        <v>50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t="s">
        <v>47</v>
      </c>
      <c r="B51" t="s">
        <v>53</v>
      </c>
      <c r="C51" t="s">
        <v>154</v>
      </c>
      <c r="D51">
        <v>129412</v>
      </c>
      <c r="E51" t="s">
        <v>164</v>
      </c>
      <c r="F51" t="s">
        <v>165</v>
      </c>
      <c r="G51" t="s">
        <v>57</v>
      </c>
      <c r="H51" t="s">
        <v>58</v>
      </c>
      <c r="I51" t="s">
        <v>48</v>
      </c>
      <c r="J51" t="s">
        <v>166</v>
      </c>
      <c r="K51" t="s">
        <v>49</v>
      </c>
      <c r="L51" s="8" t="s">
        <v>50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t="s">
        <v>47</v>
      </c>
      <c r="B52" t="s">
        <v>53</v>
      </c>
      <c r="C52" t="s">
        <v>154</v>
      </c>
      <c r="D52">
        <v>129413</v>
      </c>
      <c r="E52" t="s">
        <v>167</v>
      </c>
      <c r="F52" t="s">
        <v>168</v>
      </c>
      <c r="G52" t="s">
        <v>57</v>
      </c>
      <c r="H52" t="s">
        <v>58</v>
      </c>
      <c r="I52" t="s">
        <v>48</v>
      </c>
      <c r="J52" t="s">
        <v>163</v>
      </c>
      <c r="K52" t="s">
        <v>49</v>
      </c>
      <c r="L52" s="8" t="s">
        <v>50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 t="s">
        <v>47</v>
      </c>
      <c r="B53" t="s">
        <v>53</v>
      </c>
      <c r="C53" t="s">
        <v>154</v>
      </c>
      <c r="D53">
        <v>129414</v>
      </c>
      <c r="E53" t="s">
        <v>169</v>
      </c>
      <c r="F53" t="s">
        <v>170</v>
      </c>
      <c r="G53" t="s">
        <v>57</v>
      </c>
      <c r="H53" t="s">
        <v>58</v>
      </c>
      <c r="I53" t="s">
        <v>48</v>
      </c>
      <c r="J53" t="s">
        <v>171</v>
      </c>
      <c r="K53" t="s">
        <v>49</v>
      </c>
      <c r="L53" s="8" t="s">
        <v>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t="s">
        <v>47</v>
      </c>
      <c r="B54" t="s">
        <v>53</v>
      </c>
      <c r="C54" t="s">
        <v>154</v>
      </c>
      <c r="D54">
        <v>129417</v>
      </c>
      <c r="E54" t="s">
        <v>172</v>
      </c>
      <c r="F54" t="s">
        <v>173</v>
      </c>
      <c r="G54" t="s">
        <v>57</v>
      </c>
      <c r="H54" t="s">
        <v>58</v>
      </c>
      <c r="I54" t="s">
        <v>48</v>
      </c>
      <c r="J54" t="s">
        <v>157</v>
      </c>
      <c r="K54" t="s">
        <v>49</v>
      </c>
      <c r="L54" s="8" t="s">
        <v>50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>
      <c r="A55" t="s">
        <v>47</v>
      </c>
      <c r="B55" t="s">
        <v>53</v>
      </c>
      <c r="C55" t="s">
        <v>154</v>
      </c>
      <c r="D55">
        <v>129418</v>
      </c>
      <c r="E55" t="s">
        <v>174</v>
      </c>
      <c r="F55" t="s">
        <v>175</v>
      </c>
      <c r="G55" t="s">
        <v>57</v>
      </c>
      <c r="H55" t="s">
        <v>58</v>
      </c>
      <c r="I55" t="s">
        <v>48</v>
      </c>
      <c r="J55" t="s">
        <v>157</v>
      </c>
      <c r="K55" t="s">
        <v>49</v>
      </c>
      <c r="L55" s="8" t="s">
        <v>50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t="s">
        <v>47</v>
      </c>
      <c r="B56" t="s">
        <v>53</v>
      </c>
      <c r="C56" t="s">
        <v>154</v>
      </c>
      <c r="D56">
        <v>129419</v>
      </c>
      <c r="E56" t="s">
        <v>176</v>
      </c>
      <c r="F56" t="s">
        <v>177</v>
      </c>
      <c r="G56" t="s">
        <v>57</v>
      </c>
      <c r="H56" t="s">
        <v>58</v>
      </c>
      <c r="I56" t="s">
        <v>48</v>
      </c>
      <c r="J56" t="s">
        <v>178</v>
      </c>
      <c r="K56" t="s">
        <v>49</v>
      </c>
      <c r="L56" s="8" t="s">
        <v>50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t="s">
        <v>47</v>
      </c>
      <c r="B57" t="s">
        <v>53</v>
      </c>
      <c r="C57" t="s">
        <v>154</v>
      </c>
      <c r="D57">
        <v>129420</v>
      </c>
      <c r="E57" t="s">
        <v>179</v>
      </c>
      <c r="F57" t="s">
        <v>180</v>
      </c>
      <c r="G57" t="s">
        <v>57</v>
      </c>
      <c r="H57" t="s">
        <v>58</v>
      </c>
      <c r="I57" t="s">
        <v>48</v>
      </c>
      <c r="J57" t="s">
        <v>180</v>
      </c>
      <c r="K57" t="s">
        <v>49</v>
      </c>
      <c r="L57" s="8" t="s">
        <v>50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6</v>
      </c>
      <c r="AA57">
        <v>0</v>
      </c>
      <c r="AB57">
        <v>6</v>
      </c>
      <c r="AC57">
        <v>0</v>
      </c>
      <c r="AD57">
        <v>0</v>
      </c>
    </row>
    <row r="58" spans="1:30">
      <c r="A58" t="s">
        <v>47</v>
      </c>
      <c r="B58" t="s">
        <v>53</v>
      </c>
      <c r="C58" t="s">
        <v>154</v>
      </c>
      <c r="D58">
        <v>129421</v>
      </c>
      <c r="E58" t="s">
        <v>181</v>
      </c>
      <c r="F58" t="s">
        <v>182</v>
      </c>
      <c r="G58" t="s">
        <v>57</v>
      </c>
      <c r="H58" t="s">
        <v>58</v>
      </c>
      <c r="I58" t="s">
        <v>48</v>
      </c>
      <c r="J58" t="s">
        <v>163</v>
      </c>
      <c r="K58" t="s">
        <v>49</v>
      </c>
      <c r="L58" s="8" t="s">
        <v>50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t="s">
        <v>47</v>
      </c>
      <c r="B59" t="s">
        <v>53</v>
      </c>
      <c r="C59" t="s">
        <v>154</v>
      </c>
      <c r="D59">
        <v>129422</v>
      </c>
      <c r="E59" t="s">
        <v>183</v>
      </c>
      <c r="F59" t="s">
        <v>184</v>
      </c>
      <c r="G59" t="s">
        <v>57</v>
      </c>
      <c r="H59" t="s">
        <v>58</v>
      </c>
      <c r="I59" t="s">
        <v>48</v>
      </c>
      <c r="J59" t="s">
        <v>157</v>
      </c>
      <c r="K59" t="s">
        <v>49</v>
      </c>
      <c r="L59" s="8" t="s">
        <v>50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t="s">
        <v>47</v>
      </c>
      <c r="B60" t="s">
        <v>53</v>
      </c>
      <c r="C60" t="s">
        <v>154</v>
      </c>
      <c r="D60">
        <v>501085</v>
      </c>
      <c r="E60" t="s">
        <v>185</v>
      </c>
      <c r="F60" t="s">
        <v>186</v>
      </c>
      <c r="G60" t="s">
        <v>57</v>
      </c>
      <c r="H60" t="s">
        <v>58</v>
      </c>
      <c r="I60" t="s">
        <v>48</v>
      </c>
      <c r="J60" t="s">
        <v>187</v>
      </c>
      <c r="K60" t="s">
        <v>51</v>
      </c>
      <c r="L60" s="8" t="s">
        <v>52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</row>
    <row r="61" spans="1:30">
      <c r="A61" t="s">
        <v>47</v>
      </c>
      <c r="B61" t="s">
        <v>53</v>
      </c>
      <c r="C61" t="s">
        <v>154</v>
      </c>
      <c r="D61">
        <v>501086</v>
      </c>
      <c r="E61" t="s">
        <v>188</v>
      </c>
      <c r="F61" t="s">
        <v>189</v>
      </c>
      <c r="G61" t="s">
        <v>57</v>
      </c>
      <c r="H61" t="s">
        <v>58</v>
      </c>
      <c r="I61" t="s">
        <v>48</v>
      </c>
      <c r="J61" t="s">
        <v>190</v>
      </c>
      <c r="K61" t="s">
        <v>51</v>
      </c>
      <c r="L61" s="8" t="s">
        <v>52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t="s">
        <v>47</v>
      </c>
      <c r="B62" t="s">
        <v>53</v>
      </c>
      <c r="C62" t="s">
        <v>154</v>
      </c>
      <c r="D62">
        <v>501087</v>
      </c>
      <c r="E62" t="s">
        <v>191</v>
      </c>
      <c r="F62" t="s">
        <v>192</v>
      </c>
      <c r="G62" t="s">
        <v>57</v>
      </c>
      <c r="H62" t="s">
        <v>58</v>
      </c>
      <c r="I62" t="s">
        <v>48</v>
      </c>
      <c r="J62" t="s">
        <v>160</v>
      </c>
      <c r="K62" t="s">
        <v>51</v>
      </c>
      <c r="L62" s="8" t="s">
        <v>52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</sheetData>
  <autoFilter ref="A8:AE62" xr:uid="{00000000-0009-0000-0000-000001000000}"/>
  <mergeCells count="11">
    <mergeCell ref="AC5:AD5"/>
    <mergeCell ref="M4:T4"/>
    <mergeCell ref="U4:X4"/>
    <mergeCell ref="Y4:AB4"/>
    <mergeCell ref="AC4:AD4"/>
    <mergeCell ref="M5:P5"/>
    <mergeCell ref="Q5:T5"/>
    <mergeCell ref="U5:V5"/>
    <mergeCell ref="W5:X5"/>
    <mergeCell ref="Y5:Z5"/>
    <mergeCell ref="AA5:A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0FCA-65B4-4E0D-AA70-93ED0C3D1F75}">
  <sheetPr codeName="Sheet2"/>
  <dimension ref="A1:U30"/>
  <sheetViews>
    <sheetView zoomScale="85" zoomScaleNormal="85" workbookViewId="0">
      <pane xSplit="4" ySplit="8" topLeftCell="E10" activePane="bottomRight" state="frozen"/>
      <selection activeCell="B63" sqref="B63:B232"/>
      <selection pane="topRight" activeCell="B63" sqref="B63:B232"/>
      <selection pane="bottomLeft" activeCell="B63" sqref="B63:B232"/>
      <selection pane="bottomRight" activeCell="B31" sqref="A31:XFD76"/>
    </sheetView>
  </sheetViews>
  <sheetFormatPr defaultRowHeight="15"/>
  <cols>
    <col min="2" max="2" width="27.140625" bestFit="1" customWidth="1"/>
    <col min="13" max="20" width="14.7109375" customWidth="1"/>
  </cols>
  <sheetData>
    <row r="1" spans="1:21">
      <c r="A1" s="1" t="s">
        <v>194</v>
      </c>
    </row>
    <row r="2" spans="1:21">
      <c r="A2" s="1" t="s">
        <v>1</v>
      </c>
      <c r="L2" s="2"/>
    </row>
    <row r="3" spans="1:21">
      <c r="A3" s="1" t="s">
        <v>195</v>
      </c>
      <c r="L3" s="2"/>
    </row>
    <row r="4" spans="1:21">
      <c r="M4" s="15" t="s">
        <v>3</v>
      </c>
      <c r="N4" s="15"/>
      <c r="O4" s="15"/>
      <c r="P4" s="15"/>
      <c r="Q4" s="15" t="s">
        <v>196</v>
      </c>
      <c r="R4" s="15"/>
      <c r="S4" s="15"/>
      <c r="T4" s="15"/>
    </row>
    <row r="5" spans="1:21">
      <c r="M5" s="15" t="s">
        <v>197</v>
      </c>
      <c r="N5" s="15"/>
      <c r="O5" s="15" t="s">
        <v>12</v>
      </c>
      <c r="P5" s="15" t="s">
        <v>13</v>
      </c>
      <c r="Q5" s="16" t="s">
        <v>7</v>
      </c>
      <c r="R5" s="16"/>
      <c r="S5" s="16" t="s">
        <v>8</v>
      </c>
      <c r="T5" s="16"/>
    </row>
    <row r="6" spans="1:21">
      <c r="M6" s="9" t="s">
        <v>198</v>
      </c>
      <c r="N6" s="9" t="s">
        <v>11</v>
      </c>
      <c r="O6" s="15"/>
      <c r="P6" s="15"/>
      <c r="Q6" s="10" t="s">
        <v>14</v>
      </c>
      <c r="R6" s="10" t="s">
        <v>15</v>
      </c>
      <c r="S6" s="10" t="s">
        <v>14</v>
      </c>
      <c r="T6" s="10" t="s">
        <v>15</v>
      </c>
    </row>
    <row r="7" spans="1:21">
      <c r="M7" s="11">
        <f>SUM(M9:M30)</f>
        <v>0</v>
      </c>
      <c r="N7" s="11">
        <f>SUM(N9:N30)</f>
        <v>5</v>
      </c>
      <c r="O7" s="11">
        <f>SUM(O9:O30)</f>
        <v>15</v>
      </c>
      <c r="P7" s="11">
        <f>SUM(P9:P30)</f>
        <v>4</v>
      </c>
      <c r="Q7" s="11">
        <f>SUM(R9:R30)</f>
        <v>37</v>
      </c>
      <c r="R7" s="11">
        <f>SUM(Q9:Q30)</f>
        <v>17</v>
      </c>
      <c r="S7" s="11">
        <f>SUM(T9:T30)</f>
        <v>3</v>
      </c>
      <c r="T7" s="11">
        <f>SUM(S9:S30)</f>
        <v>2</v>
      </c>
    </row>
    <row r="8" spans="1:21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6" t="s">
        <v>27</v>
      </c>
      <c r="M8" s="1" t="s">
        <v>199</v>
      </c>
      <c r="N8" s="1" t="s">
        <v>200</v>
      </c>
      <c r="O8" s="1" t="s">
        <v>201</v>
      </c>
      <c r="P8" s="1" t="s">
        <v>202</v>
      </c>
      <c r="Q8" s="12" t="s">
        <v>203</v>
      </c>
      <c r="R8" s="12" t="s">
        <v>204</v>
      </c>
      <c r="S8" s="12" t="s">
        <v>205</v>
      </c>
      <c r="T8" s="12" t="s">
        <v>206</v>
      </c>
      <c r="U8" s="12" t="s">
        <v>46</v>
      </c>
    </row>
    <row r="9" spans="1:21">
      <c r="A9" t="s">
        <v>47</v>
      </c>
      <c r="B9" t="s">
        <v>53</v>
      </c>
      <c r="C9" t="s">
        <v>54</v>
      </c>
      <c r="D9">
        <v>304325</v>
      </c>
      <c r="E9" t="s">
        <v>211</v>
      </c>
      <c r="F9" t="s">
        <v>212</v>
      </c>
      <c r="G9" t="s">
        <v>57</v>
      </c>
      <c r="H9" t="s">
        <v>58</v>
      </c>
      <c r="I9" t="s">
        <v>48</v>
      </c>
      <c r="J9" t="s">
        <v>67</v>
      </c>
      <c r="K9" t="s">
        <v>207</v>
      </c>
      <c r="L9" s="8" t="s">
        <v>208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1">
      <c r="A10" t="s">
        <v>47</v>
      </c>
      <c r="B10" t="s">
        <v>53</v>
      </c>
      <c r="C10" t="s">
        <v>54</v>
      </c>
      <c r="D10">
        <v>304326</v>
      </c>
      <c r="E10" t="s">
        <v>213</v>
      </c>
      <c r="F10" t="s">
        <v>214</v>
      </c>
      <c r="G10" t="s">
        <v>57</v>
      </c>
      <c r="H10" t="s">
        <v>58</v>
      </c>
      <c r="I10" t="s">
        <v>48</v>
      </c>
      <c r="J10" t="s">
        <v>67</v>
      </c>
      <c r="K10" t="s">
        <v>207</v>
      </c>
      <c r="L10" s="8" t="s">
        <v>208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1">
      <c r="A11" t="s">
        <v>47</v>
      </c>
      <c r="B11" t="s">
        <v>53</v>
      </c>
      <c r="C11" t="s">
        <v>54</v>
      </c>
      <c r="D11">
        <v>305680</v>
      </c>
      <c r="E11" t="s">
        <v>215</v>
      </c>
      <c r="F11" t="s">
        <v>216</v>
      </c>
      <c r="G11" t="s">
        <v>57</v>
      </c>
      <c r="H11" t="s">
        <v>58</v>
      </c>
      <c r="I11" t="s">
        <v>48</v>
      </c>
      <c r="J11" t="s">
        <v>102</v>
      </c>
      <c r="K11" t="s">
        <v>209</v>
      </c>
      <c r="L11" s="8" t="s">
        <v>210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1">
      <c r="A12" t="s">
        <v>47</v>
      </c>
      <c r="B12" t="s">
        <v>53</v>
      </c>
      <c r="C12" t="s">
        <v>54</v>
      </c>
      <c r="D12">
        <v>325104</v>
      </c>
      <c r="E12" t="s">
        <v>217</v>
      </c>
      <c r="F12" t="s">
        <v>218</v>
      </c>
      <c r="G12" t="s">
        <v>57</v>
      </c>
      <c r="H12" t="s">
        <v>58</v>
      </c>
      <c r="I12" t="s">
        <v>48</v>
      </c>
      <c r="J12" t="s">
        <v>59</v>
      </c>
      <c r="K12" t="s">
        <v>207</v>
      </c>
      <c r="L12" s="8" t="s">
        <v>208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1">
      <c r="A13" t="s">
        <v>47</v>
      </c>
      <c r="B13" t="s">
        <v>53</v>
      </c>
      <c r="C13" t="s">
        <v>54</v>
      </c>
      <c r="D13">
        <v>500454</v>
      </c>
      <c r="E13" t="s">
        <v>83</v>
      </c>
      <c r="F13" t="s">
        <v>84</v>
      </c>
      <c r="G13" t="s">
        <v>57</v>
      </c>
      <c r="H13" t="s">
        <v>58</v>
      </c>
      <c r="I13" t="s">
        <v>48</v>
      </c>
      <c r="J13" t="s">
        <v>67</v>
      </c>
      <c r="K13" t="s">
        <v>85</v>
      </c>
      <c r="L13" s="8" t="s">
        <v>86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1">
      <c r="A14" t="s">
        <v>47</v>
      </c>
      <c r="B14" t="s">
        <v>53</v>
      </c>
      <c r="C14" t="s">
        <v>54</v>
      </c>
      <c r="D14">
        <v>501424</v>
      </c>
      <c r="E14" t="s">
        <v>87</v>
      </c>
      <c r="F14" t="s">
        <v>88</v>
      </c>
      <c r="G14" t="s">
        <v>57</v>
      </c>
      <c r="H14" t="s">
        <v>58</v>
      </c>
      <c r="I14" t="s">
        <v>48</v>
      </c>
      <c r="J14" t="s">
        <v>89</v>
      </c>
      <c r="K14" t="s">
        <v>51</v>
      </c>
      <c r="L14" s="8" t="s">
        <v>52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1">
      <c r="A15" t="s">
        <v>47</v>
      </c>
      <c r="B15" t="s">
        <v>53</v>
      </c>
      <c r="C15" t="s">
        <v>90</v>
      </c>
      <c r="D15">
        <v>304303</v>
      </c>
      <c r="E15" t="s">
        <v>219</v>
      </c>
      <c r="F15" t="s">
        <v>220</v>
      </c>
      <c r="G15" t="s">
        <v>57</v>
      </c>
      <c r="H15" t="s">
        <v>58</v>
      </c>
      <c r="I15" t="s">
        <v>48</v>
      </c>
      <c r="J15" t="s">
        <v>96</v>
      </c>
      <c r="K15" t="s">
        <v>207</v>
      </c>
      <c r="L15" s="8" t="s">
        <v>208</v>
      </c>
      <c r="M15">
        <v>0</v>
      </c>
      <c r="N15">
        <v>0</v>
      </c>
      <c r="O15">
        <v>3</v>
      </c>
      <c r="P15">
        <v>0</v>
      </c>
      <c r="Q15">
        <v>3</v>
      </c>
      <c r="R15">
        <v>0</v>
      </c>
      <c r="S15">
        <v>1</v>
      </c>
      <c r="T15">
        <v>0</v>
      </c>
    </row>
    <row r="16" spans="1:21">
      <c r="A16" t="s">
        <v>47</v>
      </c>
      <c r="B16" t="s">
        <v>53</v>
      </c>
      <c r="C16" t="s">
        <v>90</v>
      </c>
      <c r="D16">
        <v>304305</v>
      </c>
      <c r="E16" t="s">
        <v>221</v>
      </c>
      <c r="F16" t="s">
        <v>222</v>
      </c>
      <c r="G16" t="s">
        <v>57</v>
      </c>
      <c r="H16" t="s">
        <v>58</v>
      </c>
      <c r="I16" t="s">
        <v>48</v>
      </c>
      <c r="J16" t="s">
        <v>107</v>
      </c>
      <c r="K16" t="s">
        <v>207</v>
      </c>
      <c r="L16" s="8" t="s">
        <v>208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47</v>
      </c>
      <c r="B17" t="s">
        <v>53</v>
      </c>
      <c r="C17" t="s">
        <v>90</v>
      </c>
      <c r="D17">
        <v>304314</v>
      </c>
      <c r="E17" t="s">
        <v>223</v>
      </c>
      <c r="F17" t="s">
        <v>127</v>
      </c>
      <c r="G17" t="s">
        <v>57</v>
      </c>
      <c r="H17" t="s">
        <v>58</v>
      </c>
      <c r="I17" t="s">
        <v>48</v>
      </c>
      <c r="J17" t="s">
        <v>128</v>
      </c>
      <c r="K17" t="s">
        <v>207</v>
      </c>
      <c r="L17" s="8" t="s">
        <v>208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47</v>
      </c>
      <c r="B18" t="s">
        <v>53</v>
      </c>
      <c r="C18" t="s">
        <v>90</v>
      </c>
      <c r="D18">
        <v>304327</v>
      </c>
      <c r="E18" t="s">
        <v>224</v>
      </c>
      <c r="F18" t="s">
        <v>225</v>
      </c>
      <c r="G18" t="s">
        <v>57</v>
      </c>
      <c r="H18" t="s">
        <v>58</v>
      </c>
      <c r="I18" t="s">
        <v>48</v>
      </c>
      <c r="J18" t="s">
        <v>125</v>
      </c>
      <c r="K18" t="s">
        <v>207</v>
      </c>
      <c r="L18" s="8" t="s">
        <v>208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47</v>
      </c>
      <c r="B19" t="s">
        <v>53</v>
      </c>
      <c r="C19" t="s">
        <v>90</v>
      </c>
      <c r="D19">
        <v>304328</v>
      </c>
      <c r="E19" t="s">
        <v>226</v>
      </c>
      <c r="F19" t="s">
        <v>227</v>
      </c>
      <c r="G19" t="s">
        <v>57</v>
      </c>
      <c r="H19" t="s">
        <v>58</v>
      </c>
      <c r="I19" t="s">
        <v>48</v>
      </c>
      <c r="J19" t="s">
        <v>102</v>
      </c>
      <c r="K19" t="s">
        <v>207</v>
      </c>
      <c r="L19" s="8" t="s">
        <v>208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47</v>
      </c>
      <c r="B20" t="s">
        <v>53</v>
      </c>
      <c r="C20" t="s">
        <v>90</v>
      </c>
      <c r="D20">
        <v>304338</v>
      </c>
      <c r="E20" t="s">
        <v>228</v>
      </c>
      <c r="F20" t="s">
        <v>229</v>
      </c>
      <c r="G20" t="s">
        <v>57</v>
      </c>
      <c r="H20" t="s">
        <v>58</v>
      </c>
      <c r="I20" t="s">
        <v>48</v>
      </c>
      <c r="J20" t="s">
        <v>142</v>
      </c>
      <c r="K20" t="s">
        <v>207</v>
      </c>
      <c r="L20" s="8" t="s">
        <v>208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47</v>
      </c>
      <c r="B21" t="s">
        <v>53</v>
      </c>
      <c r="C21" t="s">
        <v>90</v>
      </c>
      <c r="D21">
        <v>316104</v>
      </c>
      <c r="E21" t="s">
        <v>230</v>
      </c>
      <c r="F21" t="s">
        <v>193</v>
      </c>
      <c r="G21" t="s">
        <v>57</v>
      </c>
      <c r="H21" t="s">
        <v>58</v>
      </c>
      <c r="I21" t="s">
        <v>48</v>
      </c>
      <c r="J21" t="s">
        <v>113</v>
      </c>
      <c r="K21" t="s">
        <v>207</v>
      </c>
      <c r="L21" s="8" t="s">
        <v>208</v>
      </c>
      <c r="M21">
        <v>0</v>
      </c>
      <c r="N21">
        <v>0</v>
      </c>
      <c r="O21">
        <v>0</v>
      </c>
      <c r="P21">
        <v>3</v>
      </c>
      <c r="Q21">
        <v>1</v>
      </c>
      <c r="R21">
        <v>2</v>
      </c>
      <c r="S21">
        <v>0</v>
      </c>
      <c r="T21">
        <v>0</v>
      </c>
    </row>
    <row r="22" spans="1:20">
      <c r="A22" t="s">
        <v>47</v>
      </c>
      <c r="B22" t="s">
        <v>53</v>
      </c>
      <c r="C22" t="s">
        <v>90</v>
      </c>
      <c r="D22">
        <v>325101</v>
      </c>
      <c r="E22" t="s">
        <v>231</v>
      </c>
      <c r="F22" t="s">
        <v>232</v>
      </c>
      <c r="G22" t="s">
        <v>57</v>
      </c>
      <c r="H22" t="s">
        <v>58</v>
      </c>
      <c r="I22" t="s">
        <v>48</v>
      </c>
      <c r="J22" t="s">
        <v>102</v>
      </c>
      <c r="K22" t="s">
        <v>209</v>
      </c>
      <c r="L22" s="8" t="s">
        <v>210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47</v>
      </c>
      <c r="B23" t="s">
        <v>53</v>
      </c>
      <c r="C23" t="s">
        <v>90</v>
      </c>
      <c r="D23">
        <v>325102</v>
      </c>
      <c r="E23" t="s">
        <v>233</v>
      </c>
      <c r="F23" t="s">
        <v>234</v>
      </c>
      <c r="G23" t="s">
        <v>57</v>
      </c>
      <c r="H23" t="s">
        <v>58</v>
      </c>
      <c r="I23" t="s">
        <v>48</v>
      </c>
      <c r="J23" t="s">
        <v>99</v>
      </c>
      <c r="K23" t="s">
        <v>207</v>
      </c>
      <c r="L23" s="8" t="s">
        <v>208</v>
      </c>
      <c r="M23">
        <v>0</v>
      </c>
      <c r="N23">
        <v>1</v>
      </c>
      <c r="O23">
        <v>0</v>
      </c>
      <c r="P23">
        <v>0</v>
      </c>
      <c r="Q23">
        <v>2</v>
      </c>
      <c r="R23">
        <v>13</v>
      </c>
      <c r="S23">
        <v>0</v>
      </c>
      <c r="T23">
        <v>0</v>
      </c>
    </row>
    <row r="24" spans="1:20">
      <c r="A24" t="s">
        <v>47</v>
      </c>
      <c r="B24" t="s">
        <v>53</v>
      </c>
      <c r="C24" t="s">
        <v>90</v>
      </c>
      <c r="D24">
        <v>325106</v>
      </c>
      <c r="E24" t="s">
        <v>235</v>
      </c>
      <c r="F24" t="s">
        <v>177</v>
      </c>
      <c r="G24" t="s">
        <v>57</v>
      </c>
      <c r="H24" t="s">
        <v>58</v>
      </c>
      <c r="I24" t="s">
        <v>48</v>
      </c>
      <c r="J24" t="s">
        <v>151</v>
      </c>
      <c r="K24" t="s">
        <v>207</v>
      </c>
      <c r="L24" s="8" t="s">
        <v>208</v>
      </c>
      <c r="M24">
        <v>0</v>
      </c>
      <c r="N24">
        <v>0</v>
      </c>
      <c r="O24">
        <v>0</v>
      </c>
      <c r="P24">
        <v>0</v>
      </c>
      <c r="Q24">
        <v>4</v>
      </c>
      <c r="R24">
        <v>10</v>
      </c>
      <c r="S24">
        <v>0</v>
      </c>
      <c r="T24">
        <v>0</v>
      </c>
    </row>
    <row r="25" spans="1:20">
      <c r="A25" t="s">
        <v>47</v>
      </c>
      <c r="B25" t="s">
        <v>53</v>
      </c>
      <c r="C25" t="s">
        <v>154</v>
      </c>
      <c r="D25">
        <v>304313</v>
      </c>
      <c r="E25" t="s">
        <v>236</v>
      </c>
      <c r="F25" t="s">
        <v>237</v>
      </c>
      <c r="G25" t="s">
        <v>57</v>
      </c>
      <c r="H25" t="s">
        <v>58</v>
      </c>
      <c r="I25" t="s">
        <v>48</v>
      </c>
      <c r="J25" t="s">
        <v>163</v>
      </c>
      <c r="K25" t="s">
        <v>207</v>
      </c>
      <c r="L25" s="8" t="s">
        <v>208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47</v>
      </c>
      <c r="B26" t="s">
        <v>53</v>
      </c>
      <c r="C26" t="s">
        <v>154</v>
      </c>
      <c r="D26">
        <v>304318</v>
      </c>
      <c r="E26" t="s">
        <v>238</v>
      </c>
      <c r="F26" t="s">
        <v>239</v>
      </c>
      <c r="G26" t="s">
        <v>57</v>
      </c>
      <c r="H26" t="s">
        <v>58</v>
      </c>
      <c r="I26" t="s">
        <v>48</v>
      </c>
      <c r="J26" t="s">
        <v>171</v>
      </c>
      <c r="K26" t="s">
        <v>207</v>
      </c>
      <c r="L26" s="8" t="s">
        <v>208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47</v>
      </c>
      <c r="B27" t="s">
        <v>53</v>
      </c>
      <c r="C27" t="s">
        <v>154</v>
      </c>
      <c r="D27">
        <v>325105</v>
      </c>
      <c r="E27" t="s">
        <v>240</v>
      </c>
      <c r="F27" t="s">
        <v>173</v>
      </c>
      <c r="G27" t="s">
        <v>57</v>
      </c>
      <c r="H27" t="s">
        <v>58</v>
      </c>
      <c r="I27" t="s">
        <v>48</v>
      </c>
      <c r="J27" t="s">
        <v>157</v>
      </c>
      <c r="K27" t="s">
        <v>207</v>
      </c>
      <c r="L27" s="8" t="s">
        <v>208</v>
      </c>
      <c r="M27">
        <v>0</v>
      </c>
      <c r="N27">
        <v>1</v>
      </c>
      <c r="O27">
        <v>0</v>
      </c>
      <c r="P27">
        <v>0</v>
      </c>
      <c r="Q27">
        <v>5</v>
      </c>
      <c r="R27">
        <v>6</v>
      </c>
      <c r="S27">
        <v>0</v>
      </c>
      <c r="T27">
        <v>0</v>
      </c>
    </row>
    <row r="28" spans="1:20">
      <c r="A28" t="s">
        <v>47</v>
      </c>
      <c r="B28" t="s">
        <v>53</v>
      </c>
      <c r="C28" t="s">
        <v>154</v>
      </c>
      <c r="D28">
        <v>501085</v>
      </c>
      <c r="E28" t="s">
        <v>185</v>
      </c>
      <c r="F28" t="s">
        <v>186</v>
      </c>
      <c r="G28" t="s">
        <v>57</v>
      </c>
      <c r="H28" t="s">
        <v>58</v>
      </c>
      <c r="I28" t="s">
        <v>48</v>
      </c>
      <c r="J28" t="s">
        <v>187</v>
      </c>
      <c r="K28" t="s">
        <v>51</v>
      </c>
      <c r="L28" s="8" t="s">
        <v>52</v>
      </c>
      <c r="M28">
        <v>0</v>
      </c>
      <c r="N28">
        <v>0</v>
      </c>
      <c r="O28">
        <v>4</v>
      </c>
      <c r="P28">
        <v>0</v>
      </c>
      <c r="Q28">
        <v>2</v>
      </c>
      <c r="R28">
        <v>3</v>
      </c>
      <c r="S28">
        <v>1</v>
      </c>
      <c r="T28">
        <v>0</v>
      </c>
    </row>
    <row r="29" spans="1:20">
      <c r="A29" t="s">
        <v>47</v>
      </c>
      <c r="B29" t="s">
        <v>53</v>
      </c>
      <c r="C29" t="s">
        <v>154</v>
      </c>
      <c r="D29">
        <v>501086</v>
      </c>
      <c r="E29" t="s">
        <v>188</v>
      </c>
      <c r="F29" t="s">
        <v>189</v>
      </c>
      <c r="G29" t="s">
        <v>57</v>
      </c>
      <c r="H29" t="s">
        <v>58</v>
      </c>
      <c r="I29" t="s">
        <v>48</v>
      </c>
      <c r="J29" t="s">
        <v>190</v>
      </c>
      <c r="K29" t="s">
        <v>51</v>
      </c>
      <c r="L29" s="8" t="s">
        <v>52</v>
      </c>
      <c r="M29">
        <v>0</v>
      </c>
      <c r="N29">
        <v>0</v>
      </c>
      <c r="O29">
        <v>3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>
      <c r="A30" t="s">
        <v>47</v>
      </c>
      <c r="B30" t="s">
        <v>53</v>
      </c>
      <c r="C30" t="s">
        <v>154</v>
      </c>
      <c r="D30">
        <v>501087</v>
      </c>
      <c r="E30" t="s">
        <v>191</v>
      </c>
      <c r="F30" t="s">
        <v>192</v>
      </c>
      <c r="G30" t="s">
        <v>57</v>
      </c>
      <c r="H30" t="s">
        <v>58</v>
      </c>
      <c r="I30" t="s">
        <v>48</v>
      </c>
      <c r="J30" t="s">
        <v>160</v>
      </c>
      <c r="K30" t="s">
        <v>51</v>
      </c>
      <c r="L30" s="8" t="s">
        <v>52</v>
      </c>
      <c r="M30">
        <v>0</v>
      </c>
      <c r="N30">
        <v>0</v>
      </c>
      <c r="O30">
        <v>3</v>
      </c>
      <c r="P30">
        <v>0</v>
      </c>
      <c r="Q30">
        <v>0</v>
      </c>
      <c r="R30">
        <v>3</v>
      </c>
      <c r="S30">
        <v>0</v>
      </c>
      <c r="T30">
        <v>3</v>
      </c>
    </row>
  </sheetData>
  <autoFilter ref="A8:U30" xr:uid="{00000000-0009-0000-0000-000002000000}"/>
  <mergeCells count="7">
    <mergeCell ref="M4:P4"/>
    <mergeCell ref="Q4:T4"/>
    <mergeCell ref="M5:N5"/>
    <mergeCell ref="O5:O6"/>
    <mergeCell ref="P5:P6"/>
    <mergeCell ref="Q5:R5"/>
    <mergeCell ref="S5:T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D963-6DBF-4559-B99E-37B2C8BD5657}">
  <sheetPr codeName="Sheet3"/>
  <dimension ref="A1:U23"/>
  <sheetViews>
    <sheetView tabSelected="1" workbookViewId="0">
      <pane xSplit="4" ySplit="7" topLeftCell="E8" activePane="bottomRight" state="frozen"/>
      <selection activeCell="B63" sqref="B63:B232"/>
      <selection pane="topRight" activeCell="B63" sqref="B63:B232"/>
      <selection pane="bottomLeft" activeCell="B63" sqref="B63:B232"/>
      <selection pane="bottomRight" activeCell="G32" sqref="G32"/>
    </sheetView>
  </sheetViews>
  <sheetFormatPr defaultRowHeight="15"/>
  <cols>
    <col min="2" max="2" width="25.5703125" bestFit="1" customWidth="1"/>
    <col min="13" max="20" width="13.7109375" customWidth="1"/>
  </cols>
  <sheetData>
    <row r="1" spans="1:21">
      <c r="A1" s="1" t="s">
        <v>241</v>
      </c>
    </row>
    <row r="2" spans="1:21">
      <c r="A2" s="1" t="s">
        <v>1</v>
      </c>
      <c r="L2" s="2"/>
    </row>
    <row r="3" spans="1:21">
      <c r="A3" s="1" t="s">
        <v>195</v>
      </c>
      <c r="L3" s="2"/>
      <c r="M3" s="15" t="s">
        <v>3</v>
      </c>
      <c r="N3" s="15"/>
      <c r="O3" s="15"/>
      <c r="P3" s="15"/>
      <c r="Q3" s="15" t="s">
        <v>196</v>
      </c>
      <c r="R3" s="15"/>
      <c r="S3" s="15"/>
      <c r="T3" s="15"/>
    </row>
    <row r="4" spans="1:21">
      <c r="A4" s="1"/>
      <c r="L4" s="2"/>
      <c r="M4" s="15" t="s">
        <v>242</v>
      </c>
      <c r="N4" s="15"/>
      <c r="O4" s="15" t="s">
        <v>243</v>
      </c>
      <c r="P4" s="15" t="s">
        <v>13</v>
      </c>
      <c r="Q4" s="15" t="s">
        <v>7</v>
      </c>
      <c r="R4" s="15"/>
      <c r="S4" s="15" t="s">
        <v>8</v>
      </c>
      <c r="T4" s="15"/>
    </row>
    <row r="5" spans="1:21" ht="30">
      <c r="M5" s="9" t="s">
        <v>198</v>
      </c>
      <c r="N5" s="9" t="s">
        <v>11</v>
      </c>
      <c r="O5" s="15"/>
      <c r="P5" s="15"/>
      <c r="Q5" s="9" t="s">
        <v>14</v>
      </c>
      <c r="R5" s="9" t="s">
        <v>15</v>
      </c>
      <c r="S5" s="9" t="s">
        <v>14</v>
      </c>
      <c r="T5" s="9" t="s">
        <v>15</v>
      </c>
    </row>
    <row r="6" spans="1:21">
      <c r="M6" s="11">
        <f t="shared" ref="M6:T6" si="0">SUM(M8:M23)</f>
        <v>0</v>
      </c>
      <c r="N6" s="11">
        <f t="shared" si="0"/>
        <v>0</v>
      </c>
      <c r="O6" s="11">
        <f t="shared" si="0"/>
        <v>0</v>
      </c>
      <c r="P6" s="11">
        <f t="shared" si="0"/>
        <v>0</v>
      </c>
      <c r="Q6" s="11">
        <f t="shared" si="0"/>
        <v>5</v>
      </c>
      <c r="R6" s="11">
        <f t="shared" si="0"/>
        <v>8</v>
      </c>
      <c r="S6" s="11">
        <f t="shared" si="0"/>
        <v>0</v>
      </c>
      <c r="T6" s="11">
        <f t="shared" si="0"/>
        <v>0</v>
      </c>
    </row>
    <row r="7" spans="1:21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25</v>
      </c>
      <c r="K7" s="5" t="s">
        <v>26</v>
      </c>
      <c r="L7" s="6" t="s">
        <v>27</v>
      </c>
      <c r="M7" s="12" t="s">
        <v>244</v>
      </c>
      <c r="N7" s="12" t="s">
        <v>245</v>
      </c>
      <c r="O7" s="12" t="s">
        <v>246</v>
      </c>
      <c r="P7" s="12" t="s">
        <v>247</v>
      </c>
      <c r="Q7" s="1" t="s">
        <v>248</v>
      </c>
      <c r="R7" s="1" t="s">
        <v>249</v>
      </c>
      <c r="S7" s="1" t="s">
        <v>250</v>
      </c>
      <c r="T7" s="1" t="s">
        <v>251</v>
      </c>
      <c r="U7" s="1" t="s">
        <v>46</v>
      </c>
    </row>
    <row r="8" spans="1:21">
      <c r="A8" t="s">
        <v>47</v>
      </c>
      <c r="B8" t="s">
        <v>53</v>
      </c>
      <c r="C8" t="s">
        <v>54</v>
      </c>
      <c r="D8">
        <v>304325</v>
      </c>
      <c r="E8" t="s">
        <v>211</v>
      </c>
      <c r="F8" t="s">
        <v>212</v>
      </c>
      <c r="G8" t="s">
        <v>57</v>
      </c>
      <c r="H8" t="s">
        <v>58</v>
      </c>
      <c r="I8" t="s">
        <v>48</v>
      </c>
      <c r="J8" t="s">
        <v>67</v>
      </c>
      <c r="K8" t="s">
        <v>207</v>
      </c>
      <c r="L8" s="8" t="s">
        <v>208</v>
      </c>
      <c r="M8">
        <f>VLOOKUP($D8,[1]Sheet1!$C$13:$L$7014,3,)</f>
        <v>0</v>
      </c>
      <c r="N8">
        <f>VLOOKUP($D8,[1]Sheet1!$C$13:$L$7014,4,)</f>
        <v>0</v>
      </c>
      <c r="O8">
        <f>VLOOKUP($D8,[1]Sheet1!$C$13:$L$7014,5,)</f>
        <v>0</v>
      </c>
      <c r="P8">
        <f>VLOOKUP($D8,[1]Sheet1!$C$13:$L$7014,6,)</f>
        <v>0</v>
      </c>
      <c r="Q8">
        <f>VLOOKUP($D8,[1]Sheet1!$C$13:$L$7014,7,)</f>
        <v>0</v>
      </c>
      <c r="R8">
        <f>VLOOKUP($D8,[1]Sheet1!$C$13:$L$7014,8,)</f>
        <v>0</v>
      </c>
      <c r="S8">
        <f>VLOOKUP($D8,[1]Sheet1!$C$13:$L$7014,9,)</f>
        <v>0</v>
      </c>
      <c r="T8">
        <f>VLOOKUP($D8,[1]Sheet1!$C$13:$L$7014,10,)</f>
        <v>0</v>
      </c>
    </row>
    <row r="9" spans="1:21">
      <c r="A9" t="s">
        <v>47</v>
      </c>
      <c r="B9" t="s">
        <v>53</v>
      </c>
      <c r="C9" t="s">
        <v>54</v>
      </c>
      <c r="D9">
        <v>304326</v>
      </c>
      <c r="E9" t="s">
        <v>213</v>
      </c>
      <c r="F9" t="s">
        <v>214</v>
      </c>
      <c r="G9" t="s">
        <v>57</v>
      </c>
      <c r="H9" t="s">
        <v>58</v>
      </c>
      <c r="I9" t="s">
        <v>48</v>
      </c>
      <c r="J9" t="s">
        <v>67</v>
      </c>
      <c r="K9" t="s">
        <v>207</v>
      </c>
      <c r="L9" s="8" t="s">
        <v>208</v>
      </c>
      <c r="M9">
        <f>VLOOKUP($D9,[1]Sheet1!$C$13:$L$7014,3,)</f>
        <v>0</v>
      </c>
      <c r="N9">
        <f>VLOOKUP($D9,[1]Sheet1!$C$13:$L$7014,4,)</f>
        <v>0</v>
      </c>
      <c r="O9">
        <f>VLOOKUP($D9,[1]Sheet1!$C$13:$L$7014,5,)</f>
        <v>0</v>
      </c>
      <c r="P9">
        <f>VLOOKUP($D9,[1]Sheet1!$C$13:$L$7014,6,)</f>
        <v>0</v>
      </c>
      <c r="Q9">
        <f>VLOOKUP($D9,[1]Sheet1!$C$13:$L$7014,7,)</f>
        <v>0</v>
      </c>
      <c r="R9">
        <f>VLOOKUP($D9,[1]Sheet1!$C$13:$L$7014,8,)</f>
        <v>0</v>
      </c>
      <c r="S9">
        <f>VLOOKUP($D9,[1]Sheet1!$C$13:$L$7014,9,)</f>
        <v>0</v>
      </c>
      <c r="T9">
        <f>VLOOKUP($D9,[1]Sheet1!$C$13:$L$7014,10,)</f>
        <v>0</v>
      </c>
    </row>
    <row r="10" spans="1:21">
      <c r="A10" t="s">
        <v>47</v>
      </c>
      <c r="B10" t="s">
        <v>53</v>
      </c>
      <c r="C10" t="s">
        <v>54</v>
      </c>
      <c r="D10">
        <v>325104</v>
      </c>
      <c r="E10" t="s">
        <v>217</v>
      </c>
      <c r="F10" t="s">
        <v>218</v>
      </c>
      <c r="G10" t="s">
        <v>57</v>
      </c>
      <c r="H10" t="s">
        <v>58</v>
      </c>
      <c r="I10" t="s">
        <v>48</v>
      </c>
      <c r="J10" t="s">
        <v>59</v>
      </c>
      <c r="K10" t="s">
        <v>207</v>
      </c>
      <c r="L10" s="8" t="s">
        <v>208</v>
      </c>
      <c r="M10">
        <f>VLOOKUP($D10,[1]Sheet1!$C$13:$L$7014,3,)</f>
        <v>0</v>
      </c>
      <c r="N10">
        <f>VLOOKUP($D10,[1]Sheet1!$C$13:$L$7014,4,)</f>
        <v>0</v>
      </c>
      <c r="O10">
        <f>VLOOKUP($D10,[1]Sheet1!$C$13:$L$7014,5,)</f>
        <v>0</v>
      </c>
      <c r="P10">
        <f>VLOOKUP($D10,[1]Sheet1!$C$13:$L$7014,6,)</f>
        <v>0</v>
      </c>
      <c r="Q10">
        <f>VLOOKUP($D10,[1]Sheet1!$C$13:$L$7014,7,)</f>
        <v>0</v>
      </c>
      <c r="R10">
        <f>VLOOKUP($D10,[1]Sheet1!$C$13:$L$7014,8,)</f>
        <v>0</v>
      </c>
      <c r="S10">
        <f>VLOOKUP($D10,[1]Sheet1!$C$13:$L$7014,9,)</f>
        <v>0</v>
      </c>
      <c r="T10">
        <f>VLOOKUP($D10,[1]Sheet1!$C$13:$L$7014,10,)</f>
        <v>0</v>
      </c>
    </row>
    <row r="11" spans="1:21">
      <c r="A11" t="s">
        <v>47</v>
      </c>
      <c r="B11" t="s">
        <v>53</v>
      </c>
      <c r="C11" t="s">
        <v>54</v>
      </c>
      <c r="D11">
        <v>500454</v>
      </c>
      <c r="E11" t="s">
        <v>83</v>
      </c>
      <c r="F11" t="s">
        <v>84</v>
      </c>
      <c r="G11" t="s">
        <v>57</v>
      </c>
      <c r="H11" t="s">
        <v>58</v>
      </c>
      <c r="I11" t="s">
        <v>48</v>
      </c>
      <c r="J11" t="s">
        <v>67</v>
      </c>
      <c r="K11" t="s">
        <v>85</v>
      </c>
      <c r="L11" s="8" t="s">
        <v>86</v>
      </c>
      <c r="M11">
        <f>VLOOKUP($D11,[1]Sheet1!$C$13:$L$7014,3,)</f>
        <v>0</v>
      </c>
      <c r="N11">
        <f>VLOOKUP($D11,[1]Sheet1!$C$13:$L$7014,4,)</f>
        <v>0</v>
      </c>
      <c r="O11">
        <f>VLOOKUP($D11,[1]Sheet1!$C$13:$L$7014,5,)</f>
        <v>0</v>
      </c>
      <c r="P11">
        <f>VLOOKUP($D11,[1]Sheet1!$C$13:$L$7014,6,)</f>
        <v>0</v>
      </c>
      <c r="Q11">
        <f>VLOOKUP($D11,[1]Sheet1!$C$13:$L$7014,7,)</f>
        <v>0</v>
      </c>
      <c r="R11">
        <f>VLOOKUP($D11,[1]Sheet1!$C$13:$L$7014,8,)</f>
        <v>0</v>
      </c>
      <c r="S11">
        <f>VLOOKUP($D11,[1]Sheet1!$C$13:$L$7014,9,)</f>
        <v>0</v>
      </c>
      <c r="T11">
        <f>VLOOKUP($D11,[1]Sheet1!$C$13:$L$7014,10,)</f>
        <v>0</v>
      </c>
    </row>
    <row r="12" spans="1:21">
      <c r="A12" t="s">
        <v>47</v>
      </c>
      <c r="B12" t="s">
        <v>53</v>
      </c>
      <c r="C12" t="s">
        <v>90</v>
      </c>
      <c r="D12">
        <v>304303</v>
      </c>
      <c r="E12" t="s">
        <v>219</v>
      </c>
      <c r="F12" t="s">
        <v>220</v>
      </c>
      <c r="G12" t="s">
        <v>57</v>
      </c>
      <c r="H12" t="s">
        <v>58</v>
      </c>
      <c r="I12" t="s">
        <v>48</v>
      </c>
      <c r="J12" t="s">
        <v>96</v>
      </c>
      <c r="K12" t="s">
        <v>207</v>
      </c>
      <c r="L12" s="8" t="s">
        <v>208</v>
      </c>
      <c r="M12">
        <f>VLOOKUP($D12,[1]Sheet1!$C$13:$L$7014,3,)</f>
        <v>0</v>
      </c>
      <c r="N12">
        <f>VLOOKUP($D12,[1]Sheet1!$C$13:$L$7014,4,)</f>
        <v>0</v>
      </c>
      <c r="O12">
        <f>VLOOKUP($D12,[1]Sheet1!$C$13:$L$7014,5,)</f>
        <v>0</v>
      </c>
      <c r="P12">
        <f>VLOOKUP($D12,[1]Sheet1!$C$13:$L$7014,6,)</f>
        <v>0</v>
      </c>
      <c r="Q12">
        <f>VLOOKUP($D12,[1]Sheet1!$C$13:$L$7014,7,)</f>
        <v>0</v>
      </c>
      <c r="R12">
        <f>VLOOKUP($D12,[1]Sheet1!$C$13:$L$7014,8,)</f>
        <v>0</v>
      </c>
      <c r="S12">
        <f>VLOOKUP($D12,[1]Sheet1!$C$13:$L$7014,9,)</f>
        <v>0</v>
      </c>
      <c r="T12">
        <f>VLOOKUP($D12,[1]Sheet1!$C$13:$L$7014,10,)</f>
        <v>0</v>
      </c>
    </row>
    <row r="13" spans="1:21">
      <c r="A13" t="s">
        <v>47</v>
      </c>
      <c r="B13" t="s">
        <v>53</v>
      </c>
      <c r="C13" t="s">
        <v>90</v>
      </c>
      <c r="D13">
        <v>304305</v>
      </c>
      <c r="E13" t="s">
        <v>221</v>
      </c>
      <c r="F13" t="s">
        <v>222</v>
      </c>
      <c r="G13" t="s">
        <v>57</v>
      </c>
      <c r="H13" t="s">
        <v>58</v>
      </c>
      <c r="I13" t="s">
        <v>48</v>
      </c>
      <c r="J13" t="s">
        <v>107</v>
      </c>
      <c r="K13" t="s">
        <v>207</v>
      </c>
      <c r="L13" s="8" t="s">
        <v>208</v>
      </c>
      <c r="M13">
        <f>VLOOKUP($D13,[1]Sheet1!$C$13:$L$7014,3,)</f>
        <v>0</v>
      </c>
      <c r="N13">
        <f>VLOOKUP($D13,[1]Sheet1!$C$13:$L$7014,4,)</f>
        <v>0</v>
      </c>
      <c r="O13">
        <f>VLOOKUP($D13,[1]Sheet1!$C$13:$L$7014,5,)</f>
        <v>0</v>
      </c>
      <c r="P13">
        <f>VLOOKUP($D13,[1]Sheet1!$C$13:$L$7014,6,)</f>
        <v>0</v>
      </c>
      <c r="Q13">
        <f>VLOOKUP($D13,[1]Sheet1!$C$13:$L$7014,7,)</f>
        <v>0</v>
      </c>
      <c r="R13">
        <f>VLOOKUP($D13,[1]Sheet1!$C$13:$L$7014,8,)</f>
        <v>0</v>
      </c>
      <c r="S13">
        <f>VLOOKUP($D13,[1]Sheet1!$C$13:$L$7014,9,)</f>
        <v>0</v>
      </c>
      <c r="T13">
        <f>VLOOKUP($D13,[1]Sheet1!$C$13:$L$7014,10,)</f>
        <v>0</v>
      </c>
    </row>
    <row r="14" spans="1:21">
      <c r="A14" t="s">
        <v>47</v>
      </c>
      <c r="B14" t="s">
        <v>53</v>
      </c>
      <c r="C14" t="s">
        <v>90</v>
      </c>
      <c r="D14">
        <v>304314</v>
      </c>
      <c r="E14" t="s">
        <v>223</v>
      </c>
      <c r="F14" t="s">
        <v>127</v>
      </c>
      <c r="G14" t="s">
        <v>57</v>
      </c>
      <c r="H14" t="s">
        <v>58</v>
      </c>
      <c r="I14" t="s">
        <v>48</v>
      </c>
      <c r="J14" t="s">
        <v>128</v>
      </c>
      <c r="K14" t="s">
        <v>207</v>
      </c>
      <c r="L14" s="8" t="s">
        <v>208</v>
      </c>
      <c r="M14">
        <f>VLOOKUP($D14,[1]Sheet1!$C$13:$L$7014,3,)</f>
        <v>0</v>
      </c>
      <c r="N14">
        <f>VLOOKUP($D14,[1]Sheet1!$C$13:$L$7014,4,)</f>
        <v>0</v>
      </c>
      <c r="O14">
        <f>VLOOKUP($D14,[1]Sheet1!$C$13:$L$7014,5,)</f>
        <v>0</v>
      </c>
      <c r="P14">
        <f>VLOOKUP($D14,[1]Sheet1!$C$13:$L$7014,6,)</f>
        <v>0</v>
      </c>
      <c r="Q14">
        <f>VLOOKUP($D14,[1]Sheet1!$C$13:$L$7014,7,)</f>
        <v>0</v>
      </c>
      <c r="R14">
        <f>VLOOKUP($D14,[1]Sheet1!$C$13:$L$7014,8,)</f>
        <v>0</v>
      </c>
      <c r="S14">
        <f>VLOOKUP($D14,[1]Sheet1!$C$13:$L$7014,9,)</f>
        <v>0</v>
      </c>
      <c r="T14">
        <f>VLOOKUP($D14,[1]Sheet1!$C$13:$L$7014,10,)</f>
        <v>0</v>
      </c>
    </row>
    <row r="15" spans="1:21">
      <c r="A15" t="s">
        <v>47</v>
      </c>
      <c r="B15" t="s">
        <v>53</v>
      </c>
      <c r="C15" t="s">
        <v>90</v>
      </c>
      <c r="D15">
        <v>304327</v>
      </c>
      <c r="E15" t="s">
        <v>224</v>
      </c>
      <c r="F15" t="s">
        <v>225</v>
      </c>
      <c r="G15" t="s">
        <v>57</v>
      </c>
      <c r="H15" t="s">
        <v>58</v>
      </c>
      <c r="I15" t="s">
        <v>48</v>
      </c>
      <c r="J15" t="s">
        <v>125</v>
      </c>
      <c r="K15" t="s">
        <v>207</v>
      </c>
      <c r="L15" s="8" t="s">
        <v>208</v>
      </c>
      <c r="M15">
        <f>VLOOKUP($D15,[1]Sheet1!$C$13:$L$7014,3,)</f>
        <v>0</v>
      </c>
      <c r="N15">
        <f>VLOOKUP($D15,[1]Sheet1!$C$13:$L$7014,4,)</f>
        <v>0</v>
      </c>
      <c r="O15">
        <f>VLOOKUP($D15,[1]Sheet1!$C$13:$L$7014,5,)</f>
        <v>0</v>
      </c>
      <c r="P15">
        <f>VLOOKUP($D15,[1]Sheet1!$C$13:$L$7014,6,)</f>
        <v>0</v>
      </c>
      <c r="Q15">
        <f>VLOOKUP($D15,[1]Sheet1!$C$13:$L$7014,7,)</f>
        <v>3</v>
      </c>
      <c r="R15">
        <f>VLOOKUP($D15,[1]Sheet1!$C$13:$L$7014,8,)</f>
        <v>5</v>
      </c>
      <c r="S15">
        <f>VLOOKUP($D15,[1]Sheet1!$C$13:$L$7014,9,)</f>
        <v>0</v>
      </c>
      <c r="T15">
        <f>VLOOKUP($D15,[1]Sheet1!$C$13:$L$7014,10,)</f>
        <v>0</v>
      </c>
    </row>
    <row r="16" spans="1:21">
      <c r="A16" t="s">
        <v>47</v>
      </c>
      <c r="B16" t="s">
        <v>53</v>
      </c>
      <c r="C16" t="s">
        <v>90</v>
      </c>
      <c r="D16">
        <v>304328</v>
      </c>
      <c r="E16" t="s">
        <v>226</v>
      </c>
      <c r="F16" t="s">
        <v>227</v>
      </c>
      <c r="G16" t="s">
        <v>57</v>
      </c>
      <c r="H16" t="s">
        <v>58</v>
      </c>
      <c r="I16" t="s">
        <v>48</v>
      </c>
      <c r="J16" t="s">
        <v>102</v>
      </c>
      <c r="K16" t="s">
        <v>207</v>
      </c>
      <c r="L16" s="8" t="s">
        <v>208</v>
      </c>
      <c r="M16">
        <f>VLOOKUP($D16,[1]Sheet1!$C$13:$L$7014,3,)</f>
        <v>0</v>
      </c>
      <c r="N16">
        <f>VLOOKUP($D16,[1]Sheet1!$C$13:$L$7014,4,)</f>
        <v>0</v>
      </c>
      <c r="O16">
        <f>VLOOKUP($D16,[1]Sheet1!$C$13:$L$7014,5,)</f>
        <v>0</v>
      </c>
      <c r="P16">
        <f>VLOOKUP($D16,[1]Sheet1!$C$13:$L$7014,6,)</f>
        <v>0</v>
      </c>
      <c r="Q16">
        <f>VLOOKUP($D16,[1]Sheet1!$C$13:$L$7014,7,)</f>
        <v>0</v>
      </c>
      <c r="R16">
        <f>VLOOKUP($D16,[1]Sheet1!$C$13:$L$7014,8,)</f>
        <v>0</v>
      </c>
      <c r="S16">
        <f>VLOOKUP($D16,[1]Sheet1!$C$13:$L$7014,9,)</f>
        <v>0</v>
      </c>
      <c r="T16">
        <f>VLOOKUP($D16,[1]Sheet1!$C$13:$L$7014,10,)</f>
        <v>0</v>
      </c>
    </row>
    <row r="17" spans="1:20">
      <c r="A17" t="s">
        <v>47</v>
      </c>
      <c r="B17" t="s">
        <v>53</v>
      </c>
      <c r="C17" t="s">
        <v>90</v>
      </c>
      <c r="D17">
        <v>304338</v>
      </c>
      <c r="E17" t="s">
        <v>228</v>
      </c>
      <c r="F17" t="s">
        <v>229</v>
      </c>
      <c r="G17" t="s">
        <v>57</v>
      </c>
      <c r="H17" t="s">
        <v>58</v>
      </c>
      <c r="I17" t="s">
        <v>48</v>
      </c>
      <c r="J17" t="s">
        <v>142</v>
      </c>
      <c r="K17" t="s">
        <v>207</v>
      </c>
      <c r="L17" s="8" t="s">
        <v>208</v>
      </c>
      <c r="M17">
        <f>VLOOKUP($D17,[1]Sheet1!$C$13:$L$7014,3,)</f>
        <v>0</v>
      </c>
      <c r="N17">
        <f>VLOOKUP($D17,[1]Sheet1!$C$13:$L$7014,4,)</f>
        <v>0</v>
      </c>
      <c r="O17">
        <f>VLOOKUP($D17,[1]Sheet1!$C$13:$L$7014,5,)</f>
        <v>0</v>
      </c>
      <c r="P17">
        <f>VLOOKUP($D17,[1]Sheet1!$C$13:$L$7014,6,)</f>
        <v>0</v>
      </c>
      <c r="Q17">
        <f>VLOOKUP($D17,[1]Sheet1!$C$13:$L$7014,7,)</f>
        <v>0</v>
      </c>
      <c r="R17">
        <f>VLOOKUP($D17,[1]Sheet1!$C$13:$L$7014,8,)</f>
        <v>0</v>
      </c>
      <c r="S17">
        <f>VLOOKUP($D17,[1]Sheet1!$C$13:$L$7014,9,)</f>
        <v>0</v>
      </c>
      <c r="T17">
        <f>VLOOKUP($D17,[1]Sheet1!$C$13:$L$7014,10,)</f>
        <v>0</v>
      </c>
    </row>
    <row r="18" spans="1:20">
      <c r="A18" t="s">
        <v>47</v>
      </c>
      <c r="B18" t="s">
        <v>53</v>
      </c>
      <c r="C18" t="s">
        <v>90</v>
      </c>
      <c r="D18">
        <v>316104</v>
      </c>
      <c r="E18" t="s">
        <v>230</v>
      </c>
      <c r="F18" t="s">
        <v>193</v>
      </c>
      <c r="G18" t="s">
        <v>57</v>
      </c>
      <c r="H18" t="s">
        <v>58</v>
      </c>
      <c r="I18" t="s">
        <v>48</v>
      </c>
      <c r="J18" t="s">
        <v>113</v>
      </c>
      <c r="K18" t="s">
        <v>207</v>
      </c>
      <c r="L18" s="8" t="s">
        <v>208</v>
      </c>
      <c r="M18">
        <f>VLOOKUP($D18,[1]Sheet1!$C$13:$L$7014,3,)</f>
        <v>0</v>
      </c>
      <c r="N18">
        <f>VLOOKUP($D18,[1]Sheet1!$C$13:$L$7014,4,)</f>
        <v>0</v>
      </c>
      <c r="O18">
        <f>VLOOKUP($D18,[1]Sheet1!$C$13:$L$7014,5,)</f>
        <v>0</v>
      </c>
      <c r="P18">
        <f>VLOOKUP($D18,[1]Sheet1!$C$13:$L$7014,6,)</f>
        <v>0</v>
      </c>
      <c r="Q18">
        <f>VLOOKUP($D18,[1]Sheet1!$C$13:$L$7014,7,)</f>
        <v>0</v>
      </c>
      <c r="R18">
        <f>VLOOKUP($D18,[1]Sheet1!$C$13:$L$7014,8,)</f>
        <v>0</v>
      </c>
      <c r="S18">
        <f>VLOOKUP($D18,[1]Sheet1!$C$13:$L$7014,9,)</f>
        <v>0</v>
      </c>
      <c r="T18">
        <f>VLOOKUP($D18,[1]Sheet1!$C$13:$L$7014,10,)</f>
        <v>0</v>
      </c>
    </row>
    <row r="19" spans="1:20">
      <c r="A19" t="s">
        <v>47</v>
      </c>
      <c r="B19" t="s">
        <v>53</v>
      </c>
      <c r="C19" t="s">
        <v>90</v>
      </c>
      <c r="D19">
        <v>325102</v>
      </c>
      <c r="E19" t="s">
        <v>233</v>
      </c>
      <c r="F19" t="s">
        <v>234</v>
      </c>
      <c r="G19" t="s">
        <v>57</v>
      </c>
      <c r="H19" t="s">
        <v>58</v>
      </c>
      <c r="I19" t="s">
        <v>48</v>
      </c>
      <c r="J19" t="s">
        <v>99</v>
      </c>
      <c r="K19" t="s">
        <v>207</v>
      </c>
      <c r="L19" s="8" t="s">
        <v>208</v>
      </c>
      <c r="M19">
        <f>VLOOKUP($D19,[1]Sheet1!$C$13:$L$7014,3,)</f>
        <v>0</v>
      </c>
      <c r="N19">
        <f>VLOOKUP($D19,[1]Sheet1!$C$13:$L$7014,4,)</f>
        <v>0</v>
      </c>
      <c r="O19">
        <f>VLOOKUP($D19,[1]Sheet1!$C$13:$L$7014,5,)</f>
        <v>0</v>
      </c>
      <c r="P19">
        <f>VLOOKUP($D19,[1]Sheet1!$C$13:$L$7014,6,)</f>
        <v>0</v>
      </c>
      <c r="Q19">
        <f>VLOOKUP($D19,[1]Sheet1!$C$13:$L$7014,7,)</f>
        <v>0</v>
      </c>
      <c r="R19">
        <f>VLOOKUP($D19,[1]Sheet1!$C$13:$L$7014,8,)</f>
        <v>0</v>
      </c>
      <c r="S19">
        <f>VLOOKUP($D19,[1]Sheet1!$C$13:$L$7014,9,)</f>
        <v>0</v>
      </c>
      <c r="T19">
        <f>VLOOKUP($D19,[1]Sheet1!$C$13:$L$7014,10,)</f>
        <v>0</v>
      </c>
    </row>
    <row r="20" spans="1:20">
      <c r="A20" t="s">
        <v>47</v>
      </c>
      <c r="B20" t="s">
        <v>53</v>
      </c>
      <c r="C20" t="s">
        <v>90</v>
      </c>
      <c r="D20">
        <v>325106</v>
      </c>
      <c r="E20" t="s">
        <v>235</v>
      </c>
      <c r="F20" t="s">
        <v>177</v>
      </c>
      <c r="G20" t="s">
        <v>57</v>
      </c>
      <c r="H20" t="s">
        <v>58</v>
      </c>
      <c r="I20" t="s">
        <v>48</v>
      </c>
      <c r="J20" t="s">
        <v>151</v>
      </c>
      <c r="K20" t="s">
        <v>207</v>
      </c>
      <c r="L20" s="8" t="s">
        <v>208</v>
      </c>
      <c r="M20">
        <f>VLOOKUP($D20,[1]Sheet1!$C$13:$L$7014,3,)</f>
        <v>0</v>
      </c>
      <c r="N20">
        <f>VLOOKUP($D20,[1]Sheet1!$C$13:$L$7014,4,)</f>
        <v>0</v>
      </c>
      <c r="O20">
        <f>VLOOKUP($D20,[1]Sheet1!$C$13:$L$7014,5,)</f>
        <v>0</v>
      </c>
      <c r="P20">
        <f>VLOOKUP($D20,[1]Sheet1!$C$13:$L$7014,6,)</f>
        <v>0</v>
      </c>
      <c r="Q20">
        <f>VLOOKUP($D20,[1]Sheet1!$C$13:$L$7014,7,)</f>
        <v>0</v>
      </c>
      <c r="R20">
        <f>VLOOKUP($D20,[1]Sheet1!$C$13:$L$7014,8,)</f>
        <v>0</v>
      </c>
      <c r="S20">
        <f>VLOOKUP($D20,[1]Sheet1!$C$13:$L$7014,9,)</f>
        <v>0</v>
      </c>
      <c r="T20">
        <f>VLOOKUP($D20,[1]Sheet1!$C$13:$L$7014,10,)</f>
        <v>0</v>
      </c>
    </row>
    <row r="21" spans="1:20">
      <c r="A21" t="s">
        <v>47</v>
      </c>
      <c r="B21" t="s">
        <v>53</v>
      </c>
      <c r="C21" t="s">
        <v>154</v>
      </c>
      <c r="D21">
        <v>304313</v>
      </c>
      <c r="E21" t="s">
        <v>236</v>
      </c>
      <c r="F21" t="s">
        <v>237</v>
      </c>
      <c r="G21" t="s">
        <v>57</v>
      </c>
      <c r="H21" t="s">
        <v>58</v>
      </c>
      <c r="I21" t="s">
        <v>48</v>
      </c>
      <c r="J21" t="s">
        <v>163</v>
      </c>
      <c r="K21" t="s">
        <v>207</v>
      </c>
      <c r="L21" s="8" t="s">
        <v>208</v>
      </c>
      <c r="M21">
        <f>VLOOKUP($D21,[1]Sheet1!$C$13:$L$7014,3,)</f>
        <v>0</v>
      </c>
      <c r="N21">
        <f>VLOOKUP($D21,[1]Sheet1!$C$13:$L$7014,4,)</f>
        <v>0</v>
      </c>
      <c r="O21">
        <f>VLOOKUP($D21,[1]Sheet1!$C$13:$L$7014,5,)</f>
        <v>0</v>
      </c>
      <c r="P21">
        <f>VLOOKUP($D21,[1]Sheet1!$C$13:$L$7014,6,)</f>
        <v>0</v>
      </c>
      <c r="Q21">
        <f>VLOOKUP($D21,[1]Sheet1!$C$13:$L$7014,7,)</f>
        <v>0</v>
      </c>
      <c r="R21">
        <f>VLOOKUP($D21,[1]Sheet1!$C$13:$L$7014,8,)</f>
        <v>0</v>
      </c>
      <c r="S21">
        <f>VLOOKUP($D21,[1]Sheet1!$C$13:$L$7014,9,)</f>
        <v>0</v>
      </c>
      <c r="T21">
        <f>VLOOKUP($D21,[1]Sheet1!$C$13:$L$7014,10,)</f>
        <v>0</v>
      </c>
    </row>
    <row r="22" spans="1:20">
      <c r="A22" t="s">
        <v>47</v>
      </c>
      <c r="B22" t="s">
        <v>53</v>
      </c>
      <c r="C22" t="s">
        <v>154</v>
      </c>
      <c r="D22">
        <v>304318</v>
      </c>
      <c r="E22" t="s">
        <v>238</v>
      </c>
      <c r="F22" t="s">
        <v>239</v>
      </c>
      <c r="G22" t="s">
        <v>57</v>
      </c>
      <c r="H22" t="s">
        <v>58</v>
      </c>
      <c r="I22" t="s">
        <v>48</v>
      </c>
      <c r="J22" t="s">
        <v>171</v>
      </c>
      <c r="K22" t="s">
        <v>207</v>
      </c>
      <c r="L22" s="8" t="s">
        <v>208</v>
      </c>
      <c r="M22">
        <f>VLOOKUP($D22,[1]Sheet1!$C$13:$L$7014,3,)</f>
        <v>0</v>
      </c>
      <c r="N22">
        <f>VLOOKUP($D22,[1]Sheet1!$C$13:$L$7014,4,)</f>
        <v>0</v>
      </c>
      <c r="O22">
        <f>VLOOKUP($D22,[1]Sheet1!$C$13:$L$7014,5,)</f>
        <v>0</v>
      </c>
      <c r="P22">
        <f>VLOOKUP($D22,[1]Sheet1!$C$13:$L$7014,6,)</f>
        <v>0</v>
      </c>
      <c r="Q22">
        <f>VLOOKUP($D22,[1]Sheet1!$C$13:$L$7014,7,)</f>
        <v>2</v>
      </c>
      <c r="R22">
        <f>VLOOKUP($D22,[1]Sheet1!$C$13:$L$7014,8,)</f>
        <v>3</v>
      </c>
      <c r="S22">
        <f>VLOOKUP($D22,[1]Sheet1!$C$13:$L$7014,9,)</f>
        <v>0</v>
      </c>
      <c r="T22">
        <f>VLOOKUP($D22,[1]Sheet1!$C$13:$L$7014,10,)</f>
        <v>0</v>
      </c>
    </row>
    <row r="23" spans="1:20">
      <c r="A23" t="s">
        <v>47</v>
      </c>
      <c r="B23" t="s">
        <v>53</v>
      </c>
      <c r="C23" t="s">
        <v>154</v>
      </c>
      <c r="D23">
        <v>325105</v>
      </c>
      <c r="E23" t="s">
        <v>240</v>
      </c>
      <c r="F23" t="s">
        <v>173</v>
      </c>
      <c r="G23" t="s">
        <v>57</v>
      </c>
      <c r="H23" t="s">
        <v>58</v>
      </c>
      <c r="I23" t="s">
        <v>48</v>
      </c>
      <c r="J23" t="s">
        <v>157</v>
      </c>
      <c r="K23" t="s">
        <v>207</v>
      </c>
      <c r="L23" s="8" t="s">
        <v>208</v>
      </c>
      <c r="M23">
        <f>VLOOKUP($D23,[1]Sheet1!$C$13:$L$7014,3,)</f>
        <v>0</v>
      </c>
      <c r="N23">
        <f>VLOOKUP($D23,[1]Sheet1!$C$13:$L$7014,4,)</f>
        <v>0</v>
      </c>
      <c r="O23">
        <f>VLOOKUP($D23,[1]Sheet1!$C$13:$L$7014,5,)</f>
        <v>0</v>
      </c>
      <c r="P23">
        <f>VLOOKUP($D23,[1]Sheet1!$C$13:$L$7014,6,)</f>
        <v>0</v>
      </c>
      <c r="Q23">
        <f>VLOOKUP($D23,[1]Sheet1!$C$13:$L$7014,7,)</f>
        <v>0</v>
      </c>
      <c r="R23">
        <f>VLOOKUP($D23,[1]Sheet1!$C$13:$L$7014,8,)</f>
        <v>0</v>
      </c>
      <c r="S23">
        <f>VLOOKUP($D23,[1]Sheet1!$C$13:$L$7014,9,)</f>
        <v>0</v>
      </c>
      <c r="T23">
        <f>VLOOKUP($D23,[1]Sheet1!$C$13:$L$7014,10,)</f>
        <v>0</v>
      </c>
    </row>
  </sheetData>
  <autoFilter ref="A7:U23" xr:uid="{00000000-0009-0000-0000-000003000000}"/>
  <mergeCells count="7">
    <mergeCell ref="M3:P3"/>
    <mergeCell ref="Q3:T3"/>
    <mergeCell ref="M4:N4"/>
    <mergeCell ref="O4:O5"/>
    <mergeCell ref="P4:P5"/>
    <mergeCell ref="Q4:R4"/>
    <mergeCell ref="S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2023-07-31T05:29:21Z</dcterms:created>
  <dcterms:modified xsi:type="dcterms:W3CDTF">2023-08-01T00:16:18Z</dcterms:modified>
</cp:coreProperties>
</file>