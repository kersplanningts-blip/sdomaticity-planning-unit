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9592A342-42C0-4502-8AA2-E67D8C426CD2}" xr6:coauthVersionLast="47" xr6:coauthVersionMax="47" xr10:uidLastSave="{00000000-0000-0000-0000-000000000000}"/>
  <bookViews>
    <workbookView xWindow="-120" yWindow="-120" windowWidth="29040" windowHeight="15720" xr2:uid="{2DC4617C-F77F-42FF-A9D2-A223838BE571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ES!$A$10:$ABU$64</definedName>
    <definedName name="_xlnm._FilterDatabase" localSheetId="1" hidden="1">JHS!$A$8:$GP$30</definedName>
    <definedName name="_xlnm._FilterDatabase" localSheetId="2" hidden="1">SHS!$A$8:$LA$8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Z24" i="3" l="1"/>
  <c r="LA24" i="3" s="1"/>
  <c r="KX24" i="3"/>
  <c r="KW24" i="3"/>
  <c r="KZ23" i="3"/>
  <c r="LA23" i="3" s="1"/>
  <c r="KX23" i="3"/>
  <c r="KW23" i="3"/>
  <c r="KY23" i="3" s="1"/>
  <c r="KZ22" i="3"/>
  <c r="LA22" i="3" s="1"/>
  <c r="KX22" i="3"/>
  <c r="KW22" i="3"/>
  <c r="KZ21" i="3"/>
  <c r="LA21" i="3" s="1"/>
  <c r="KX21" i="3"/>
  <c r="KW21" i="3"/>
  <c r="KZ20" i="3"/>
  <c r="LA20" i="3" s="1"/>
  <c r="KX20" i="3"/>
  <c r="KW20" i="3"/>
  <c r="KZ19" i="3"/>
  <c r="LA19" i="3" s="1"/>
  <c r="KX19" i="3"/>
  <c r="KW19" i="3"/>
  <c r="KZ18" i="3"/>
  <c r="LA18" i="3" s="1"/>
  <c r="KX18" i="3"/>
  <c r="KW18" i="3"/>
  <c r="LA17" i="3"/>
  <c r="KZ17" i="3"/>
  <c r="KX17" i="3"/>
  <c r="KW17" i="3"/>
  <c r="KZ16" i="3"/>
  <c r="LA16" i="3" s="1"/>
  <c r="KX16" i="3"/>
  <c r="KY16" i="3" s="1"/>
  <c r="KW16" i="3"/>
  <c r="KZ15" i="3"/>
  <c r="LA15" i="3" s="1"/>
  <c r="KX15" i="3"/>
  <c r="KW15" i="3"/>
  <c r="KY15" i="3" s="1"/>
  <c r="KZ14" i="3"/>
  <c r="LA14" i="3" s="1"/>
  <c r="KX14" i="3"/>
  <c r="KW14" i="3"/>
  <c r="KZ13" i="3"/>
  <c r="LA13" i="3" s="1"/>
  <c r="KX13" i="3"/>
  <c r="KW13" i="3"/>
  <c r="LA12" i="3"/>
  <c r="KZ12" i="3"/>
  <c r="KX12" i="3"/>
  <c r="KW12" i="3"/>
  <c r="KZ11" i="3"/>
  <c r="LA11" i="3" s="1"/>
  <c r="KX11" i="3"/>
  <c r="KW11" i="3"/>
  <c r="KZ10" i="3"/>
  <c r="LA10" i="3" s="1"/>
  <c r="KX10" i="3"/>
  <c r="KW10" i="3"/>
  <c r="KZ9" i="3"/>
  <c r="LA9" i="3" s="1"/>
  <c r="KX9" i="3"/>
  <c r="KW9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GP30" i="2"/>
  <c r="GQ30" i="2" s="1"/>
  <c r="GN30" i="2"/>
  <c r="GM30" i="2"/>
  <c r="GP29" i="2"/>
  <c r="GQ29" i="2" s="1"/>
  <c r="GN29" i="2"/>
  <c r="GM29" i="2"/>
  <c r="GP28" i="2"/>
  <c r="GQ28" i="2" s="1"/>
  <c r="GN28" i="2"/>
  <c r="GO28" i="2" s="1"/>
  <c r="GM28" i="2"/>
  <c r="GP27" i="2"/>
  <c r="GQ27" i="2" s="1"/>
  <c r="GN27" i="2"/>
  <c r="GM27" i="2"/>
  <c r="GP26" i="2"/>
  <c r="GQ26" i="2" s="1"/>
  <c r="GN26" i="2"/>
  <c r="GM26" i="2"/>
  <c r="GP25" i="2"/>
  <c r="GQ25" i="2" s="1"/>
  <c r="GN25" i="2"/>
  <c r="GM25" i="2"/>
  <c r="GP24" i="2"/>
  <c r="GQ24" i="2" s="1"/>
  <c r="GN24" i="2"/>
  <c r="GM24" i="2"/>
  <c r="GP23" i="2"/>
  <c r="GQ23" i="2" s="1"/>
  <c r="GN23" i="2"/>
  <c r="GM23" i="2"/>
  <c r="GP22" i="2"/>
  <c r="GQ22" i="2" s="1"/>
  <c r="GN22" i="2"/>
  <c r="GM22" i="2"/>
  <c r="GP21" i="2"/>
  <c r="GQ21" i="2" s="1"/>
  <c r="GN21" i="2"/>
  <c r="GM21" i="2"/>
  <c r="GP20" i="2"/>
  <c r="GQ20" i="2" s="1"/>
  <c r="GN20" i="2"/>
  <c r="GM20" i="2"/>
  <c r="GP19" i="2"/>
  <c r="GQ19" i="2" s="1"/>
  <c r="GN19" i="2"/>
  <c r="GM19" i="2"/>
  <c r="GP18" i="2"/>
  <c r="GQ18" i="2" s="1"/>
  <c r="GN18" i="2"/>
  <c r="GM18" i="2"/>
  <c r="GO18" i="2" s="1"/>
  <c r="GQ17" i="2"/>
  <c r="GP17" i="2"/>
  <c r="GN17" i="2"/>
  <c r="GM17" i="2"/>
  <c r="GP16" i="2"/>
  <c r="GQ16" i="2" s="1"/>
  <c r="GN16" i="2"/>
  <c r="GO16" i="2" s="1"/>
  <c r="GM16" i="2"/>
  <c r="GP15" i="2"/>
  <c r="GQ15" i="2" s="1"/>
  <c r="GN15" i="2"/>
  <c r="GM15" i="2"/>
  <c r="GO15" i="2" s="1"/>
  <c r="GP14" i="2"/>
  <c r="GQ14" i="2" s="1"/>
  <c r="GN14" i="2"/>
  <c r="GM14" i="2"/>
  <c r="GP13" i="2"/>
  <c r="GQ13" i="2" s="1"/>
  <c r="GN13" i="2"/>
  <c r="GM13" i="2"/>
  <c r="GO13" i="2" s="1"/>
  <c r="GP12" i="2"/>
  <c r="GQ12" i="2" s="1"/>
  <c r="GN12" i="2"/>
  <c r="GM12" i="2"/>
  <c r="GP11" i="2"/>
  <c r="GQ11" i="2" s="1"/>
  <c r="GN11" i="2"/>
  <c r="GM11" i="2"/>
  <c r="GP10" i="2"/>
  <c r="GQ10" i="2" s="1"/>
  <c r="GN10" i="2"/>
  <c r="GM10" i="2"/>
  <c r="GP9" i="2"/>
  <c r="GQ9" i="2" s="1"/>
  <c r="GN9" i="2"/>
  <c r="GO9" i="2" s="1"/>
  <c r="GM9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CD64" i="1"/>
  <c r="ACH64" i="1" s="1"/>
  <c r="ACB64" i="1"/>
  <c r="ACF64" i="1" s="1"/>
  <c r="ABW64" i="1"/>
  <c r="ABV64" i="1"/>
  <c r="UL64" i="1"/>
  <c r="UK64" i="1"/>
  <c r="KC64" i="1"/>
  <c r="KB64" i="1"/>
  <c r="KD64" i="1" s="1"/>
  <c r="T64" i="1"/>
  <c r="S64" i="1"/>
  <c r="U64" i="1" s="1"/>
  <c r="ACD63" i="1"/>
  <c r="ACH63" i="1" s="1"/>
  <c r="ACB63" i="1"/>
  <c r="ACF63" i="1" s="1"/>
  <c r="ABW63" i="1"/>
  <c r="ABV63" i="1"/>
  <c r="UL63" i="1"/>
  <c r="UK63" i="1"/>
  <c r="UM63" i="1" s="1"/>
  <c r="KC63" i="1"/>
  <c r="KB63" i="1"/>
  <c r="KD63" i="1" s="1"/>
  <c r="ACC63" i="1" s="1"/>
  <c r="ACG63" i="1" s="1"/>
  <c r="T63" i="1"/>
  <c r="S63" i="1"/>
  <c r="ACD62" i="1"/>
  <c r="ACH62" i="1" s="1"/>
  <c r="ACB62" i="1"/>
  <c r="ACF62" i="1" s="1"/>
  <c r="ABW62" i="1"/>
  <c r="ABV62" i="1"/>
  <c r="UL62" i="1"/>
  <c r="UK62" i="1"/>
  <c r="UM62" i="1" s="1"/>
  <c r="KC62" i="1"/>
  <c r="KD62" i="1" s="1"/>
  <c r="ACC62" i="1" s="1"/>
  <c r="KB62" i="1"/>
  <c r="T62" i="1"/>
  <c r="S62" i="1"/>
  <c r="U62" i="1" s="1"/>
  <c r="ACD61" i="1"/>
  <c r="ACH61" i="1" s="1"/>
  <c r="ACB61" i="1"/>
  <c r="ABW61" i="1"/>
  <c r="ABV61" i="1"/>
  <c r="UL61" i="1"/>
  <c r="UK61" i="1"/>
  <c r="UM61" i="1" s="1"/>
  <c r="KC61" i="1"/>
  <c r="KB61" i="1"/>
  <c r="T61" i="1"/>
  <c r="S61" i="1"/>
  <c r="ACD60" i="1"/>
  <c r="ACH60" i="1" s="1"/>
  <c r="ACB60" i="1"/>
  <c r="ABW60" i="1"/>
  <c r="ABV60" i="1"/>
  <c r="UL60" i="1"/>
  <c r="UK60" i="1"/>
  <c r="UM60" i="1" s="1"/>
  <c r="KC60" i="1"/>
  <c r="KB60" i="1"/>
  <c r="KD60" i="1" s="1"/>
  <c r="ACC60" i="1" s="1"/>
  <c r="ACG60" i="1" s="1"/>
  <c r="U60" i="1"/>
  <c r="T60" i="1"/>
  <c r="S60" i="1"/>
  <c r="ACD59" i="1"/>
  <c r="ACH59" i="1" s="1"/>
  <c r="ACB59" i="1"/>
  <c r="ACF59" i="1" s="1"/>
  <c r="ABW59" i="1"/>
  <c r="ABV59" i="1"/>
  <c r="UL59" i="1"/>
  <c r="UM59" i="1" s="1"/>
  <c r="UK59" i="1"/>
  <c r="KC59" i="1"/>
  <c r="KB59" i="1"/>
  <c r="KD59" i="1" s="1"/>
  <c r="T59" i="1"/>
  <c r="S59" i="1"/>
  <c r="ACD58" i="1"/>
  <c r="ACH58" i="1" s="1"/>
  <c r="ACB58" i="1"/>
  <c r="ACF58" i="1" s="1"/>
  <c r="ABW58" i="1"/>
  <c r="ABV58" i="1"/>
  <c r="ABX58" i="1" s="1"/>
  <c r="UL58" i="1"/>
  <c r="UK58" i="1"/>
  <c r="KC58" i="1"/>
  <c r="KB58" i="1"/>
  <c r="T58" i="1"/>
  <c r="S58" i="1"/>
  <c r="ACD57" i="1"/>
  <c r="ACH57" i="1" s="1"/>
  <c r="ACB57" i="1"/>
  <c r="ACF57" i="1" s="1"/>
  <c r="ABW57" i="1"/>
  <c r="ABV57" i="1"/>
  <c r="UL57" i="1"/>
  <c r="UK57" i="1"/>
  <c r="UM57" i="1" s="1"/>
  <c r="KC57" i="1"/>
  <c r="KB57" i="1"/>
  <c r="T57" i="1"/>
  <c r="S57" i="1"/>
  <c r="ACD56" i="1"/>
  <c r="ACH56" i="1" s="1"/>
  <c r="ACB56" i="1"/>
  <c r="ACF56" i="1" s="1"/>
  <c r="ABW56" i="1"/>
  <c r="ABV56" i="1"/>
  <c r="UL56" i="1"/>
  <c r="UK56" i="1"/>
  <c r="KC56" i="1"/>
  <c r="KB56" i="1"/>
  <c r="T56" i="1"/>
  <c r="S56" i="1"/>
  <c r="ACD55" i="1"/>
  <c r="ACH55" i="1" s="1"/>
  <c r="ACB55" i="1"/>
  <c r="ACF55" i="1" s="1"/>
  <c r="ABW55" i="1"/>
  <c r="ABV55" i="1"/>
  <c r="UL55" i="1"/>
  <c r="UK55" i="1"/>
  <c r="KC55" i="1"/>
  <c r="KB55" i="1"/>
  <c r="T55" i="1"/>
  <c r="S55" i="1"/>
  <c r="ACD54" i="1"/>
  <c r="ACH54" i="1" s="1"/>
  <c r="ACB54" i="1"/>
  <c r="ACF54" i="1" s="1"/>
  <c r="ABW54" i="1"/>
  <c r="ABZ54" i="1" s="1"/>
  <c r="ABV54" i="1"/>
  <c r="UL54" i="1"/>
  <c r="UK54" i="1"/>
  <c r="UM54" i="1" s="1"/>
  <c r="KC54" i="1"/>
  <c r="KB54" i="1"/>
  <c r="T54" i="1"/>
  <c r="U54" i="1" s="1"/>
  <c r="S54" i="1"/>
  <c r="ACD53" i="1"/>
  <c r="ACH53" i="1" s="1"/>
  <c r="ACB53" i="1"/>
  <c r="ACF53" i="1" s="1"/>
  <c r="ABW53" i="1"/>
  <c r="ABV53" i="1"/>
  <c r="UL53" i="1"/>
  <c r="UK53" i="1"/>
  <c r="KC53" i="1"/>
  <c r="KB53" i="1"/>
  <c r="T53" i="1"/>
  <c r="S53" i="1"/>
  <c r="ACD52" i="1"/>
  <c r="ACH52" i="1" s="1"/>
  <c r="ACB52" i="1"/>
  <c r="ACF52" i="1" s="1"/>
  <c r="ABW52" i="1"/>
  <c r="ABV52" i="1"/>
  <c r="ABX52" i="1" s="1"/>
  <c r="UL52" i="1"/>
  <c r="UK52" i="1"/>
  <c r="KC52" i="1"/>
  <c r="KB52" i="1"/>
  <c r="T52" i="1"/>
  <c r="S52" i="1"/>
  <c r="U52" i="1" s="1"/>
  <c r="ACD51" i="1"/>
  <c r="ACH51" i="1" s="1"/>
  <c r="ACB51" i="1"/>
  <c r="ACF51" i="1" s="1"/>
  <c r="ABW51" i="1"/>
  <c r="ABV51" i="1"/>
  <c r="UL51" i="1"/>
  <c r="UK51" i="1"/>
  <c r="KC51" i="1"/>
  <c r="KB51" i="1"/>
  <c r="KD51" i="1" s="1"/>
  <c r="T51" i="1"/>
  <c r="S51" i="1"/>
  <c r="ACD50" i="1"/>
  <c r="ACH50" i="1" s="1"/>
  <c r="ACB50" i="1"/>
  <c r="ACF50" i="1" s="1"/>
  <c r="ABW50" i="1"/>
  <c r="ABV50" i="1"/>
  <c r="ABY50" i="1" s="1"/>
  <c r="UL50" i="1"/>
  <c r="UK50" i="1"/>
  <c r="KC50" i="1"/>
  <c r="KD50" i="1" s="1"/>
  <c r="KB50" i="1"/>
  <c r="T50" i="1"/>
  <c r="S50" i="1"/>
  <c r="ACD49" i="1"/>
  <c r="ACH49" i="1" s="1"/>
  <c r="ACB49" i="1"/>
  <c r="ABW49" i="1"/>
  <c r="ABV49" i="1"/>
  <c r="UL49" i="1"/>
  <c r="UK49" i="1"/>
  <c r="KC49" i="1"/>
  <c r="KB49" i="1"/>
  <c r="T49" i="1"/>
  <c r="S49" i="1"/>
  <c r="ACH48" i="1"/>
  <c r="ACD48" i="1"/>
  <c r="ACB48" i="1"/>
  <c r="ABW48" i="1"/>
  <c r="ABV48" i="1"/>
  <c r="UL48" i="1"/>
  <c r="ABZ48" i="1" s="1"/>
  <c r="UK48" i="1"/>
  <c r="KC48" i="1"/>
  <c r="KB48" i="1"/>
  <c r="U48" i="1"/>
  <c r="T48" i="1"/>
  <c r="S48" i="1"/>
  <c r="ACD47" i="1"/>
  <c r="ACH47" i="1" s="1"/>
  <c r="ACB47" i="1"/>
  <c r="ACF47" i="1" s="1"/>
  <c r="ABW47" i="1"/>
  <c r="ABV47" i="1"/>
  <c r="ABX47" i="1" s="1"/>
  <c r="UL47" i="1"/>
  <c r="UK47" i="1"/>
  <c r="KC47" i="1"/>
  <c r="KB47" i="1"/>
  <c r="T47" i="1"/>
  <c r="S47" i="1"/>
  <c r="U47" i="1" s="1"/>
  <c r="ACD46" i="1"/>
  <c r="ACH46" i="1" s="1"/>
  <c r="ACB46" i="1"/>
  <c r="ACF46" i="1" s="1"/>
  <c r="ABW46" i="1"/>
  <c r="ABZ46" i="1" s="1"/>
  <c r="ABV46" i="1"/>
  <c r="UL46" i="1"/>
  <c r="UK46" i="1"/>
  <c r="KC46" i="1"/>
  <c r="KB46" i="1"/>
  <c r="T46" i="1"/>
  <c r="S46" i="1"/>
  <c r="ACD45" i="1"/>
  <c r="ACH45" i="1" s="1"/>
  <c r="ACB45" i="1"/>
  <c r="ACF45" i="1" s="1"/>
  <c r="ABW45" i="1"/>
  <c r="ABV45" i="1"/>
  <c r="UL45" i="1"/>
  <c r="UK45" i="1"/>
  <c r="KC45" i="1"/>
  <c r="KB45" i="1"/>
  <c r="KD45" i="1" s="1"/>
  <c r="T45" i="1"/>
  <c r="S45" i="1"/>
  <c r="ACD44" i="1"/>
  <c r="ACH44" i="1" s="1"/>
  <c r="ACB44" i="1"/>
  <c r="ACF44" i="1" s="1"/>
  <c r="ABW44" i="1"/>
  <c r="ABV44" i="1"/>
  <c r="ABX44" i="1" s="1"/>
  <c r="UL44" i="1"/>
  <c r="UM44" i="1" s="1"/>
  <c r="UK44" i="1"/>
  <c r="KC44" i="1"/>
  <c r="KD44" i="1" s="1"/>
  <c r="KB44" i="1"/>
  <c r="T44" i="1"/>
  <c r="S44" i="1"/>
  <c r="ACD43" i="1"/>
  <c r="ACH43" i="1" s="1"/>
  <c r="ACB43" i="1"/>
  <c r="ACF43" i="1" s="1"/>
  <c r="ABW43" i="1"/>
  <c r="ABV43" i="1"/>
  <c r="UL43" i="1"/>
  <c r="UK43" i="1"/>
  <c r="UM43" i="1" s="1"/>
  <c r="KC43" i="1"/>
  <c r="KB43" i="1"/>
  <c r="T43" i="1"/>
  <c r="S43" i="1"/>
  <c r="ACD42" i="1"/>
  <c r="ACH42" i="1" s="1"/>
  <c r="ACB42" i="1"/>
  <c r="ACF42" i="1" s="1"/>
  <c r="ABW42" i="1"/>
  <c r="ABV42" i="1"/>
  <c r="UL42" i="1"/>
  <c r="UK42" i="1"/>
  <c r="UM42" i="1" s="1"/>
  <c r="KC42" i="1"/>
  <c r="KB42" i="1"/>
  <c r="T42" i="1"/>
  <c r="S42" i="1"/>
  <c r="ACD41" i="1"/>
  <c r="ACH41" i="1" s="1"/>
  <c r="ACB41" i="1"/>
  <c r="ACF41" i="1" s="1"/>
  <c r="ABW41" i="1"/>
  <c r="ABV41" i="1"/>
  <c r="UL41" i="1"/>
  <c r="ABZ41" i="1" s="1"/>
  <c r="UK41" i="1"/>
  <c r="KC41" i="1"/>
  <c r="KB41" i="1"/>
  <c r="KD41" i="1" s="1"/>
  <c r="T41" i="1"/>
  <c r="S41" i="1"/>
  <c r="U41" i="1" s="1"/>
  <c r="ACD40" i="1"/>
  <c r="ACH40" i="1" s="1"/>
  <c r="ACB40" i="1"/>
  <c r="ACF40" i="1" s="1"/>
  <c r="ABW40" i="1"/>
  <c r="ABV40" i="1"/>
  <c r="UL40" i="1"/>
  <c r="UK40" i="1"/>
  <c r="KC40" i="1"/>
  <c r="KB40" i="1"/>
  <c r="T40" i="1"/>
  <c r="S40" i="1"/>
  <c r="U40" i="1" s="1"/>
  <c r="ACD39" i="1"/>
  <c r="ACH39" i="1" s="1"/>
  <c r="ACB39" i="1"/>
  <c r="ACF39" i="1" s="1"/>
  <c r="ABW39" i="1"/>
  <c r="ABV39" i="1"/>
  <c r="UL39" i="1"/>
  <c r="UK39" i="1"/>
  <c r="KC39" i="1"/>
  <c r="KB39" i="1"/>
  <c r="T39" i="1"/>
  <c r="S39" i="1"/>
  <c r="U39" i="1" s="1"/>
  <c r="ACD38" i="1"/>
  <c r="ACH38" i="1" s="1"/>
  <c r="ACB38" i="1"/>
  <c r="ACF38" i="1" s="1"/>
  <c r="ABW38" i="1"/>
  <c r="ABV38" i="1"/>
  <c r="UL38" i="1"/>
  <c r="UK38" i="1"/>
  <c r="KC38" i="1"/>
  <c r="KB38" i="1"/>
  <c r="T38" i="1"/>
  <c r="S38" i="1"/>
  <c r="ACD37" i="1"/>
  <c r="ACH37" i="1" s="1"/>
  <c r="ACB37" i="1"/>
  <c r="ACF37" i="1" s="1"/>
  <c r="ABW37" i="1"/>
  <c r="ABV37" i="1"/>
  <c r="UL37" i="1"/>
  <c r="UK37" i="1"/>
  <c r="KC37" i="1"/>
  <c r="KB37" i="1"/>
  <c r="T37" i="1"/>
  <c r="S37" i="1"/>
  <c r="ACD36" i="1"/>
  <c r="ACH36" i="1" s="1"/>
  <c r="ACB36" i="1"/>
  <c r="ACF36" i="1" s="1"/>
  <c r="ABW36" i="1"/>
  <c r="ABV36" i="1"/>
  <c r="UL36" i="1"/>
  <c r="UK36" i="1"/>
  <c r="UM36" i="1" s="1"/>
  <c r="KC36" i="1"/>
  <c r="KB36" i="1"/>
  <c r="T36" i="1"/>
  <c r="S36" i="1"/>
  <c r="U36" i="1" s="1"/>
  <c r="ACD35" i="1"/>
  <c r="ACH35" i="1" s="1"/>
  <c r="ACB35" i="1"/>
  <c r="ABW35" i="1"/>
  <c r="ABV35" i="1"/>
  <c r="UL35" i="1"/>
  <c r="UK35" i="1"/>
  <c r="KC35" i="1"/>
  <c r="KB35" i="1"/>
  <c r="KD35" i="1" s="1"/>
  <c r="T35" i="1"/>
  <c r="U35" i="1" s="1"/>
  <c r="S35" i="1"/>
  <c r="ACD34" i="1"/>
  <c r="ACH34" i="1" s="1"/>
  <c r="ACB34" i="1"/>
  <c r="ACF34" i="1" s="1"/>
  <c r="ABW34" i="1"/>
  <c r="ABV34" i="1"/>
  <c r="UL34" i="1"/>
  <c r="UK34" i="1"/>
  <c r="KC34" i="1"/>
  <c r="KB34" i="1"/>
  <c r="T34" i="1"/>
  <c r="S34" i="1"/>
  <c r="ACD33" i="1"/>
  <c r="ACH33" i="1" s="1"/>
  <c r="ACB33" i="1"/>
  <c r="ACF33" i="1" s="1"/>
  <c r="ABW33" i="1"/>
  <c r="ABV33" i="1"/>
  <c r="UL33" i="1"/>
  <c r="UK33" i="1"/>
  <c r="UM33" i="1" s="1"/>
  <c r="KC33" i="1"/>
  <c r="KB33" i="1"/>
  <c r="T33" i="1"/>
  <c r="S33" i="1"/>
  <c r="ACD32" i="1"/>
  <c r="ACH32" i="1" s="1"/>
  <c r="ACB32" i="1"/>
  <c r="ABW32" i="1"/>
  <c r="ABV32" i="1"/>
  <c r="UL32" i="1"/>
  <c r="UK32" i="1"/>
  <c r="KC32" i="1"/>
  <c r="KB32" i="1"/>
  <c r="T32" i="1"/>
  <c r="S32" i="1"/>
  <c r="ACH31" i="1"/>
  <c r="ACD31" i="1"/>
  <c r="ACB31" i="1"/>
  <c r="ACF31" i="1" s="1"/>
  <c r="ABW31" i="1"/>
  <c r="ABV31" i="1"/>
  <c r="UL31" i="1"/>
  <c r="UK31" i="1"/>
  <c r="UM31" i="1" s="1"/>
  <c r="KC31" i="1"/>
  <c r="KB31" i="1"/>
  <c r="T31" i="1"/>
  <c r="S31" i="1"/>
  <c r="ACD30" i="1"/>
  <c r="ACH30" i="1" s="1"/>
  <c r="ACB30" i="1"/>
  <c r="ACF30" i="1" s="1"/>
  <c r="ABW30" i="1"/>
  <c r="ABV30" i="1"/>
  <c r="UL30" i="1"/>
  <c r="UK30" i="1"/>
  <c r="UM30" i="1" s="1"/>
  <c r="KC30" i="1"/>
  <c r="KB30" i="1"/>
  <c r="T30" i="1"/>
  <c r="S30" i="1"/>
  <c r="U30" i="1" s="1"/>
  <c r="ACH29" i="1"/>
  <c r="ACD29" i="1"/>
  <c r="ACB29" i="1"/>
  <c r="ACF29" i="1" s="1"/>
  <c r="ABW29" i="1"/>
  <c r="ABV29" i="1"/>
  <c r="UL29" i="1"/>
  <c r="UK29" i="1"/>
  <c r="KC29" i="1"/>
  <c r="KD29" i="1" s="1"/>
  <c r="KB29" i="1"/>
  <c r="U29" i="1"/>
  <c r="T29" i="1"/>
  <c r="S29" i="1"/>
  <c r="ACD28" i="1"/>
  <c r="ACH28" i="1" s="1"/>
  <c r="ACB28" i="1"/>
  <c r="ACF28" i="1" s="1"/>
  <c r="ABY28" i="1"/>
  <c r="ABW28" i="1"/>
  <c r="ABV28" i="1"/>
  <c r="UL28" i="1"/>
  <c r="UK28" i="1"/>
  <c r="KC28" i="1"/>
  <c r="KB28" i="1"/>
  <c r="T28" i="1"/>
  <c r="S28" i="1"/>
  <c r="ACD27" i="1"/>
  <c r="ACH27" i="1" s="1"/>
  <c r="ACB27" i="1"/>
  <c r="ACF27" i="1" s="1"/>
  <c r="ABW27" i="1"/>
  <c r="ABV27" i="1"/>
  <c r="UL27" i="1"/>
  <c r="UM27" i="1" s="1"/>
  <c r="UK27" i="1"/>
  <c r="KC27" i="1"/>
  <c r="KB27" i="1"/>
  <c r="KD27" i="1" s="1"/>
  <c r="T27" i="1"/>
  <c r="S27" i="1"/>
  <c r="ACD26" i="1"/>
  <c r="ACH26" i="1" s="1"/>
  <c r="ACB26" i="1"/>
  <c r="ACF26" i="1" s="1"/>
  <c r="ABW26" i="1"/>
  <c r="ABV26" i="1"/>
  <c r="UL26" i="1"/>
  <c r="UK26" i="1"/>
  <c r="KC26" i="1"/>
  <c r="KB26" i="1"/>
  <c r="T26" i="1"/>
  <c r="S26" i="1"/>
  <c r="ACD25" i="1"/>
  <c r="ACH25" i="1" s="1"/>
  <c r="ACB25" i="1"/>
  <c r="ACF25" i="1" s="1"/>
  <c r="ABW25" i="1"/>
  <c r="ABV25" i="1"/>
  <c r="UL25" i="1"/>
  <c r="UK25" i="1"/>
  <c r="KC25" i="1"/>
  <c r="KB25" i="1"/>
  <c r="T25" i="1"/>
  <c r="S25" i="1"/>
  <c r="ACD24" i="1"/>
  <c r="ACH24" i="1" s="1"/>
  <c r="ACB24" i="1"/>
  <c r="ACF24" i="1" s="1"/>
  <c r="ABW24" i="1"/>
  <c r="ABV24" i="1"/>
  <c r="UL24" i="1"/>
  <c r="UK24" i="1"/>
  <c r="KC24" i="1"/>
  <c r="KB24" i="1"/>
  <c r="KD24" i="1" s="1"/>
  <c r="T24" i="1"/>
  <c r="U24" i="1" s="1"/>
  <c r="S24" i="1"/>
  <c r="ACD23" i="1"/>
  <c r="ACH23" i="1" s="1"/>
  <c r="ACB23" i="1"/>
  <c r="ABW23" i="1"/>
  <c r="ABV23" i="1"/>
  <c r="UL23" i="1"/>
  <c r="UK23" i="1"/>
  <c r="KC23" i="1"/>
  <c r="KB23" i="1"/>
  <c r="T23" i="1"/>
  <c r="S23" i="1"/>
  <c r="U23" i="1" s="1"/>
  <c r="ACD22" i="1"/>
  <c r="ACH22" i="1" s="1"/>
  <c r="ACB22" i="1"/>
  <c r="ACF22" i="1" s="1"/>
  <c r="ABW22" i="1"/>
  <c r="ABV22" i="1"/>
  <c r="UL22" i="1"/>
  <c r="UK22" i="1"/>
  <c r="KC22" i="1"/>
  <c r="KB22" i="1"/>
  <c r="T22" i="1"/>
  <c r="S22" i="1"/>
  <c r="ACD21" i="1"/>
  <c r="ACH21" i="1" s="1"/>
  <c r="ACB21" i="1"/>
  <c r="ACF21" i="1" s="1"/>
  <c r="ABW21" i="1"/>
  <c r="ABV21" i="1"/>
  <c r="UL21" i="1"/>
  <c r="UK21" i="1"/>
  <c r="KC21" i="1"/>
  <c r="KB21" i="1"/>
  <c r="T21" i="1"/>
  <c r="S21" i="1"/>
  <c r="ACD20" i="1"/>
  <c r="ACH20" i="1" s="1"/>
  <c r="ACB20" i="1"/>
  <c r="ACF20" i="1" s="1"/>
  <c r="ABW20" i="1"/>
  <c r="ABV20" i="1"/>
  <c r="UL20" i="1"/>
  <c r="UK20" i="1"/>
  <c r="KD20" i="1"/>
  <c r="KC20" i="1"/>
  <c r="KB20" i="1"/>
  <c r="T20" i="1"/>
  <c r="S20" i="1"/>
  <c r="U20" i="1" s="1"/>
  <c r="ACD19" i="1"/>
  <c r="ACH19" i="1" s="1"/>
  <c r="ACB19" i="1"/>
  <c r="ACF19" i="1" s="1"/>
  <c r="ABW19" i="1"/>
  <c r="ABV19" i="1"/>
  <c r="UL19" i="1"/>
  <c r="UK19" i="1"/>
  <c r="KC19" i="1"/>
  <c r="KD19" i="1" s="1"/>
  <c r="KB19" i="1"/>
  <c r="T19" i="1"/>
  <c r="S19" i="1"/>
  <c r="ACD18" i="1"/>
  <c r="ACH18" i="1" s="1"/>
  <c r="ACB18" i="1"/>
  <c r="ACF18" i="1" s="1"/>
  <c r="ABW18" i="1"/>
  <c r="ABV18" i="1"/>
  <c r="UL18" i="1"/>
  <c r="UK18" i="1"/>
  <c r="UM18" i="1" s="1"/>
  <c r="KC18" i="1"/>
  <c r="KB18" i="1"/>
  <c r="KD18" i="1" s="1"/>
  <c r="T18" i="1"/>
  <c r="S18" i="1"/>
  <c r="U18" i="1" s="1"/>
  <c r="ACD17" i="1"/>
  <c r="ACH17" i="1" s="1"/>
  <c r="ACB17" i="1"/>
  <c r="ABW17" i="1"/>
  <c r="ABV17" i="1"/>
  <c r="UL17" i="1"/>
  <c r="UK17" i="1"/>
  <c r="UM17" i="1" s="1"/>
  <c r="KC17" i="1"/>
  <c r="KB17" i="1"/>
  <c r="T17" i="1"/>
  <c r="S17" i="1"/>
  <c r="ACD16" i="1"/>
  <c r="ACH16" i="1" s="1"/>
  <c r="ACB16" i="1"/>
  <c r="ABW16" i="1"/>
  <c r="ABV16" i="1"/>
  <c r="UL16" i="1"/>
  <c r="UK16" i="1"/>
  <c r="KC16" i="1"/>
  <c r="KB16" i="1"/>
  <c r="KD16" i="1" s="1"/>
  <c r="U16" i="1"/>
  <c r="T16" i="1"/>
  <c r="S16" i="1"/>
  <c r="ACD15" i="1"/>
  <c r="ACH15" i="1" s="1"/>
  <c r="ACB15" i="1"/>
  <c r="ACF15" i="1" s="1"/>
  <c r="ABW15" i="1"/>
  <c r="ABV15" i="1"/>
  <c r="UL15" i="1"/>
  <c r="UK15" i="1"/>
  <c r="KC15" i="1"/>
  <c r="KB15" i="1"/>
  <c r="KD15" i="1" s="1"/>
  <c r="T15" i="1"/>
  <c r="S15" i="1"/>
  <c r="ACD14" i="1"/>
  <c r="ACH14" i="1" s="1"/>
  <c r="ACB14" i="1"/>
  <c r="ACF14" i="1" s="1"/>
  <c r="ABW14" i="1"/>
  <c r="ABV14" i="1"/>
  <c r="ABX14" i="1" s="1"/>
  <c r="UL14" i="1"/>
  <c r="UK14" i="1"/>
  <c r="KC14" i="1"/>
  <c r="ABZ14" i="1" s="1"/>
  <c r="KB14" i="1"/>
  <c r="T14" i="1"/>
  <c r="S14" i="1"/>
  <c r="ACF13" i="1"/>
  <c r="ACD13" i="1"/>
  <c r="ACH13" i="1" s="1"/>
  <c r="ACB13" i="1"/>
  <c r="ABW13" i="1"/>
  <c r="ABV13" i="1"/>
  <c r="UL13" i="1"/>
  <c r="UK13" i="1"/>
  <c r="UM13" i="1" s="1"/>
  <c r="KC13" i="1"/>
  <c r="KB13" i="1"/>
  <c r="T13" i="1"/>
  <c r="S13" i="1"/>
  <c r="U13" i="1" s="1"/>
  <c r="ACD12" i="1"/>
  <c r="ACH12" i="1" s="1"/>
  <c r="ACB12" i="1"/>
  <c r="ACF12" i="1" s="1"/>
  <c r="ABW12" i="1"/>
  <c r="ABV12" i="1"/>
  <c r="UL12" i="1"/>
  <c r="UK12" i="1"/>
  <c r="KC12" i="1"/>
  <c r="KB12" i="1"/>
  <c r="KD12" i="1" s="1"/>
  <c r="T12" i="1"/>
  <c r="U12" i="1" s="1"/>
  <c r="S12" i="1"/>
  <c r="ACD11" i="1"/>
  <c r="ACB11" i="1"/>
  <c r="ACF11" i="1" s="1"/>
  <c r="ABW11" i="1"/>
  <c r="ABV11" i="1"/>
  <c r="UL11" i="1"/>
  <c r="UK11" i="1"/>
  <c r="UM11" i="1" s="1"/>
  <c r="KC11" i="1"/>
  <c r="KB11" i="1"/>
  <c r="T11" i="1"/>
  <c r="T9" i="1" s="1"/>
  <c r="S11" i="1"/>
  <c r="ABU9" i="1"/>
  <c r="ABT9" i="1"/>
  <c r="ABS9" i="1"/>
  <c r="ABR9" i="1"/>
  <c r="ABQ9" i="1"/>
  <c r="ABP9" i="1"/>
  <c r="ABO9" i="1"/>
  <c r="ABN9" i="1"/>
  <c r="ABM9" i="1"/>
  <c r="ABL9" i="1"/>
  <c r="ABK9" i="1"/>
  <c r="ABJ9" i="1"/>
  <c r="ABI9" i="1"/>
  <c r="ABH9" i="1"/>
  <c r="ABG9" i="1"/>
  <c r="ABF9" i="1"/>
  <c r="ABE9" i="1"/>
  <c r="ABD9" i="1"/>
  <c r="ABC9" i="1"/>
  <c r="ABB9" i="1"/>
  <c r="ABA9" i="1"/>
  <c r="AAZ9" i="1"/>
  <c r="AAY9" i="1"/>
  <c r="AAX9" i="1"/>
  <c r="AAW9" i="1"/>
  <c r="AAV9" i="1"/>
  <c r="AAU9" i="1"/>
  <c r="AAT9" i="1"/>
  <c r="AAS9" i="1"/>
  <c r="AAR9" i="1"/>
  <c r="AAQ9" i="1"/>
  <c r="AAP9" i="1"/>
  <c r="AAO9" i="1"/>
  <c r="AAN9" i="1"/>
  <c r="AAM9" i="1"/>
  <c r="AAL9" i="1"/>
  <c r="AAK9" i="1"/>
  <c r="AAJ9" i="1"/>
  <c r="AAI9" i="1"/>
  <c r="AAH9" i="1"/>
  <c r="AAG9" i="1"/>
  <c r="AAF9" i="1"/>
  <c r="AAE9" i="1"/>
  <c r="AAD9" i="1"/>
  <c r="AAC9" i="1"/>
  <c r="AAB9" i="1"/>
  <c r="AAA9" i="1"/>
  <c r="ZZ9" i="1"/>
  <c r="ZY9" i="1"/>
  <c r="ZX9" i="1"/>
  <c r="ZW9" i="1"/>
  <c r="ZV9" i="1"/>
  <c r="ZU9" i="1"/>
  <c r="ZT9" i="1"/>
  <c r="ZS9" i="1"/>
  <c r="ZR9" i="1"/>
  <c r="ZQ9" i="1"/>
  <c r="ZP9" i="1"/>
  <c r="ZO9" i="1"/>
  <c r="ZN9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KY9" i="3" l="1"/>
  <c r="KY13" i="3"/>
  <c r="KY17" i="3"/>
  <c r="KY10" i="3"/>
  <c r="KY21" i="3"/>
  <c r="GO10" i="2"/>
  <c r="GO21" i="2"/>
  <c r="GO25" i="2"/>
  <c r="GO29" i="2"/>
  <c r="GO14" i="2"/>
  <c r="GO22" i="2"/>
  <c r="GO23" i="2"/>
  <c r="GO12" i="2"/>
  <c r="GO27" i="2"/>
  <c r="GO24" i="2"/>
  <c r="UM14" i="1"/>
  <c r="ABY16" i="1"/>
  <c r="KD22" i="1"/>
  <c r="UM23" i="1"/>
  <c r="ABY24" i="1"/>
  <c r="U27" i="1"/>
  <c r="KD30" i="1"/>
  <c r="ACC30" i="1" s="1"/>
  <c r="ACG30" i="1" s="1"/>
  <c r="ABY32" i="1"/>
  <c r="U42" i="1"/>
  <c r="ABY45" i="1"/>
  <c r="KD57" i="1"/>
  <c r="ACC57" i="1" s="1"/>
  <c r="ACG57" i="1" s="1"/>
  <c r="ABX59" i="1"/>
  <c r="U63" i="1"/>
  <c r="KC9" i="1"/>
  <c r="ACB9" i="1"/>
  <c r="ACC29" i="1"/>
  <c r="ABY38" i="1"/>
  <c r="ABZ15" i="1"/>
  <c r="UL9" i="1"/>
  <c r="ABY13" i="1"/>
  <c r="ABX23" i="1"/>
  <c r="U26" i="1"/>
  <c r="UM28" i="1"/>
  <c r="UM29" i="1"/>
  <c r="U34" i="1"/>
  <c r="KD48" i="1"/>
  <c r="U17" i="1"/>
  <c r="U25" i="1"/>
  <c r="KD26" i="1"/>
  <c r="U33" i="1"/>
  <c r="KD34" i="1"/>
  <c r="UM49" i="1"/>
  <c r="KD55" i="1"/>
  <c r="UM56" i="1"/>
  <c r="ABY57" i="1"/>
  <c r="U61" i="1"/>
  <c r="ABZ64" i="1"/>
  <c r="ACC18" i="1"/>
  <c r="ACG18" i="1" s="1"/>
  <c r="ABZ28" i="1"/>
  <c r="KD40" i="1"/>
  <c r="ABX21" i="1"/>
  <c r="KD46" i="1"/>
  <c r="U53" i="1"/>
  <c r="KD54" i="1"/>
  <c r="UM55" i="1"/>
  <c r="U15" i="1"/>
  <c r="ABX27" i="1"/>
  <c r="ACA27" i="1" s="1"/>
  <c r="U31" i="1"/>
  <c r="ABZ33" i="1"/>
  <c r="ABX35" i="1"/>
  <c r="U38" i="1"/>
  <c r="KD39" i="1"/>
  <c r="ABZ45" i="1"/>
  <c r="UM47" i="1"/>
  <c r="ACA47" i="1" s="1"/>
  <c r="ACD9" i="1"/>
  <c r="ACH11" i="1"/>
  <c r="ABX20" i="1"/>
  <c r="UM25" i="1"/>
  <c r="ABZ47" i="1"/>
  <c r="U51" i="1"/>
  <c r="KD53" i="1"/>
  <c r="U11" i="1"/>
  <c r="KD14" i="1"/>
  <c r="ACC14" i="1" s="1"/>
  <c r="ACG14" i="1" s="1"/>
  <c r="KD38" i="1"/>
  <c r="UM53" i="1"/>
  <c r="U57" i="1"/>
  <c r="KD58" i="1"/>
  <c r="KY12" i="3"/>
  <c r="KY22" i="3"/>
  <c r="KY19" i="3"/>
  <c r="KY20" i="3"/>
  <c r="KY24" i="3"/>
  <c r="KY11" i="3"/>
  <c r="KY18" i="3"/>
  <c r="GO30" i="2"/>
  <c r="GO17" i="2"/>
  <c r="GO20" i="2"/>
  <c r="GO11" i="2"/>
  <c r="GO26" i="2"/>
  <c r="GO19" i="2"/>
  <c r="ABZ13" i="1"/>
  <c r="ABZ22" i="1"/>
  <c r="ABY23" i="1"/>
  <c r="ABX25" i="1"/>
  <c r="ABZ26" i="1"/>
  <c r="UM12" i="1"/>
  <c r="U19" i="1"/>
  <c r="KD11" i="1"/>
  <c r="ACC11" i="1" s="1"/>
  <c r="ACG11" i="1" s="1"/>
  <c r="ABZ19" i="1"/>
  <c r="S9" i="1"/>
  <c r="ABX13" i="1"/>
  <c r="ACA13" i="1" s="1"/>
  <c r="ACF23" i="1"/>
  <c r="ABY40" i="1"/>
  <c r="UM40" i="1"/>
  <c r="ACC40" i="1" s="1"/>
  <c r="ABZ11" i="1"/>
  <c r="ABZ12" i="1"/>
  <c r="UM15" i="1"/>
  <c r="ACC15" i="1" s="1"/>
  <c r="U21" i="1"/>
  <c r="KB9" i="1"/>
  <c r="UM16" i="1"/>
  <c r="ACC16" i="1" s="1"/>
  <c r="ACC19" i="1"/>
  <c r="ACG19" i="1" s="1"/>
  <c r="U22" i="1"/>
  <c r="KD23" i="1"/>
  <c r="ACC23" i="1" s="1"/>
  <c r="ACG23" i="1" s="1"/>
  <c r="ABY15" i="1"/>
  <c r="UM19" i="1"/>
  <c r="KD21" i="1"/>
  <c r="UM32" i="1"/>
  <c r="U50" i="1"/>
  <c r="ABY17" i="1"/>
  <c r="ACC12" i="1"/>
  <c r="ACG12" i="1" s="1"/>
  <c r="U14" i="1"/>
  <c r="ABZ16" i="1"/>
  <c r="ABZ17" i="1"/>
  <c r="ABY18" i="1"/>
  <c r="ABZ23" i="1"/>
  <c r="KD13" i="1"/>
  <c r="ACC13" i="1" s="1"/>
  <c r="ACG13" i="1" s="1"/>
  <c r="ABX17" i="1"/>
  <c r="ABZ18" i="1"/>
  <c r="ABZ21" i="1"/>
  <c r="UM24" i="1"/>
  <c r="UM26" i="1"/>
  <c r="ABX28" i="1"/>
  <c r="KD32" i="1"/>
  <c r="ABY35" i="1"/>
  <c r="ABZ40" i="1"/>
  <c r="U43" i="1"/>
  <c r="U49" i="1"/>
  <c r="KD31" i="1"/>
  <c r="ACC31" i="1" s="1"/>
  <c r="ACG31" i="1" s="1"/>
  <c r="ABZ32" i="1"/>
  <c r="KD33" i="1"/>
  <c r="ACC33" i="1" s="1"/>
  <c r="ACG33" i="1" s="1"/>
  <c r="UM34" i="1"/>
  <c r="ABZ35" i="1"/>
  <c r="UM38" i="1"/>
  <c r="KD42" i="1"/>
  <c r="ACC42" i="1" s="1"/>
  <c r="KD43" i="1"/>
  <c r="ACC43" i="1" s="1"/>
  <c r="ACG43" i="1" s="1"/>
  <c r="ACC44" i="1"/>
  <c r="ACG44" i="1" s="1"/>
  <c r="KD52" i="1"/>
  <c r="ACA52" i="1" s="1"/>
  <c r="ABX40" i="1"/>
  <c r="ACA40" i="1" s="1"/>
  <c r="UM45" i="1"/>
  <c r="UM46" i="1"/>
  <c r="KD47" i="1"/>
  <c r="ACC47" i="1" s="1"/>
  <c r="ACG47" i="1" s="1"/>
  <c r="U56" i="1"/>
  <c r="ABZ57" i="1"/>
  <c r="ABZ58" i="1"/>
  <c r="ABZ34" i="1"/>
  <c r="ABZ38" i="1"/>
  <c r="ABX46" i="1"/>
  <c r="ACA46" i="1" s="1"/>
  <c r="ABY47" i="1"/>
  <c r="UM50" i="1"/>
  <c r="ACC50" i="1" s="1"/>
  <c r="UM51" i="1"/>
  <c r="ACC51" i="1" s="1"/>
  <c r="ABZ52" i="1"/>
  <c r="U55" i="1"/>
  <c r="ABY29" i="1"/>
  <c r="ABX38" i="1"/>
  <c r="UM48" i="1"/>
  <c r="ABZ49" i="1"/>
  <c r="KD56" i="1"/>
  <c r="ACC56" i="1" s="1"/>
  <c r="ACG56" i="1" s="1"/>
  <c r="UM58" i="1"/>
  <c r="ABY59" i="1"/>
  <c r="ABY62" i="1"/>
  <c r="ABX64" i="1"/>
  <c r="ABZ29" i="1"/>
  <c r="ABZ31" i="1"/>
  <c r="ABZ43" i="1"/>
  <c r="ABZ44" i="1"/>
  <c r="ABX45" i="1"/>
  <c r="ABY46" i="1"/>
  <c r="ABY49" i="1"/>
  <c r="ABZ53" i="1"/>
  <c r="ABZ60" i="1"/>
  <c r="ABY30" i="1"/>
  <c r="ABX32" i="1"/>
  <c r="ABZ42" i="1"/>
  <c r="ABY48" i="1"/>
  <c r="ABZ51" i="1"/>
  <c r="ABZ63" i="1"/>
  <c r="ABZ30" i="1"/>
  <c r="ABY53" i="1"/>
  <c r="KD36" i="1"/>
  <c r="ACC36" i="1" s="1"/>
  <c r="ACG36" i="1" s="1"/>
  <c r="KD37" i="1"/>
  <c r="ABX57" i="1"/>
  <c r="ACA57" i="1" s="1"/>
  <c r="ABY58" i="1"/>
  <c r="U32" i="1"/>
  <c r="U44" i="1"/>
  <c r="ACA44" i="1" s="1"/>
  <c r="U45" i="1"/>
  <c r="ACA45" i="1" s="1"/>
  <c r="U46" i="1"/>
  <c r="ABZ55" i="1"/>
  <c r="ABZ56" i="1"/>
  <c r="ABY25" i="1"/>
  <c r="KD25" i="1"/>
  <c r="ACC25" i="1" s="1"/>
  <c r="ACE29" i="1"/>
  <c r="ACI29" i="1" s="1"/>
  <c r="ACG29" i="1"/>
  <c r="UK9" i="1"/>
  <c r="ACH9" i="1"/>
  <c r="ABY11" i="1"/>
  <c r="ABX11" i="1"/>
  <c r="ACA11" i="1" s="1"/>
  <c r="ACF16" i="1"/>
  <c r="ABZ24" i="1"/>
  <c r="ACC27" i="1"/>
  <c r="ACG27" i="1" s="1"/>
  <c r="ABZ37" i="1"/>
  <c r="ACF60" i="1"/>
  <c r="ACE60" i="1"/>
  <c r="ACI60" i="1" s="1"/>
  <c r="ACG62" i="1"/>
  <c r="ACE62" i="1"/>
  <c r="ACI62" i="1" s="1"/>
  <c r="ABV9" i="1"/>
  <c r="ACF17" i="1"/>
  <c r="ABY19" i="1"/>
  <c r="ABY20" i="1"/>
  <c r="UM20" i="1"/>
  <c r="ABY31" i="1"/>
  <c r="ABX31" i="1"/>
  <c r="ABX34" i="1"/>
  <c r="ACC38" i="1"/>
  <c r="ACA38" i="1"/>
  <c r="ABW9" i="1"/>
  <c r="ACE18" i="1"/>
  <c r="ACI18" i="1" s="1"/>
  <c r="ABY33" i="1"/>
  <c r="ABX36" i="1"/>
  <c r="ABY36" i="1"/>
  <c r="ABX12" i="1"/>
  <c r="ACA12" i="1" s="1"/>
  <c r="ABZ25" i="1"/>
  <c r="ABZ20" i="1"/>
  <c r="ACE13" i="1"/>
  <c r="ACI13" i="1" s="1"/>
  <c r="KD17" i="1"/>
  <c r="ACC17" i="1" s="1"/>
  <c r="ACG17" i="1" s="1"/>
  <c r="UM21" i="1"/>
  <c r="ACF35" i="1"/>
  <c r="ABZ59" i="1"/>
  <c r="U59" i="1"/>
  <c r="ACA59" i="1" s="1"/>
  <c r="ABY22" i="1"/>
  <c r="ABX22" i="1"/>
  <c r="ABY14" i="1"/>
  <c r="ACC24" i="1"/>
  <c r="ABY12" i="1"/>
  <c r="U28" i="1"/>
  <c r="ABY34" i="1"/>
  <c r="ABY42" i="1"/>
  <c r="ABX42" i="1"/>
  <c r="ABY43" i="1"/>
  <c r="ABX43" i="1"/>
  <c r="ABZ27" i="1"/>
  <c r="UM39" i="1"/>
  <c r="ACC39" i="1" s="1"/>
  <c r="ACC48" i="1"/>
  <c r="ACG48" i="1" s="1"/>
  <c r="KD49" i="1"/>
  <c r="ACC49" i="1" s="1"/>
  <c r="ACG49" i="1" s="1"/>
  <c r="ACC59" i="1"/>
  <c r="ACG59" i="1" s="1"/>
  <c r="ACE63" i="1"/>
  <c r="ACI63" i="1" s="1"/>
  <c r="ABY26" i="1"/>
  <c r="KD28" i="1"/>
  <c r="ACC28" i="1" s="1"/>
  <c r="ACF32" i="1"/>
  <c r="UM37" i="1"/>
  <c r="ACC37" i="1" s="1"/>
  <c r="ABY54" i="1"/>
  <c r="ABX54" i="1"/>
  <c r="ACA54" i="1" s="1"/>
  <c r="ABY55" i="1"/>
  <c r="ABX55" i="1"/>
  <c r="ABY21" i="1"/>
  <c r="ABY27" i="1"/>
  <c r="ABY39" i="1"/>
  <c r="KD61" i="1"/>
  <c r="ACC61" i="1" s="1"/>
  <c r="ACG61" i="1" s="1"/>
  <c r="ABX19" i="1"/>
  <c r="ABX26" i="1"/>
  <c r="ABY37" i="1"/>
  <c r="ABX37" i="1"/>
  <c r="ABZ39" i="1"/>
  <c r="ABX18" i="1"/>
  <c r="ACA18" i="1" s="1"/>
  <c r="ABX30" i="1"/>
  <c r="ABX33" i="1"/>
  <c r="UM35" i="1"/>
  <c r="ACA35" i="1" s="1"/>
  <c r="ACC41" i="1"/>
  <c r="ABY52" i="1"/>
  <c r="UM52" i="1"/>
  <c r="ABX56" i="1"/>
  <c r="ACE12" i="1"/>
  <c r="ACI12" i="1" s="1"/>
  <c r="ACE36" i="1"/>
  <c r="ACI36" i="1" s="1"/>
  <c r="ABZ61" i="1"/>
  <c r="ABX16" i="1"/>
  <c r="ACE27" i="1"/>
  <c r="ACI27" i="1" s="1"/>
  <c r="ABX29" i="1"/>
  <c r="ACA29" i="1" s="1"/>
  <c r="ACF49" i="1"/>
  <c r="ABZ50" i="1"/>
  <c r="ABY51" i="1"/>
  <c r="ACC53" i="1"/>
  <c r="ABY60" i="1"/>
  <c r="ABY61" i="1"/>
  <c r="ABY64" i="1"/>
  <c r="UM64" i="1"/>
  <c r="ACC64" i="1" s="1"/>
  <c r="ABX15" i="1"/>
  <c r="UM22" i="1"/>
  <c r="ABX24" i="1"/>
  <c r="UM41" i="1"/>
  <c r="ACF48" i="1"/>
  <c r="ABZ36" i="1"/>
  <c r="U37" i="1"/>
  <c r="ABY41" i="1"/>
  <c r="ABX41" i="1"/>
  <c r="ACC45" i="1"/>
  <c r="ACG45" i="1" s="1"/>
  <c r="ACC46" i="1"/>
  <c r="ACC54" i="1"/>
  <c r="ACG54" i="1" s="1"/>
  <c r="U58" i="1"/>
  <c r="ACF61" i="1"/>
  <c r="ABZ62" i="1"/>
  <c r="ABY63" i="1"/>
  <c r="ACA64" i="1"/>
  <c r="ABY44" i="1"/>
  <c r="ABY56" i="1"/>
  <c r="ABX53" i="1"/>
  <c r="ACE59" i="1"/>
  <c r="ACI59" i="1" s="1"/>
  <c r="ABX39" i="1"/>
  <c r="ACA39" i="1" s="1"/>
  <c r="ABX51" i="1"/>
  <c r="ABX63" i="1"/>
  <c r="ACA63" i="1" s="1"/>
  <c r="ABX50" i="1"/>
  <c r="ABX62" i="1"/>
  <c r="ACA62" i="1" s="1"/>
  <c r="ACE44" i="1"/>
  <c r="ACI44" i="1" s="1"/>
  <c r="ABX49" i="1"/>
  <c r="ACE56" i="1"/>
  <c r="ACI56" i="1" s="1"/>
  <c r="ABX61" i="1"/>
  <c r="ABX48" i="1"/>
  <c r="ACA48" i="1" s="1"/>
  <c r="ABX60" i="1"/>
  <c r="ACA60" i="1" s="1"/>
  <c r="GP7" i="2"/>
  <c r="KY14" i="3"/>
  <c r="GQ7" i="2"/>
  <c r="GM7" i="2"/>
  <c r="KW7" i="3"/>
  <c r="GN7" i="2"/>
  <c r="KX7" i="3"/>
  <c r="KZ7" i="3"/>
  <c r="LA7" i="3"/>
  <c r="GO7" i="2" l="1"/>
  <c r="ACG51" i="1"/>
  <c r="ACE51" i="1"/>
  <c r="ACI51" i="1" s="1"/>
  <c r="ACE40" i="1"/>
  <c r="ACI40" i="1" s="1"/>
  <c r="ACG40" i="1"/>
  <c r="ACE50" i="1"/>
  <c r="ACI50" i="1" s="1"/>
  <c r="ACG50" i="1"/>
  <c r="ACG42" i="1"/>
  <c r="ACE42" i="1"/>
  <c r="ACI42" i="1" s="1"/>
  <c r="ACA51" i="1"/>
  <c r="ACA58" i="1"/>
  <c r="ACC22" i="1"/>
  <c r="ACG22" i="1" s="1"/>
  <c r="ACE31" i="1"/>
  <c r="ACI31" i="1" s="1"/>
  <c r="ACE14" i="1"/>
  <c r="ACI14" i="1" s="1"/>
  <c r="ACA42" i="1"/>
  <c r="ACA20" i="1"/>
  <c r="ACF9" i="1"/>
  <c r="ACC34" i="1"/>
  <c r="ACA25" i="1"/>
  <c r="ABY9" i="1"/>
  <c r="ACE47" i="1"/>
  <c r="ACI47" i="1" s="1"/>
  <c r="ACC21" i="1"/>
  <c r="ACC55" i="1"/>
  <c r="ACA61" i="1"/>
  <c r="ACA53" i="1"/>
  <c r="ACE11" i="1"/>
  <c r="ACI11" i="1" s="1"/>
  <c r="ACA30" i="1"/>
  <c r="ACE19" i="1"/>
  <c r="ACI19" i="1" s="1"/>
  <c r="ACC58" i="1"/>
  <c r="ACG58" i="1" s="1"/>
  <c r="ACA34" i="1"/>
  <c r="ACE61" i="1"/>
  <c r="ACI61" i="1" s="1"/>
  <c r="ACA56" i="1"/>
  <c r="ACC35" i="1"/>
  <c r="ACG35" i="1" s="1"/>
  <c r="ACA43" i="1"/>
  <c r="ABZ9" i="1"/>
  <c r="ACA31" i="1"/>
  <c r="ACE33" i="1"/>
  <c r="ACI33" i="1" s="1"/>
  <c r="ACC32" i="1"/>
  <c r="ACE57" i="1"/>
  <c r="ACI57" i="1" s="1"/>
  <c r="ACE30" i="1"/>
  <c r="ACI30" i="1" s="1"/>
  <c r="ACE54" i="1"/>
  <c r="ACI54" i="1" s="1"/>
  <c r="ACC52" i="1"/>
  <c r="ACE52" i="1" s="1"/>
  <c r="ACI52" i="1" s="1"/>
  <c r="ACA19" i="1"/>
  <c r="ACA14" i="1"/>
  <c r="ACC26" i="1"/>
  <c r="ACG26" i="1" s="1"/>
  <c r="ACG34" i="1"/>
  <c r="ACE34" i="1"/>
  <c r="ACI34" i="1" s="1"/>
  <c r="ACG16" i="1"/>
  <c r="ACE16" i="1"/>
  <c r="ACI16" i="1" s="1"/>
  <c r="ACA36" i="1"/>
  <c r="ACE45" i="1"/>
  <c r="ACI45" i="1" s="1"/>
  <c r="ACA15" i="1"/>
  <c r="ACA26" i="1"/>
  <c r="ACE23" i="1"/>
  <c r="ACI23" i="1" s="1"/>
  <c r="ACA49" i="1"/>
  <c r="ACE49" i="1"/>
  <c r="ACI49" i="1" s="1"/>
  <c r="U9" i="1"/>
  <c r="ACA41" i="1"/>
  <c r="ACA24" i="1"/>
  <c r="ACA16" i="1"/>
  <c r="ACA32" i="1"/>
  <c r="ACE17" i="1"/>
  <c r="ACI17" i="1" s="1"/>
  <c r="ACA50" i="1"/>
  <c r="ACA33" i="1"/>
  <c r="ACA55" i="1"/>
  <c r="ACA23" i="1"/>
  <c r="ACG21" i="1"/>
  <c r="ACE21" i="1"/>
  <c r="ACI21" i="1" s="1"/>
  <c r="ACG37" i="1"/>
  <c r="ACE37" i="1"/>
  <c r="ACI37" i="1" s="1"/>
  <c r="ACG39" i="1"/>
  <c r="ACE39" i="1"/>
  <c r="ACI39" i="1" s="1"/>
  <c r="ACE41" i="1"/>
  <c r="ACI41" i="1" s="1"/>
  <c r="ACG41" i="1"/>
  <c r="ACG52" i="1"/>
  <c r="ABX9" i="1"/>
  <c r="ACE53" i="1"/>
  <c r="ACI53" i="1" s="1"/>
  <c r="ACG53" i="1"/>
  <c r="ACG15" i="1"/>
  <c r="ACE15" i="1"/>
  <c r="ACI15" i="1" s="1"/>
  <c r="ACG28" i="1"/>
  <c r="ACE28" i="1"/>
  <c r="ACI28" i="1" s="1"/>
  <c r="KD9" i="1"/>
  <c r="ACG38" i="1"/>
  <c r="ACE38" i="1"/>
  <c r="ACI38" i="1" s="1"/>
  <c r="UM9" i="1"/>
  <c r="ACA37" i="1"/>
  <c r="ACA22" i="1"/>
  <c r="ACA21" i="1"/>
  <c r="ACE43" i="1"/>
  <c r="ACI43" i="1" s="1"/>
  <c r="ACG64" i="1"/>
  <c r="ACE64" i="1"/>
  <c r="ACI64" i="1" s="1"/>
  <c r="ACE26" i="1"/>
  <c r="ACI26" i="1" s="1"/>
  <c r="KY7" i="3"/>
  <c r="ACC20" i="1"/>
  <c r="ACG25" i="1"/>
  <c r="ACE25" i="1"/>
  <c r="ACI25" i="1" s="1"/>
  <c r="ACG46" i="1"/>
  <c r="ACE46" i="1"/>
  <c r="ACI46" i="1" s="1"/>
  <c r="ACE48" i="1"/>
  <c r="ACI48" i="1" s="1"/>
  <c r="ACA17" i="1"/>
  <c r="ACG24" i="1"/>
  <c r="ACE24" i="1"/>
  <c r="ACI24" i="1" s="1"/>
  <c r="ACA28" i="1"/>
  <c r="ACE22" i="1" l="1"/>
  <c r="ACI22" i="1" s="1"/>
  <c r="ACG55" i="1"/>
  <c r="ACE55" i="1"/>
  <c r="ACI55" i="1" s="1"/>
  <c r="ACE58" i="1"/>
  <c r="ACI58" i="1" s="1"/>
  <c r="ACE35" i="1"/>
  <c r="ACI35" i="1" s="1"/>
  <c r="ACG32" i="1"/>
  <c r="ACE32" i="1"/>
  <c r="ACI32" i="1" s="1"/>
  <c r="ACA9" i="1"/>
  <c r="ACC9" i="1"/>
  <c r="ACG20" i="1"/>
  <c r="ACG9" i="1" s="1"/>
  <c r="ACE20" i="1"/>
  <c r="ACI20" i="1" s="1"/>
  <c r="ACI9" i="1" l="1"/>
  <c r="ACE9" i="1"/>
</calcChain>
</file>

<file path=xl/sharedStrings.xml><?xml version="1.0" encoding="utf-8"?>
<sst xmlns="http://schemas.openxmlformats.org/spreadsheetml/2006/main" count="3646" uniqueCount="1394">
  <si>
    <t>School Level Data on Learners with Disability in Elementary Level</t>
  </si>
  <si>
    <t>SY 2019-2020</t>
  </si>
  <si>
    <t>Based on BEIS, gerated as of February 17, 2020</t>
  </si>
  <si>
    <t>Non-Graded</t>
  </si>
  <si>
    <t>SPED Mainstreamed Learners</t>
  </si>
  <si>
    <t>SPED Mainstreamed Learners Total</t>
  </si>
  <si>
    <t>SPED Self-Contained Learners</t>
  </si>
  <si>
    <t>With Diagnosis from Licensed Medical Specialist</t>
  </si>
  <si>
    <t>With Manifestations:</t>
  </si>
  <si>
    <t>Total Non-Graded</t>
  </si>
  <si>
    <t>Total LWD</t>
  </si>
  <si>
    <t>Total Gifted Enrollment</t>
  </si>
  <si>
    <t>Total Graded Enrollment</t>
  </si>
  <si>
    <t>Total Non-Graded Enrollment</t>
  </si>
  <si>
    <t>Total Gifted, Graded and Non-Graded</t>
  </si>
  <si>
    <t>Schools with Gifted Enrollment</t>
  </si>
  <si>
    <t>Schools with Graded Enrollment</t>
  </si>
  <si>
    <t>Schools with Non-Graded Enrollment</t>
  </si>
  <si>
    <t>Schools with Graded &amp; Non-Graded Enrollment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</si>
  <si>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</si>
  <si>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</si>
  <si>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</si>
  <si>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</si>
  <si>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</si>
  <si>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</si>
  <si>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</si>
  <si>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</si>
  <si>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</si>
  <si>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</si>
  <si>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Multiple Disabilities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</si>
  <si>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</si>
  <si>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</si>
  <si>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</si>
  <si>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</si>
  <si>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</si>
  <si>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</si>
  <si>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 (Walking, Climbing and Grasping)</t>
  </si>
  <si>
    <t>Difficulty in Communicating</t>
  </si>
  <si>
    <t>Gifted Learners Data</t>
  </si>
  <si>
    <t xml:space="preserve">Visual Impairment </t>
  </si>
  <si>
    <t>Orthopedic/ Physical Handicap</t>
  </si>
  <si>
    <t>Speech / Language Disorder</t>
  </si>
  <si>
    <t>Special Health Problem/ Chronic Disease</t>
  </si>
  <si>
    <t>Kindergarten</t>
  </si>
  <si>
    <t>Primary Level</t>
  </si>
  <si>
    <t>Transition</t>
  </si>
  <si>
    <t>Kindergarten (Headstart)</t>
  </si>
  <si>
    <t>Grade 1</t>
  </si>
  <si>
    <t>Grade 2</t>
  </si>
  <si>
    <t>Grade 3</t>
  </si>
  <si>
    <t>Grade 4</t>
  </si>
  <si>
    <t>Grade 5</t>
  </si>
  <si>
    <t>Grade 6</t>
  </si>
  <si>
    <t>Total</t>
  </si>
  <si>
    <t>Level I</t>
  </si>
  <si>
    <t>Level II</t>
  </si>
  <si>
    <t>Level III</t>
  </si>
  <si>
    <t>Male</t>
  </si>
  <si>
    <t>Female</t>
  </si>
  <si>
    <t>Region</t>
  </si>
  <si>
    <t>Division</t>
  </si>
  <si>
    <t>School ID</t>
  </si>
  <si>
    <t>School Name</t>
  </si>
  <si>
    <t>gift_lrnrs_m_k</t>
  </si>
  <si>
    <t>gift_lrnrs_f_k</t>
  </si>
  <si>
    <t>gift_lrnrs_m_g1</t>
  </si>
  <si>
    <t>gift_lrnrs_f_g1</t>
  </si>
  <si>
    <t>gift_lrnrs_m_g2</t>
  </si>
  <si>
    <t>gift_lrnrs_f_g2</t>
  </si>
  <si>
    <t>gift_lrnrs_m_g3</t>
  </si>
  <si>
    <t>gift_lrnrs_f_g3</t>
  </si>
  <si>
    <t>gift_lrnrs_m_g4</t>
  </si>
  <si>
    <t>gift_lrnrs_f_g4</t>
  </si>
  <si>
    <t>gift_lrnrs_m_g5</t>
  </si>
  <si>
    <t>gift_lrnrs_f_g5</t>
  </si>
  <si>
    <t>gift_lrnrs_m_g6</t>
  </si>
  <si>
    <t>gift_lrnrs_f_g6</t>
  </si>
  <si>
    <t>sped_main_wd_vi_m_k</t>
  </si>
  <si>
    <t>sped_main_wd_vi_f_k</t>
  </si>
  <si>
    <t>sped_main_wd_vi_m_g1</t>
  </si>
  <si>
    <t>sped_main_wd_vi_f_g1</t>
  </si>
  <si>
    <t>sped_main_wd_vi_m_g2</t>
  </si>
  <si>
    <t>sped_main_wd_vi_f_g2</t>
  </si>
  <si>
    <t>sped_main_wd_vi_m_g3</t>
  </si>
  <si>
    <t>sped_main_wd_vi_f_g3</t>
  </si>
  <si>
    <t>sped_main_wd_vi_m_g4</t>
  </si>
  <si>
    <t>sped_main_wd_vi_f_g4</t>
  </si>
  <si>
    <t>sped_main_wd_vi_m_g5</t>
  </si>
  <si>
    <t>sped_main_wd_vi_f_g5</t>
  </si>
  <si>
    <t>sped_main_wd_vi_m_g6</t>
  </si>
  <si>
    <t>sped_main_wd_vi_f_g6</t>
  </si>
  <si>
    <t>sped_main_wd_hi_m_k</t>
  </si>
  <si>
    <t>sped_main_wd_hi_f_k</t>
  </si>
  <si>
    <t>sped_main_wd_hi_m_g1</t>
  </si>
  <si>
    <t>sped_main_wd_hi_f_g1</t>
  </si>
  <si>
    <t>sped_main_wd_hi_m_g2</t>
  </si>
  <si>
    <t>sped_main_wd_hi_f_g2</t>
  </si>
  <si>
    <t>sped_main_wd_hi_m_g3</t>
  </si>
  <si>
    <t>sped_main_wd_hi_f_g3</t>
  </si>
  <si>
    <t>sped_main_wd_hi_m_g4</t>
  </si>
  <si>
    <t>sped_main_wd_hi_f_g4</t>
  </si>
  <si>
    <t>sped_main_wd_hi_m_g5</t>
  </si>
  <si>
    <t>sped_main_wd_hi_f_g5</t>
  </si>
  <si>
    <t>sped_main_wd_hi_m_g6</t>
  </si>
  <si>
    <t>sped_main_wd_hi_f_g6</t>
  </si>
  <si>
    <t>sped_main_wd_ld_m_k</t>
  </si>
  <si>
    <t>sped_main_wd_ld_f_k</t>
  </si>
  <si>
    <t>sped_main_wd_ld_m_g1</t>
  </si>
  <si>
    <t>sped_main_wd_ld_f_g1</t>
  </si>
  <si>
    <t>sped_main_wd_ld_m_g2</t>
  </si>
  <si>
    <t>sped_main_wd_ld_f_g2</t>
  </si>
  <si>
    <t>sped_main_wd_ld_m_g3</t>
  </si>
  <si>
    <t>sped_main_wd_ld_f_g3</t>
  </si>
  <si>
    <t>sped_main_wd_ld_m_g4</t>
  </si>
  <si>
    <t>sped_main_wd_ld_f_g4</t>
  </si>
  <si>
    <t>sped_main_wd_ld_m_g5</t>
  </si>
  <si>
    <t>sped_main_wd_ld_f_g5</t>
  </si>
  <si>
    <t>sped_main_wd_ld_m_g6</t>
  </si>
  <si>
    <t>sped_main_wd_ld_f_g6</t>
  </si>
  <si>
    <t>sped_main_wd_id_m_k</t>
  </si>
  <si>
    <t>sped_main_wd_id_f_k</t>
  </si>
  <si>
    <t>sped_main_wd_id_m_g1</t>
  </si>
  <si>
    <t>sped_main_wd_id_f_g1</t>
  </si>
  <si>
    <t>sped_main_wd_id_m_g2</t>
  </si>
  <si>
    <t>sped_main_wd_id_f_g2</t>
  </si>
  <si>
    <t>sped_main_wd_id_m_g3</t>
  </si>
  <si>
    <t>sped_main_wd_id_f_g3</t>
  </si>
  <si>
    <t>sped_main_wd_id_m_g4</t>
  </si>
  <si>
    <t>sped_main_wd_id_f_g4</t>
  </si>
  <si>
    <t>sped_main_wd_id_m_g5</t>
  </si>
  <si>
    <t>sped_main_wd_id_f_g5</t>
  </si>
  <si>
    <t>sped_main_wd_id_m_g6</t>
  </si>
  <si>
    <t>sped_main_wd_id_f_g6</t>
  </si>
  <si>
    <t>sped_main_wd_asd_m_k</t>
  </si>
  <si>
    <t>sped_main_wd_asd_f_k</t>
  </si>
  <si>
    <t>sped_main_wd_asd_m_g1</t>
  </si>
  <si>
    <t>sped_main_wd_asd_f_g1</t>
  </si>
  <si>
    <t>sped_main_wd_asd_m_g2</t>
  </si>
  <si>
    <t>sped_main_wd_asd_f_g2</t>
  </si>
  <si>
    <t>sped_main_wd_asd_m_g3</t>
  </si>
  <si>
    <t>sped_main_wd_asd_f_g3</t>
  </si>
  <si>
    <t>sped_main_wd_asd_m_g4</t>
  </si>
  <si>
    <t>sped_main_wd_asd_f_g4</t>
  </si>
  <si>
    <t>sped_main_wd_asd_m_g5</t>
  </si>
  <si>
    <t>sped_main_wd_asd_f_g5</t>
  </si>
  <si>
    <t>sped_main_wd_asd_m_g6</t>
  </si>
  <si>
    <t>sped_main_wd_asd_f_g6</t>
  </si>
  <si>
    <t>sped_main_wd_ebd_m_k</t>
  </si>
  <si>
    <t>sped_main_wd_ebd_f_k</t>
  </si>
  <si>
    <t>sped_main_wd_ebd_m_g1</t>
  </si>
  <si>
    <t>sped_main_wd_ebd_f_g1</t>
  </si>
  <si>
    <t>sped_main_wd_ebd_m_g2</t>
  </si>
  <si>
    <t>sped_main_wd_ebd_f_g2</t>
  </si>
  <si>
    <t>sped_main_wd_ebd_m_g3</t>
  </si>
  <si>
    <t>sped_main_wd_ebd_f_g3</t>
  </si>
  <si>
    <t>sped_main_wd_ebd_m_g4</t>
  </si>
  <si>
    <t>sped_main_wd_ebd_f_g4</t>
  </si>
  <si>
    <t>sped_main_wd_ebd_m_g5</t>
  </si>
  <si>
    <t>sped_main_wd_ebd_f_g5</t>
  </si>
  <si>
    <t>sped_main_wd_ebd_m_g6</t>
  </si>
  <si>
    <t>sped_main_wd_ebd_f_g6</t>
  </si>
  <si>
    <t>sped_main_wd_oph_m_k</t>
  </si>
  <si>
    <t>sped_main_wd_oph_f_k</t>
  </si>
  <si>
    <t>sped_main_wd_oph_m_g1</t>
  </si>
  <si>
    <t>sped_main_wd_oph_f_g1</t>
  </si>
  <si>
    <t>sped_main_wd_oph_m_g2</t>
  </si>
  <si>
    <t>sped_main_wd_oph_f_g2</t>
  </si>
  <si>
    <t>sped_main_wd_oph_m_g3</t>
  </si>
  <si>
    <t>sped_main_wd_oph_f_g3</t>
  </si>
  <si>
    <t>sped_main_wd_oph_m_g4</t>
  </si>
  <si>
    <t>sped_main_wd_oph_f_g4</t>
  </si>
  <si>
    <t>sped_main_wd_oph_m_g5</t>
  </si>
  <si>
    <t>sped_main_wd_oph_f_g5</t>
  </si>
  <si>
    <t>sped_main_wd_oph_m_g6</t>
  </si>
  <si>
    <t>sped_main_wd_oph_f_g6</t>
  </si>
  <si>
    <t>sped_main_wd_sld_m_k</t>
  </si>
  <si>
    <t>sped_main_wd_sld_f_k</t>
  </si>
  <si>
    <t>sped_main_wd_sld_m_g1</t>
  </si>
  <si>
    <t>sped_main_wd_sld_f_g1</t>
  </si>
  <si>
    <t>sped_main_wd_sld_m_g2</t>
  </si>
  <si>
    <t>sped_main_wd_sld_f_g2</t>
  </si>
  <si>
    <t>sped_main_wd_sld_m_g3</t>
  </si>
  <si>
    <t>sped_main_wd_sld_f_g3</t>
  </si>
  <si>
    <t>sped_main_wd_sld_m_g4</t>
  </si>
  <si>
    <t>sped_main_wd_sld_f_g4</t>
  </si>
  <si>
    <t>sped_main_wd_sld_m_g5</t>
  </si>
  <si>
    <t>sped_main_wd_sld_f_g5</t>
  </si>
  <si>
    <t>sped_main_wd_sld_m_g6</t>
  </si>
  <si>
    <t>sped_main_wd_sld_f_g6</t>
  </si>
  <si>
    <t>sped_main_wd_cp_m_k</t>
  </si>
  <si>
    <t>sped_main_wd_cp_f_k</t>
  </si>
  <si>
    <t>sped_main_wd_cp_m_g1</t>
  </si>
  <si>
    <t>sped_main_wd_cp_f_g1</t>
  </si>
  <si>
    <t>sped_main_wd_cp_m_g2</t>
  </si>
  <si>
    <t>sped_main_wd_cp_f_g2</t>
  </si>
  <si>
    <t>sped_main_wd_cp_m_g3</t>
  </si>
  <si>
    <t>sped_main_wd_cp_f_g3</t>
  </si>
  <si>
    <t>sped_main_wd_cp_m_g4</t>
  </si>
  <si>
    <t>sped_main_wd_cp_f_g4</t>
  </si>
  <si>
    <t>sped_main_wd_cp_m_g5</t>
  </si>
  <si>
    <t>sped_main_wd_cp_f_g5</t>
  </si>
  <si>
    <t>sped_main_wd_cp_m_g6</t>
  </si>
  <si>
    <t>sped_main_wd_cp_f_g6</t>
  </si>
  <si>
    <t>sped_main_wd_cd_m_k</t>
  </si>
  <si>
    <t>sped_main_wd_cd_f_k</t>
  </si>
  <si>
    <t>sped_main_wd_cd_m_g1</t>
  </si>
  <si>
    <t>sped_main_wd_cd_f_g1</t>
  </si>
  <si>
    <t>sped_main_wd_cd_m_g2</t>
  </si>
  <si>
    <t>sped_main_wd_cd_f_g2</t>
  </si>
  <si>
    <t>sped_main_wd_cd_m_g3</t>
  </si>
  <si>
    <t>sped_main_wd_cd_f_g3</t>
  </si>
  <si>
    <t>sped_main_wd_cd_m_g4</t>
  </si>
  <si>
    <t>sped_main_wd_cd_f_g4</t>
  </si>
  <si>
    <t>sped_main_wd_cd_m_g5</t>
  </si>
  <si>
    <t>sped_main_wd_cd_f_g5</t>
  </si>
  <si>
    <t>sped_main_wd_cd_m_g6</t>
  </si>
  <si>
    <t>sped_main_wd_cd_f_g6</t>
  </si>
  <si>
    <t>sped_main_wd_md_m_k</t>
  </si>
  <si>
    <t>sped_main_wd_md_f_k</t>
  </si>
  <si>
    <t>sped_main_wd_md_m_g1</t>
  </si>
  <si>
    <t>sped_main_wd_md_f_g1</t>
  </si>
  <si>
    <t>sped_main_wd_md_m_g2</t>
  </si>
  <si>
    <t>sped_main_wd_md_f_g2</t>
  </si>
  <si>
    <t>sped_main_wd_md_m_g3</t>
  </si>
  <si>
    <t>sped_main_wd_md_f_g3</t>
  </si>
  <si>
    <t>sped_main_wd_md_m_g4</t>
  </si>
  <si>
    <t>sped_main_wd_md_f_g4</t>
  </si>
  <si>
    <t>sped_main_wd_md_m_g5</t>
  </si>
  <si>
    <t>sped_main_wd_md_f_g5</t>
  </si>
  <si>
    <t>sped_main_wd_md_m_g6</t>
  </si>
  <si>
    <t>sped_main_wd_md_f_g6</t>
  </si>
  <si>
    <t>sped_main_wm_diff_seeing_m_k</t>
  </si>
  <si>
    <t>sped_main_wm_diff_seeing_f_k</t>
  </si>
  <si>
    <t>sped_main_wm_diff_seeing_m_g1</t>
  </si>
  <si>
    <t>sped_main_wm_diff_seeing_f_g1</t>
  </si>
  <si>
    <t>sped_main_wm_diff_seeing_m_g2</t>
  </si>
  <si>
    <t>sped_main_wm_diff_seeing_f_g2</t>
  </si>
  <si>
    <t>sped_main_wm_diff_seeing_m_g3</t>
  </si>
  <si>
    <t>sped_main_wm_diff_seeing_f_g3</t>
  </si>
  <si>
    <t>sped_main_wm_diff_seeing_m_g4</t>
  </si>
  <si>
    <t>sped_main_wm_diff_seeing_f_g4</t>
  </si>
  <si>
    <t>sped_main_wm_diff_seeing_m_g5</t>
  </si>
  <si>
    <t>sped_main_wm_diff_seeing_f_g5</t>
  </si>
  <si>
    <t>sped_main_wm_diff_seeing_m_g6</t>
  </si>
  <si>
    <t>sped_main_wm_diff_seeing_f_g6</t>
  </si>
  <si>
    <t>sped_main_wm_diff_hearing_m_k</t>
  </si>
  <si>
    <t>sped_main_wm_diff_hearing_f_k</t>
  </si>
  <si>
    <t>sped_main_wm_diff_hearing_m_g1</t>
  </si>
  <si>
    <t>sped_main_wm_diff_hearing_f_g1</t>
  </si>
  <si>
    <t>sped_main_wm_diff_hearing_m_g2</t>
  </si>
  <si>
    <t>sped_main_wm_diff_hearing_f_g2</t>
  </si>
  <si>
    <t>sped_main_wm_diff_hearing_m_g3</t>
  </si>
  <si>
    <t>sped_main_wm_diff_hearing_f_g3</t>
  </si>
  <si>
    <t>sped_main_wm_diff_hearing_m_g4</t>
  </si>
  <si>
    <t>sped_main_wm_diff_hearing_f_g4</t>
  </si>
  <si>
    <t>sped_main_wm_diff_hearing_m_g5</t>
  </si>
  <si>
    <t>sped_main_wm_diff_hearing_f_g5</t>
  </si>
  <si>
    <t>sped_main_wm_diff_hearing_m_g6</t>
  </si>
  <si>
    <t>sped_main_wm_diff_hearing_f_g6</t>
  </si>
  <si>
    <t>sped_main_wm_diff_ak_m_k</t>
  </si>
  <si>
    <t>sped_main_wm_diff_ak_f_k</t>
  </si>
  <si>
    <t>sped_main_wm_diff_ak_m_g1</t>
  </si>
  <si>
    <t>sped_main_wm_diff_ak_f_g1</t>
  </si>
  <si>
    <t>sped_main_wm_diff_ak_m_g2</t>
  </si>
  <si>
    <t>sped_main_wm_diff_ak_f_g2</t>
  </si>
  <si>
    <t>sped_main_wm_diff_ak_m_g3</t>
  </si>
  <si>
    <t>sped_main_wm_diff_ak_f_g3</t>
  </si>
  <si>
    <t>sped_main_wm_diff_ak_m_g4</t>
  </si>
  <si>
    <t>sped_main_wm_diff_ak_f_g4</t>
  </si>
  <si>
    <t>sped_main_wm_diff_ak_m_g5</t>
  </si>
  <si>
    <t>sped_main_wm_diff_ak_f_g5</t>
  </si>
  <si>
    <t>sped_main_wm_diff_ak_m_g6</t>
  </si>
  <si>
    <t>sped_main_wm_diff_ak_f_g6</t>
  </si>
  <si>
    <t>sped_main_wm_diff_rcpau_m_k</t>
  </si>
  <si>
    <t>sped_main_wm_diff_rcpau_f_k</t>
  </si>
  <si>
    <t>sped_main_wm_diff_rcpau_m_g1</t>
  </si>
  <si>
    <t>sped_main_wm_diff_rcpau_f_g1</t>
  </si>
  <si>
    <t>sped_main_wm_diff_rcpau_m_g2</t>
  </si>
  <si>
    <t>sped_main_wm_diff_rcpau_f_g2</t>
  </si>
  <si>
    <t>sped_main_wm_diff_rcpau_m_g3</t>
  </si>
  <si>
    <t>sped_main_wm_diff_rcpau_f_g3</t>
  </si>
  <si>
    <t>sped_main_wm_diff_rcpau_m_g4</t>
  </si>
  <si>
    <t>sped_main_wm_diff_rcpau_f_g4</t>
  </si>
  <si>
    <t>sped_main_wm_diff_rcpau_m_g5</t>
  </si>
  <si>
    <t>sped_main_wm_diff_rcpau_f_g5</t>
  </si>
  <si>
    <t>sped_main_wm_diff_rcpau_m_g6</t>
  </si>
  <si>
    <t>sped_main_wm_diff_rcpau_f_g6</t>
  </si>
  <si>
    <t>sped_main_wm_diff_aas_m_k</t>
  </si>
  <si>
    <t>sped_main_wm_diff_aas_f_k</t>
  </si>
  <si>
    <t>sped_main_wm_diff_aas_m_g1</t>
  </si>
  <si>
    <t>sped_main_wm_diff_aas_f_g1</t>
  </si>
  <si>
    <t>sped_main_wm_diff_aas_m_g2</t>
  </si>
  <si>
    <t>sped_main_wm_diff_aas_f_g2</t>
  </si>
  <si>
    <t>sped_main_wm_diff_aas_m_g3</t>
  </si>
  <si>
    <t>sped_main_wm_diff_aas_f_g3</t>
  </si>
  <si>
    <t>sped_main_wm_diff_aas_m_g4</t>
  </si>
  <si>
    <t>sped_main_wm_diff_aas_f_g4</t>
  </si>
  <si>
    <t>sped_main_wm_diff_aas_m_g5</t>
  </si>
  <si>
    <t>sped_main_wm_diff_aas_f_g5</t>
  </si>
  <si>
    <t>sped_main_wm_diff_aas_m_g6</t>
  </si>
  <si>
    <t>sped_main_wm_diff_aas_f_g6</t>
  </si>
  <si>
    <t>sped_main_wm_diff_dipb_m_k</t>
  </si>
  <si>
    <t>sped_main_wm_diff_dipb_f_k</t>
  </si>
  <si>
    <t>sped_main_wm_diff_dipb_m_g1</t>
  </si>
  <si>
    <t>sped_main_wm_diff_dipb_f_g1</t>
  </si>
  <si>
    <t>sped_main_wm_diff_dipb_m_g2</t>
  </si>
  <si>
    <t>sped_main_wm_diff_dipb_f_g2</t>
  </si>
  <si>
    <t>sped_main_wm_diff_dipb_m_g3</t>
  </si>
  <si>
    <t>sped_main_wm_diff_dipb_f_g3</t>
  </si>
  <si>
    <t>sped_main_wm_diff_dipb_m_g4</t>
  </si>
  <si>
    <t>sped_main_wm_diff_dipb_f_g4</t>
  </si>
  <si>
    <t>sped_main_wm_diff_dipb_m_g5</t>
  </si>
  <si>
    <t>sped_main_wm_diff_dipb_f_g5</t>
  </si>
  <si>
    <t>sped_main_wm_diff_dipb_m_g6</t>
  </si>
  <si>
    <t>sped_main_wm_diff_dipb_f_g6</t>
  </si>
  <si>
    <t>sped_main_wm_diff_mob_m_k</t>
  </si>
  <si>
    <t>sped_main_wm_diff_mob_f_k</t>
  </si>
  <si>
    <t>sped_main_wm_diff_mob_m_g1</t>
  </si>
  <si>
    <t>sped_main_wm_diff_mob_f_g1</t>
  </si>
  <si>
    <t>sped_main_wm_diff_mob_m_g2</t>
  </si>
  <si>
    <t>sped_main_wm_diff_mob_f_g2</t>
  </si>
  <si>
    <t>sped_main_wm_diff_mob_m_g3</t>
  </si>
  <si>
    <t>sped_main_wm_diff_mob_f_g3</t>
  </si>
  <si>
    <t>sped_main_wm_diff_mob_m_g4</t>
  </si>
  <si>
    <t>sped_main_wm_diff_mob_f_g4</t>
  </si>
  <si>
    <t>sped_main_wm_diff_mob_m_g5</t>
  </si>
  <si>
    <t>sped_main_wm_diff_mob_f_g5</t>
  </si>
  <si>
    <t>sped_main_wm_diff_mob_m_g6</t>
  </si>
  <si>
    <t>sped_main_wm_diff_mob_f_g6</t>
  </si>
  <si>
    <t>sped_main_wm_diff_com_m_k</t>
  </si>
  <si>
    <t>sped_main_wm_diff_com_f_k</t>
  </si>
  <si>
    <t>sped_main_wm_diff_com_m_g1</t>
  </si>
  <si>
    <t>sped_main_wm_diff_com_f_g1</t>
  </si>
  <si>
    <t>sped_main_wm_diff_com_m_g2</t>
  </si>
  <si>
    <t>sped_main_wm_diff_com_f_g2</t>
  </si>
  <si>
    <t>sped_main_wm_diff_com_m_g3</t>
  </si>
  <si>
    <t>sped_main_wm_diff_com_f_g3</t>
  </si>
  <si>
    <t>sped_main_wm_diff_com_m_g4</t>
  </si>
  <si>
    <t>sped_main_wm_diff_com_f_g4</t>
  </si>
  <si>
    <t>sped_main_wm_diff_com_m_g5</t>
  </si>
  <si>
    <t>sped_main_wm_diff_com_f_g5</t>
  </si>
  <si>
    <t>sped_main_wm_diff_com_m_g6</t>
  </si>
  <si>
    <t>sped_main_wm_diff_com_f_g6</t>
  </si>
  <si>
    <t>sped_self_wd_vi_m_k</t>
  </si>
  <si>
    <t>sped_self_wd_vi_f_k</t>
  </si>
  <si>
    <t>sped_self_wd_vi_m_g1</t>
  </si>
  <si>
    <t>sped_self_wd_vi_f_g1</t>
  </si>
  <si>
    <t>sped_self_wd_vi_m_g2</t>
  </si>
  <si>
    <t>sped_self_wd_vi_f_g2</t>
  </si>
  <si>
    <t>sped_self_wd_vi_m_g3</t>
  </si>
  <si>
    <t>sped_self_wd_vi_f_g3</t>
  </si>
  <si>
    <t>sped_self_wd_vi_m_g4</t>
  </si>
  <si>
    <t>sped_self_wd_vi_f_g4</t>
  </si>
  <si>
    <t>sped_self_wd_vi_m_g5</t>
  </si>
  <si>
    <t>sped_self_wd_vi_f_g5</t>
  </si>
  <si>
    <t>sped_self_wd_vi_m_g6</t>
  </si>
  <si>
    <t>sped_self_wd_vi_f_g6</t>
  </si>
  <si>
    <t>sped_self_wd_hi_m_k</t>
  </si>
  <si>
    <t>sped_self_wd_hi_f_k</t>
  </si>
  <si>
    <t>sped_self_wd_hi_m_g1</t>
  </si>
  <si>
    <t>sped_self_wd_hi_f_g1</t>
  </si>
  <si>
    <t>sped_self_wd_hi_m_g2</t>
  </si>
  <si>
    <t>sped_self_wd_hi_f_g2</t>
  </si>
  <si>
    <t>sped_self_wd_hi_m_g3</t>
  </si>
  <si>
    <t>sped_self_wd_hi_f_g3</t>
  </si>
  <si>
    <t>sped_self_wd_hi_m_g4</t>
  </si>
  <si>
    <t>sped_self_wd_hi_f_g4</t>
  </si>
  <si>
    <t>sped_self_wd_hi_m_g5</t>
  </si>
  <si>
    <t>sped_self_wd_hi_f_g5</t>
  </si>
  <si>
    <t>sped_self_wd_hi_m_g6</t>
  </si>
  <si>
    <t>sped_self_wd_hi_f_g6</t>
  </si>
  <si>
    <t>sped_self_wd_ld_m_k</t>
  </si>
  <si>
    <t>sped_self_wd_ld_f_k</t>
  </si>
  <si>
    <t>sped_self_wd_ld_m_g1</t>
  </si>
  <si>
    <t>sped_self_wd_ld_f_g1</t>
  </si>
  <si>
    <t>sped_self_wd_ld_m_g2</t>
  </si>
  <si>
    <t>sped_self_wd_ld_f_g2</t>
  </si>
  <si>
    <t>sped_self_wd_ld_m_g3</t>
  </si>
  <si>
    <t>sped_self_wd_ld_f_g3</t>
  </si>
  <si>
    <t>sped_self_wd_ld_m_g4</t>
  </si>
  <si>
    <t>sped_self_wd_ld_f_g4</t>
  </si>
  <si>
    <t>sped_self_wd_ld_m_g5</t>
  </si>
  <si>
    <t>sped_self_wd_ld_f_g5</t>
  </si>
  <si>
    <t>sped_self_wd_ld_m_g6</t>
  </si>
  <si>
    <t>sped_self_wd_ld_f_g6</t>
  </si>
  <si>
    <t>sped_self_wd_id_m_k</t>
  </si>
  <si>
    <t>sped_self_wd_id_f_k</t>
  </si>
  <si>
    <t>sped_self_wd_id_m_g1</t>
  </si>
  <si>
    <t>sped_self_wd_id_f_g1</t>
  </si>
  <si>
    <t>sped_self_wd_id_m_g2</t>
  </si>
  <si>
    <t>sped_self_wd_id_f_g2</t>
  </si>
  <si>
    <t>sped_self_wd_id_m_g3</t>
  </si>
  <si>
    <t>sped_self_wd_id_f_g3</t>
  </si>
  <si>
    <t>sped_self_wd_id_m_g4</t>
  </si>
  <si>
    <t>sped_self_wd_id_f_g4</t>
  </si>
  <si>
    <t>sped_self_wd_id_m_g5</t>
  </si>
  <si>
    <t>sped_self_wd_id_f_g5</t>
  </si>
  <si>
    <t>sped_self_wd_id_m_g6</t>
  </si>
  <si>
    <t>sped_self_wd_id_f_g6</t>
  </si>
  <si>
    <t>sped_self_wd_asd_m_k</t>
  </si>
  <si>
    <t>sped_self_wd_asd_f_k</t>
  </si>
  <si>
    <t>sped_self_wd_asd_m_g1</t>
  </si>
  <si>
    <t>sped_self_wd_asd_f_g1</t>
  </si>
  <si>
    <t>sped_self_wd_asd_m_g2</t>
  </si>
  <si>
    <t>sped_self_wd_asd_f_g2</t>
  </si>
  <si>
    <t>sped_self_wd_asd_m_g3</t>
  </si>
  <si>
    <t>sped_self_wd_asd_f_g3</t>
  </si>
  <si>
    <t>sped_self_wd_asd_m_g4</t>
  </si>
  <si>
    <t>sped_self_wd_asd_f_g4</t>
  </si>
  <si>
    <t>sped_self_wd_asd_m_g5</t>
  </si>
  <si>
    <t>sped_self_wd_asd_f_g5</t>
  </si>
  <si>
    <t>sped_self_wd_asd_m_g6</t>
  </si>
  <si>
    <t>sped_self_wd_asd_f_g6</t>
  </si>
  <si>
    <t>sped_self_wd_ebd_m_k</t>
  </si>
  <si>
    <t>sped_self_wd_ebd_f_k</t>
  </si>
  <si>
    <t>sped_self_wd_ebd_m_g1</t>
  </si>
  <si>
    <t>sped_self_wd_ebd_f_g1</t>
  </si>
  <si>
    <t>sped_self_wd_ebd_m_g2</t>
  </si>
  <si>
    <t>sped_self_wd_ebd_f_g2</t>
  </si>
  <si>
    <t>sped_self_wd_ebd_m_g3</t>
  </si>
  <si>
    <t>sped_self_wd_ebd_f_g3</t>
  </si>
  <si>
    <t>sped_self_wd_ebd_m_g4</t>
  </si>
  <si>
    <t>sped_self_wd_ebd_f_g4</t>
  </si>
  <si>
    <t>sped_self_wd_ebd_m_g5</t>
  </si>
  <si>
    <t>sped_self_wd_ebd_f_g5</t>
  </si>
  <si>
    <t>sped_self_wd_ebd_m_g6</t>
  </si>
  <si>
    <t>sped_self_wd_ebd_f_g6</t>
  </si>
  <si>
    <t>sped_self_wd_oph_m_k</t>
  </si>
  <si>
    <t>sped_self_wd_oph_f_k</t>
  </si>
  <si>
    <t>sped_self_wd_oph_m_g1</t>
  </si>
  <si>
    <t>sped_self_wd_oph_f_g1</t>
  </si>
  <si>
    <t>sped_self_wd_oph_m_g2</t>
  </si>
  <si>
    <t>sped_self_wd_oph_f_g2</t>
  </si>
  <si>
    <t>sped_self_wd_oph_m_g3</t>
  </si>
  <si>
    <t>sped_self_wd_oph_f_g3</t>
  </si>
  <si>
    <t>sped_self_wd_oph_m_g4</t>
  </si>
  <si>
    <t>sped_self_wd_oph_f_g4</t>
  </si>
  <si>
    <t>sped_self_wd_oph_m_g5</t>
  </si>
  <si>
    <t>sped_self_wd_oph_f_g5</t>
  </si>
  <si>
    <t>sped_self_wd_oph_m_g6</t>
  </si>
  <si>
    <t>sped_self_wd_oph_f_g6</t>
  </si>
  <si>
    <t>sped_self_wd_sld_m_k</t>
  </si>
  <si>
    <t>sped_self_wd_sld_f_k</t>
  </si>
  <si>
    <t>sped_self_wd_sld_m_g1</t>
  </si>
  <si>
    <t>sped_self_wd_sld_f_g1</t>
  </si>
  <si>
    <t>sped_self_wd_sld_m_g2</t>
  </si>
  <si>
    <t>sped_self_wd_sld_f_g2</t>
  </si>
  <si>
    <t>sped_self_wd_sld_m_g3</t>
  </si>
  <si>
    <t>sped_self_wd_sld_f_g3</t>
  </si>
  <si>
    <t>sped_self_wd_sld_m_g4</t>
  </si>
  <si>
    <t>sped_self_wd_sld_f_g4</t>
  </si>
  <si>
    <t>sped_self_wd_sld_m_g5</t>
  </si>
  <si>
    <t>sped_self_wd_sld_f_g5</t>
  </si>
  <si>
    <t>sped_self_wd_sld_m_g6</t>
  </si>
  <si>
    <t>sped_self_wd_sld_f_g6</t>
  </si>
  <si>
    <t>sped_self_wd_cp_m_k</t>
  </si>
  <si>
    <t>sped_self_wd_cp_f_k</t>
  </si>
  <si>
    <t>sped_self_wd_cp_m_g1</t>
  </si>
  <si>
    <t>sped_self_wd_cp_f_g1</t>
  </si>
  <si>
    <t>sped_self_wd_cp_m_g2</t>
  </si>
  <si>
    <t>sped_self_wd_cp_f_g2</t>
  </si>
  <si>
    <t>sped_self_wd_cp_m_g3</t>
  </si>
  <si>
    <t>sped_self_wd_cp_f_g3</t>
  </si>
  <si>
    <t>sped_self_wd_cp_m_g4</t>
  </si>
  <si>
    <t>sped_self_wd_cp_f_g4</t>
  </si>
  <si>
    <t>sped_self_wd_cp_m_g5</t>
  </si>
  <si>
    <t>sped_self_wd_cp_f_g5</t>
  </si>
  <si>
    <t>sped_self_wd_cp_m_g6</t>
  </si>
  <si>
    <t>sped_self_wd_cp_f_g6</t>
  </si>
  <si>
    <t>sped_self_wd_cd_m_k</t>
  </si>
  <si>
    <t>sped_self_wd_cd_f_k</t>
  </si>
  <si>
    <t>sped_self_wd_cd_m_g1</t>
  </si>
  <si>
    <t>sped_self_wd_cd_f_g1</t>
  </si>
  <si>
    <t>sped_self_wd_cd_m_g2</t>
  </si>
  <si>
    <t>sped_self_wd_cd_f_g2</t>
  </si>
  <si>
    <t>sped_self_wd_cd_m_g3</t>
  </si>
  <si>
    <t>sped_self_wd_cd_f_g3</t>
  </si>
  <si>
    <t>sped_self_wd_cd_m_g4</t>
  </si>
  <si>
    <t>sped_self_wd_cd_f_g4</t>
  </si>
  <si>
    <t>sped_self_wd_cd_m_g5</t>
  </si>
  <si>
    <t>sped_self_wd_cd_f_g5</t>
  </si>
  <si>
    <t>sped_self_wd_cd_m_g6</t>
  </si>
  <si>
    <t>sped_self_wd_cd_f_g6</t>
  </si>
  <si>
    <t>sped_self_wd_md_m_k</t>
  </si>
  <si>
    <t>sped_self_wd_md_f_k</t>
  </si>
  <si>
    <t>sped_self_wd_md_m_g1</t>
  </si>
  <si>
    <t>sped_self_wd_md_f_g1</t>
  </si>
  <si>
    <t>sped_self_wd_md_m_g2</t>
  </si>
  <si>
    <t>sped_self_wd_md_f_g2</t>
  </si>
  <si>
    <t>sped_self_wd_md_m_g3</t>
  </si>
  <si>
    <t>sped_self_wd_md_f_g3</t>
  </si>
  <si>
    <t>sped_self_wd_md_m_g4</t>
  </si>
  <si>
    <t>sped_self_wd_md_f_g4</t>
  </si>
  <si>
    <t>sped_self_wd_md_m_g5</t>
  </si>
  <si>
    <t>sped_self_wd_md_f_g5</t>
  </si>
  <si>
    <t>sped_self_wd_md_m_g6</t>
  </si>
  <si>
    <t>sped_self_wd_md_f_g6</t>
  </si>
  <si>
    <t>sped_self_wm_diff_seeing_m_k</t>
  </si>
  <si>
    <t>sped_self_wm_diff_seeing_f_k</t>
  </si>
  <si>
    <t>sped_self_wm_diff_seeing_m_g1</t>
  </si>
  <si>
    <t>sped_self_wm_diff_seeing_f_g1</t>
  </si>
  <si>
    <t>sped_self_wm_diff_seeing_m_g2</t>
  </si>
  <si>
    <t>sped_self_wm_diff_seeing_f_g2</t>
  </si>
  <si>
    <t>sped_self_wm_diff_seeing_m_g3</t>
  </si>
  <si>
    <t>sped_self_wm_diff_seeing_f_g3</t>
  </si>
  <si>
    <t>sped_self_wm_diff_seeing_m_g4</t>
  </si>
  <si>
    <t>sped_self_wm_diff_seeing_f_g4</t>
  </si>
  <si>
    <t>sped_self_wm_diff_seeing_m_g5</t>
  </si>
  <si>
    <t>sped_self_wm_diff_seeing_f_g5</t>
  </si>
  <si>
    <t>sped_self_wm_diff_seeing_m_g6</t>
  </si>
  <si>
    <t>sped_self_wm_diff_seeing_f_g6</t>
  </si>
  <si>
    <t>sped_self_wm_diff_hearing_m_k</t>
  </si>
  <si>
    <t>sped_self_wm_diff_hearing_f_k</t>
  </si>
  <si>
    <t>sped_self_wm_diff_hearing_m_g1</t>
  </si>
  <si>
    <t>sped_self_wm_diff_hearing_f_g1</t>
  </si>
  <si>
    <t>sped_self_wm_diff_hearing_m_g2</t>
  </si>
  <si>
    <t>sped_self_wm_diff_hearing_f_g2</t>
  </si>
  <si>
    <t>sped_self_wm_diff_hearing_m_g3</t>
  </si>
  <si>
    <t>sped_self_wm_diff_hearing_f_g3</t>
  </si>
  <si>
    <t>sped_self_wm_diff_hearing_m_g4</t>
  </si>
  <si>
    <t>sped_self_wm_diff_hearing_f_g4</t>
  </si>
  <si>
    <t>sped_self_wm_diff_hearing_m_g5</t>
  </si>
  <si>
    <t>sped_self_wm_diff_hearing_f_g5</t>
  </si>
  <si>
    <t>sped_self_wm_diff_hearing_m_g6</t>
  </si>
  <si>
    <t>sped_self_wm_diff_hearing_f_g6</t>
  </si>
  <si>
    <t>sped_self_wm_diff_ak_m_k</t>
  </si>
  <si>
    <t>sped_self_wm_diff_ak_f_k</t>
  </si>
  <si>
    <t>sped_self_wm_diff_ak_m_g1</t>
  </si>
  <si>
    <t>sped_self_wm_diff_ak_f_g1</t>
  </si>
  <si>
    <t>sped_self_wm_diff_ak_m_g2</t>
  </si>
  <si>
    <t>sped_self_wm_diff_ak_f_g2</t>
  </si>
  <si>
    <t>sped_self_wm_diff_ak_m_g3</t>
  </si>
  <si>
    <t>sped_self_wm_diff_ak_f_g3</t>
  </si>
  <si>
    <t>sped_self_wm_diff_ak_m_g4</t>
  </si>
  <si>
    <t>sped_self_wm_diff_ak_f_g4</t>
  </si>
  <si>
    <t>sped_self_wm_diff_ak_m_g5</t>
  </si>
  <si>
    <t>sped_self_wm_diff_ak_f_g5</t>
  </si>
  <si>
    <t>sped_self_wm_diff_ak_m_g6</t>
  </si>
  <si>
    <t>sped_self_wm_diff_ak_f_g6</t>
  </si>
  <si>
    <t>sped_self_wm_diff_rcpau_m_k</t>
  </si>
  <si>
    <t>sped_self_wm_diff_rcpau_f_k</t>
  </si>
  <si>
    <t>sped_self_wm_diff_rcpau_m_g1</t>
  </si>
  <si>
    <t>sped_self_wm_diff_rcpau_f_g1</t>
  </si>
  <si>
    <t>sped_self_wm_diff_rcpau_m_g2</t>
  </si>
  <si>
    <t>sped_self_wm_diff_rcpau_f_g2</t>
  </si>
  <si>
    <t>sped_self_wm_diff_rcpau_m_g3</t>
  </si>
  <si>
    <t>sped_self_wm_diff_rcpau_f_g3</t>
  </si>
  <si>
    <t>sped_self_wm_diff_rcpau_m_g4</t>
  </si>
  <si>
    <t>sped_self_wm_diff_rcpau_f_g4</t>
  </si>
  <si>
    <t>sped_self_wm_diff_rcpau_m_g5</t>
  </si>
  <si>
    <t>sped_self_wm_diff_rcpau_f_g5</t>
  </si>
  <si>
    <t>sped_self_wm_diff_rcpau_m_g6</t>
  </si>
  <si>
    <t>sped_self_wm_diff_rcpau_f_g6</t>
  </si>
  <si>
    <t>sped_self_wm_diff_aas_m_k</t>
  </si>
  <si>
    <t>sped_self_wm_diff_aas_f_k</t>
  </si>
  <si>
    <t>sped_self_wm_diff_aas_m_g1</t>
  </si>
  <si>
    <t>sped_self_wm_diff_aas_f_g1</t>
  </si>
  <si>
    <t>sped_self_wm_diff_aas_m_g2</t>
  </si>
  <si>
    <t>sped_self_wm_diff_aas_f_g2</t>
  </si>
  <si>
    <t>sped_self_wm_diff_aas_m_g3</t>
  </si>
  <si>
    <t>sped_self_wm_diff_aas_f_g3</t>
  </si>
  <si>
    <t>sped_self_wm_diff_aas_m_g4</t>
  </si>
  <si>
    <t>sped_self_wm_diff_aas_f_g4</t>
  </si>
  <si>
    <t>sped_self_wm_diff_aas_m_g5</t>
  </si>
  <si>
    <t>sped_self_wm_diff_aas_f_g5</t>
  </si>
  <si>
    <t>sped_self_wm_diff_aas_m_g6</t>
  </si>
  <si>
    <t>sped_self_wm_diff_aas_f_g6</t>
  </si>
  <si>
    <t>sped_self_wm_diff_dipb_m_k</t>
  </si>
  <si>
    <t>sped_self_wm_diff_dipb_f_k</t>
  </si>
  <si>
    <t>sped_self_wm_diff_dipb_m_g1</t>
  </si>
  <si>
    <t>sped_self_wm_diff_dipb_f_g1</t>
  </si>
  <si>
    <t>sped_self_wm_diff_dipb_m_g2</t>
  </si>
  <si>
    <t>sped_self_wm_diff_dipb_f_g2</t>
  </si>
  <si>
    <t>sped_self_wm_diff_dipb_m_g3</t>
  </si>
  <si>
    <t>sped_self_wm_diff_dipb_f_g3</t>
  </si>
  <si>
    <t>sped_self_wm_diff_dipb_m_g4</t>
  </si>
  <si>
    <t>sped_self_wm_diff_dipb_f_g4</t>
  </si>
  <si>
    <t>sped_self_wm_diff_dipb_m_g5</t>
  </si>
  <si>
    <t>sped_self_wm_diff_dipb_f_g5</t>
  </si>
  <si>
    <t>sped_self_wm_diff_dipb_m_g6</t>
  </si>
  <si>
    <t>sped_self_wm_diff_dipb_f_g6</t>
  </si>
  <si>
    <t>sped_self_wm_diff_mob_m_k</t>
  </si>
  <si>
    <t>sped_self_wm_diff_mob_f_k</t>
  </si>
  <si>
    <t>sped_self_wm_diff_mob_m_g1</t>
  </si>
  <si>
    <t>sped_self_wm_diff_mob_f_g1</t>
  </si>
  <si>
    <t>sped_self_wm_diff_mob_m_g2</t>
  </si>
  <si>
    <t>sped_self_wm_diff_mob_f_g2</t>
  </si>
  <si>
    <t>sped_self_wm_diff_mob_m_g3</t>
  </si>
  <si>
    <t>sped_self_wm_diff_mob_f_g3</t>
  </si>
  <si>
    <t>sped_self_wm_diff_mob_m_g4</t>
  </si>
  <si>
    <t>sped_self_wm_diff_mob_f_g4</t>
  </si>
  <si>
    <t>sped_self_wm_diff_mob_m_g5</t>
  </si>
  <si>
    <t>sped_self_wm_diff_mob_f_g5</t>
  </si>
  <si>
    <t>sped_self_wm_diff_mob_m_g6</t>
  </si>
  <si>
    <t>sped_self_wm_diff_mob_f_g6</t>
  </si>
  <si>
    <t>sped_self_wm_diff_com_m_k</t>
  </si>
  <si>
    <t>sped_self_wm_diff_com_f_k</t>
  </si>
  <si>
    <t>sped_self_wm_diff_com_m_g1</t>
  </si>
  <si>
    <t>sped_self_wm_diff_com_f_g1</t>
  </si>
  <si>
    <t>sped_self_wm_diff_com_m_g2</t>
  </si>
  <si>
    <t>sped_self_wm_diff_com_f_g2</t>
  </si>
  <si>
    <t>sped_self_wm_diff_com_m_g3</t>
  </si>
  <si>
    <t>sped_self_wm_diff_com_f_g3</t>
  </si>
  <si>
    <t>sped_self_wm_diff_com_m_g4</t>
  </si>
  <si>
    <t>sped_self_wm_diff_com_f_g4</t>
  </si>
  <si>
    <t>sped_self_wm_diff_com_m_g5</t>
  </si>
  <si>
    <t>sped_self_wm_diff_com_f_g5</t>
  </si>
  <si>
    <t>sped_self_wm_diff_com_m_g6</t>
  </si>
  <si>
    <t>sped_self_wm_diff_com_f_g6</t>
  </si>
  <si>
    <t>spedng_wd_vi_m_k</t>
  </si>
  <si>
    <t>spedng_wd_vi_f_k</t>
  </si>
  <si>
    <t>spedng_wd_vi_m_prim_lev1</t>
  </si>
  <si>
    <t>spedng_wd_vi_f_prim_lev1</t>
  </si>
  <si>
    <t>spedng_wd_vi_m_prim_lev2</t>
  </si>
  <si>
    <t>spedng_wd_vi_f_prim_lev2</t>
  </si>
  <si>
    <t>spedng_wd_vi_m_prim_lev3</t>
  </si>
  <si>
    <t>spedng_wd_vi_f_prim_lev3</t>
  </si>
  <si>
    <t>spedng_wd_vi_m_t</t>
  </si>
  <si>
    <t>spedng_wd_vi_f_t</t>
  </si>
  <si>
    <t>spedng_wd_hi_m_k</t>
  </si>
  <si>
    <t>spedng_wd_hi_f_k</t>
  </si>
  <si>
    <t>spedng_wd_hi_m_prim_lev1</t>
  </si>
  <si>
    <t>spedng_wd_hi_f_prim_lev1</t>
  </si>
  <si>
    <t>spedng_wd_hi_m_prim_lev2</t>
  </si>
  <si>
    <t>spedng_wd_hi_f_prim_lev2</t>
  </si>
  <si>
    <t>spedng_wd_hi_m_prim_lev3</t>
  </si>
  <si>
    <t>spedng_wd_hi_f_prim_lev3</t>
  </si>
  <si>
    <t>spedng_wd_hi_m_t</t>
  </si>
  <si>
    <t>spedng_wd_hi_f_t</t>
  </si>
  <si>
    <t>spedng_wd_ld_m_k</t>
  </si>
  <si>
    <t>spedng_wd_ld_f_k</t>
  </si>
  <si>
    <t>spedng_wd_ld_m_prim_lev1</t>
  </si>
  <si>
    <t>spedng_wd_ld_f_prim_lev1</t>
  </si>
  <si>
    <t>spedng_wd_ld_m_prim_lev2</t>
  </si>
  <si>
    <t>spedng_wd_ld_f_prim_lev2</t>
  </si>
  <si>
    <t>spedng_wd_ld_m_prim_lev3</t>
  </si>
  <si>
    <t>spedng_wd_ld_f_prim_lev3</t>
  </si>
  <si>
    <t>spedng_wd_ld_m_t</t>
  </si>
  <si>
    <t>spedng_wd_ld_f_t</t>
  </si>
  <si>
    <t>spedng_wd_id_m_k</t>
  </si>
  <si>
    <t>spedng_wd_id_f_k</t>
  </si>
  <si>
    <t>spedng_wd_id_m_prim_lev1</t>
  </si>
  <si>
    <t>spedng_wd_id_f_prim_lev1</t>
  </si>
  <si>
    <t>spedng_wd_id_m_prim_lev2</t>
  </si>
  <si>
    <t>spedng_wd_id_f_prim_lev2</t>
  </si>
  <si>
    <t>spedng_wd_id_m_prim_lev3</t>
  </si>
  <si>
    <t>spedng_wd_id_f_prim_lev3</t>
  </si>
  <si>
    <t>spedng_wd_id_m_t</t>
  </si>
  <si>
    <t>spedng_wd_id_f_t</t>
  </si>
  <si>
    <t>spedng_wd_asd_m_k</t>
  </si>
  <si>
    <t>spedng_wd_asd_f_k</t>
  </si>
  <si>
    <t>spedng_wd_asd_m_prim_lev1</t>
  </si>
  <si>
    <t>spedng_wd_asd_f_prim_lev1</t>
  </si>
  <si>
    <t>spedng_wd_asd_m_prim_lev2</t>
  </si>
  <si>
    <t>spedng_wd_asd_f_prim_lev2</t>
  </si>
  <si>
    <t>spedng_wd_asd_m_prim_lev3</t>
  </si>
  <si>
    <t>spedng_wd_asd_f_prim_lev3</t>
  </si>
  <si>
    <t>spedng_wd_asd_m_t</t>
  </si>
  <si>
    <t>spedng_wd_asd_f_t</t>
  </si>
  <si>
    <t>spedng_wd_ebd_m_k</t>
  </si>
  <si>
    <t>spedng_wd_ebd_f_k</t>
  </si>
  <si>
    <t>spedng_wd_ebd_m_prim_lev1</t>
  </si>
  <si>
    <t>spedng_wd_ebd_f_prim_lev1</t>
  </si>
  <si>
    <t>spedng_wd_ebd_m_prim_lev2</t>
  </si>
  <si>
    <t>spedng_wd_ebd_f_prim_lev2</t>
  </si>
  <si>
    <t>spedng_wd_ebd_m_prim_lev3</t>
  </si>
  <si>
    <t>spedng_wd_ebd_f_prim_lev3</t>
  </si>
  <si>
    <t>spedng_wd_ebd_m_t</t>
  </si>
  <si>
    <t>spedng_wd_ebd_f_t</t>
  </si>
  <si>
    <t>spedng_wd_oph_m_k</t>
  </si>
  <si>
    <t>spedng_wd_oph_f_k</t>
  </si>
  <si>
    <t>spedng_wd_oph_m_prim_lev1</t>
  </si>
  <si>
    <t>spedng_wd_oph_f_prim_lev1</t>
  </si>
  <si>
    <t>spedng_wd_oph_m_prim_lev2</t>
  </si>
  <si>
    <t>spedng_wd_oph_f_prim_lev2</t>
  </si>
  <si>
    <t>spedng_wd_oph_m_prim_lev3</t>
  </si>
  <si>
    <t>spedng_wd_oph_f_prim_lev3</t>
  </si>
  <si>
    <t>spedng_wd_oph_m_t</t>
  </si>
  <si>
    <t>spedng_wd_oph_f_t</t>
  </si>
  <si>
    <t>spedng_wd_sld_m_k</t>
  </si>
  <si>
    <t>spedng_wd_sld_f_k</t>
  </si>
  <si>
    <t>spedng_wd_sld_m_prim_lev1</t>
  </si>
  <si>
    <t>spedng_wd_sld_f_prim_lev1</t>
  </si>
  <si>
    <t>spedng_wd_sld_m_prim_lev2</t>
  </si>
  <si>
    <t>spedng_wd_sld_f_prim_lev2</t>
  </si>
  <si>
    <t>spedng_wd_sld_m_prim_lev3</t>
  </si>
  <si>
    <t>spedng_wd_sld_f_prim_lev3</t>
  </si>
  <si>
    <t>spedng_wd_sld_m_t</t>
  </si>
  <si>
    <t>spedng_wd_sld_f_t</t>
  </si>
  <si>
    <t>spedng_wd_cp_m_k</t>
  </si>
  <si>
    <t>spedng_wd_cp_f_k</t>
  </si>
  <si>
    <t>spedng_wd_cp_m_prim_lev1</t>
  </si>
  <si>
    <t>spedng_wd_cp_f_prim_lev1</t>
  </si>
  <si>
    <t>spedng_wd_cp_m_prim_lev2</t>
  </si>
  <si>
    <t>spedng_wd_cp_f_prim_lev2</t>
  </si>
  <si>
    <t>spedng_wd_cp_m_prim_lev3</t>
  </si>
  <si>
    <t>spedng_wd_cp_f_prim_lev3</t>
  </si>
  <si>
    <t>spedng_wd_cp_m_t</t>
  </si>
  <si>
    <t>spedng_wd_cp_f_t</t>
  </si>
  <si>
    <t>spedng_wd_sphcd_m_k</t>
  </si>
  <si>
    <t>spedng_wd_sphcd_f_k</t>
  </si>
  <si>
    <t>spedng_wd_sphcd_m_prim_lev1</t>
  </si>
  <si>
    <t>spedng_wd_sphcd_f_prim_lev1</t>
  </si>
  <si>
    <t>spedng_wd_sphcd_m_prim_lev2</t>
  </si>
  <si>
    <t>spedng_wd_sphcd_f_prim_lev2</t>
  </si>
  <si>
    <t>spedng_wd_sphcd_m_prim_lev3</t>
  </si>
  <si>
    <t>spedng_wd_sphcd_f_prim_lev3</t>
  </si>
  <si>
    <t>spedng_wd_sphcd_m_t</t>
  </si>
  <si>
    <t>spedng_wd_sphcd_f_t</t>
  </si>
  <si>
    <t>spedng_wd_md_m_k</t>
  </si>
  <si>
    <t>spedng_wd_fd_f_k</t>
  </si>
  <si>
    <t>spedng_wd_md_m_prim_lev1</t>
  </si>
  <si>
    <t>spedng_wd_md_f_prim_lev1</t>
  </si>
  <si>
    <t>spedng_wd_md_m_prim_lev2</t>
  </si>
  <si>
    <t>spedng_wd_md_f_prim_lev2</t>
  </si>
  <si>
    <t>spedng_wd_md_m_prim_lev3</t>
  </si>
  <si>
    <t>spedng_wd_md_f_prim_lev3</t>
  </si>
  <si>
    <t>spedng_wd_md_m_t</t>
  </si>
  <si>
    <t>spedng_wd_md_f_t</t>
  </si>
  <si>
    <t>spedng_wm_ds_m_k</t>
  </si>
  <si>
    <t>spedng_wm_ds_f_k</t>
  </si>
  <si>
    <t>spedng_wm_ds_m_prim_lev1</t>
  </si>
  <si>
    <t>spedng_wm_ds_f_prim_lev1</t>
  </si>
  <si>
    <t>spedng_wm_ds_m_prim_lev2</t>
  </si>
  <si>
    <t>spedng_wm_ds_f_prim_lev2</t>
  </si>
  <si>
    <t>spedng_wm_ds_m_prim_lev3</t>
  </si>
  <si>
    <t>spedng_wm_ds_f_prim_lev3</t>
  </si>
  <si>
    <t>spedng_wm_ds_m_prim_t</t>
  </si>
  <si>
    <t>spedng_wm_ds_f_prim_t</t>
  </si>
  <si>
    <t>spedng_wm_dh_m_k</t>
  </si>
  <si>
    <t>spedng_wm_dh_f_k</t>
  </si>
  <si>
    <t>spedng_wm_dh_m_prim_lev1</t>
  </si>
  <si>
    <t>spedng_wm_dh_f_prim_lev1</t>
  </si>
  <si>
    <t>spedng_wm_dh_m_prim_lev2</t>
  </si>
  <si>
    <t>spedng_wm_dh_f_prim_lev2</t>
  </si>
  <si>
    <t>spedng_wm_dh_m_prim_lev3</t>
  </si>
  <si>
    <t>spedng_wm_dh_f_prim_lev3</t>
  </si>
  <si>
    <t>spedng_wm_dh_m_prim_t</t>
  </si>
  <si>
    <t>spedng_wm_dh_f_prim_t</t>
  </si>
  <si>
    <t>spedng_wm_dak_m_k</t>
  </si>
  <si>
    <t>spedng_wm_dak_f_k</t>
  </si>
  <si>
    <t>spedng_wm_dak_m_prim_lev1</t>
  </si>
  <si>
    <t>spedng_wm_dak_f_prim_lev1</t>
  </si>
  <si>
    <t>spedng_wm_dak_m_prim_lev2</t>
  </si>
  <si>
    <t>spedng_wm_dak_f_prim_lev2</t>
  </si>
  <si>
    <t>spedng_wm_dak_m_prim_lev3</t>
  </si>
  <si>
    <t>spedng_wm_dak_f_prim_lev3</t>
  </si>
  <si>
    <t>spedng_wm_dak_m_prim_t</t>
  </si>
  <si>
    <t>spedng_wm_dak_f_prim_t</t>
  </si>
  <si>
    <t>spedng_wm_drcpau_m_k</t>
  </si>
  <si>
    <t>spedng_wm_drcpau_f_k</t>
  </si>
  <si>
    <t>spedng_wm_drcpau_m_prim_lev1</t>
  </si>
  <si>
    <t>spedng_wm_drcpau_f_prim_lev1</t>
  </si>
  <si>
    <t>spedng_wm_drcpau_m_prim_lev2</t>
  </si>
  <si>
    <t>spedng_wm_drcpau_f_prim_lev2</t>
  </si>
  <si>
    <t>spedng_wm_drcpau_m_prim_lev3</t>
  </si>
  <si>
    <t>spedng_wm_drcpau_f_prim_lev3</t>
  </si>
  <si>
    <t>spedng_wm_drcpau_m_prim_t</t>
  </si>
  <si>
    <t>spedng_wm_drcpau_f_prim_t</t>
  </si>
  <si>
    <t>spedng_wm_daas_m_k</t>
  </si>
  <si>
    <t>spedng_wm_daas_f_k</t>
  </si>
  <si>
    <t>spedng_wm_daas_m_prim_lev1</t>
  </si>
  <si>
    <t>spedng_wm_daas_f_prim_lev1</t>
  </si>
  <si>
    <t>spedng_wm_daas_m_prim_lev2</t>
  </si>
  <si>
    <t>spedng_wm_daas_f_prim_lev2</t>
  </si>
  <si>
    <t>spedng_wm_daas_m_prim_lev3</t>
  </si>
  <si>
    <t>spedng_wm_daas_f_prim_lev3</t>
  </si>
  <si>
    <t>spedng_wm_daas_m_prim_t</t>
  </si>
  <si>
    <t>spedng_wm_daas_f_prim_t</t>
  </si>
  <si>
    <t>spedng_wm_ddipb_m_k</t>
  </si>
  <si>
    <t>spedng_wm_ddipb_f_k</t>
  </si>
  <si>
    <t>spedng_wm_ddipb_m_prim_lev1</t>
  </si>
  <si>
    <t>spedng_wm_ddipb_f_prim_lev1</t>
  </si>
  <si>
    <t>spedng_wm_ddipb_m_prim_lev2</t>
  </si>
  <si>
    <t>spedng_wm_ddipb_f_prim_lev2</t>
  </si>
  <si>
    <t>spedng_wm_ddipb_m_prim_lev3</t>
  </si>
  <si>
    <t>spedng_wm_ddipb_f_prim_lev3</t>
  </si>
  <si>
    <t>spedng_wm_ddipb_m_prim_t</t>
  </si>
  <si>
    <t>spedng_wm_ddipb_f_prim_t</t>
  </si>
  <si>
    <t>spedng_wm_dmwcg_m_k</t>
  </si>
  <si>
    <t>spedng_wm_dmwcg_f_k</t>
  </si>
  <si>
    <t>spedng_wm_dmwcg_m_prim_lev1</t>
  </si>
  <si>
    <t>spedng_wm_dmwcg_f_prim_lev1</t>
  </si>
  <si>
    <t>spedng_wm_dmwcg_m_prim_lev2</t>
  </si>
  <si>
    <t>spedng_wm_dmwcg_f_prim_lev2</t>
  </si>
  <si>
    <t>spedng_wm_dmwcg_m_prim_lev3</t>
  </si>
  <si>
    <t>spedng_wm_dmwcg_f_prim_lev3</t>
  </si>
  <si>
    <t>spedng_wm_dmwcg_m_prim_t</t>
  </si>
  <si>
    <t>spedng_wm_dmwcg_f_prim_t</t>
  </si>
  <si>
    <t>spedng_wm_dc_m_k</t>
  </si>
  <si>
    <t>spedng_wm_dc_f_k</t>
  </si>
  <si>
    <t>spedng_wm_dc_m_prim_lev1</t>
  </si>
  <si>
    <t>spedng_wm_dc_f_prim_lev1</t>
  </si>
  <si>
    <t>spedng_wm_dc_m_prim_lev2</t>
  </si>
  <si>
    <t>spedng_wm_dc_f_prim_lev2</t>
  </si>
  <si>
    <t>spedng_wm_dc_m_prim_lev3</t>
  </si>
  <si>
    <t>spedng_wm_dc_f_prim_lev3</t>
  </si>
  <si>
    <t>spedng_wm_dc_m_prim_t</t>
  </si>
  <si>
    <t>spedng_wm_dc_f_prim_t</t>
  </si>
  <si>
    <t>Region XI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</si>
  <si>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</si>
  <si>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</si>
  <si>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</si>
  <si>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</si>
  <si>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</si>
  <si>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</si>
  <si>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</si>
  <si>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</si>
  <si>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</si>
  <si>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</si>
  <si>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</si>
  <si>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</si>
  <si>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</si>
  <si>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</si>
  <si>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</si>
  <si>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</si>
  <si>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</si>
  <si>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</si>
  <si>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</si>
  <si>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</si>
  <si>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</si>
  <si>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</si>
  <si>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</si>
  <si>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</si>
  <si>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</si>
  <si>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</si>
  <si>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</si>
  <si>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</si>
  <si>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</si>
  <si>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</si>
  <si>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</si>
  <si>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</si>
  <si>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</si>
  <si>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</si>
  <si>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</si>
  <si>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</si>
  <si>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</si>
  <si>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</si>
  <si>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</si>
  <si>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</si>
  <si>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</si>
  <si>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</si>
  <si>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</si>
  <si>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</si>
  <si>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</si>
  <si>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</si>
  <si>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</si>
  <si>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</si>
  <si>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</si>
  <si>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</si>
  <si>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</si>
  <si>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</si>
  <si>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</si>
  <si>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</si>
  <si>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</si>
  <si>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Learners with Disability in Junior High School Level</t>
  </si>
  <si>
    <t>Junior High School Learners with Disability</t>
  </si>
  <si>
    <t>Based on BEIS, generated as of February 17, 2020</t>
  </si>
  <si>
    <t>With Diagnosis from Licensed Medical Specialist:</t>
  </si>
  <si>
    <t>With Manifestation</t>
  </si>
  <si>
    <t>Orthopedic / Physical Handicap</t>
  </si>
  <si>
    <t>Special Health Problem / Chronic Disease</t>
  </si>
  <si>
    <t>Difficulty in Mobility  (Walking, Climbing and Grasping)</t>
  </si>
  <si>
    <t>Grade 7</t>
  </si>
  <si>
    <t>Grade 8</t>
  </si>
  <si>
    <t>Grade 9</t>
  </si>
  <si>
    <t>Grade 10</t>
  </si>
  <si>
    <t>sped_wd_vi_m_t</t>
  </si>
  <si>
    <t>sped_wd_vi_f_t</t>
  </si>
  <si>
    <t>sped_wd_vi_m_g7</t>
  </si>
  <si>
    <t>sped_wd_vi_f_g7</t>
  </si>
  <si>
    <t>sped_wd_vi_m_g8</t>
  </si>
  <si>
    <t>sped_wd_vi_f_g8</t>
  </si>
  <si>
    <t>sped_wd_vi_m_g9</t>
  </si>
  <si>
    <t>sped_wd_vi_f_g9</t>
  </si>
  <si>
    <t>sped_wd_vi_m_g10</t>
  </si>
  <si>
    <t>sped_wd_vi_f_g10</t>
  </si>
  <si>
    <t>sped_wd_hi_m_t</t>
  </si>
  <si>
    <t>sped_wd_hi_f_t</t>
  </si>
  <si>
    <t>sped_wd_hi_m_g7</t>
  </si>
  <si>
    <t>sped_wd_hi_f_g7</t>
  </si>
  <si>
    <t>sped_wd_hi_m_g8</t>
  </si>
  <si>
    <t>sped_wd_hi_f_g8</t>
  </si>
  <si>
    <t>sped_wd_hi_m_g9</t>
  </si>
  <si>
    <t>sped_wd_hi_f_g9</t>
  </si>
  <si>
    <t>sped_wd_hi_m_g10</t>
  </si>
  <si>
    <t>sped_wd_hi_f_g10</t>
  </si>
  <si>
    <t>sped_wd_ld_m_t</t>
  </si>
  <si>
    <t>sped_wd_ld_f_t</t>
  </si>
  <si>
    <t>sped_wd_ld_m_g7</t>
  </si>
  <si>
    <t>sped_wd_ld_f_g7</t>
  </si>
  <si>
    <t>sped_wd_ld_m_g8</t>
  </si>
  <si>
    <t>sped_wd_ld_f_g8</t>
  </si>
  <si>
    <t>sped_wd_ld_m_g9</t>
  </si>
  <si>
    <t>sped_wd_ld_f_g9</t>
  </si>
  <si>
    <t>sped_wd_ld_m_g10</t>
  </si>
  <si>
    <t>sped_wd_ld_f_g10</t>
  </si>
  <si>
    <t>sped_wd_id_m_t</t>
  </si>
  <si>
    <t>sped_wd_id_f_t</t>
  </si>
  <si>
    <t>sped_wd_id_m_g7</t>
  </si>
  <si>
    <t>sped_wd_id_f_g7</t>
  </si>
  <si>
    <t>sped_wd_id_m_g8</t>
  </si>
  <si>
    <t>sped_wd_id_f_g8</t>
  </si>
  <si>
    <t>sped_wd_id_m_g9</t>
  </si>
  <si>
    <t>sped_wd_id_f_g9</t>
  </si>
  <si>
    <t>sped_wd_id_m_g10</t>
  </si>
  <si>
    <t>sped_wd_id_f_g10</t>
  </si>
  <si>
    <t>sped_wd_asd_m_t</t>
  </si>
  <si>
    <t>sped_wd_asd_f_t</t>
  </si>
  <si>
    <t>sped_wd_asd_m_g7</t>
  </si>
  <si>
    <t>sped_wd_asd_f_g7</t>
  </si>
  <si>
    <t>sped_wd_asd_m_g8</t>
  </si>
  <si>
    <t>sped_wd_asd_f_g8</t>
  </si>
  <si>
    <t>sped_wd_asd_m_g9</t>
  </si>
  <si>
    <t>sped_wd_asd_f_g9</t>
  </si>
  <si>
    <t>sped_wd_asd_m_g10</t>
  </si>
  <si>
    <t>sped_wd_asd_f_g10</t>
  </si>
  <si>
    <t>sped_wd_ebd_m_t</t>
  </si>
  <si>
    <t>sped_wd_ebd_f_t</t>
  </si>
  <si>
    <t>sped_wd_ebd_m_g7</t>
  </si>
  <si>
    <t>sped_wd_ebd_f_g7</t>
  </si>
  <si>
    <t>sped_wd_ebd_m_g8</t>
  </si>
  <si>
    <t>sped_wd_ebd_f_g8</t>
  </si>
  <si>
    <t>sped_wd_ebd_m_g9</t>
  </si>
  <si>
    <t>sped_wd_ebd_f_g9</t>
  </si>
  <si>
    <t>sped_wd_ebd_m_g10</t>
  </si>
  <si>
    <t>sped_wd_ebd_f_g10</t>
  </si>
  <si>
    <t>sped_wd_oph_m_t</t>
  </si>
  <si>
    <t>sped_wd_oph_f_t</t>
  </si>
  <si>
    <t>sped_wd_oph_m_g7</t>
  </si>
  <si>
    <t>sped_wd_oph_f_g7</t>
  </si>
  <si>
    <t>sped_wd_oph_m_g8</t>
  </si>
  <si>
    <t>sped_wd_oph_f_g8</t>
  </si>
  <si>
    <t>sped_wd_oph_m_g9</t>
  </si>
  <si>
    <t>sped_wd_oph_f_g9</t>
  </si>
  <si>
    <t>sped_wd_oph_m_g10</t>
  </si>
  <si>
    <t>sped_wd_oph_f_g10</t>
  </si>
  <si>
    <t>sped_wd_sld_m_t</t>
  </si>
  <si>
    <t>sped_wd_sld_f_t</t>
  </si>
  <si>
    <t>sped_wd_sld_m_g7</t>
  </si>
  <si>
    <t>sped_wd_sld_f_g7</t>
  </si>
  <si>
    <t>sped_wd_sld_m_g8</t>
  </si>
  <si>
    <t>sped_wd_sld_f_g8</t>
  </si>
  <si>
    <t>sped_wd_sld_m_g9</t>
  </si>
  <si>
    <t>sped_wd_sld_f_g9</t>
  </si>
  <si>
    <t>sped_wd_sld_m_g10</t>
  </si>
  <si>
    <t>sped_wd_sld_f_g10</t>
  </si>
  <si>
    <t>sped_wd_cp_m_t</t>
  </si>
  <si>
    <t>sped_wd_cp_f_t</t>
  </si>
  <si>
    <t>sped_wd_cp_m_g7</t>
  </si>
  <si>
    <t>sped_wd_cp_f_g7</t>
  </si>
  <si>
    <t>sped_wd_cp_m_g8</t>
  </si>
  <si>
    <t>sped_wd_cp_f_g8</t>
  </si>
  <si>
    <t>sped_wd_cp_m_g9</t>
  </si>
  <si>
    <t>sped_wd_cp_f_g9</t>
  </si>
  <si>
    <t>sped_wd_cp_m_g10</t>
  </si>
  <si>
    <t>sped_wd_cp_f_g10</t>
  </si>
  <si>
    <t>sped_wd_sphcd_m_t</t>
  </si>
  <si>
    <t>sped_wd_sphcd_f_t</t>
  </si>
  <si>
    <t>sped_wd_sphcd_m_g7</t>
  </si>
  <si>
    <t>sped_wd_sphcd_f_g7</t>
  </si>
  <si>
    <t>sped_wd_sphcd_m_g8</t>
  </si>
  <si>
    <t>sped_wd_sphcd_f_g8</t>
  </si>
  <si>
    <t>sped_wd_sphcd_m_g9</t>
  </si>
  <si>
    <t>sped_wd_sphcd_f_g9</t>
  </si>
  <si>
    <t>sped_wd_sphcd_m_g10</t>
  </si>
  <si>
    <t>sped_wd_sphcd_f_g10</t>
  </si>
  <si>
    <t>sped_wd_md_m_t</t>
  </si>
  <si>
    <t>sped_wd_md_f_t</t>
  </si>
  <si>
    <t>sped_wd_md_m_g7</t>
  </si>
  <si>
    <t>sped_wd_md_f_g7</t>
  </si>
  <si>
    <t>sped_wd_md_m_g8</t>
  </si>
  <si>
    <t>sped_wd_md_f_g8</t>
  </si>
  <si>
    <t>sped_wd_md_m_g9</t>
  </si>
  <si>
    <t>sped_wd_md_f_g9</t>
  </si>
  <si>
    <t>sped_wd_md_m_g10</t>
  </si>
  <si>
    <t>sped_wd_md_f_g10</t>
  </si>
  <si>
    <t>sped_wm_ds_m_t</t>
  </si>
  <si>
    <t>sped_wm_ds_f_t</t>
  </si>
  <si>
    <t>sped_wm_ds_m_g7</t>
  </si>
  <si>
    <t>sped_wm_ds_f_g7</t>
  </si>
  <si>
    <t>sped_wm_ds_m_g8</t>
  </si>
  <si>
    <t>sped_wm_ds_f_g8</t>
  </si>
  <si>
    <t>sped_wm_ds_m_g9</t>
  </si>
  <si>
    <t>sped_wm_ds_f_g9</t>
  </si>
  <si>
    <t>sped_wm_ds_m_g10</t>
  </si>
  <si>
    <t>sped_wm_ds_f_g10</t>
  </si>
  <si>
    <t>sped_wm_dh_m_t</t>
  </si>
  <si>
    <t>sped_wm_dh_f_t</t>
  </si>
  <si>
    <t>sped_wm_dh_m_g7</t>
  </si>
  <si>
    <t>sped_wm_dh_f_g7</t>
  </si>
  <si>
    <t>sped_wm_dh_m_g8</t>
  </si>
  <si>
    <t>sped_wm_dh_f_g8</t>
  </si>
  <si>
    <t>sped_wm_dh_m_g9</t>
  </si>
  <si>
    <t>sped_wm_dh_f_g9</t>
  </si>
  <si>
    <t>sped_wm_dh_m_g10</t>
  </si>
  <si>
    <t>sped_wm_dh_f_g10</t>
  </si>
  <si>
    <t>sped_wm_dak_m_t</t>
  </si>
  <si>
    <t>sped_wm_dak_f_t</t>
  </si>
  <si>
    <t>sped_wm_dak_m_g7</t>
  </si>
  <si>
    <t>sped_wm_dak_f_g7</t>
  </si>
  <si>
    <t>sped_wm_dak_m_g8</t>
  </si>
  <si>
    <t>sped_wm_dak_f_g8</t>
  </si>
  <si>
    <t>sped_wm_dak_m_g9</t>
  </si>
  <si>
    <t>sped_wm_dak_f_g9</t>
  </si>
  <si>
    <t>sped_wm_dak_m_g10</t>
  </si>
  <si>
    <t>sped_wm_dak_f_g10</t>
  </si>
  <si>
    <t>sped_wm_drcpau_m_t</t>
  </si>
  <si>
    <t>sped_wm_drcpau_f_t</t>
  </si>
  <si>
    <t>sped_wm_drcpau_m_g7</t>
  </si>
  <si>
    <t>sped_wm_drcpau_f_g7</t>
  </si>
  <si>
    <t>sped_wm_drcpau_m_g8</t>
  </si>
  <si>
    <t>sped_wm_drcpau_f_g8</t>
  </si>
  <si>
    <t>sped_wm_drcpau_m_g9</t>
  </si>
  <si>
    <t>sped_wm_drcpau_f_g9</t>
  </si>
  <si>
    <t>sped_wm_drcpau_m_g10</t>
  </si>
  <si>
    <t>sped_wm_drcpau_f_g10</t>
  </si>
  <si>
    <t>sped_wm_daas_m_t</t>
  </si>
  <si>
    <t>sped_wm_daas_f_t</t>
  </si>
  <si>
    <t>sped_wm_daas_m_g7</t>
  </si>
  <si>
    <t>sped_wm_daas_f_g7</t>
  </si>
  <si>
    <t>sped_wm_daas_m_g8</t>
  </si>
  <si>
    <t>sped_wm_daas_f_g8</t>
  </si>
  <si>
    <t>sped_wm_daas_m_g9</t>
  </si>
  <si>
    <t>sped_wm_daas_f_g9</t>
  </si>
  <si>
    <t>sped_wm_daas_m_g10</t>
  </si>
  <si>
    <t>sped_wm_daas_f_g10</t>
  </si>
  <si>
    <t>sped_wm_ddipb_m_t</t>
  </si>
  <si>
    <t>sped_wm_ddipb_f_t</t>
  </si>
  <si>
    <t>sped_wm_ddipb_m_g7</t>
  </si>
  <si>
    <t>sped_wm_ddipb_f_g7</t>
  </si>
  <si>
    <t>sped_wm_ddipb_m_g8</t>
  </si>
  <si>
    <t>sped_wm_ddipb_f_g8</t>
  </si>
  <si>
    <t>sped_wm_ddipb_m_g9</t>
  </si>
  <si>
    <t>sped_wm_ddipb_f_g9</t>
  </si>
  <si>
    <t>sped_wm_ddipb_m_g10</t>
  </si>
  <si>
    <t>sped_wm_ddipb_f_g10</t>
  </si>
  <si>
    <t>sped_wm_dmwcg_m_t</t>
  </si>
  <si>
    <t>sped_wm_dmwcg_f_t</t>
  </si>
  <si>
    <t>sped_wm_dmwcg_m_g7</t>
  </si>
  <si>
    <t>sped_wm_dmwcg_f_g7</t>
  </si>
  <si>
    <t>sped_wm_dmwcg_m_g8</t>
  </si>
  <si>
    <t>sped_wm_dmwcg_f_g8</t>
  </si>
  <si>
    <t>sped_wm_dmwcg_m_g9</t>
  </si>
  <si>
    <t>sped_wm_dmwcg_f_g9</t>
  </si>
  <si>
    <t>sped_wm_dmwcg_m_g10</t>
  </si>
  <si>
    <t>sped_wm_dmwcg_f_g10</t>
  </si>
  <si>
    <t>sped_wm_dc_m_t</t>
  </si>
  <si>
    <t>sped_wm_dc_f_t</t>
  </si>
  <si>
    <t>sped_wm_dc_m_g7</t>
  </si>
  <si>
    <t>sped_wm_dc_f_g7</t>
  </si>
  <si>
    <t>sped_wm_dc_m_g8</t>
  </si>
  <si>
    <t>sped_wm_dc_f_g8</t>
  </si>
  <si>
    <t>sped_wm_dc_m_g9</t>
  </si>
  <si>
    <t>sped_wm_dc_f_g9</t>
  </si>
  <si>
    <t>sped_wm_dc_m_g10</t>
  </si>
  <si>
    <t>sped_wm_dc_f_g10</t>
  </si>
  <si>
    <t>Total LWD in JHS</t>
  </si>
  <si>
    <t>JHS Schools with LWD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</si>
  <si>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</si>
  <si>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</si>
  <si>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</si>
  <si>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</si>
  <si>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</si>
  <si>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</si>
  <si>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</si>
  <si>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</si>
  <si>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</si>
  <si>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</si>
  <si>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</si>
  <si>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</si>
  <si>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</si>
  <si>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</si>
  <si>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</si>
  <si>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</si>
  <si>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</si>
  <si>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Learners with Disability in Senior High School Level</t>
  </si>
  <si>
    <t>Based on BEIS, generated as of Febraury 17, 2020</t>
  </si>
  <si>
    <t>Emotional-Behavior Disorder</t>
  </si>
  <si>
    <t>Special Health Problem/Chronic Disease</t>
  </si>
  <si>
    <t>Mutiple Disabilities</t>
  </si>
  <si>
    <t>Difficulty in Walking, Climbing and Grasping</t>
  </si>
  <si>
    <t>TOTAL LWD</t>
  </si>
  <si>
    <t>ACADEMIC</t>
  </si>
  <si>
    <t>TVL</t>
  </si>
  <si>
    <t>ARTs</t>
  </si>
  <si>
    <t>SPORTs</t>
  </si>
  <si>
    <t>Grade 11</t>
  </si>
  <si>
    <t>Grade 12</t>
  </si>
  <si>
    <t>spedacad_wd_vi_m_g11</t>
  </si>
  <si>
    <t>spedacad_wd_vi_f_g11</t>
  </si>
  <si>
    <t>spedacad_wd_vi_m_g12</t>
  </si>
  <si>
    <t>spedacad_wd_vi_f_g12</t>
  </si>
  <si>
    <t>spedtvl_wd_vi_m_g11</t>
  </si>
  <si>
    <t>spedtvl_wd_vi_f_g11</t>
  </si>
  <si>
    <t>spedtvl_wd_vi_m_g12</t>
  </si>
  <si>
    <t>spedtvl_wd_vi_f_g12</t>
  </si>
  <si>
    <t>spedarts_wd_vi_m_g11</t>
  </si>
  <si>
    <t>spedarts_wd_vi_f_g11</t>
  </si>
  <si>
    <t>spedarts_wd_vi_m_g12</t>
  </si>
  <si>
    <t>spedarts_wd_vi_f_g12</t>
  </si>
  <si>
    <t>spedsports_wd_vi_m_g11</t>
  </si>
  <si>
    <t>spedsports_wd_vi_f_g11</t>
  </si>
  <si>
    <t>spedsports_wd_vi_m_g12</t>
  </si>
  <si>
    <t>spedsports_wd_vi_f_g12</t>
  </si>
  <si>
    <t>spedacad_wd_hi_m_g11</t>
  </si>
  <si>
    <t>spedacad_wd_hi_f_g11</t>
  </si>
  <si>
    <t>spedacad_wd_hi_m_g12</t>
  </si>
  <si>
    <t>spedacad_wd_hi_f_g12</t>
  </si>
  <si>
    <t>spedtvl_wd_hi_m_g11</t>
  </si>
  <si>
    <t>spedtvl_wd_hi_f_g11</t>
  </si>
  <si>
    <t>spedtvl_wd_hi_m_g12</t>
  </si>
  <si>
    <t>spedtvl_wd_hi_f_g12</t>
  </si>
  <si>
    <t>spedarts_wd_hi_m_g11</t>
  </si>
  <si>
    <t>spedarts_wd_hi_f_g11</t>
  </si>
  <si>
    <t>spedarts_wd_hi_m_g12</t>
  </si>
  <si>
    <t>spedarts_wd_hi_f_g12</t>
  </si>
  <si>
    <t>spedsports_wd_hi_m_g11</t>
  </si>
  <si>
    <t>spedsports_wd_hi_f_g11</t>
  </si>
  <si>
    <t>spedsports_wd_hi_m_g12</t>
  </si>
  <si>
    <t>spedsports_wd_hi_f_g12</t>
  </si>
  <si>
    <t>spedacad_wd_ld_m_g11</t>
  </si>
  <si>
    <t>spedacad_wd_ld_f_g11</t>
  </si>
  <si>
    <t>spedacad_wd_ld_m_g12</t>
  </si>
  <si>
    <t>spedacad_wd_ld_f_g12</t>
  </si>
  <si>
    <t>spedtvl_wd_ld_m_g11</t>
  </si>
  <si>
    <t>spedtvl_wd_ld_f_g11</t>
  </si>
  <si>
    <t>spedtvl_wd_ld_m_g12</t>
  </si>
  <si>
    <t>spedtvl_wd_ld_f_g12</t>
  </si>
  <si>
    <t>spedarts_wd_ld_m_g11</t>
  </si>
  <si>
    <t>spedarts_wd_ld_f_g11</t>
  </si>
  <si>
    <t>spedarts_wd_ld_m_g12</t>
  </si>
  <si>
    <t>spedarts_wd_ld_f_g12</t>
  </si>
  <si>
    <t>spedsports_wd_ld_m_g11</t>
  </si>
  <si>
    <t>spedsports_wd_ld_f_g11</t>
  </si>
  <si>
    <t>spedsports_wd_ld_m_g12</t>
  </si>
  <si>
    <t>spedsports_wd_ld_f_g12</t>
  </si>
  <si>
    <t>spedacad_wd_id_m_g11</t>
  </si>
  <si>
    <t>spedacad_wd_id_f_g11</t>
  </si>
  <si>
    <t>spedacad_wd_id_m_g12</t>
  </si>
  <si>
    <t>spedacad_wd_id_f_g12</t>
  </si>
  <si>
    <t>spedtvl_wd_id_m_g11</t>
  </si>
  <si>
    <t>spedtvl_wd_id_f_g11</t>
  </si>
  <si>
    <t>spedtvl_wd_id_m_g12</t>
  </si>
  <si>
    <t>spedtvl_wd_id_f_g12</t>
  </si>
  <si>
    <t>spedarts_wd_id_m_g11</t>
  </si>
  <si>
    <t>spedarts_wd_id_f_g11</t>
  </si>
  <si>
    <t>spedarts_wd_id_m_g12</t>
  </si>
  <si>
    <t>spedarts_wd_id_f_g12</t>
  </si>
  <si>
    <t>spedsports_wd_id_m_g11</t>
  </si>
  <si>
    <t>spedsports_wd_id_f_g11</t>
  </si>
  <si>
    <t>spedsports_wd_id_m_g12</t>
  </si>
  <si>
    <t>spedsports_wd_id_f_g12</t>
  </si>
  <si>
    <t>spedacad_wd_asd_m_g11</t>
  </si>
  <si>
    <t>spedacad_wd_asd_f_g11</t>
  </si>
  <si>
    <t>spedacad_wd_asd_m_g12</t>
  </si>
  <si>
    <t>spedacad_wd_asd_f_g12</t>
  </si>
  <si>
    <t>spedtvl_wd_asd_m_g11</t>
  </si>
  <si>
    <t>spedtvl_wd_asd_f_g11</t>
  </si>
  <si>
    <t>spedtvl_wd_asd_m_g12</t>
  </si>
  <si>
    <t>spedtvl_wd_asd_f_g12</t>
  </si>
  <si>
    <t>spedarts_wd_asd_m_g11</t>
  </si>
  <si>
    <t>spedarts_wd_asd_f_g11</t>
  </si>
  <si>
    <t>spedarts_wd_asd_m_g12</t>
  </si>
  <si>
    <t>spedarts_wd_asd_f_g12</t>
  </si>
  <si>
    <t>spedsports_wd_asd_m_g11</t>
  </si>
  <si>
    <t>spedsports_wd_asd_f_g11</t>
  </si>
  <si>
    <t>spedsports_wd_asd_m_g12</t>
  </si>
  <si>
    <t>spedsports_wd_asd_f_g12</t>
  </si>
  <si>
    <t>spedacad_wd_ebd_m_g11</t>
  </si>
  <si>
    <t>spedacad_wd_ebd_f_g11</t>
  </si>
  <si>
    <t>spedacad_wd_ebd_m_g12</t>
  </si>
  <si>
    <t>spedacad_wd_ebd_f_g12</t>
  </si>
  <si>
    <t>spedtvl_wd_ebd_m_g11</t>
  </si>
  <si>
    <t>spedtvl_wd_ebd_f_g11</t>
  </si>
  <si>
    <t>spedtvl_wd_ebd_m_g12</t>
  </si>
  <si>
    <t>spedtvl_wd_ebd_f_g12</t>
  </si>
  <si>
    <t>spedarts_wd_ebd_m_g11</t>
  </si>
  <si>
    <t>spedarts_wd_ebd_f_g11</t>
  </si>
  <si>
    <t>spedarts_wd_ebd_m_g12</t>
  </si>
  <si>
    <t>spedarts_wd_ebd_f_g12</t>
  </si>
  <si>
    <t>spedsports_wd_ebd_m_g11</t>
  </si>
  <si>
    <t>spedsports_wd_ebd_f_g11</t>
  </si>
  <si>
    <t>spedsports_wd_ebd_m_g12</t>
  </si>
  <si>
    <t>spedsports_wd_ebd_f_g12</t>
  </si>
  <si>
    <t>spedacad_wd_oph_m_g11</t>
  </si>
  <si>
    <t>spedacad_wd_oph_f_g11</t>
  </si>
  <si>
    <t>spedacad_wd_oph_m_g12</t>
  </si>
  <si>
    <t>spedacad_wd_oph_f_g12</t>
  </si>
  <si>
    <t>spedtvl_wd_oph_m_g11</t>
  </si>
  <si>
    <t>spedtvl_wd_oph_f_g11</t>
  </si>
  <si>
    <t>spedtvl_wd_oph_m_g12</t>
  </si>
  <si>
    <t>spedtvl_wd_oph_f_g12</t>
  </si>
  <si>
    <t>spedarts_wd_oph_m_g11</t>
  </si>
  <si>
    <t>spedarts_wd_oph_f_g11</t>
  </si>
  <si>
    <t>spedarts_wd_oph_m_g12</t>
  </si>
  <si>
    <t>spedarts_wd_oph_f_g12</t>
  </si>
  <si>
    <t>spedsports_wd_oph_m_g11</t>
  </si>
  <si>
    <t>spedsports_wd_oph_f_g11</t>
  </si>
  <si>
    <t>spedsports_wd_oph_m_g12</t>
  </si>
  <si>
    <t>spedsports_wd_oph_f_g12</t>
  </si>
  <si>
    <t>spedacad_wd_sld_m_g11</t>
  </si>
  <si>
    <t>spedacad_wd_sld_f_g11</t>
  </si>
  <si>
    <t>spedacad_wd_sld_m_g12</t>
  </si>
  <si>
    <t>spedacad_wd_sld_f_g12</t>
  </si>
  <si>
    <t>spedtvl_wd_sld_m_g11</t>
  </si>
  <si>
    <t>spedtvl_wd_sld_f_g11</t>
  </si>
  <si>
    <t>spedtvl_wd_sld_m_g12</t>
  </si>
  <si>
    <t>spedtvl_wd_sld_f_g12</t>
  </si>
  <si>
    <t>spedarts_wd_sld_m_g11</t>
  </si>
  <si>
    <t>spedarts_wd_sld_f_g11</t>
  </si>
  <si>
    <t>spedarts_wd_sld_m_g12</t>
  </si>
  <si>
    <t>spedarts_wd_sld_f_g12</t>
  </si>
  <si>
    <t>spedsports_wd_sld_m_g11</t>
  </si>
  <si>
    <t>spedsports_wd_sld_f_g11</t>
  </si>
  <si>
    <t>spedsports_wd_sld_m_g12</t>
  </si>
  <si>
    <t>spedsports_wd_sld_f_g12</t>
  </si>
  <si>
    <t>spedacad_wd_cp_m_g11</t>
  </si>
  <si>
    <t>spedacad_wd_cp_f_g11</t>
  </si>
  <si>
    <t>spedacad_wd_cp_m_g12</t>
  </si>
  <si>
    <t>spedacad_wd_cp_f_g12</t>
  </si>
  <si>
    <t>spedtvl_wd_cp_m_g11</t>
  </si>
  <si>
    <t>spedtvl_wd_cp_f_g11</t>
  </si>
  <si>
    <t>spedtvl_wd_cp_m_g12</t>
  </si>
  <si>
    <t>spedtvl_wd_cp_f_g12</t>
  </si>
  <si>
    <t>spedarts_wd_cp_m_g11</t>
  </si>
  <si>
    <t>spedarts_wd_cp_f_g11</t>
  </si>
  <si>
    <t>spedarts_wd_cp_m_g12</t>
  </si>
  <si>
    <t>spedarts_wd_cp_f_g12</t>
  </si>
  <si>
    <t>spedsports_wd_cp_m_g11</t>
  </si>
  <si>
    <t>spedsports_wd_cp_f_g11</t>
  </si>
  <si>
    <t>spedsports_wd_cp_m_g12</t>
  </si>
  <si>
    <t>spedsports_wd_cp_f_g12</t>
  </si>
  <si>
    <t>spedacad_wd_cd_m_g11</t>
  </si>
  <si>
    <t>spedacad_wd_cd_f_g11</t>
  </si>
  <si>
    <t>spedacad_wd_cd_m_g12</t>
  </si>
  <si>
    <t>spedacad_wd_cd_f_g12</t>
  </si>
  <si>
    <t>spedtvl_wd_cd_m_g11</t>
  </si>
  <si>
    <t>spedtvl_wd_cd_f_g11</t>
  </si>
  <si>
    <t>spedtvl_wd_cd_m_g12</t>
  </si>
  <si>
    <t>spedtvl_wd_cd_f_g12</t>
  </si>
  <si>
    <t>spedarts_wd_cd_m_g11</t>
  </si>
  <si>
    <t>spedarts_wd_cd_f_g11</t>
  </si>
  <si>
    <t>spedarts_wd_cd_m_g12</t>
  </si>
  <si>
    <t>spedarts_wd_cd_f_g12</t>
  </si>
  <si>
    <t>spedsports_wd_cd_m_g11</t>
  </si>
  <si>
    <t>spedsports_wd_cd_f_g11</t>
  </si>
  <si>
    <t>spedsports_wd_cd_m_g12</t>
  </si>
  <si>
    <t>spedsports_wd_cd_f_g12</t>
  </si>
  <si>
    <t>spedacad_wd_md_m_g11</t>
  </si>
  <si>
    <t>spedacad_wd_md_f_g11</t>
  </si>
  <si>
    <t>spedacad_wd_md_m_g12</t>
  </si>
  <si>
    <t>spedacad_wd_md_f_g12</t>
  </si>
  <si>
    <t>spedtvl_wd_md_m_g11</t>
  </si>
  <si>
    <t>spedtvl_wd_md_f_g11</t>
  </si>
  <si>
    <t>spedtvl_wd_md_m_g12</t>
  </si>
  <si>
    <t>spedtvl_wd_md_f_g12</t>
  </si>
  <si>
    <t>spedarts_wd_md_m_g11</t>
  </si>
  <si>
    <t>spedarts_wd_md_f_g11</t>
  </si>
  <si>
    <t>spedarts_wd_md_m_g12</t>
  </si>
  <si>
    <t>spedarts_wd_md_f_g12</t>
  </si>
  <si>
    <t>spedsports_wd_md_m_g11</t>
  </si>
  <si>
    <t>spedsports_wd_md_f_g11</t>
  </si>
  <si>
    <t>spedsports_wd_md_m_g12</t>
  </si>
  <si>
    <t>spedsports_wd_md_f_g12</t>
  </si>
  <si>
    <t>spedacad_wm_diff_seeing_m_g11</t>
  </si>
  <si>
    <t>spedacad_wm_diff_seeing_f_g11</t>
  </si>
  <si>
    <t>spedacad_wm_diff_seeing_m_g12</t>
  </si>
  <si>
    <t>spedacad_wm_diff_seeing_f_g12</t>
  </si>
  <si>
    <t>spedtvl_wm_diff_seeing_m_g11</t>
  </si>
  <si>
    <t>spedtvl_wm_diff_seeing_f_g11</t>
  </si>
  <si>
    <t>spedtvl_wm_diff_seeing_m_g12</t>
  </si>
  <si>
    <t>spedtvl_wm_diff_seeing_f_g12</t>
  </si>
  <si>
    <t>spedarts_wm_diff_seeing_m_g11</t>
  </si>
  <si>
    <t>spedarts_wm_diff_seeing_f_g11</t>
  </si>
  <si>
    <t>spedarts_wm_diff_seeing_m_g12</t>
  </si>
  <si>
    <t>spedarts_wm_diff_seeing_f_g12</t>
  </si>
  <si>
    <t>spedsports_wm_diff_seeing_m_g11</t>
  </si>
  <si>
    <t>spedsports_wm_diff_seeing_f_g11</t>
  </si>
  <si>
    <t>spedsports_wm_diff_seeing_m_g12</t>
  </si>
  <si>
    <t>spedsports_wm_diff_seeing_f_g12</t>
  </si>
  <si>
    <t>spedacad_wm_diff_hearing_m_g11</t>
  </si>
  <si>
    <t>spedacad_wm_diff_hearing_f_g11</t>
  </si>
  <si>
    <t>spedacad_wm_diff_hearing_m_g12</t>
  </si>
  <si>
    <t>spedacad_wm_diff_hearing_f_g12</t>
  </si>
  <si>
    <t>spedtvl_wm_diff_hearing_m_g11</t>
  </si>
  <si>
    <t>spedtvl_wm_diff_hearing_f_g11</t>
  </si>
  <si>
    <t>spedtvl_wm_diff_hearing_m_g12</t>
  </si>
  <si>
    <t>spedtvl_wm_diff_hearing_f_g12</t>
  </si>
  <si>
    <t>spedarts_wm_diff_hearing_m_g11</t>
  </si>
  <si>
    <t>spedarts_wm_diff_hearing_f_g11</t>
  </si>
  <si>
    <t>spedarts_wm_diff_hearing_m_g12</t>
  </si>
  <si>
    <t>spedarts_wm_diff_hearing_f_g12</t>
  </si>
  <si>
    <t>spedsports_wm_diff_hearing_m_g11</t>
  </si>
  <si>
    <t>spedsports_wm_diff_hearing_f_g11</t>
  </si>
  <si>
    <t>spedsports_wm_diff_hearing_m_g12</t>
  </si>
  <si>
    <t>spedsports_wm_diff_hearing_f_g12</t>
  </si>
  <si>
    <t>spedacad_wm_diff_mob_m_g11</t>
  </si>
  <si>
    <t>spedacad_wm_diff_mob_f_g11</t>
  </si>
  <si>
    <t>spedacad_wm_diff_mob_m_g12</t>
  </si>
  <si>
    <t>spedacad_wm_diff_mob_f_g12</t>
  </si>
  <si>
    <t>spedtvl_wm_diff_mob_m_g11</t>
  </si>
  <si>
    <t>spedtvl_wm_diff_mob_f_g11</t>
  </si>
  <si>
    <t>spedtvl_wm_diff_mob_m_g12</t>
  </si>
  <si>
    <t>spedtvl_wm_diff_mob_f_g12</t>
  </si>
  <si>
    <t>spedarts_wm_diff_mob_m_g11</t>
  </si>
  <si>
    <t>spedarts_wm_diff_mob_f_g11</t>
  </si>
  <si>
    <t>spedarts_wm_diff_mob_m_g12</t>
  </si>
  <si>
    <t>spedarts_wm_diff_mob_f_g12</t>
  </si>
  <si>
    <t>spedsports_wm_diff_mob_m_g11</t>
  </si>
  <si>
    <t>spedsports_wm_diff_mob_f_g11</t>
  </si>
  <si>
    <t>spedsports_wm_diff_mob_m_g12</t>
  </si>
  <si>
    <t>spedsports_wm_diff_mob_f_g12</t>
  </si>
  <si>
    <t>spedacad_wm_rcpau_m_g11</t>
  </si>
  <si>
    <t>spedacad_wm_rcpau_f_g11</t>
  </si>
  <si>
    <t>spedacad_wm_rcpau_m_g12</t>
  </si>
  <si>
    <t>spedacad_wm_rcpau_f_g12</t>
  </si>
  <si>
    <t>spedtvl_wm_rcpau_m_g11</t>
  </si>
  <si>
    <t>spedtvl_wm_rcpau_f_g11</t>
  </si>
  <si>
    <t>spedtvl_wm_rcpau_m_g12</t>
  </si>
  <si>
    <t>spedtvl_wm_rcpau_f_g12</t>
  </si>
  <si>
    <t>spedarts_wm_rcpau_m_g11</t>
  </si>
  <si>
    <t>spedarts_wm_rcpau_f_g11</t>
  </si>
  <si>
    <t>spedarts_wm_rcpau_m_g12</t>
  </si>
  <si>
    <t>spedarts_wm_rcpau_f_g12</t>
  </si>
  <si>
    <t>spedsports_wm_rcpau_m_g11</t>
  </si>
  <si>
    <t>spedsports_wm_rcpau_f_g11</t>
  </si>
  <si>
    <t>spedsports_wm_rcpau_m_g12</t>
  </si>
  <si>
    <t>spedsports_wm_rcpau_f_g12</t>
  </si>
  <si>
    <t>spedacad_wm_com_m_g11</t>
  </si>
  <si>
    <t>spedacad_wm_com_f_g11</t>
  </si>
  <si>
    <t>spedacad_wm_com_m_g12</t>
  </si>
  <si>
    <t>spedacad_wm_com_f_g12</t>
  </si>
  <si>
    <t>spedtvl_wm_com_m_g11</t>
  </si>
  <si>
    <t>spedtvl_wm_com_f_g11</t>
  </si>
  <si>
    <t>spedtvl_wm_com_m_g12</t>
  </si>
  <si>
    <t>spedtvl_wm_com_f_g12</t>
  </si>
  <si>
    <t>spedarts_wm_com_m_g11</t>
  </si>
  <si>
    <t>spedarts_wm_com_f_g11</t>
  </si>
  <si>
    <t>spedarts_wm_com_m_g12</t>
  </si>
  <si>
    <t>spedarts_wm_com_f_g12</t>
  </si>
  <si>
    <t>spedsports_wm_com_m_g11</t>
  </si>
  <si>
    <t>spedsports_wm_com_f_g11</t>
  </si>
  <si>
    <t>spedsports_wm_com_m_g12</t>
  </si>
  <si>
    <t>spedsports_wm_com_f_g12</t>
  </si>
  <si>
    <t>spedacad_wm_ak_m_g11</t>
  </si>
  <si>
    <t>spedacad_wm_ak_f_g11</t>
  </si>
  <si>
    <t>spedacad_wm_ak_m_g12</t>
  </si>
  <si>
    <t>spedacad_wm_ak_f_g12</t>
  </si>
  <si>
    <t>spedtvl_wm_ak_m_g11</t>
  </si>
  <si>
    <t>spedtvl_wm_ak_f_g11</t>
  </si>
  <si>
    <t>spedtvl_wm_ak_m_g12</t>
  </si>
  <si>
    <t>spedtvl_wm_ak_f_g12</t>
  </si>
  <si>
    <t>spedarts_wm_ak_m_g11</t>
  </si>
  <si>
    <t>spedarts_wm_ak_f_g11</t>
  </si>
  <si>
    <t>spedarts_wm_ak_m_g12</t>
  </si>
  <si>
    <t>spedarts_wm_ak_f_g12</t>
  </si>
  <si>
    <t>spedsports_wm_ak_m_g11</t>
  </si>
  <si>
    <t>spedsports_wm_ak_f_g11</t>
  </si>
  <si>
    <t>spedsports_wm_ak_m_g12</t>
  </si>
  <si>
    <t>spedsports_wm_ak_f_g12</t>
  </si>
  <si>
    <t>spedacad_wm_aas_m_g11</t>
  </si>
  <si>
    <t>spedacad_wm_aas_f_g11</t>
  </si>
  <si>
    <t>spedacad_wm_aas_m_g12</t>
  </si>
  <si>
    <t>spedacad_wm_aas_f_g12</t>
  </si>
  <si>
    <t>spedtvl_wm_aas_m_g11</t>
  </si>
  <si>
    <t>spedtvl_wm_aas_f_g11</t>
  </si>
  <si>
    <t>spedtvl_wm_aas_m_g12</t>
  </si>
  <si>
    <t>spedtvl_wm_aas_f_g12</t>
  </si>
  <si>
    <t>spedarts_wm_aas_m_g11</t>
  </si>
  <si>
    <t>spedarts_wm_aas_f_g11</t>
  </si>
  <si>
    <t>spedarts_wm_aas_m_g12</t>
  </si>
  <si>
    <t>spedarts_wm_aas_f_g12</t>
  </si>
  <si>
    <t>spedsports_wm_aas_m_g11</t>
  </si>
  <si>
    <t>spedsports_wm_aas_f_g11</t>
  </si>
  <si>
    <t>spedsports_wm_aas_m_g12</t>
  </si>
  <si>
    <t>spedsports_wm_aas_f_g12</t>
  </si>
  <si>
    <t>spedacad_wm_dipb_m_g11</t>
  </si>
  <si>
    <t>spedacad_wm_dipb_f_g11</t>
  </si>
  <si>
    <t>spedacad_wm_dipb_m_g12</t>
  </si>
  <si>
    <t>spedacad_wm_dipb_f_g12</t>
  </si>
  <si>
    <t>spedtvl_wm_dipb_m_g11</t>
  </si>
  <si>
    <t>spedtvl_wm_dipb_f_g11</t>
  </si>
  <si>
    <t>spedtvl_wm_dipb_m_g12</t>
  </si>
  <si>
    <t>spedtvl_wm_dipb_f_g12</t>
  </si>
  <si>
    <t>spedarts_wm_dipb_m_g11</t>
  </si>
  <si>
    <t>spedarts_wm_dipb_f_g11</t>
  </si>
  <si>
    <t>spedarts_wm_dipb_m_g12</t>
  </si>
  <si>
    <t>spedarts_wm_dipb_f_g12</t>
  </si>
  <si>
    <t>spedsports_wm_dipb_m_g11</t>
  </si>
  <si>
    <t>spedsports_wm_dipb_f_g11</t>
  </si>
  <si>
    <t>spedsports_wm_dipb_m_g12</t>
  </si>
  <si>
    <t>spedsports_wm_dipb_f_g12</t>
  </si>
  <si>
    <t>School with LWD in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</si>
</sst>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165" fontId="0" fillId="0" borderId="0" xfId="1" applyNumberFormat="1" applyFont="1"/>
    <xf numFmtId="0" fontId="4" fillId="5" borderId="0" xfId="0" applyFont="1" applyFill="1" applyAlignment="1">
      <alignment horizontal="center" vertical="center"/>
    </xf>
    <xf numFmtId="165" fontId="2" fillId="0" borderId="0" xfId="1" applyNumberFormat="1" applyFont="1"/>
    <xf numFmtId="0" fontId="4" fillId="7" borderId="0" xfId="0" applyFont="1" applyFill="1" applyAlignment="1">
      <alignment vertical="center"/>
    </xf>
    <xf numFmtId="0" fontId="3" fillId="0" borderId="0" xfId="2"/>
    <xf numFmtId="165" fontId="0" fillId="0" borderId="0" xfId="0" applyNumberFormat="1"/>
    <xf numFmtId="0" fontId="5" fillId="9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2" fillId="8" borderId="0" xfId="0" applyFont="1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4" fillId="4" borderId="0" xfId="2" applyFont="1" applyFill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EA4ABA9-D9E2-484D-898F-0193344A2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EA63-A082-45D2-8886-DE86B56303CE}">
  <dimension ref="A1:ACI64"/>
  <sheetViews>
    <sheetView tabSelected="1" zoomScale="85" zoomScaleNormal="85" workbookViewId="0">
      <pane xSplit="3" ySplit="10" topLeftCell="D1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5" sqref="A65:XFD234"/>
    </sheetView>
  </sheetViews>
  <sheetFormatPr defaultRowHeight="15" x14ac:dyDescent="0.25"/>
  <cols>
    <col min="2" max="2" width="27.140625" bestFit="1" customWidth="1"/>
    <col min="4" max="4" width="32.7109375" customWidth="1"/>
    <col min="5" max="18" width="9.5703125" bestFit="1" customWidth="1"/>
    <col min="19" max="21" width="9.5703125" customWidth="1"/>
    <col min="22" max="185" width="9" bestFit="1" customWidth="1"/>
    <col min="186" max="186" width="9.5703125" bestFit="1" customWidth="1"/>
    <col min="187" max="187" width="9" bestFit="1" customWidth="1"/>
    <col min="188" max="189" width="9.5703125" bestFit="1" customWidth="1"/>
    <col min="190" max="203" width="9" bestFit="1" customWidth="1"/>
    <col min="204" max="204" width="9.5703125" bestFit="1" customWidth="1"/>
    <col min="205" max="205" width="9" bestFit="1" customWidth="1"/>
    <col min="206" max="214" width="9.5703125" bestFit="1" customWidth="1"/>
    <col min="215" max="215" width="9" bestFit="1" customWidth="1"/>
    <col min="216" max="216" width="9.5703125" bestFit="1" customWidth="1"/>
    <col min="217" max="217" width="9" bestFit="1" customWidth="1"/>
    <col min="218" max="231" width="9.5703125" bestFit="1" customWidth="1"/>
    <col min="232" max="287" width="9" bestFit="1" customWidth="1"/>
    <col min="288" max="290" width="9" customWidth="1"/>
    <col min="291" max="556" width="9" bestFit="1" customWidth="1"/>
    <col min="557" max="559" width="9" customWidth="1"/>
    <col min="560" max="589" width="9" bestFit="1" customWidth="1"/>
    <col min="590" max="595" width="9.5703125" bestFit="1" customWidth="1"/>
    <col min="596" max="597" width="9" bestFit="1" customWidth="1"/>
    <col min="598" max="600" width="9.5703125" bestFit="1" customWidth="1"/>
    <col min="601" max="601" width="9" bestFit="1" customWidth="1"/>
    <col min="602" max="602" width="9.5703125" bestFit="1" customWidth="1"/>
    <col min="603" max="699" width="9" bestFit="1" customWidth="1"/>
    <col min="700" max="702" width="9.5703125" bestFit="1" customWidth="1"/>
    <col min="703" max="749" width="9" bestFit="1" customWidth="1"/>
    <col min="750" max="755" width="9" customWidth="1"/>
    <col min="756" max="756" width="10.5703125" bestFit="1" customWidth="1"/>
    <col min="757" max="757" width="11.7109375" bestFit="1" customWidth="1"/>
    <col min="758" max="758" width="10.5703125" bestFit="1" customWidth="1"/>
  </cols>
  <sheetData>
    <row r="1" spans="1:763" x14ac:dyDescent="0.25">
      <c r="A1" s="1" t="s">
        <v>0</v>
      </c>
    </row>
    <row r="2" spans="1:763" x14ac:dyDescent="0.25">
      <c r="A2" s="1" t="s">
        <v>1</v>
      </c>
    </row>
    <row r="3" spans="1:763" ht="14.45" customHeight="1" x14ac:dyDescent="0.25">
      <c r="A3" s="1" t="s">
        <v>2</v>
      </c>
      <c r="UN3" s="30" t="s">
        <v>3</v>
      </c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2"/>
      <c r="ABW3" s="2"/>
      <c r="ABX3" s="2"/>
      <c r="ABY3" s="2"/>
      <c r="ABZ3" s="2"/>
      <c r="ACA3" s="2"/>
    </row>
    <row r="4" spans="1:763" ht="14.45" customHeight="1" x14ac:dyDescent="0.25">
      <c r="V4" s="21" t="s">
        <v>4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31" t="s">
        <v>5</v>
      </c>
      <c r="KC4" s="32"/>
      <c r="KD4" s="33"/>
      <c r="KE4" s="20" t="s">
        <v>6</v>
      </c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40" t="s">
        <v>5</v>
      </c>
      <c r="UL4" s="41"/>
      <c r="UM4" s="42"/>
      <c r="UN4" s="19" t="s">
        <v>7</v>
      </c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 t="s">
        <v>8</v>
      </c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 t="s">
        <v>9</v>
      </c>
      <c r="ABW4" s="19"/>
      <c r="ABX4" s="19"/>
      <c r="ABY4" s="19" t="s">
        <v>10</v>
      </c>
      <c r="ABZ4" s="19"/>
      <c r="ACA4" s="19"/>
      <c r="ACB4" s="29" t="s">
        <v>11</v>
      </c>
      <c r="ACC4" s="29" t="s">
        <v>12</v>
      </c>
      <c r="ACD4" s="29" t="s">
        <v>13</v>
      </c>
      <c r="ACE4" s="29" t="s">
        <v>14</v>
      </c>
      <c r="ACF4" s="28" t="s">
        <v>15</v>
      </c>
      <c r="ACG4" s="28" t="s">
        <v>16</v>
      </c>
      <c r="ACH4" s="28" t="s">
        <v>17</v>
      </c>
      <c r="ACI4" s="28" t="s">
        <v>18</v>
      </c>
    </row>
    <row r="5" spans="1:763" ht="14.45" customHeight="1" x14ac:dyDescent="0.25">
      <c r="V5" s="21" t="s">
        <v>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 t="s">
        <v>8</v>
      </c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34"/>
      <c r="KC5" s="35"/>
      <c r="KD5" s="36"/>
      <c r="KE5" s="20" t="s">
        <v>7</v>
      </c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 t="s">
        <v>8</v>
      </c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43"/>
      <c r="UL5" s="44"/>
      <c r="UM5" s="45"/>
      <c r="UN5" s="19" t="s">
        <v>19</v>
      </c>
      <c r="UO5" s="19"/>
      <c r="UP5" s="19"/>
      <c r="UQ5" s="19"/>
      <c r="UR5" s="19"/>
      <c r="US5" s="19"/>
      <c r="UT5" s="19"/>
      <c r="UU5" s="19"/>
      <c r="UV5" s="19"/>
      <c r="UW5" s="19"/>
      <c r="UX5" s="19" t="s">
        <v>20</v>
      </c>
      <c r="UY5" s="19"/>
      <c r="UZ5" s="19"/>
      <c r="VA5" s="19"/>
      <c r="VB5" s="19"/>
      <c r="VC5" s="19"/>
      <c r="VD5" s="19"/>
      <c r="VE5" s="19"/>
      <c r="VF5" s="19"/>
      <c r="VG5" s="19"/>
      <c r="VH5" s="19" t="s">
        <v>21</v>
      </c>
      <c r="VI5" s="19"/>
      <c r="VJ5" s="19"/>
      <c r="VK5" s="19"/>
      <c r="VL5" s="19"/>
      <c r="VM5" s="19"/>
      <c r="VN5" s="19"/>
      <c r="VO5" s="19"/>
      <c r="VP5" s="19"/>
      <c r="VQ5" s="19"/>
      <c r="VR5" s="19" t="s">
        <v>22</v>
      </c>
      <c r="VS5" s="19"/>
      <c r="VT5" s="19"/>
      <c r="VU5" s="19"/>
      <c r="VV5" s="19"/>
      <c r="VW5" s="19"/>
      <c r="VX5" s="19"/>
      <c r="VY5" s="19"/>
      <c r="VZ5" s="19"/>
      <c r="WA5" s="19"/>
      <c r="WB5" s="19" t="s">
        <v>23</v>
      </c>
      <c r="WC5" s="19"/>
      <c r="WD5" s="19"/>
      <c r="WE5" s="19"/>
      <c r="WF5" s="19"/>
      <c r="WG5" s="19"/>
      <c r="WH5" s="19"/>
      <c r="WI5" s="19"/>
      <c r="WJ5" s="19"/>
      <c r="WK5" s="19"/>
      <c r="WL5" s="19" t="s">
        <v>24</v>
      </c>
      <c r="WM5" s="19"/>
      <c r="WN5" s="19"/>
      <c r="WO5" s="19"/>
      <c r="WP5" s="19"/>
      <c r="WQ5" s="19"/>
      <c r="WR5" s="19"/>
      <c r="WS5" s="19"/>
      <c r="WT5" s="19"/>
      <c r="WU5" s="19"/>
      <c r="WV5" s="19" t="s">
        <v>25</v>
      </c>
      <c r="WW5" s="19"/>
      <c r="WX5" s="19"/>
      <c r="WY5" s="19"/>
      <c r="WZ5" s="19"/>
      <c r="XA5" s="19"/>
      <c r="XB5" s="19"/>
      <c r="XC5" s="19"/>
      <c r="XD5" s="19"/>
      <c r="XE5" s="19"/>
      <c r="XF5" s="19" t="s">
        <v>26</v>
      </c>
      <c r="XG5" s="19"/>
      <c r="XH5" s="19"/>
      <c r="XI5" s="19"/>
      <c r="XJ5" s="19"/>
      <c r="XK5" s="19"/>
      <c r="XL5" s="19"/>
      <c r="XM5" s="19"/>
      <c r="XN5" s="19"/>
      <c r="XO5" s="19"/>
      <c r="XP5" s="19" t="s">
        <v>27</v>
      </c>
      <c r="XQ5" s="19"/>
      <c r="XR5" s="19"/>
      <c r="XS5" s="19"/>
      <c r="XT5" s="19"/>
      <c r="XU5" s="19"/>
      <c r="XV5" s="19"/>
      <c r="XW5" s="19"/>
      <c r="XX5" s="19"/>
      <c r="XY5" s="19"/>
      <c r="XZ5" s="19" t="s">
        <v>28</v>
      </c>
      <c r="YA5" s="19"/>
      <c r="YB5" s="19"/>
      <c r="YC5" s="19"/>
      <c r="YD5" s="19"/>
      <c r="YE5" s="19"/>
      <c r="YF5" s="19"/>
      <c r="YG5" s="19"/>
      <c r="YH5" s="19"/>
      <c r="YI5" s="19"/>
      <c r="YJ5" s="19" t="s">
        <v>29</v>
      </c>
      <c r="YK5" s="19"/>
      <c r="YL5" s="19"/>
      <c r="YM5" s="19"/>
      <c r="YN5" s="19"/>
      <c r="YO5" s="19"/>
      <c r="YP5" s="19"/>
      <c r="YQ5" s="19"/>
      <c r="YR5" s="19"/>
      <c r="YS5" s="19"/>
      <c r="YT5" s="19" t="s">
        <v>30</v>
      </c>
      <c r="YU5" s="19"/>
      <c r="YV5" s="19"/>
      <c r="YW5" s="19"/>
      <c r="YX5" s="19"/>
      <c r="YY5" s="19"/>
      <c r="YZ5" s="19"/>
      <c r="ZA5" s="19"/>
      <c r="ZB5" s="19"/>
      <c r="ZC5" s="19"/>
      <c r="ZD5" s="19" t="s">
        <v>31</v>
      </c>
      <c r="ZE5" s="19"/>
      <c r="ZF5" s="19"/>
      <c r="ZG5" s="19"/>
      <c r="ZH5" s="19"/>
      <c r="ZI5" s="19"/>
      <c r="ZJ5" s="19"/>
      <c r="ZK5" s="19"/>
      <c r="ZL5" s="19"/>
      <c r="ZM5" s="19"/>
      <c r="ZN5" s="19" t="s">
        <v>32</v>
      </c>
      <c r="ZO5" s="19"/>
      <c r="ZP5" s="19"/>
      <c r="ZQ5" s="19"/>
      <c r="ZR5" s="19"/>
      <c r="ZS5" s="19"/>
      <c r="ZT5" s="19"/>
      <c r="ZU5" s="19"/>
      <c r="ZV5" s="19"/>
      <c r="ZW5" s="19"/>
      <c r="ZX5" s="19" t="s">
        <v>33</v>
      </c>
      <c r="ZY5" s="19"/>
      <c r="ZZ5" s="19"/>
      <c r="AAA5" s="19"/>
      <c r="AAB5" s="19"/>
      <c r="AAC5" s="19"/>
      <c r="AAD5" s="19"/>
      <c r="AAE5" s="19"/>
      <c r="AAF5" s="19"/>
      <c r="AAG5" s="19"/>
      <c r="AAH5" s="19" t="s">
        <v>34</v>
      </c>
      <c r="AAI5" s="19"/>
      <c r="AAJ5" s="19"/>
      <c r="AAK5" s="19"/>
      <c r="AAL5" s="19"/>
      <c r="AAM5" s="19"/>
      <c r="AAN5" s="19"/>
      <c r="AAO5" s="19"/>
      <c r="AAP5" s="19"/>
      <c r="AAQ5" s="19"/>
      <c r="AAR5" s="19" t="s">
        <v>35</v>
      </c>
      <c r="AAS5" s="19"/>
      <c r="AAT5" s="19"/>
      <c r="AAU5" s="19"/>
      <c r="AAV5" s="19"/>
      <c r="AAW5" s="19"/>
      <c r="AAX5" s="19"/>
      <c r="AAY5" s="19"/>
      <c r="AAZ5" s="19"/>
      <c r="ABA5" s="19"/>
      <c r="ABB5" s="19" t="s">
        <v>36</v>
      </c>
      <c r="ABC5" s="19"/>
      <c r="ABD5" s="19"/>
      <c r="ABE5" s="19"/>
      <c r="ABF5" s="19"/>
      <c r="ABG5" s="19"/>
      <c r="ABH5" s="19"/>
      <c r="ABI5" s="19"/>
      <c r="ABJ5" s="19"/>
      <c r="ABK5" s="19"/>
      <c r="ABL5" s="19" t="s">
        <v>37</v>
      </c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29"/>
      <c r="ACC5" s="29"/>
      <c r="ACD5" s="29"/>
      <c r="ACE5" s="29"/>
      <c r="ACF5" s="28"/>
      <c r="ACG5" s="28"/>
      <c r="ACH5" s="28"/>
      <c r="ACI5" s="28"/>
    </row>
    <row r="6" spans="1:763" x14ac:dyDescent="0.25">
      <c r="E6" s="26" t="s">
        <v>38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1" t="s">
        <v>39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 t="s">
        <v>20</v>
      </c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 t="s">
        <v>21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 t="s">
        <v>22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 t="s">
        <v>23</v>
      </c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 t="s">
        <v>24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 t="s">
        <v>40</v>
      </c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 t="s">
        <v>41</v>
      </c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 t="s">
        <v>27</v>
      </c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 t="s">
        <v>42</v>
      </c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 t="s">
        <v>29</v>
      </c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 t="s">
        <v>30</v>
      </c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 t="s">
        <v>31</v>
      </c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 t="s">
        <v>32</v>
      </c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5" t="s">
        <v>33</v>
      </c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5" t="s">
        <v>34</v>
      </c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5" t="s">
        <v>35</v>
      </c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5" t="s">
        <v>36</v>
      </c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5" t="s">
        <v>37</v>
      </c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34"/>
      <c r="KC6" s="35"/>
      <c r="KD6" s="36"/>
      <c r="KE6" s="20" t="s">
        <v>39</v>
      </c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 t="s">
        <v>20</v>
      </c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 t="s">
        <v>21</v>
      </c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 t="s">
        <v>22</v>
      </c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 t="s">
        <v>23</v>
      </c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 t="s">
        <v>24</v>
      </c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 t="s">
        <v>40</v>
      </c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 t="s">
        <v>41</v>
      </c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 t="s">
        <v>27</v>
      </c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 t="s">
        <v>42</v>
      </c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 t="s">
        <v>29</v>
      </c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 t="s">
        <v>30</v>
      </c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 t="s">
        <v>31</v>
      </c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 t="s">
        <v>32</v>
      </c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4" t="s">
        <v>33</v>
      </c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4" t="s">
        <v>34</v>
      </c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4" t="s">
        <v>35</v>
      </c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4" t="s">
        <v>36</v>
      </c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4" t="s">
        <v>37</v>
      </c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43"/>
      <c r="UL6" s="44"/>
      <c r="UM6" s="45"/>
      <c r="UN6" s="19" t="s">
        <v>43</v>
      </c>
      <c r="UO6" s="19"/>
      <c r="UP6" s="19" t="s">
        <v>44</v>
      </c>
      <c r="UQ6" s="19"/>
      <c r="UR6" s="19"/>
      <c r="US6" s="19"/>
      <c r="UT6" s="19"/>
      <c r="UU6" s="19"/>
      <c r="UV6" s="19" t="s">
        <v>45</v>
      </c>
      <c r="UW6" s="19"/>
      <c r="UX6" s="19" t="s">
        <v>43</v>
      </c>
      <c r="UY6" s="19"/>
      <c r="UZ6" s="19" t="s">
        <v>44</v>
      </c>
      <c r="VA6" s="19"/>
      <c r="VB6" s="19"/>
      <c r="VC6" s="19"/>
      <c r="VD6" s="19"/>
      <c r="VE6" s="19"/>
      <c r="VF6" s="19" t="s">
        <v>45</v>
      </c>
      <c r="VG6" s="19"/>
      <c r="VH6" s="19" t="s">
        <v>43</v>
      </c>
      <c r="VI6" s="19"/>
      <c r="VJ6" s="19" t="s">
        <v>44</v>
      </c>
      <c r="VK6" s="19"/>
      <c r="VL6" s="19"/>
      <c r="VM6" s="19"/>
      <c r="VN6" s="19"/>
      <c r="VO6" s="19"/>
      <c r="VP6" s="19" t="s">
        <v>45</v>
      </c>
      <c r="VQ6" s="19"/>
      <c r="VR6" s="19" t="s">
        <v>43</v>
      </c>
      <c r="VS6" s="19"/>
      <c r="VT6" s="19" t="s">
        <v>44</v>
      </c>
      <c r="VU6" s="19"/>
      <c r="VV6" s="19"/>
      <c r="VW6" s="19"/>
      <c r="VX6" s="19"/>
      <c r="VY6" s="19"/>
      <c r="VZ6" s="19" t="s">
        <v>45</v>
      </c>
      <c r="WA6" s="19"/>
      <c r="WB6" s="19" t="s">
        <v>43</v>
      </c>
      <c r="WC6" s="19"/>
      <c r="WD6" s="19" t="s">
        <v>44</v>
      </c>
      <c r="WE6" s="19"/>
      <c r="WF6" s="19"/>
      <c r="WG6" s="19"/>
      <c r="WH6" s="19"/>
      <c r="WI6" s="19"/>
      <c r="WJ6" s="19" t="s">
        <v>45</v>
      </c>
      <c r="WK6" s="19"/>
      <c r="WL6" s="19" t="s">
        <v>43</v>
      </c>
      <c r="WM6" s="19"/>
      <c r="WN6" s="19" t="s">
        <v>44</v>
      </c>
      <c r="WO6" s="19"/>
      <c r="WP6" s="19"/>
      <c r="WQ6" s="19"/>
      <c r="WR6" s="19"/>
      <c r="WS6" s="19"/>
      <c r="WT6" s="19" t="s">
        <v>45</v>
      </c>
      <c r="WU6" s="19"/>
      <c r="WV6" s="19" t="s">
        <v>43</v>
      </c>
      <c r="WW6" s="19"/>
      <c r="WX6" s="19" t="s">
        <v>44</v>
      </c>
      <c r="WY6" s="19"/>
      <c r="WZ6" s="19"/>
      <c r="XA6" s="19"/>
      <c r="XB6" s="19"/>
      <c r="XC6" s="19"/>
      <c r="XD6" s="19" t="s">
        <v>45</v>
      </c>
      <c r="XE6" s="19"/>
      <c r="XF6" s="19" t="s">
        <v>43</v>
      </c>
      <c r="XG6" s="19"/>
      <c r="XH6" s="19" t="s">
        <v>44</v>
      </c>
      <c r="XI6" s="19"/>
      <c r="XJ6" s="19"/>
      <c r="XK6" s="19"/>
      <c r="XL6" s="19"/>
      <c r="XM6" s="19"/>
      <c r="XN6" s="19" t="s">
        <v>45</v>
      </c>
      <c r="XO6" s="19"/>
      <c r="XP6" s="19" t="s">
        <v>43</v>
      </c>
      <c r="XQ6" s="19"/>
      <c r="XR6" s="19" t="s">
        <v>44</v>
      </c>
      <c r="XS6" s="19"/>
      <c r="XT6" s="19"/>
      <c r="XU6" s="19"/>
      <c r="XV6" s="19"/>
      <c r="XW6" s="19"/>
      <c r="XX6" s="19" t="s">
        <v>45</v>
      </c>
      <c r="XY6" s="19"/>
      <c r="XZ6" s="19" t="s">
        <v>43</v>
      </c>
      <c r="YA6" s="19"/>
      <c r="YB6" s="19" t="s">
        <v>44</v>
      </c>
      <c r="YC6" s="19"/>
      <c r="YD6" s="19"/>
      <c r="YE6" s="19"/>
      <c r="YF6" s="19"/>
      <c r="YG6" s="19"/>
      <c r="YH6" s="19" t="s">
        <v>45</v>
      </c>
      <c r="YI6" s="19"/>
      <c r="YJ6" s="19" t="s">
        <v>43</v>
      </c>
      <c r="YK6" s="19"/>
      <c r="YL6" s="19" t="s">
        <v>44</v>
      </c>
      <c r="YM6" s="19"/>
      <c r="YN6" s="19"/>
      <c r="YO6" s="19"/>
      <c r="YP6" s="19"/>
      <c r="YQ6" s="19"/>
      <c r="YR6" s="19" t="s">
        <v>45</v>
      </c>
      <c r="YS6" s="19"/>
      <c r="YT6" s="19" t="s">
        <v>43</v>
      </c>
      <c r="YU6" s="19"/>
      <c r="YV6" s="19" t="s">
        <v>44</v>
      </c>
      <c r="YW6" s="19"/>
      <c r="YX6" s="19"/>
      <c r="YY6" s="19"/>
      <c r="YZ6" s="19"/>
      <c r="ZA6" s="19"/>
      <c r="ZB6" s="19" t="s">
        <v>45</v>
      </c>
      <c r="ZC6" s="19"/>
      <c r="ZD6" s="19" t="s">
        <v>43</v>
      </c>
      <c r="ZE6" s="19"/>
      <c r="ZF6" s="19" t="s">
        <v>44</v>
      </c>
      <c r="ZG6" s="19"/>
      <c r="ZH6" s="19"/>
      <c r="ZI6" s="19"/>
      <c r="ZJ6" s="19"/>
      <c r="ZK6" s="19"/>
      <c r="ZL6" s="19" t="s">
        <v>45</v>
      </c>
      <c r="ZM6" s="19"/>
      <c r="ZN6" s="19" t="s">
        <v>43</v>
      </c>
      <c r="ZO6" s="19"/>
      <c r="ZP6" s="19" t="s">
        <v>44</v>
      </c>
      <c r="ZQ6" s="19"/>
      <c r="ZR6" s="19"/>
      <c r="ZS6" s="19"/>
      <c r="ZT6" s="19"/>
      <c r="ZU6" s="19"/>
      <c r="ZV6" s="19" t="s">
        <v>45</v>
      </c>
      <c r="ZW6" s="19"/>
      <c r="ZX6" s="19" t="s">
        <v>43</v>
      </c>
      <c r="ZY6" s="19"/>
      <c r="ZZ6" s="19" t="s">
        <v>44</v>
      </c>
      <c r="AAA6" s="19"/>
      <c r="AAB6" s="19"/>
      <c r="AAC6" s="19"/>
      <c r="AAD6" s="19"/>
      <c r="AAE6" s="19"/>
      <c r="AAF6" s="19" t="s">
        <v>45</v>
      </c>
      <c r="AAG6" s="19"/>
      <c r="AAH6" s="19" t="s">
        <v>43</v>
      </c>
      <c r="AAI6" s="19"/>
      <c r="AAJ6" s="19" t="s">
        <v>44</v>
      </c>
      <c r="AAK6" s="19"/>
      <c r="AAL6" s="19"/>
      <c r="AAM6" s="19"/>
      <c r="AAN6" s="19"/>
      <c r="AAO6" s="19"/>
      <c r="AAP6" s="19" t="s">
        <v>45</v>
      </c>
      <c r="AAQ6" s="19"/>
      <c r="AAR6" s="19" t="s">
        <v>43</v>
      </c>
      <c r="AAS6" s="19"/>
      <c r="AAT6" s="19" t="s">
        <v>44</v>
      </c>
      <c r="AAU6" s="19"/>
      <c r="AAV6" s="19"/>
      <c r="AAW6" s="19"/>
      <c r="AAX6" s="19"/>
      <c r="AAY6" s="19"/>
      <c r="AAZ6" s="19" t="s">
        <v>45</v>
      </c>
      <c r="ABA6" s="19"/>
      <c r="ABB6" s="19" t="s">
        <v>43</v>
      </c>
      <c r="ABC6" s="19"/>
      <c r="ABD6" s="19" t="s">
        <v>44</v>
      </c>
      <c r="ABE6" s="19"/>
      <c r="ABF6" s="19"/>
      <c r="ABG6" s="19"/>
      <c r="ABH6" s="19"/>
      <c r="ABI6" s="19"/>
      <c r="ABJ6" s="19" t="s">
        <v>45</v>
      </c>
      <c r="ABK6" s="19"/>
      <c r="ABL6" s="19" t="s">
        <v>43</v>
      </c>
      <c r="ABM6" s="19"/>
      <c r="ABN6" s="19" t="s">
        <v>44</v>
      </c>
      <c r="ABO6" s="19"/>
      <c r="ABP6" s="19"/>
      <c r="ABQ6" s="19"/>
      <c r="ABR6" s="19"/>
      <c r="ABS6" s="19"/>
      <c r="ABT6" s="19" t="s">
        <v>45</v>
      </c>
      <c r="ABU6" s="19"/>
      <c r="ABV6" s="19"/>
      <c r="ABW6" s="19"/>
      <c r="ABX6" s="19"/>
      <c r="ABY6" s="19"/>
      <c r="ABZ6" s="19"/>
      <c r="ACA6" s="19"/>
      <c r="ACB6" s="29"/>
      <c r="ACC6" s="29"/>
      <c r="ACD6" s="29"/>
      <c r="ACE6" s="29"/>
      <c r="ACF6" s="28"/>
      <c r="ACG6" s="28"/>
      <c r="ACH6" s="28"/>
      <c r="ACI6" s="28"/>
    </row>
    <row r="7" spans="1:763" x14ac:dyDescent="0.25">
      <c r="E7" s="22" t="s">
        <v>46</v>
      </c>
      <c r="F7" s="22"/>
      <c r="G7" s="22" t="s">
        <v>47</v>
      </c>
      <c r="H7" s="22"/>
      <c r="I7" s="22" t="s">
        <v>48</v>
      </c>
      <c r="J7" s="22"/>
      <c r="K7" s="22" t="s">
        <v>49</v>
      </c>
      <c r="L7" s="22"/>
      <c r="M7" s="22" t="s">
        <v>50</v>
      </c>
      <c r="N7" s="22"/>
      <c r="O7" s="22" t="s">
        <v>51</v>
      </c>
      <c r="P7" s="22"/>
      <c r="Q7" s="22" t="s">
        <v>52</v>
      </c>
      <c r="R7" s="22"/>
      <c r="S7" s="22" t="s">
        <v>53</v>
      </c>
      <c r="T7" s="22"/>
      <c r="U7" s="23"/>
      <c r="V7" s="21" t="s">
        <v>43</v>
      </c>
      <c r="W7" s="21"/>
      <c r="X7" s="21" t="s">
        <v>47</v>
      </c>
      <c r="Y7" s="21"/>
      <c r="Z7" s="21" t="s">
        <v>48</v>
      </c>
      <c r="AA7" s="21"/>
      <c r="AB7" s="21" t="s">
        <v>49</v>
      </c>
      <c r="AC7" s="21"/>
      <c r="AD7" s="21" t="s">
        <v>50</v>
      </c>
      <c r="AE7" s="21"/>
      <c r="AF7" s="21" t="s">
        <v>51</v>
      </c>
      <c r="AG7" s="21"/>
      <c r="AH7" s="21" t="s">
        <v>52</v>
      </c>
      <c r="AI7" s="21"/>
      <c r="AJ7" s="21" t="s">
        <v>43</v>
      </c>
      <c r="AK7" s="21"/>
      <c r="AL7" s="21" t="s">
        <v>47</v>
      </c>
      <c r="AM7" s="21"/>
      <c r="AN7" s="21" t="s">
        <v>48</v>
      </c>
      <c r="AO7" s="21"/>
      <c r="AP7" s="21" t="s">
        <v>49</v>
      </c>
      <c r="AQ7" s="21"/>
      <c r="AR7" s="21" t="s">
        <v>50</v>
      </c>
      <c r="AS7" s="21"/>
      <c r="AT7" s="21" t="s">
        <v>51</v>
      </c>
      <c r="AU7" s="21"/>
      <c r="AV7" s="21" t="s">
        <v>52</v>
      </c>
      <c r="AW7" s="21"/>
      <c r="AX7" s="21" t="s">
        <v>43</v>
      </c>
      <c r="AY7" s="21"/>
      <c r="AZ7" s="21" t="s">
        <v>47</v>
      </c>
      <c r="BA7" s="21"/>
      <c r="BB7" s="21" t="s">
        <v>48</v>
      </c>
      <c r="BC7" s="21"/>
      <c r="BD7" s="21" t="s">
        <v>49</v>
      </c>
      <c r="BE7" s="21"/>
      <c r="BF7" s="21" t="s">
        <v>50</v>
      </c>
      <c r="BG7" s="21"/>
      <c r="BH7" s="21" t="s">
        <v>51</v>
      </c>
      <c r="BI7" s="21"/>
      <c r="BJ7" s="21" t="s">
        <v>52</v>
      </c>
      <c r="BK7" s="21"/>
      <c r="BL7" s="21" t="s">
        <v>43</v>
      </c>
      <c r="BM7" s="21"/>
      <c r="BN7" s="21" t="s">
        <v>47</v>
      </c>
      <c r="BO7" s="21"/>
      <c r="BP7" s="21" t="s">
        <v>48</v>
      </c>
      <c r="BQ7" s="21"/>
      <c r="BR7" s="21" t="s">
        <v>49</v>
      </c>
      <c r="BS7" s="21"/>
      <c r="BT7" s="21" t="s">
        <v>50</v>
      </c>
      <c r="BU7" s="21"/>
      <c r="BV7" s="21" t="s">
        <v>51</v>
      </c>
      <c r="BW7" s="21"/>
      <c r="BX7" s="21" t="s">
        <v>52</v>
      </c>
      <c r="BY7" s="21"/>
      <c r="BZ7" s="21" t="s">
        <v>43</v>
      </c>
      <c r="CA7" s="21"/>
      <c r="CB7" s="21" t="s">
        <v>47</v>
      </c>
      <c r="CC7" s="21"/>
      <c r="CD7" s="21" t="s">
        <v>48</v>
      </c>
      <c r="CE7" s="21"/>
      <c r="CF7" s="21" t="s">
        <v>49</v>
      </c>
      <c r="CG7" s="21"/>
      <c r="CH7" s="21" t="s">
        <v>50</v>
      </c>
      <c r="CI7" s="21"/>
      <c r="CJ7" s="21" t="s">
        <v>51</v>
      </c>
      <c r="CK7" s="21"/>
      <c r="CL7" s="21" t="s">
        <v>52</v>
      </c>
      <c r="CM7" s="21"/>
      <c r="CN7" s="21" t="s">
        <v>43</v>
      </c>
      <c r="CO7" s="21"/>
      <c r="CP7" s="21" t="s">
        <v>47</v>
      </c>
      <c r="CQ7" s="21"/>
      <c r="CR7" s="21" t="s">
        <v>48</v>
      </c>
      <c r="CS7" s="21"/>
      <c r="CT7" s="21" t="s">
        <v>49</v>
      </c>
      <c r="CU7" s="21"/>
      <c r="CV7" s="21" t="s">
        <v>50</v>
      </c>
      <c r="CW7" s="21"/>
      <c r="CX7" s="21" t="s">
        <v>51</v>
      </c>
      <c r="CY7" s="21"/>
      <c r="CZ7" s="21" t="s">
        <v>52</v>
      </c>
      <c r="DA7" s="21"/>
      <c r="DB7" s="21" t="s">
        <v>43</v>
      </c>
      <c r="DC7" s="21"/>
      <c r="DD7" s="21" t="s">
        <v>47</v>
      </c>
      <c r="DE7" s="21"/>
      <c r="DF7" s="21" t="s">
        <v>48</v>
      </c>
      <c r="DG7" s="21"/>
      <c r="DH7" s="21" t="s">
        <v>49</v>
      </c>
      <c r="DI7" s="21"/>
      <c r="DJ7" s="21" t="s">
        <v>50</v>
      </c>
      <c r="DK7" s="21"/>
      <c r="DL7" s="21" t="s">
        <v>51</v>
      </c>
      <c r="DM7" s="21"/>
      <c r="DN7" s="21" t="s">
        <v>52</v>
      </c>
      <c r="DO7" s="21"/>
      <c r="DP7" s="21" t="s">
        <v>43</v>
      </c>
      <c r="DQ7" s="21"/>
      <c r="DR7" s="21" t="s">
        <v>47</v>
      </c>
      <c r="DS7" s="21"/>
      <c r="DT7" s="21" t="s">
        <v>48</v>
      </c>
      <c r="DU7" s="21"/>
      <c r="DV7" s="21" t="s">
        <v>49</v>
      </c>
      <c r="DW7" s="21"/>
      <c r="DX7" s="21" t="s">
        <v>50</v>
      </c>
      <c r="DY7" s="21"/>
      <c r="DZ7" s="21" t="s">
        <v>51</v>
      </c>
      <c r="EA7" s="21"/>
      <c r="EB7" s="21" t="s">
        <v>52</v>
      </c>
      <c r="EC7" s="21"/>
      <c r="ED7" s="21" t="s">
        <v>43</v>
      </c>
      <c r="EE7" s="21"/>
      <c r="EF7" s="21" t="s">
        <v>47</v>
      </c>
      <c r="EG7" s="21"/>
      <c r="EH7" s="21" t="s">
        <v>48</v>
      </c>
      <c r="EI7" s="21"/>
      <c r="EJ7" s="21" t="s">
        <v>49</v>
      </c>
      <c r="EK7" s="21"/>
      <c r="EL7" s="21" t="s">
        <v>50</v>
      </c>
      <c r="EM7" s="21"/>
      <c r="EN7" s="21" t="s">
        <v>51</v>
      </c>
      <c r="EO7" s="21"/>
      <c r="EP7" s="21" t="s">
        <v>52</v>
      </c>
      <c r="EQ7" s="21"/>
      <c r="ER7" s="21" t="s">
        <v>43</v>
      </c>
      <c r="ES7" s="21"/>
      <c r="ET7" s="21" t="s">
        <v>47</v>
      </c>
      <c r="EU7" s="21"/>
      <c r="EV7" s="21" t="s">
        <v>48</v>
      </c>
      <c r="EW7" s="21"/>
      <c r="EX7" s="21" t="s">
        <v>49</v>
      </c>
      <c r="EY7" s="21"/>
      <c r="EZ7" s="21" t="s">
        <v>50</v>
      </c>
      <c r="FA7" s="21"/>
      <c r="FB7" s="21" t="s">
        <v>51</v>
      </c>
      <c r="FC7" s="21"/>
      <c r="FD7" s="21" t="s">
        <v>52</v>
      </c>
      <c r="FE7" s="21"/>
      <c r="FF7" s="21" t="s">
        <v>43</v>
      </c>
      <c r="FG7" s="21"/>
      <c r="FH7" s="21" t="s">
        <v>47</v>
      </c>
      <c r="FI7" s="21"/>
      <c r="FJ7" s="21" t="s">
        <v>48</v>
      </c>
      <c r="FK7" s="21"/>
      <c r="FL7" s="21" t="s">
        <v>49</v>
      </c>
      <c r="FM7" s="21"/>
      <c r="FN7" s="21" t="s">
        <v>50</v>
      </c>
      <c r="FO7" s="21"/>
      <c r="FP7" s="21" t="s">
        <v>51</v>
      </c>
      <c r="FQ7" s="21"/>
      <c r="FR7" s="21" t="s">
        <v>52</v>
      </c>
      <c r="FS7" s="21"/>
      <c r="FT7" s="21" t="s">
        <v>43</v>
      </c>
      <c r="FU7" s="21"/>
      <c r="FV7" s="21" t="s">
        <v>47</v>
      </c>
      <c r="FW7" s="21"/>
      <c r="FX7" s="21" t="s">
        <v>48</v>
      </c>
      <c r="FY7" s="21"/>
      <c r="FZ7" s="21" t="s">
        <v>49</v>
      </c>
      <c r="GA7" s="21"/>
      <c r="GB7" s="21" t="s">
        <v>50</v>
      </c>
      <c r="GC7" s="21"/>
      <c r="GD7" s="21" t="s">
        <v>51</v>
      </c>
      <c r="GE7" s="21"/>
      <c r="GF7" s="21" t="s">
        <v>52</v>
      </c>
      <c r="GG7" s="21"/>
      <c r="GH7" s="21" t="s">
        <v>43</v>
      </c>
      <c r="GI7" s="21"/>
      <c r="GJ7" s="21" t="s">
        <v>47</v>
      </c>
      <c r="GK7" s="21"/>
      <c r="GL7" s="21" t="s">
        <v>48</v>
      </c>
      <c r="GM7" s="21"/>
      <c r="GN7" s="21" t="s">
        <v>49</v>
      </c>
      <c r="GO7" s="21"/>
      <c r="GP7" s="21" t="s">
        <v>50</v>
      </c>
      <c r="GQ7" s="21"/>
      <c r="GR7" s="21" t="s">
        <v>51</v>
      </c>
      <c r="GS7" s="21"/>
      <c r="GT7" s="21" t="s">
        <v>52</v>
      </c>
      <c r="GU7" s="21"/>
      <c r="GV7" s="21" t="s">
        <v>43</v>
      </c>
      <c r="GW7" s="21"/>
      <c r="GX7" s="21" t="s">
        <v>47</v>
      </c>
      <c r="GY7" s="21"/>
      <c r="GZ7" s="21" t="s">
        <v>48</v>
      </c>
      <c r="HA7" s="21"/>
      <c r="HB7" s="21" t="s">
        <v>49</v>
      </c>
      <c r="HC7" s="21"/>
      <c r="HD7" s="21" t="s">
        <v>50</v>
      </c>
      <c r="HE7" s="21"/>
      <c r="HF7" s="21" t="s">
        <v>51</v>
      </c>
      <c r="HG7" s="21"/>
      <c r="HH7" s="21" t="s">
        <v>52</v>
      </c>
      <c r="HI7" s="21"/>
      <c r="HJ7" s="21" t="s">
        <v>43</v>
      </c>
      <c r="HK7" s="21"/>
      <c r="HL7" s="21" t="s">
        <v>47</v>
      </c>
      <c r="HM7" s="21"/>
      <c r="HN7" s="21" t="s">
        <v>48</v>
      </c>
      <c r="HO7" s="21"/>
      <c r="HP7" s="21" t="s">
        <v>49</v>
      </c>
      <c r="HQ7" s="21"/>
      <c r="HR7" s="21" t="s">
        <v>50</v>
      </c>
      <c r="HS7" s="21"/>
      <c r="HT7" s="21" t="s">
        <v>51</v>
      </c>
      <c r="HU7" s="21"/>
      <c r="HV7" s="21" t="s">
        <v>52</v>
      </c>
      <c r="HW7" s="21"/>
      <c r="HX7" s="21" t="s">
        <v>43</v>
      </c>
      <c r="HY7" s="21"/>
      <c r="HZ7" s="21" t="s">
        <v>47</v>
      </c>
      <c r="IA7" s="21"/>
      <c r="IB7" s="21" t="s">
        <v>48</v>
      </c>
      <c r="IC7" s="21"/>
      <c r="ID7" s="21" t="s">
        <v>49</v>
      </c>
      <c r="IE7" s="21"/>
      <c r="IF7" s="21" t="s">
        <v>50</v>
      </c>
      <c r="IG7" s="21"/>
      <c r="IH7" s="21" t="s">
        <v>51</v>
      </c>
      <c r="II7" s="21"/>
      <c r="IJ7" s="21" t="s">
        <v>52</v>
      </c>
      <c r="IK7" s="21"/>
      <c r="IL7" s="21" t="s">
        <v>43</v>
      </c>
      <c r="IM7" s="21"/>
      <c r="IN7" s="21" t="s">
        <v>47</v>
      </c>
      <c r="IO7" s="21"/>
      <c r="IP7" s="21" t="s">
        <v>48</v>
      </c>
      <c r="IQ7" s="21"/>
      <c r="IR7" s="21" t="s">
        <v>49</v>
      </c>
      <c r="IS7" s="21"/>
      <c r="IT7" s="21" t="s">
        <v>50</v>
      </c>
      <c r="IU7" s="21"/>
      <c r="IV7" s="21" t="s">
        <v>51</v>
      </c>
      <c r="IW7" s="21"/>
      <c r="IX7" s="21" t="s">
        <v>52</v>
      </c>
      <c r="IY7" s="21"/>
      <c r="IZ7" s="21" t="s">
        <v>43</v>
      </c>
      <c r="JA7" s="21"/>
      <c r="JB7" s="21" t="s">
        <v>47</v>
      </c>
      <c r="JC7" s="21"/>
      <c r="JD7" s="21" t="s">
        <v>48</v>
      </c>
      <c r="JE7" s="21"/>
      <c r="JF7" s="21" t="s">
        <v>49</v>
      </c>
      <c r="JG7" s="21"/>
      <c r="JH7" s="21" t="s">
        <v>50</v>
      </c>
      <c r="JI7" s="21"/>
      <c r="JJ7" s="21" t="s">
        <v>51</v>
      </c>
      <c r="JK7" s="21"/>
      <c r="JL7" s="21" t="s">
        <v>52</v>
      </c>
      <c r="JM7" s="21"/>
      <c r="JN7" s="21" t="s">
        <v>43</v>
      </c>
      <c r="JO7" s="21"/>
      <c r="JP7" s="21" t="s">
        <v>47</v>
      </c>
      <c r="JQ7" s="21"/>
      <c r="JR7" s="21" t="s">
        <v>48</v>
      </c>
      <c r="JS7" s="21"/>
      <c r="JT7" s="21" t="s">
        <v>49</v>
      </c>
      <c r="JU7" s="21"/>
      <c r="JV7" s="21" t="s">
        <v>50</v>
      </c>
      <c r="JW7" s="21"/>
      <c r="JX7" s="21" t="s">
        <v>51</v>
      </c>
      <c r="JY7" s="21"/>
      <c r="JZ7" s="21" t="s">
        <v>52</v>
      </c>
      <c r="KA7" s="21"/>
      <c r="KB7" s="37"/>
      <c r="KC7" s="38"/>
      <c r="KD7" s="39"/>
      <c r="KE7" s="20" t="s">
        <v>43</v>
      </c>
      <c r="KF7" s="20"/>
      <c r="KG7" s="20" t="s">
        <v>47</v>
      </c>
      <c r="KH7" s="20"/>
      <c r="KI7" s="20" t="s">
        <v>48</v>
      </c>
      <c r="KJ7" s="20"/>
      <c r="KK7" s="20" t="s">
        <v>49</v>
      </c>
      <c r="KL7" s="20"/>
      <c r="KM7" s="20" t="s">
        <v>50</v>
      </c>
      <c r="KN7" s="20"/>
      <c r="KO7" s="20" t="s">
        <v>51</v>
      </c>
      <c r="KP7" s="20"/>
      <c r="KQ7" s="20" t="s">
        <v>52</v>
      </c>
      <c r="KR7" s="20"/>
      <c r="KS7" s="20" t="s">
        <v>43</v>
      </c>
      <c r="KT7" s="20"/>
      <c r="KU7" s="20" t="s">
        <v>47</v>
      </c>
      <c r="KV7" s="20"/>
      <c r="KW7" s="20" t="s">
        <v>48</v>
      </c>
      <c r="KX7" s="20"/>
      <c r="KY7" s="20" t="s">
        <v>49</v>
      </c>
      <c r="KZ7" s="20"/>
      <c r="LA7" s="20" t="s">
        <v>50</v>
      </c>
      <c r="LB7" s="20"/>
      <c r="LC7" s="20" t="s">
        <v>51</v>
      </c>
      <c r="LD7" s="20"/>
      <c r="LE7" s="20" t="s">
        <v>52</v>
      </c>
      <c r="LF7" s="20"/>
      <c r="LG7" s="20" t="s">
        <v>43</v>
      </c>
      <c r="LH7" s="20"/>
      <c r="LI7" s="20" t="s">
        <v>47</v>
      </c>
      <c r="LJ7" s="20"/>
      <c r="LK7" s="20" t="s">
        <v>48</v>
      </c>
      <c r="LL7" s="20"/>
      <c r="LM7" s="20" t="s">
        <v>49</v>
      </c>
      <c r="LN7" s="20"/>
      <c r="LO7" s="20" t="s">
        <v>50</v>
      </c>
      <c r="LP7" s="20"/>
      <c r="LQ7" s="20" t="s">
        <v>51</v>
      </c>
      <c r="LR7" s="20"/>
      <c r="LS7" s="20" t="s">
        <v>52</v>
      </c>
      <c r="LT7" s="20"/>
      <c r="LU7" s="20" t="s">
        <v>43</v>
      </c>
      <c r="LV7" s="20"/>
      <c r="LW7" s="20" t="s">
        <v>47</v>
      </c>
      <c r="LX7" s="20"/>
      <c r="LY7" s="20" t="s">
        <v>48</v>
      </c>
      <c r="LZ7" s="20"/>
      <c r="MA7" s="20" t="s">
        <v>49</v>
      </c>
      <c r="MB7" s="20"/>
      <c r="MC7" s="20" t="s">
        <v>50</v>
      </c>
      <c r="MD7" s="20"/>
      <c r="ME7" s="20" t="s">
        <v>51</v>
      </c>
      <c r="MF7" s="20"/>
      <c r="MG7" s="20" t="s">
        <v>52</v>
      </c>
      <c r="MH7" s="20"/>
      <c r="MI7" s="20" t="s">
        <v>43</v>
      </c>
      <c r="MJ7" s="20"/>
      <c r="MK7" s="20" t="s">
        <v>47</v>
      </c>
      <c r="ML7" s="20"/>
      <c r="MM7" s="20" t="s">
        <v>48</v>
      </c>
      <c r="MN7" s="20"/>
      <c r="MO7" s="20" t="s">
        <v>49</v>
      </c>
      <c r="MP7" s="20"/>
      <c r="MQ7" s="20" t="s">
        <v>50</v>
      </c>
      <c r="MR7" s="20"/>
      <c r="MS7" s="20" t="s">
        <v>51</v>
      </c>
      <c r="MT7" s="20"/>
      <c r="MU7" s="20" t="s">
        <v>52</v>
      </c>
      <c r="MV7" s="20"/>
      <c r="MW7" s="20" t="s">
        <v>43</v>
      </c>
      <c r="MX7" s="20"/>
      <c r="MY7" s="20" t="s">
        <v>47</v>
      </c>
      <c r="MZ7" s="20"/>
      <c r="NA7" s="20" t="s">
        <v>48</v>
      </c>
      <c r="NB7" s="20"/>
      <c r="NC7" s="20" t="s">
        <v>49</v>
      </c>
      <c r="ND7" s="20"/>
      <c r="NE7" s="20" t="s">
        <v>50</v>
      </c>
      <c r="NF7" s="20"/>
      <c r="NG7" s="20" t="s">
        <v>51</v>
      </c>
      <c r="NH7" s="20"/>
      <c r="NI7" s="20" t="s">
        <v>52</v>
      </c>
      <c r="NJ7" s="20"/>
      <c r="NK7" s="20" t="s">
        <v>43</v>
      </c>
      <c r="NL7" s="20"/>
      <c r="NM7" s="20" t="s">
        <v>47</v>
      </c>
      <c r="NN7" s="20"/>
      <c r="NO7" s="20" t="s">
        <v>48</v>
      </c>
      <c r="NP7" s="20"/>
      <c r="NQ7" s="20" t="s">
        <v>49</v>
      </c>
      <c r="NR7" s="20"/>
      <c r="NS7" s="20" t="s">
        <v>50</v>
      </c>
      <c r="NT7" s="20"/>
      <c r="NU7" s="20" t="s">
        <v>51</v>
      </c>
      <c r="NV7" s="20"/>
      <c r="NW7" s="20" t="s">
        <v>52</v>
      </c>
      <c r="NX7" s="20"/>
      <c r="NY7" s="20" t="s">
        <v>43</v>
      </c>
      <c r="NZ7" s="20"/>
      <c r="OA7" s="20" t="s">
        <v>47</v>
      </c>
      <c r="OB7" s="20"/>
      <c r="OC7" s="20" t="s">
        <v>48</v>
      </c>
      <c r="OD7" s="20"/>
      <c r="OE7" s="20" t="s">
        <v>49</v>
      </c>
      <c r="OF7" s="20"/>
      <c r="OG7" s="20" t="s">
        <v>50</v>
      </c>
      <c r="OH7" s="20"/>
      <c r="OI7" s="20" t="s">
        <v>51</v>
      </c>
      <c r="OJ7" s="20"/>
      <c r="OK7" s="20" t="s">
        <v>52</v>
      </c>
      <c r="OL7" s="20"/>
      <c r="OM7" s="20" t="s">
        <v>43</v>
      </c>
      <c r="ON7" s="20"/>
      <c r="OO7" s="20" t="s">
        <v>47</v>
      </c>
      <c r="OP7" s="20"/>
      <c r="OQ7" s="20" t="s">
        <v>48</v>
      </c>
      <c r="OR7" s="20"/>
      <c r="OS7" s="20" t="s">
        <v>49</v>
      </c>
      <c r="OT7" s="20"/>
      <c r="OU7" s="20" t="s">
        <v>50</v>
      </c>
      <c r="OV7" s="20"/>
      <c r="OW7" s="20" t="s">
        <v>51</v>
      </c>
      <c r="OX7" s="20"/>
      <c r="OY7" s="20" t="s">
        <v>52</v>
      </c>
      <c r="OZ7" s="20"/>
      <c r="PA7" s="20" t="s">
        <v>43</v>
      </c>
      <c r="PB7" s="20"/>
      <c r="PC7" s="20" t="s">
        <v>47</v>
      </c>
      <c r="PD7" s="20"/>
      <c r="PE7" s="20" t="s">
        <v>48</v>
      </c>
      <c r="PF7" s="20"/>
      <c r="PG7" s="20" t="s">
        <v>49</v>
      </c>
      <c r="PH7" s="20"/>
      <c r="PI7" s="20" t="s">
        <v>50</v>
      </c>
      <c r="PJ7" s="20"/>
      <c r="PK7" s="20" t="s">
        <v>51</v>
      </c>
      <c r="PL7" s="20"/>
      <c r="PM7" s="20" t="s">
        <v>52</v>
      </c>
      <c r="PN7" s="20"/>
      <c r="PO7" s="20" t="s">
        <v>43</v>
      </c>
      <c r="PP7" s="20"/>
      <c r="PQ7" s="20" t="s">
        <v>47</v>
      </c>
      <c r="PR7" s="20"/>
      <c r="PS7" s="20" t="s">
        <v>48</v>
      </c>
      <c r="PT7" s="20"/>
      <c r="PU7" s="20" t="s">
        <v>49</v>
      </c>
      <c r="PV7" s="20"/>
      <c r="PW7" s="20" t="s">
        <v>50</v>
      </c>
      <c r="PX7" s="20"/>
      <c r="PY7" s="20" t="s">
        <v>51</v>
      </c>
      <c r="PZ7" s="20"/>
      <c r="QA7" s="20" t="s">
        <v>52</v>
      </c>
      <c r="QB7" s="20"/>
      <c r="QC7" s="20" t="s">
        <v>43</v>
      </c>
      <c r="QD7" s="20"/>
      <c r="QE7" s="20" t="s">
        <v>47</v>
      </c>
      <c r="QF7" s="20"/>
      <c r="QG7" s="20" t="s">
        <v>48</v>
      </c>
      <c r="QH7" s="20"/>
      <c r="QI7" s="20" t="s">
        <v>49</v>
      </c>
      <c r="QJ7" s="20"/>
      <c r="QK7" s="20" t="s">
        <v>50</v>
      </c>
      <c r="QL7" s="20"/>
      <c r="QM7" s="20" t="s">
        <v>51</v>
      </c>
      <c r="QN7" s="20"/>
      <c r="QO7" s="20" t="s">
        <v>52</v>
      </c>
      <c r="QP7" s="20"/>
      <c r="QQ7" s="20" t="s">
        <v>43</v>
      </c>
      <c r="QR7" s="20"/>
      <c r="QS7" s="20" t="s">
        <v>47</v>
      </c>
      <c r="QT7" s="20"/>
      <c r="QU7" s="20" t="s">
        <v>48</v>
      </c>
      <c r="QV7" s="20"/>
      <c r="QW7" s="20" t="s">
        <v>49</v>
      </c>
      <c r="QX7" s="20"/>
      <c r="QY7" s="20" t="s">
        <v>50</v>
      </c>
      <c r="QZ7" s="20"/>
      <c r="RA7" s="20" t="s">
        <v>51</v>
      </c>
      <c r="RB7" s="20"/>
      <c r="RC7" s="20" t="s">
        <v>52</v>
      </c>
      <c r="RD7" s="20"/>
      <c r="RE7" s="20" t="s">
        <v>43</v>
      </c>
      <c r="RF7" s="20"/>
      <c r="RG7" s="20" t="s">
        <v>47</v>
      </c>
      <c r="RH7" s="20"/>
      <c r="RI7" s="20" t="s">
        <v>48</v>
      </c>
      <c r="RJ7" s="20"/>
      <c r="RK7" s="20" t="s">
        <v>49</v>
      </c>
      <c r="RL7" s="20"/>
      <c r="RM7" s="20" t="s">
        <v>50</v>
      </c>
      <c r="RN7" s="20"/>
      <c r="RO7" s="20" t="s">
        <v>51</v>
      </c>
      <c r="RP7" s="20"/>
      <c r="RQ7" s="20" t="s">
        <v>52</v>
      </c>
      <c r="RR7" s="20"/>
      <c r="RS7" s="20" t="s">
        <v>43</v>
      </c>
      <c r="RT7" s="20"/>
      <c r="RU7" s="20" t="s">
        <v>47</v>
      </c>
      <c r="RV7" s="20"/>
      <c r="RW7" s="20" t="s">
        <v>48</v>
      </c>
      <c r="RX7" s="20"/>
      <c r="RY7" s="20" t="s">
        <v>49</v>
      </c>
      <c r="RZ7" s="20"/>
      <c r="SA7" s="20" t="s">
        <v>50</v>
      </c>
      <c r="SB7" s="20"/>
      <c r="SC7" s="20" t="s">
        <v>51</v>
      </c>
      <c r="SD7" s="20"/>
      <c r="SE7" s="20" t="s">
        <v>52</v>
      </c>
      <c r="SF7" s="20"/>
      <c r="SG7" s="20" t="s">
        <v>43</v>
      </c>
      <c r="SH7" s="20"/>
      <c r="SI7" s="20" t="s">
        <v>47</v>
      </c>
      <c r="SJ7" s="20"/>
      <c r="SK7" s="20" t="s">
        <v>48</v>
      </c>
      <c r="SL7" s="20"/>
      <c r="SM7" s="20" t="s">
        <v>49</v>
      </c>
      <c r="SN7" s="20"/>
      <c r="SO7" s="20" t="s">
        <v>50</v>
      </c>
      <c r="SP7" s="20"/>
      <c r="SQ7" s="20" t="s">
        <v>51</v>
      </c>
      <c r="SR7" s="20"/>
      <c r="SS7" s="20" t="s">
        <v>52</v>
      </c>
      <c r="ST7" s="20"/>
      <c r="SU7" s="20" t="s">
        <v>43</v>
      </c>
      <c r="SV7" s="20"/>
      <c r="SW7" s="20" t="s">
        <v>47</v>
      </c>
      <c r="SX7" s="20"/>
      <c r="SY7" s="20" t="s">
        <v>48</v>
      </c>
      <c r="SZ7" s="20"/>
      <c r="TA7" s="20" t="s">
        <v>49</v>
      </c>
      <c r="TB7" s="20"/>
      <c r="TC7" s="20" t="s">
        <v>50</v>
      </c>
      <c r="TD7" s="20"/>
      <c r="TE7" s="20" t="s">
        <v>51</v>
      </c>
      <c r="TF7" s="20"/>
      <c r="TG7" s="20" t="s">
        <v>52</v>
      </c>
      <c r="TH7" s="20"/>
      <c r="TI7" s="20" t="s">
        <v>43</v>
      </c>
      <c r="TJ7" s="20"/>
      <c r="TK7" s="20" t="s">
        <v>47</v>
      </c>
      <c r="TL7" s="20"/>
      <c r="TM7" s="20" t="s">
        <v>48</v>
      </c>
      <c r="TN7" s="20"/>
      <c r="TO7" s="20" t="s">
        <v>49</v>
      </c>
      <c r="TP7" s="20"/>
      <c r="TQ7" s="20" t="s">
        <v>50</v>
      </c>
      <c r="TR7" s="20"/>
      <c r="TS7" s="20" t="s">
        <v>51</v>
      </c>
      <c r="TT7" s="20"/>
      <c r="TU7" s="20" t="s">
        <v>52</v>
      </c>
      <c r="TV7" s="20"/>
      <c r="TW7" s="20" t="s">
        <v>43</v>
      </c>
      <c r="TX7" s="20"/>
      <c r="TY7" s="20" t="s">
        <v>47</v>
      </c>
      <c r="TZ7" s="20"/>
      <c r="UA7" s="20" t="s">
        <v>48</v>
      </c>
      <c r="UB7" s="20"/>
      <c r="UC7" s="20" t="s">
        <v>49</v>
      </c>
      <c r="UD7" s="20"/>
      <c r="UE7" s="20" t="s">
        <v>50</v>
      </c>
      <c r="UF7" s="20"/>
      <c r="UG7" s="20" t="s">
        <v>51</v>
      </c>
      <c r="UH7" s="20"/>
      <c r="UI7" s="20" t="s">
        <v>52</v>
      </c>
      <c r="UJ7" s="20"/>
      <c r="UK7" s="46"/>
      <c r="UL7" s="47"/>
      <c r="UM7" s="48"/>
      <c r="UN7" s="19"/>
      <c r="UO7" s="19"/>
      <c r="UP7" s="19" t="s">
        <v>54</v>
      </c>
      <c r="UQ7" s="19"/>
      <c r="UR7" s="19" t="s">
        <v>55</v>
      </c>
      <c r="US7" s="19"/>
      <c r="UT7" s="19" t="s">
        <v>56</v>
      </c>
      <c r="UU7" s="19"/>
      <c r="UV7" s="19"/>
      <c r="UW7" s="19"/>
      <c r="UX7" s="19"/>
      <c r="UY7" s="19"/>
      <c r="UZ7" s="19" t="s">
        <v>54</v>
      </c>
      <c r="VA7" s="19"/>
      <c r="VB7" s="19" t="s">
        <v>55</v>
      </c>
      <c r="VC7" s="19"/>
      <c r="VD7" s="19" t="s">
        <v>56</v>
      </c>
      <c r="VE7" s="19"/>
      <c r="VF7" s="19"/>
      <c r="VG7" s="19"/>
      <c r="VH7" s="19"/>
      <c r="VI7" s="19"/>
      <c r="VJ7" s="19" t="s">
        <v>54</v>
      </c>
      <c r="VK7" s="19"/>
      <c r="VL7" s="19" t="s">
        <v>55</v>
      </c>
      <c r="VM7" s="19"/>
      <c r="VN7" s="19" t="s">
        <v>56</v>
      </c>
      <c r="VO7" s="19"/>
      <c r="VP7" s="19"/>
      <c r="VQ7" s="19"/>
      <c r="VR7" s="19"/>
      <c r="VS7" s="19"/>
      <c r="VT7" s="19" t="s">
        <v>54</v>
      </c>
      <c r="VU7" s="19"/>
      <c r="VV7" s="19" t="s">
        <v>55</v>
      </c>
      <c r="VW7" s="19"/>
      <c r="VX7" s="19" t="s">
        <v>56</v>
      </c>
      <c r="VY7" s="19"/>
      <c r="VZ7" s="19"/>
      <c r="WA7" s="19"/>
      <c r="WB7" s="19"/>
      <c r="WC7" s="19"/>
      <c r="WD7" s="19" t="s">
        <v>54</v>
      </c>
      <c r="WE7" s="19"/>
      <c r="WF7" s="19" t="s">
        <v>55</v>
      </c>
      <c r="WG7" s="19"/>
      <c r="WH7" s="19" t="s">
        <v>56</v>
      </c>
      <c r="WI7" s="19"/>
      <c r="WJ7" s="19"/>
      <c r="WK7" s="19"/>
      <c r="WL7" s="19"/>
      <c r="WM7" s="19"/>
      <c r="WN7" s="19" t="s">
        <v>54</v>
      </c>
      <c r="WO7" s="19"/>
      <c r="WP7" s="19" t="s">
        <v>55</v>
      </c>
      <c r="WQ7" s="19"/>
      <c r="WR7" s="19" t="s">
        <v>56</v>
      </c>
      <c r="WS7" s="19"/>
      <c r="WT7" s="19"/>
      <c r="WU7" s="19"/>
      <c r="WV7" s="19"/>
      <c r="WW7" s="19"/>
      <c r="WX7" s="19" t="s">
        <v>54</v>
      </c>
      <c r="WY7" s="19"/>
      <c r="WZ7" s="19" t="s">
        <v>55</v>
      </c>
      <c r="XA7" s="19"/>
      <c r="XB7" s="19" t="s">
        <v>56</v>
      </c>
      <c r="XC7" s="19"/>
      <c r="XD7" s="19"/>
      <c r="XE7" s="19"/>
      <c r="XF7" s="19"/>
      <c r="XG7" s="19"/>
      <c r="XH7" s="19" t="s">
        <v>54</v>
      </c>
      <c r="XI7" s="19"/>
      <c r="XJ7" s="19" t="s">
        <v>55</v>
      </c>
      <c r="XK7" s="19"/>
      <c r="XL7" s="19" t="s">
        <v>56</v>
      </c>
      <c r="XM7" s="19"/>
      <c r="XN7" s="19"/>
      <c r="XO7" s="19"/>
      <c r="XP7" s="19"/>
      <c r="XQ7" s="19"/>
      <c r="XR7" s="19" t="s">
        <v>54</v>
      </c>
      <c r="XS7" s="19"/>
      <c r="XT7" s="19" t="s">
        <v>55</v>
      </c>
      <c r="XU7" s="19"/>
      <c r="XV7" s="19" t="s">
        <v>56</v>
      </c>
      <c r="XW7" s="19"/>
      <c r="XX7" s="19"/>
      <c r="XY7" s="19"/>
      <c r="XZ7" s="19"/>
      <c r="YA7" s="19"/>
      <c r="YB7" s="19" t="s">
        <v>54</v>
      </c>
      <c r="YC7" s="19"/>
      <c r="YD7" s="19" t="s">
        <v>55</v>
      </c>
      <c r="YE7" s="19"/>
      <c r="YF7" s="19" t="s">
        <v>56</v>
      </c>
      <c r="YG7" s="19"/>
      <c r="YH7" s="19"/>
      <c r="YI7" s="19"/>
      <c r="YJ7" s="19"/>
      <c r="YK7" s="19"/>
      <c r="YL7" s="19" t="s">
        <v>54</v>
      </c>
      <c r="YM7" s="19"/>
      <c r="YN7" s="19" t="s">
        <v>55</v>
      </c>
      <c r="YO7" s="19"/>
      <c r="YP7" s="19" t="s">
        <v>56</v>
      </c>
      <c r="YQ7" s="19"/>
      <c r="YR7" s="19"/>
      <c r="YS7" s="19"/>
      <c r="YT7" s="19"/>
      <c r="YU7" s="19"/>
      <c r="YV7" s="19" t="s">
        <v>54</v>
      </c>
      <c r="YW7" s="19"/>
      <c r="YX7" s="19" t="s">
        <v>55</v>
      </c>
      <c r="YY7" s="19"/>
      <c r="YZ7" s="19" t="s">
        <v>56</v>
      </c>
      <c r="ZA7" s="19"/>
      <c r="ZB7" s="19"/>
      <c r="ZC7" s="19"/>
      <c r="ZD7" s="19"/>
      <c r="ZE7" s="19"/>
      <c r="ZF7" s="19" t="s">
        <v>54</v>
      </c>
      <c r="ZG7" s="19"/>
      <c r="ZH7" s="19" t="s">
        <v>55</v>
      </c>
      <c r="ZI7" s="19"/>
      <c r="ZJ7" s="19" t="s">
        <v>56</v>
      </c>
      <c r="ZK7" s="19"/>
      <c r="ZL7" s="19"/>
      <c r="ZM7" s="19"/>
      <c r="ZN7" s="19"/>
      <c r="ZO7" s="19"/>
      <c r="ZP7" s="19" t="s">
        <v>54</v>
      </c>
      <c r="ZQ7" s="19"/>
      <c r="ZR7" s="19" t="s">
        <v>55</v>
      </c>
      <c r="ZS7" s="19"/>
      <c r="ZT7" s="19" t="s">
        <v>56</v>
      </c>
      <c r="ZU7" s="19"/>
      <c r="ZV7" s="19"/>
      <c r="ZW7" s="19"/>
      <c r="ZX7" s="19"/>
      <c r="ZY7" s="19"/>
      <c r="ZZ7" s="19" t="s">
        <v>54</v>
      </c>
      <c r="AAA7" s="19"/>
      <c r="AAB7" s="19" t="s">
        <v>55</v>
      </c>
      <c r="AAC7" s="19"/>
      <c r="AAD7" s="19" t="s">
        <v>56</v>
      </c>
      <c r="AAE7" s="19"/>
      <c r="AAF7" s="19"/>
      <c r="AAG7" s="19"/>
      <c r="AAH7" s="19"/>
      <c r="AAI7" s="19"/>
      <c r="AAJ7" s="19" t="s">
        <v>54</v>
      </c>
      <c r="AAK7" s="19"/>
      <c r="AAL7" s="19" t="s">
        <v>55</v>
      </c>
      <c r="AAM7" s="19"/>
      <c r="AAN7" s="19" t="s">
        <v>56</v>
      </c>
      <c r="AAO7" s="19"/>
      <c r="AAP7" s="19"/>
      <c r="AAQ7" s="19"/>
      <c r="AAR7" s="19"/>
      <c r="AAS7" s="19"/>
      <c r="AAT7" s="19" t="s">
        <v>54</v>
      </c>
      <c r="AAU7" s="19"/>
      <c r="AAV7" s="19" t="s">
        <v>55</v>
      </c>
      <c r="AAW7" s="19"/>
      <c r="AAX7" s="19" t="s">
        <v>56</v>
      </c>
      <c r="AAY7" s="19"/>
      <c r="AAZ7" s="19"/>
      <c r="ABA7" s="19"/>
      <c r="ABB7" s="19"/>
      <c r="ABC7" s="19"/>
      <c r="ABD7" s="19" t="s">
        <v>54</v>
      </c>
      <c r="ABE7" s="19"/>
      <c r="ABF7" s="19" t="s">
        <v>55</v>
      </c>
      <c r="ABG7" s="19"/>
      <c r="ABH7" s="19" t="s">
        <v>56</v>
      </c>
      <c r="ABI7" s="19"/>
      <c r="ABJ7" s="19"/>
      <c r="ABK7" s="19"/>
      <c r="ABL7" s="19"/>
      <c r="ABM7" s="19"/>
      <c r="ABN7" s="19" t="s">
        <v>54</v>
      </c>
      <c r="ABO7" s="19"/>
      <c r="ABP7" s="19" t="s">
        <v>55</v>
      </c>
      <c r="ABQ7" s="19"/>
      <c r="ABR7" s="19" t="s">
        <v>56</v>
      </c>
      <c r="ABS7" s="19"/>
      <c r="ABT7" s="19"/>
      <c r="ABU7" s="19"/>
      <c r="ABV7" s="19"/>
      <c r="ABW7" s="19"/>
      <c r="ABX7" s="19"/>
      <c r="ABY7" s="19"/>
      <c r="ABZ7" s="19"/>
      <c r="ACA7" s="19"/>
      <c r="ACB7" s="29"/>
      <c r="ACC7" s="29"/>
      <c r="ACD7" s="29"/>
      <c r="ACE7" s="29"/>
      <c r="ACF7" s="28"/>
      <c r="ACG7" s="28"/>
      <c r="ACH7" s="28"/>
      <c r="ACI7" s="28"/>
    </row>
    <row r="8" spans="1:763" x14ac:dyDescent="0.25">
      <c r="E8" s="6" t="s">
        <v>57</v>
      </c>
      <c r="F8" s="6" t="s">
        <v>58</v>
      </c>
      <c r="G8" s="6" t="s">
        <v>57</v>
      </c>
      <c r="H8" s="6" t="s">
        <v>58</v>
      </c>
      <c r="I8" s="6" t="s">
        <v>57</v>
      </c>
      <c r="J8" s="6" t="s">
        <v>58</v>
      </c>
      <c r="K8" s="6" t="s">
        <v>57</v>
      </c>
      <c r="L8" s="6" t="s">
        <v>58</v>
      </c>
      <c r="M8" s="6" t="s">
        <v>57</v>
      </c>
      <c r="N8" s="6" t="s">
        <v>58</v>
      </c>
      <c r="O8" s="6" t="s">
        <v>57</v>
      </c>
      <c r="P8" s="6" t="s">
        <v>58</v>
      </c>
      <c r="Q8" s="6" t="s">
        <v>57</v>
      </c>
      <c r="R8" s="6" t="s">
        <v>58</v>
      </c>
      <c r="S8" s="6" t="s">
        <v>57</v>
      </c>
      <c r="T8" s="6" t="s">
        <v>58</v>
      </c>
      <c r="U8" s="6" t="s">
        <v>53</v>
      </c>
      <c r="V8" s="3" t="s">
        <v>57</v>
      </c>
      <c r="W8" s="3" t="s">
        <v>58</v>
      </c>
      <c r="X8" s="3" t="s">
        <v>57</v>
      </c>
      <c r="Y8" s="3" t="s">
        <v>58</v>
      </c>
      <c r="Z8" s="3" t="s">
        <v>57</v>
      </c>
      <c r="AA8" s="3" t="s">
        <v>58</v>
      </c>
      <c r="AB8" s="3" t="s">
        <v>57</v>
      </c>
      <c r="AC8" s="3" t="s">
        <v>58</v>
      </c>
      <c r="AD8" s="3" t="s">
        <v>57</v>
      </c>
      <c r="AE8" s="3" t="s">
        <v>58</v>
      </c>
      <c r="AF8" s="3" t="s">
        <v>57</v>
      </c>
      <c r="AG8" s="3" t="s">
        <v>58</v>
      </c>
      <c r="AH8" s="3" t="s">
        <v>57</v>
      </c>
      <c r="AI8" s="3" t="s">
        <v>58</v>
      </c>
      <c r="AJ8" s="3" t="s">
        <v>57</v>
      </c>
      <c r="AK8" s="3" t="s">
        <v>58</v>
      </c>
      <c r="AL8" s="3" t="s">
        <v>57</v>
      </c>
      <c r="AM8" s="3" t="s">
        <v>58</v>
      </c>
      <c r="AN8" s="3" t="s">
        <v>57</v>
      </c>
      <c r="AO8" s="3" t="s">
        <v>58</v>
      </c>
      <c r="AP8" s="3" t="s">
        <v>57</v>
      </c>
      <c r="AQ8" s="3" t="s">
        <v>58</v>
      </c>
      <c r="AR8" s="3" t="s">
        <v>57</v>
      </c>
      <c r="AS8" s="3" t="s">
        <v>58</v>
      </c>
      <c r="AT8" s="3" t="s">
        <v>57</v>
      </c>
      <c r="AU8" s="3" t="s">
        <v>58</v>
      </c>
      <c r="AV8" s="3" t="s">
        <v>57</v>
      </c>
      <c r="AW8" s="3" t="s">
        <v>58</v>
      </c>
      <c r="AX8" s="3" t="s">
        <v>57</v>
      </c>
      <c r="AY8" s="3" t="s">
        <v>58</v>
      </c>
      <c r="AZ8" s="3" t="s">
        <v>57</v>
      </c>
      <c r="BA8" s="3" t="s">
        <v>58</v>
      </c>
      <c r="BB8" s="3" t="s">
        <v>57</v>
      </c>
      <c r="BC8" s="3" t="s">
        <v>58</v>
      </c>
      <c r="BD8" s="3" t="s">
        <v>57</v>
      </c>
      <c r="BE8" s="3" t="s">
        <v>58</v>
      </c>
      <c r="BF8" s="3" t="s">
        <v>57</v>
      </c>
      <c r="BG8" s="3" t="s">
        <v>58</v>
      </c>
      <c r="BH8" s="3" t="s">
        <v>57</v>
      </c>
      <c r="BI8" s="3" t="s">
        <v>58</v>
      </c>
      <c r="BJ8" s="3" t="s">
        <v>57</v>
      </c>
      <c r="BK8" s="3" t="s">
        <v>58</v>
      </c>
      <c r="BL8" s="3" t="s">
        <v>57</v>
      </c>
      <c r="BM8" s="3" t="s">
        <v>58</v>
      </c>
      <c r="BN8" s="3" t="s">
        <v>57</v>
      </c>
      <c r="BO8" s="3" t="s">
        <v>58</v>
      </c>
      <c r="BP8" s="3" t="s">
        <v>57</v>
      </c>
      <c r="BQ8" s="3" t="s">
        <v>58</v>
      </c>
      <c r="BR8" s="3" t="s">
        <v>57</v>
      </c>
      <c r="BS8" s="3" t="s">
        <v>58</v>
      </c>
      <c r="BT8" s="3" t="s">
        <v>57</v>
      </c>
      <c r="BU8" s="3" t="s">
        <v>58</v>
      </c>
      <c r="BV8" s="3" t="s">
        <v>57</v>
      </c>
      <c r="BW8" s="3" t="s">
        <v>58</v>
      </c>
      <c r="BX8" s="3" t="s">
        <v>57</v>
      </c>
      <c r="BY8" s="3" t="s">
        <v>58</v>
      </c>
      <c r="BZ8" s="3" t="s">
        <v>57</v>
      </c>
      <c r="CA8" s="3" t="s">
        <v>58</v>
      </c>
      <c r="CB8" s="3" t="s">
        <v>57</v>
      </c>
      <c r="CC8" s="3" t="s">
        <v>58</v>
      </c>
      <c r="CD8" s="3" t="s">
        <v>57</v>
      </c>
      <c r="CE8" s="3" t="s">
        <v>58</v>
      </c>
      <c r="CF8" s="3" t="s">
        <v>57</v>
      </c>
      <c r="CG8" s="3" t="s">
        <v>58</v>
      </c>
      <c r="CH8" s="3" t="s">
        <v>57</v>
      </c>
      <c r="CI8" s="3" t="s">
        <v>58</v>
      </c>
      <c r="CJ8" s="3" t="s">
        <v>57</v>
      </c>
      <c r="CK8" s="3" t="s">
        <v>58</v>
      </c>
      <c r="CL8" s="3" t="s">
        <v>57</v>
      </c>
      <c r="CM8" s="3" t="s">
        <v>58</v>
      </c>
      <c r="CN8" s="3" t="s">
        <v>57</v>
      </c>
      <c r="CO8" s="3" t="s">
        <v>58</v>
      </c>
      <c r="CP8" s="3" t="s">
        <v>57</v>
      </c>
      <c r="CQ8" s="3" t="s">
        <v>58</v>
      </c>
      <c r="CR8" s="3" t="s">
        <v>57</v>
      </c>
      <c r="CS8" s="3" t="s">
        <v>58</v>
      </c>
      <c r="CT8" s="3" t="s">
        <v>57</v>
      </c>
      <c r="CU8" s="3" t="s">
        <v>58</v>
      </c>
      <c r="CV8" s="3" t="s">
        <v>57</v>
      </c>
      <c r="CW8" s="3" t="s">
        <v>58</v>
      </c>
      <c r="CX8" s="3" t="s">
        <v>57</v>
      </c>
      <c r="CY8" s="3" t="s">
        <v>58</v>
      </c>
      <c r="CZ8" s="3" t="s">
        <v>57</v>
      </c>
      <c r="DA8" s="3" t="s">
        <v>58</v>
      </c>
      <c r="DB8" s="3" t="s">
        <v>57</v>
      </c>
      <c r="DC8" s="3" t="s">
        <v>58</v>
      </c>
      <c r="DD8" s="3" t="s">
        <v>57</v>
      </c>
      <c r="DE8" s="3" t="s">
        <v>58</v>
      </c>
      <c r="DF8" s="3" t="s">
        <v>57</v>
      </c>
      <c r="DG8" s="3" t="s">
        <v>58</v>
      </c>
      <c r="DH8" s="3" t="s">
        <v>57</v>
      </c>
      <c r="DI8" s="3" t="s">
        <v>58</v>
      </c>
      <c r="DJ8" s="3" t="s">
        <v>57</v>
      </c>
      <c r="DK8" s="3" t="s">
        <v>58</v>
      </c>
      <c r="DL8" s="3" t="s">
        <v>57</v>
      </c>
      <c r="DM8" s="3" t="s">
        <v>58</v>
      </c>
      <c r="DN8" s="3" t="s">
        <v>57</v>
      </c>
      <c r="DO8" s="3" t="s">
        <v>58</v>
      </c>
      <c r="DP8" s="3" t="s">
        <v>57</v>
      </c>
      <c r="DQ8" s="3" t="s">
        <v>58</v>
      </c>
      <c r="DR8" s="3" t="s">
        <v>57</v>
      </c>
      <c r="DS8" s="3" t="s">
        <v>58</v>
      </c>
      <c r="DT8" s="3" t="s">
        <v>57</v>
      </c>
      <c r="DU8" s="3" t="s">
        <v>58</v>
      </c>
      <c r="DV8" s="3" t="s">
        <v>57</v>
      </c>
      <c r="DW8" s="3" t="s">
        <v>58</v>
      </c>
      <c r="DX8" s="3" t="s">
        <v>57</v>
      </c>
      <c r="DY8" s="3" t="s">
        <v>58</v>
      </c>
      <c r="DZ8" s="3" t="s">
        <v>57</v>
      </c>
      <c r="EA8" s="3" t="s">
        <v>58</v>
      </c>
      <c r="EB8" s="3" t="s">
        <v>57</v>
      </c>
      <c r="EC8" s="3" t="s">
        <v>58</v>
      </c>
      <c r="ED8" s="3" t="s">
        <v>57</v>
      </c>
      <c r="EE8" s="3" t="s">
        <v>58</v>
      </c>
      <c r="EF8" s="3" t="s">
        <v>57</v>
      </c>
      <c r="EG8" s="3" t="s">
        <v>58</v>
      </c>
      <c r="EH8" s="3" t="s">
        <v>57</v>
      </c>
      <c r="EI8" s="3" t="s">
        <v>58</v>
      </c>
      <c r="EJ8" s="3" t="s">
        <v>57</v>
      </c>
      <c r="EK8" s="3" t="s">
        <v>58</v>
      </c>
      <c r="EL8" s="3" t="s">
        <v>57</v>
      </c>
      <c r="EM8" s="3" t="s">
        <v>58</v>
      </c>
      <c r="EN8" s="3" t="s">
        <v>57</v>
      </c>
      <c r="EO8" s="3" t="s">
        <v>58</v>
      </c>
      <c r="EP8" s="3" t="s">
        <v>57</v>
      </c>
      <c r="EQ8" s="3" t="s">
        <v>58</v>
      </c>
      <c r="ER8" s="3" t="s">
        <v>57</v>
      </c>
      <c r="ES8" s="3" t="s">
        <v>58</v>
      </c>
      <c r="ET8" s="3" t="s">
        <v>57</v>
      </c>
      <c r="EU8" s="3" t="s">
        <v>58</v>
      </c>
      <c r="EV8" s="3" t="s">
        <v>57</v>
      </c>
      <c r="EW8" s="3" t="s">
        <v>58</v>
      </c>
      <c r="EX8" s="3" t="s">
        <v>57</v>
      </c>
      <c r="EY8" s="3" t="s">
        <v>58</v>
      </c>
      <c r="EZ8" s="3" t="s">
        <v>57</v>
      </c>
      <c r="FA8" s="3" t="s">
        <v>58</v>
      </c>
      <c r="FB8" s="3" t="s">
        <v>57</v>
      </c>
      <c r="FC8" s="3" t="s">
        <v>58</v>
      </c>
      <c r="FD8" s="3" t="s">
        <v>57</v>
      </c>
      <c r="FE8" s="3" t="s">
        <v>58</v>
      </c>
      <c r="FF8" s="3" t="s">
        <v>57</v>
      </c>
      <c r="FG8" s="3" t="s">
        <v>58</v>
      </c>
      <c r="FH8" s="3" t="s">
        <v>57</v>
      </c>
      <c r="FI8" s="3" t="s">
        <v>58</v>
      </c>
      <c r="FJ8" s="3" t="s">
        <v>57</v>
      </c>
      <c r="FK8" s="3" t="s">
        <v>58</v>
      </c>
      <c r="FL8" s="3" t="s">
        <v>57</v>
      </c>
      <c r="FM8" s="3" t="s">
        <v>58</v>
      </c>
      <c r="FN8" s="3" t="s">
        <v>57</v>
      </c>
      <c r="FO8" s="3" t="s">
        <v>58</v>
      </c>
      <c r="FP8" s="3" t="s">
        <v>57</v>
      </c>
      <c r="FQ8" s="3" t="s">
        <v>58</v>
      </c>
      <c r="FR8" s="3" t="s">
        <v>57</v>
      </c>
      <c r="FS8" s="3" t="s">
        <v>58</v>
      </c>
      <c r="FT8" s="3" t="s">
        <v>57</v>
      </c>
      <c r="FU8" s="3" t="s">
        <v>58</v>
      </c>
      <c r="FV8" s="3" t="s">
        <v>57</v>
      </c>
      <c r="FW8" s="3" t="s">
        <v>58</v>
      </c>
      <c r="FX8" s="3" t="s">
        <v>57</v>
      </c>
      <c r="FY8" s="3" t="s">
        <v>58</v>
      </c>
      <c r="FZ8" s="3" t="s">
        <v>57</v>
      </c>
      <c r="GA8" s="3" t="s">
        <v>58</v>
      </c>
      <c r="GB8" s="3" t="s">
        <v>57</v>
      </c>
      <c r="GC8" s="3" t="s">
        <v>58</v>
      </c>
      <c r="GD8" s="3" t="s">
        <v>57</v>
      </c>
      <c r="GE8" s="3" t="s">
        <v>58</v>
      </c>
      <c r="GF8" s="3" t="s">
        <v>57</v>
      </c>
      <c r="GG8" s="3" t="s">
        <v>58</v>
      </c>
      <c r="GH8" s="3" t="s">
        <v>57</v>
      </c>
      <c r="GI8" s="3" t="s">
        <v>58</v>
      </c>
      <c r="GJ8" s="3" t="s">
        <v>57</v>
      </c>
      <c r="GK8" s="3" t="s">
        <v>58</v>
      </c>
      <c r="GL8" s="3" t="s">
        <v>57</v>
      </c>
      <c r="GM8" s="3" t="s">
        <v>58</v>
      </c>
      <c r="GN8" s="3" t="s">
        <v>57</v>
      </c>
      <c r="GO8" s="3" t="s">
        <v>58</v>
      </c>
      <c r="GP8" s="3" t="s">
        <v>57</v>
      </c>
      <c r="GQ8" s="3" t="s">
        <v>58</v>
      </c>
      <c r="GR8" s="3" t="s">
        <v>57</v>
      </c>
      <c r="GS8" s="3" t="s">
        <v>58</v>
      </c>
      <c r="GT8" s="3" t="s">
        <v>57</v>
      </c>
      <c r="GU8" s="3" t="s">
        <v>58</v>
      </c>
      <c r="GV8" s="3" t="s">
        <v>57</v>
      </c>
      <c r="GW8" s="3" t="s">
        <v>58</v>
      </c>
      <c r="GX8" s="3" t="s">
        <v>57</v>
      </c>
      <c r="GY8" s="3" t="s">
        <v>58</v>
      </c>
      <c r="GZ8" s="3" t="s">
        <v>57</v>
      </c>
      <c r="HA8" s="3" t="s">
        <v>58</v>
      </c>
      <c r="HB8" s="3" t="s">
        <v>57</v>
      </c>
      <c r="HC8" s="3" t="s">
        <v>58</v>
      </c>
      <c r="HD8" s="3" t="s">
        <v>57</v>
      </c>
      <c r="HE8" s="3" t="s">
        <v>58</v>
      </c>
      <c r="HF8" s="3" t="s">
        <v>57</v>
      </c>
      <c r="HG8" s="3" t="s">
        <v>58</v>
      </c>
      <c r="HH8" s="3" t="s">
        <v>57</v>
      </c>
      <c r="HI8" s="3" t="s">
        <v>58</v>
      </c>
      <c r="HJ8" s="3" t="s">
        <v>57</v>
      </c>
      <c r="HK8" s="3" t="s">
        <v>58</v>
      </c>
      <c r="HL8" s="3" t="s">
        <v>57</v>
      </c>
      <c r="HM8" s="3" t="s">
        <v>58</v>
      </c>
      <c r="HN8" s="3" t="s">
        <v>57</v>
      </c>
      <c r="HO8" s="3" t="s">
        <v>58</v>
      </c>
      <c r="HP8" s="3" t="s">
        <v>57</v>
      </c>
      <c r="HQ8" s="3" t="s">
        <v>58</v>
      </c>
      <c r="HR8" s="3" t="s">
        <v>57</v>
      </c>
      <c r="HS8" s="3" t="s">
        <v>58</v>
      </c>
      <c r="HT8" s="3" t="s">
        <v>57</v>
      </c>
      <c r="HU8" s="3" t="s">
        <v>58</v>
      </c>
      <c r="HV8" s="3" t="s">
        <v>57</v>
      </c>
      <c r="HW8" s="3" t="s">
        <v>58</v>
      </c>
      <c r="HX8" s="3" t="s">
        <v>57</v>
      </c>
      <c r="HY8" s="3" t="s">
        <v>58</v>
      </c>
      <c r="HZ8" s="3" t="s">
        <v>57</v>
      </c>
      <c r="IA8" s="3" t="s">
        <v>58</v>
      </c>
      <c r="IB8" s="3" t="s">
        <v>57</v>
      </c>
      <c r="IC8" s="3" t="s">
        <v>58</v>
      </c>
      <c r="ID8" s="3" t="s">
        <v>57</v>
      </c>
      <c r="IE8" s="3" t="s">
        <v>58</v>
      </c>
      <c r="IF8" s="3" t="s">
        <v>57</v>
      </c>
      <c r="IG8" s="3" t="s">
        <v>58</v>
      </c>
      <c r="IH8" s="3" t="s">
        <v>57</v>
      </c>
      <c r="II8" s="3" t="s">
        <v>58</v>
      </c>
      <c r="IJ8" s="3" t="s">
        <v>57</v>
      </c>
      <c r="IK8" s="3" t="s">
        <v>58</v>
      </c>
      <c r="IL8" s="3" t="s">
        <v>57</v>
      </c>
      <c r="IM8" s="3" t="s">
        <v>58</v>
      </c>
      <c r="IN8" s="3" t="s">
        <v>57</v>
      </c>
      <c r="IO8" s="3" t="s">
        <v>58</v>
      </c>
      <c r="IP8" s="3" t="s">
        <v>57</v>
      </c>
      <c r="IQ8" s="3" t="s">
        <v>58</v>
      </c>
      <c r="IR8" s="3" t="s">
        <v>57</v>
      </c>
      <c r="IS8" s="3" t="s">
        <v>58</v>
      </c>
      <c r="IT8" s="3" t="s">
        <v>57</v>
      </c>
      <c r="IU8" s="3" t="s">
        <v>58</v>
      </c>
      <c r="IV8" s="3" t="s">
        <v>57</v>
      </c>
      <c r="IW8" s="3" t="s">
        <v>58</v>
      </c>
      <c r="IX8" s="3" t="s">
        <v>57</v>
      </c>
      <c r="IY8" s="3" t="s">
        <v>58</v>
      </c>
      <c r="IZ8" s="3" t="s">
        <v>57</v>
      </c>
      <c r="JA8" s="3" t="s">
        <v>58</v>
      </c>
      <c r="JB8" s="3" t="s">
        <v>57</v>
      </c>
      <c r="JC8" s="3" t="s">
        <v>58</v>
      </c>
      <c r="JD8" s="3" t="s">
        <v>57</v>
      </c>
      <c r="JE8" s="3" t="s">
        <v>58</v>
      </c>
      <c r="JF8" s="3" t="s">
        <v>57</v>
      </c>
      <c r="JG8" s="3" t="s">
        <v>58</v>
      </c>
      <c r="JH8" s="3" t="s">
        <v>57</v>
      </c>
      <c r="JI8" s="3" t="s">
        <v>58</v>
      </c>
      <c r="JJ8" s="3" t="s">
        <v>57</v>
      </c>
      <c r="JK8" s="3" t="s">
        <v>58</v>
      </c>
      <c r="JL8" s="3" t="s">
        <v>57</v>
      </c>
      <c r="JM8" s="3" t="s">
        <v>58</v>
      </c>
      <c r="JN8" s="3" t="s">
        <v>57</v>
      </c>
      <c r="JO8" s="3" t="s">
        <v>58</v>
      </c>
      <c r="JP8" s="3" t="s">
        <v>57</v>
      </c>
      <c r="JQ8" s="3" t="s">
        <v>58</v>
      </c>
      <c r="JR8" s="3" t="s">
        <v>57</v>
      </c>
      <c r="JS8" s="3" t="s">
        <v>58</v>
      </c>
      <c r="JT8" s="3" t="s">
        <v>57</v>
      </c>
      <c r="JU8" s="3" t="s">
        <v>58</v>
      </c>
      <c r="JV8" s="3" t="s">
        <v>57</v>
      </c>
      <c r="JW8" s="3" t="s">
        <v>58</v>
      </c>
      <c r="JX8" s="3" t="s">
        <v>57</v>
      </c>
      <c r="JY8" s="3" t="s">
        <v>58</v>
      </c>
      <c r="JZ8" s="3" t="s">
        <v>57</v>
      </c>
      <c r="KA8" s="3" t="s">
        <v>58</v>
      </c>
      <c r="KB8" s="3" t="s">
        <v>57</v>
      </c>
      <c r="KC8" s="3" t="s">
        <v>58</v>
      </c>
      <c r="KD8" s="3" t="s">
        <v>53</v>
      </c>
      <c r="KE8" s="4" t="s">
        <v>57</v>
      </c>
      <c r="KF8" s="4" t="s">
        <v>58</v>
      </c>
      <c r="KG8" s="4" t="s">
        <v>57</v>
      </c>
      <c r="KH8" s="4" t="s">
        <v>58</v>
      </c>
      <c r="KI8" s="4" t="s">
        <v>57</v>
      </c>
      <c r="KJ8" s="4" t="s">
        <v>58</v>
      </c>
      <c r="KK8" s="4" t="s">
        <v>57</v>
      </c>
      <c r="KL8" s="4" t="s">
        <v>58</v>
      </c>
      <c r="KM8" s="4" t="s">
        <v>57</v>
      </c>
      <c r="KN8" s="4" t="s">
        <v>58</v>
      </c>
      <c r="KO8" s="4" t="s">
        <v>57</v>
      </c>
      <c r="KP8" s="4" t="s">
        <v>58</v>
      </c>
      <c r="KQ8" s="4" t="s">
        <v>57</v>
      </c>
      <c r="KR8" s="4" t="s">
        <v>58</v>
      </c>
      <c r="KS8" s="4" t="s">
        <v>57</v>
      </c>
      <c r="KT8" s="4" t="s">
        <v>58</v>
      </c>
      <c r="KU8" s="4" t="s">
        <v>57</v>
      </c>
      <c r="KV8" s="4" t="s">
        <v>58</v>
      </c>
      <c r="KW8" s="4" t="s">
        <v>57</v>
      </c>
      <c r="KX8" s="4" t="s">
        <v>58</v>
      </c>
      <c r="KY8" s="4" t="s">
        <v>57</v>
      </c>
      <c r="KZ8" s="4" t="s">
        <v>58</v>
      </c>
      <c r="LA8" s="4" t="s">
        <v>57</v>
      </c>
      <c r="LB8" s="4" t="s">
        <v>58</v>
      </c>
      <c r="LC8" s="4" t="s">
        <v>57</v>
      </c>
      <c r="LD8" s="4" t="s">
        <v>58</v>
      </c>
      <c r="LE8" s="4" t="s">
        <v>57</v>
      </c>
      <c r="LF8" s="4" t="s">
        <v>58</v>
      </c>
      <c r="LG8" s="4" t="s">
        <v>57</v>
      </c>
      <c r="LH8" s="4" t="s">
        <v>58</v>
      </c>
      <c r="LI8" s="4" t="s">
        <v>57</v>
      </c>
      <c r="LJ8" s="4" t="s">
        <v>58</v>
      </c>
      <c r="LK8" s="4" t="s">
        <v>57</v>
      </c>
      <c r="LL8" s="4" t="s">
        <v>58</v>
      </c>
      <c r="LM8" s="4" t="s">
        <v>57</v>
      </c>
      <c r="LN8" s="4" t="s">
        <v>58</v>
      </c>
      <c r="LO8" s="4" t="s">
        <v>57</v>
      </c>
      <c r="LP8" s="4" t="s">
        <v>58</v>
      </c>
      <c r="LQ8" s="4" t="s">
        <v>57</v>
      </c>
      <c r="LR8" s="4" t="s">
        <v>58</v>
      </c>
      <c r="LS8" s="4" t="s">
        <v>57</v>
      </c>
      <c r="LT8" s="4" t="s">
        <v>58</v>
      </c>
      <c r="LU8" s="4" t="s">
        <v>57</v>
      </c>
      <c r="LV8" s="4" t="s">
        <v>58</v>
      </c>
      <c r="LW8" s="4" t="s">
        <v>57</v>
      </c>
      <c r="LX8" s="4" t="s">
        <v>58</v>
      </c>
      <c r="LY8" s="4" t="s">
        <v>57</v>
      </c>
      <c r="LZ8" s="4" t="s">
        <v>58</v>
      </c>
      <c r="MA8" s="4" t="s">
        <v>57</v>
      </c>
      <c r="MB8" s="4" t="s">
        <v>58</v>
      </c>
      <c r="MC8" s="4" t="s">
        <v>57</v>
      </c>
      <c r="MD8" s="4" t="s">
        <v>58</v>
      </c>
      <c r="ME8" s="4" t="s">
        <v>57</v>
      </c>
      <c r="MF8" s="4" t="s">
        <v>58</v>
      </c>
      <c r="MG8" s="4" t="s">
        <v>57</v>
      </c>
      <c r="MH8" s="4" t="s">
        <v>58</v>
      </c>
      <c r="MI8" s="4" t="s">
        <v>57</v>
      </c>
      <c r="MJ8" s="4" t="s">
        <v>58</v>
      </c>
      <c r="MK8" s="4" t="s">
        <v>57</v>
      </c>
      <c r="ML8" s="4" t="s">
        <v>58</v>
      </c>
      <c r="MM8" s="4" t="s">
        <v>57</v>
      </c>
      <c r="MN8" s="4" t="s">
        <v>58</v>
      </c>
      <c r="MO8" s="4" t="s">
        <v>57</v>
      </c>
      <c r="MP8" s="4" t="s">
        <v>58</v>
      </c>
      <c r="MQ8" s="4" t="s">
        <v>57</v>
      </c>
      <c r="MR8" s="4" t="s">
        <v>58</v>
      </c>
      <c r="MS8" s="4" t="s">
        <v>57</v>
      </c>
      <c r="MT8" s="4" t="s">
        <v>58</v>
      </c>
      <c r="MU8" s="4" t="s">
        <v>57</v>
      </c>
      <c r="MV8" s="4" t="s">
        <v>58</v>
      </c>
      <c r="MW8" s="4" t="s">
        <v>57</v>
      </c>
      <c r="MX8" s="4" t="s">
        <v>58</v>
      </c>
      <c r="MY8" s="4" t="s">
        <v>57</v>
      </c>
      <c r="MZ8" s="4" t="s">
        <v>58</v>
      </c>
      <c r="NA8" s="4" t="s">
        <v>57</v>
      </c>
      <c r="NB8" s="4" t="s">
        <v>58</v>
      </c>
      <c r="NC8" s="4" t="s">
        <v>57</v>
      </c>
      <c r="ND8" s="4" t="s">
        <v>58</v>
      </c>
      <c r="NE8" s="4" t="s">
        <v>57</v>
      </c>
      <c r="NF8" s="4" t="s">
        <v>58</v>
      </c>
      <c r="NG8" s="4" t="s">
        <v>57</v>
      </c>
      <c r="NH8" s="4" t="s">
        <v>58</v>
      </c>
      <c r="NI8" s="4" t="s">
        <v>57</v>
      </c>
      <c r="NJ8" s="4" t="s">
        <v>58</v>
      </c>
      <c r="NK8" s="4" t="s">
        <v>57</v>
      </c>
      <c r="NL8" s="4" t="s">
        <v>58</v>
      </c>
      <c r="NM8" s="4" t="s">
        <v>57</v>
      </c>
      <c r="NN8" s="4" t="s">
        <v>58</v>
      </c>
      <c r="NO8" s="4" t="s">
        <v>57</v>
      </c>
      <c r="NP8" s="4" t="s">
        <v>58</v>
      </c>
      <c r="NQ8" s="4" t="s">
        <v>57</v>
      </c>
      <c r="NR8" s="4" t="s">
        <v>58</v>
      </c>
      <c r="NS8" s="4" t="s">
        <v>57</v>
      </c>
      <c r="NT8" s="4" t="s">
        <v>58</v>
      </c>
      <c r="NU8" s="4" t="s">
        <v>57</v>
      </c>
      <c r="NV8" s="4" t="s">
        <v>58</v>
      </c>
      <c r="NW8" s="4" t="s">
        <v>57</v>
      </c>
      <c r="NX8" s="4" t="s">
        <v>58</v>
      </c>
      <c r="NY8" s="4" t="s">
        <v>57</v>
      </c>
      <c r="NZ8" s="4" t="s">
        <v>58</v>
      </c>
      <c r="OA8" s="4" t="s">
        <v>57</v>
      </c>
      <c r="OB8" s="4" t="s">
        <v>58</v>
      </c>
      <c r="OC8" s="4" t="s">
        <v>57</v>
      </c>
      <c r="OD8" s="4" t="s">
        <v>58</v>
      </c>
      <c r="OE8" s="4" t="s">
        <v>57</v>
      </c>
      <c r="OF8" s="4" t="s">
        <v>58</v>
      </c>
      <c r="OG8" s="4" t="s">
        <v>57</v>
      </c>
      <c r="OH8" s="4" t="s">
        <v>58</v>
      </c>
      <c r="OI8" s="4" t="s">
        <v>57</v>
      </c>
      <c r="OJ8" s="4" t="s">
        <v>58</v>
      </c>
      <c r="OK8" s="4" t="s">
        <v>57</v>
      </c>
      <c r="OL8" s="4" t="s">
        <v>58</v>
      </c>
      <c r="OM8" s="4" t="s">
        <v>57</v>
      </c>
      <c r="ON8" s="4" t="s">
        <v>58</v>
      </c>
      <c r="OO8" s="4" t="s">
        <v>57</v>
      </c>
      <c r="OP8" s="4" t="s">
        <v>58</v>
      </c>
      <c r="OQ8" s="4" t="s">
        <v>57</v>
      </c>
      <c r="OR8" s="4" t="s">
        <v>58</v>
      </c>
      <c r="OS8" s="4" t="s">
        <v>57</v>
      </c>
      <c r="OT8" s="4" t="s">
        <v>58</v>
      </c>
      <c r="OU8" s="4" t="s">
        <v>57</v>
      </c>
      <c r="OV8" s="4" t="s">
        <v>58</v>
      </c>
      <c r="OW8" s="4" t="s">
        <v>57</v>
      </c>
      <c r="OX8" s="4" t="s">
        <v>58</v>
      </c>
      <c r="OY8" s="4" t="s">
        <v>57</v>
      </c>
      <c r="OZ8" s="4" t="s">
        <v>58</v>
      </c>
      <c r="PA8" s="4" t="s">
        <v>57</v>
      </c>
      <c r="PB8" s="4" t="s">
        <v>58</v>
      </c>
      <c r="PC8" s="4" t="s">
        <v>57</v>
      </c>
      <c r="PD8" s="4" t="s">
        <v>58</v>
      </c>
      <c r="PE8" s="4" t="s">
        <v>57</v>
      </c>
      <c r="PF8" s="4" t="s">
        <v>58</v>
      </c>
      <c r="PG8" s="4" t="s">
        <v>57</v>
      </c>
      <c r="PH8" s="4" t="s">
        <v>58</v>
      </c>
      <c r="PI8" s="4" t="s">
        <v>57</v>
      </c>
      <c r="PJ8" s="4" t="s">
        <v>58</v>
      </c>
      <c r="PK8" s="4" t="s">
        <v>57</v>
      </c>
      <c r="PL8" s="4" t="s">
        <v>58</v>
      </c>
      <c r="PM8" s="4" t="s">
        <v>57</v>
      </c>
      <c r="PN8" s="4" t="s">
        <v>58</v>
      </c>
      <c r="PO8" s="4" t="s">
        <v>57</v>
      </c>
      <c r="PP8" s="4" t="s">
        <v>58</v>
      </c>
      <c r="PQ8" s="4" t="s">
        <v>57</v>
      </c>
      <c r="PR8" s="4" t="s">
        <v>58</v>
      </c>
      <c r="PS8" s="4" t="s">
        <v>57</v>
      </c>
      <c r="PT8" s="4" t="s">
        <v>58</v>
      </c>
      <c r="PU8" s="4" t="s">
        <v>57</v>
      </c>
      <c r="PV8" s="4" t="s">
        <v>58</v>
      </c>
      <c r="PW8" s="4" t="s">
        <v>57</v>
      </c>
      <c r="PX8" s="4" t="s">
        <v>58</v>
      </c>
      <c r="PY8" s="4" t="s">
        <v>57</v>
      </c>
      <c r="PZ8" s="4" t="s">
        <v>58</v>
      </c>
      <c r="QA8" s="4" t="s">
        <v>57</v>
      </c>
      <c r="QB8" s="4" t="s">
        <v>58</v>
      </c>
      <c r="QC8" s="4" t="s">
        <v>57</v>
      </c>
      <c r="QD8" s="4" t="s">
        <v>58</v>
      </c>
      <c r="QE8" s="4" t="s">
        <v>57</v>
      </c>
      <c r="QF8" s="4" t="s">
        <v>58</v>
      </c>
      <c r="QG8" s="4" t="s">
        <v>57</v>
      </c>
      <c r="QH8" s="4" t="s">
        <v>58</v>
      </c>
      <c r="QI8" s="4" t="s">
        <v>57</v>
      </c>
      <c r="QJ8" s="4" t="s">
        <v>58</v>
      </c>
      <c r="QK8" s="4" t="s">
        <v>57</v>
      </c>
      <c r="QL8" s="4" t="s">
        <v>58</v>
      </c>
      <c r="QM8" s="4" t="s">
        <v>57</v>
      </c>
      <c r="QN8" s="4" t="s">
        <v>58</v>
      </c>
      <c r="QO8" s="4" t="s">
        <v>57</v>
      </c>
      <c r="QP8" s="4" t="s">
        <v>58</v>
      </c>
      <c r="QQ8" s="4" t="s">
        <v>57</v>
      </c>
      <c r="QR8" s="4" t="s">
        <v>58</v>
      </c>
      <c r="QS8" s="4" t="s">
        <v>57</v>
      </c>
      <c r="QT8" s="4" t="s">
        <v>58</v>
      </c>
      <c r="QU8" s="4" t="s">
        <v>57</v>
      </c>
      <c r="QV8" s="4" t="s">
        <v>58</v>
      </c>
      <c r="QW8" s="4" t="s">
        <v>57</v>
      </c>
      <c r="QX8" s="4" t="s">
        <v>58</v>
      </c>
      <c r="QY8" s="4" t="s">
        <v>57</v>
      </c>
      <c r="QZ8" s="4" t="s">
        <v>58</v>
      </c>
      <c r="RA8" s="4" t="s">
        <v>57</v>
      </c>
      <c r="RB8" s="4" t="s">
        <v>58</v>
      </c>
      <c r="RC8" s="4" t="s">
        <v>57</v>
      </c>
      <c r="RD8" s="4" t="s">
        <v>58</v>
      </c>
      <c r="RE8" s="4" t="s">
        <v>57</v>
      </c>
      <c r="RF8" s="4" t="s">
        <v>58</v>
      </c>
      <c r="RG8" s="4" t="s">
        <v>57</v>
      </c>
      <c r="RH8" s="4" t="s">
        <v>58</v>
      </c>
      <c r="RI8" s="4" t="s">
        <v>57</v>
      </c>
      <c r="RJ8" s="4" t="s">
        <v>58</v>
      </c>
      <c r="RK8" s="4" t="s">
        <v>57</v>
      </c>
      <c r="RL8" s="4" t="s">
        <v>58</v>
      </c>
      <c r="RM8" s="4" t="s">
        <v>57</v>
      </c>
      <c r="RN8" s="4" t="s">
        <v>58</v>
      </c>
      <c r="RO8" s="4" t="s">
        <v>57</v>
      </c>
      <c r="RP8" s="4" t="s">
        <v>58</v>
      </c>
      <c r="RQ8" s="4" t="s">
        <v>57</v>
      </c>
      <c r="RR8" s="4" t="s">
        <v>58</v>
      </c>
      <c r="RS8" s="4" t="s">
        <v>57</v>
      </c>
      <c r="RT8" s="4" t="s">
        <v>58</v>
      </c>
      <c r="RU8" s="4" t="s">
        <v>57</v>
      </c>
      <c r="RV8" s="4" t="s">
        <v>58</v>
      </c>
      <c r="RW8" s="4" t="s">
        <v>57</v>
      </c>
      <c r="RX8" s="4" t="s">
        <v>58</v>
      </c>
      <c r="RY8" s="4" t="s">
        <v>57</v>
      </c>
      <c r="RZ8" s="4" t="s">
        <v>58</v>
      </c>
      <c r="SA8" s="4" t="s">
        <v>57</v>
      </c>
      <c r="SB8" s="4" t="s">
        <v>58</v>
      </c>
      <c r="SC8" s="4" t="s">
        <v>57</v>
      </c>
      <c r="SD8" s="4" t="s">
        <v>58</v>
      </c>
      <c r="SE8" s="4" t="s">
        <v>57</v>
      </c>
      <c r="SF8" s="4" t="s">
        <v>58</v>
      </c>
      <c r="SG8" s="4" t="s">
        <v>57</v>
      </c>
      <c r="SH8" s="4" t="s">
        <v>58</v>
      </c>
      <c r="SI8" s="4" t="s">
        <v>57</v>
      </c>
      <c r="SJ8" s="4" t="s">
        <v>58</v>
      </c>
      <c r="SK8" s="4" t="s">
        <v>57</v>
      </c>
      <c r="SL8" s="4" t="s">
        <v>58</v>
      </c>
      <c r="SM8" s="4" t="s">
        <v>57</v>
      </c>
      <c r="SN8" s="4" t="s">
        <v>58</v>
      </c>
      <c r="SO8" s="4" t="s">
        <v>57</v>
      </c>
      <c r="SP8" s="4" t="s">
        <v>58</v>
      </c>
      <c r="SQ8" s="4" t="s">
        <v>57</v>
      </c>
      <c r="SR8" s="4" t="s">
        <v>58</v>
      </c>
      <c r="SS8" s="4" t="s">
        <v>57</v>
      </c>
      <c r="ST8" s="4" t="s">
        <v>58</v>
      </c>
      <c r="SU8" s="4" t="s">
        <v>57</v>
      </c>
      <c r="SV8" s="4" t="s">
        <v>58</v>
      </c>
      <c r="SW8" s="4" t="s">
        <v>57</v>
      </c>
      <c r="SX8" s="4" t="s">
        <v>58</v>
      </c>
      <c r="SY8" s="4" t="s">
        <v>57</v>
      </c>
      <c r="SZ8" s="4" t="s">
        <v>58</v>
      </c>
      <c r="TA8" s="4" t="s">
        <v>57</v>
      </c>
      <c r="TB8" s="4" t="s">
        <v>58</v>
      </c>
      <c r="TC8" s="4" t="s">
        <v>57</v>
      </c>
      <c r="TD8" s="4" t="s">
        <v>58</v>
      </c>
      <c r="TE8" s="4" t="s">
        <v>57</v>
      </c>
      <c r="TF8" s="4" t="s">
        <v>58</v>
      </c>
      <c r="TG8" s="4" t="s">
        <v>57</v>
      </c>
      <c r="TH8" s="4" t="s">
        <v>58</v>
      </c>
      <c r="TI8" s="4" t="s">
        <v>57</v>
      </c>
      <c r="TJ8" s="4" t="s">
        <v>58</v>
      </c>
      <c r="TK8" s="4" t="s">
        <v>57</v>
      </c>
      <c r="TL8" s="4" t="s">
        <v>58</v>
      </c>
      <c r="TM8" s="4" t="s">
        <v>57</v>
      </c>
      <c r="TN8" s="4" t="s">
        <v>58</v>
      </c>
      <c r="TO8" s="4" t="s">
        <v>57</v>
      </c>
      <c r="TP8" s="4" t="s">
        <v>58</v>
      </c>
      <c r="TQ8" s="4" t="s">
        <v>57</v>
      </c>
      <c r="TR8" s="4" t="s">
        <v>58</v>
      </c>
      <c r="TS8" s="4" t="s">
        <v>57</v>
      </c>
      <c r="TT8" s="4" t="s">
        <v>58</v>
      </c>
      <c r="TU8" s="4" t="s">
        <v>57</v>
      </c>
      <c r="TV8" s="4" t="s">
        <v>58</v>
      </c>
      <c r="TW8" s="4" t="s">
        <v>57</v>
      </c>
      <c r="TX8" s="4" t="s">
        <v>58</v>
      </c>
      <c r="TY8" s="4" t="s">
        <v>57</v>
      </c>
      <c r="TZ8" s="4" t="s">
        <v>58</v>
      </c>
      <c r="UA8" s="4" t="s">
        <v>57</v>
      </c>
      <c r="UB8" s="4" t="s">
        <v>58</v>
      </c>
      <c r="UC8" s="4" t="s">
        <v>57</v>
      </c>
      <c r="UD8" s="4" t="s">
        <v>58</v>
      </c>
      <c r="UE8" s="4" t="s">
        <v>57</v>
      </c>
      <c r="UF8" s="4" t="s">
        <v>58</v>
      </c>
      <c r="UG8" s="4" t="s">
        <v>57</v>
      </c>
      <c r="UH8" s="4" t="s">
        <v>58</v>
      </c>
      <c r="UI8" s="4" t="s">
        <v>57</v>
      </c>
      <c r="UJ8" s="4" t="s">
        <v>58</v>
      </c>
      <c r="UK8" s="4" t="s">
        <v>57</v>
      </c>
      <c r="UL8" s="4" t="s">
        <v>58</v>
      </c>
      <c r="UM8" s="4" t="s">
        <v>53</v>
      </c>
      <c r="UN8" s="5" t="s">
        <v>57</v>
      </c>
      <c r="UO8" s="5" t="s">
        <v>58</v>
      </c>
      <c r="UP8" s="5" t="s">
        <v>57</v>
      </c>
      <c r="UQ8" s="5" t="s">
        <v>58</v>
      </c>
      <c r="UR8" s="5" t="s">
        <v>57</v>
      </c>
      <c r="US8" s="5" t="s">
        <v>58</v>
      </c>
      <c r="UT8" s="5" t="s">
        <v>57</v>
      </c>
      <c r="UU8" s="5" t="s">
        <v>58</v>
      </c>
      <c r="UV8" s="5" t="s">
        <v>57</v>
      </c>
      <c r="UW8" s="5" t="s">
        <v>58</v>
      </c>
      <c r="UX8" s="5" t="s">
        <v>57</v>
      </c>
      <c r="UY8" s="5" t="s">
        <v>58</v>
      </c>
      <c r="UZ8" s="5" t="s">
        <v>57</v>
      </c>
      <c r="VA8" s="5" t="s">
        <v>58</v>
      </c>
      <c r="VB8" s="5" t="s">
        <v>57</v>
      </c>
      <c r="VC8" s="5" t="s">
        <v>58</v>
      </c>
      <c r="VD8" s="5" t="s">
        <v>57</v>
      </c>
      <c r="VE8" s="5" t="s">
        <v>58</v>
      </c>
      <c r="VF8" s="5" t="s">
        <v>57</v>
      </c>
      <c r="VG8" s="5" t="s">
        <v>58</v>
      </c>
      <c r="VH8" s="5" t="s">
        <v>57</v>
      </c>
      <c r="VI8" s="5" t="s">
        <v>58</v>
      </c>
      <c r="VJ8" s="5" t="s">
        <v>57</v>
      </c>
      <c r="VK8" s="5" t="s">
        <v>58</v>
      </c>
      <c r="VL8" s="5" t="s">
        <v>57</v>
      </c>
      <c r="VM8" s="5" t="s">
        <v>58</v>
      </c>
      <c r="VN8" s="5" t="s">
        <v>57</v>
      </c>
      <c r="VO8" s="5" t="s">
        <v>58</v>
      </c>
      <c r="VP8" s="5" t="s">
        <v>57</v>
      </c>
      <c r="VQ8" s="5" t="s">
        <v>58</v>
      </c>
      <c r="VR8" s="5" t="s">
        <v>57</v>
      </c>
      <c r="VS8" s="5" t="s">
        <v>58</v>
      </c>
      <c r="VT8" s="5" t="s">
        <v>57</v>
      </c>
      <c r="VU8" s="5" t="s">
        <v>58</v>
      </c>
      <c r="VV8" s="5" t="s">
        <v>57</v>
      </c>
      <c r="VW8" s="5" t="s">
        <v>58</v>
      </c>
      <c r="VX8" s="5" t="s">
        <v>57</v>
      </c>
      <c r="VY8" s="5" t="s">
        <v>58</v>
      </c>
      <c r="VZ8" s="5" t="s">
        <v>57</v>
      </c>
      <c r="WA8" s="5" t="s">
        <v>58</v>
      </c>
      <c r="WB8" s="5" t="s">
        <v>57</v>
      </c>
      <c r="WC8" s="5" t="s">
        <v>58</v>
      </c>
      <c r="WD8" s="5" t="s">
        <v>57</v>
      </c>
      <c r="WE8" s="5" t="s">
        <v>58</v>
      </c>
      <c r="WF8" s="5" t="s">
        <v>57</v>
      </c>
      <c r="WG8" s="5" t="s">
        <v>58</v>
      </c>
      <c r="WH8" s="5" t="s">
        <v>57</v>
      </c>
      <c r="WI8" s="5" t="s">
        <v>58</v>
      </c>
      <c r="WJ8" s="5" t="s">
        <v>57</v>
      </c>
      <c r="WK8" s="5" t="s">
        <v>58</v>
      </c>
      <c r="WL8" s="5" t="s">
        <v>57</v>
      </c>
      <c r="WM8" s="5" t="s">
        <v>58</v>
      </c>
      <c r="WN8" s="5" t="s">
        <v>57</v>
      </c>
      <c r="WO8" s="5" t="s">
        <v>58</v>
      </c>
      <c r="WP8" s="5" t="s">
        <v>57</v>
      </c>
      <c r="WQ8" s="5" t="s">
        <v>58</v>
      </c>
      <c r="WR8" s="5" t="s">
        <v>57</v>
      </c>
      <c r="WS8" s="5" t="s">
        <v>58</v>
      </c>
      <c r="WT8" s="5" t="s">
        <v>57</v>
      </c>
      <c r="WU8" s="5" t="s">
        <v>58</v>
      </c>
      <c r="WV8" s="5" t="s">
        <v>57</v>
      </c>
      <c r="WW8" s="5" t="s">
        <v>58</v>
      </c>
      <c r="WX8" s="5" t="s">
        <v>57</v>
      </c>
      <c r="WY8" s="5" t="s">
        <v>58</v>
      </c>
      <c r="WZ8" s="5" t="s">
        <v>57</v>
      </c>
      <c r="XA8" s="5" t="s">
        <v>58</v>
      </c>
      <c r="XB8" s="5" t="s">
        <v>57</v>
      </c>
      <c r="XC8" s="5" t="s">
        <v>58</v>
      </c>
      <c r="XD8" s="5" t="s">
        <v>57</v>
      </c>
      <c r="XE8" s="5" t="s">
        <v>58</v>
      </c>
      <c r="XF8" s="5" t="s">
        <v>57</v>
      </c>
      <c r="XG8" s="5" t="s">
        <v>58</v>
      </c>
      <c r="XH8" s="5" t="s">
        <v>57</v>
      </c>
      <c r="XI8" s="5" t="s">
        <v>58</v>
      </c>
      <c r="XJ8" s="5" t="s">
        <v>57</v>
      </c>
      <c r="XK8" s="5" t="s">
        <v>58</v>
      </c>
      <c r="XL8" s="5" t="s">
        <v>57</v>
      </c>
      <c r="XM8" s="5" t="s">
        <v>58</v>
      </c>
      <c r="XN8" s="5" t="s">
        <v>57</v>
      </c>
      <c r="XO8" s="5" t="s">
        <v>58</v>
      </c>
      <c r="XP8" s="5" t="s">
        <v>57</v>
      </c>
      <c r="XQ8" s="5" t="s">
        <v>58</v>
      </c>
      <c r="XR8" s="5" t="s">
        <v>57</v>
      </c>
      <c r="XS8" s="5" t="s">
        <v>58</v>
      </c>
      <c r="XT8" s="5" t="s">
        <v>57</v>
      </c>
      <c r="XU8" s="5" t="s">
        <v>58</v>
      </c>
      <c r="XV8" s="5" t="s">
        <v>57</v>
      </c>
      <c r="XW8" s="5" t="s">
        <v>58</v>
      </c>
      <c r="XX8" s="5" t="s">
        <v>57</v>
      </c>
      <c r="XY8" s="5" t="s">
        <v>58</v>
      </c>
      <c r="XZ8" s="5" t="s">
        <v>57</v>
      </c>
      <c r="YA8" s="5" t="s">
        <v>58</v>
      </c>
      <c r="YB8" s="5" t="s">
        <v>57</v>
      </c>
      <c r="YC8" s="5" t="s">
        <v>58</v>
      </c>
      <c r="YD8" s="5" t="s">
        <v>57</v>
      </c>
      <c r="YE8" s="5" t="s">
        <v>58</v>
      </c>
      <c r="YF8" s="5" t="s">
        <v>57</v>
      </c>
      <c r="YG8" s="5" t="s">
        <v>58</v>
      </c>
      <c r="YH8" s="5" t="s">
        <v>57</v>
      </c>
      <c r="YI8" s="5" t="s">
        <v>58</v>
      </c>
      <c r="YJ8" s="5" t="s">
        <v>57</v>
      </c>
      <c r="YK8" s="5" t="s">
        <v>58</v>
      </c>
      <c r="YL8" s="5" t="s">
        <v>57</v>
      </c>
      <c r="YM8" s="5" t="s">
        <v>58</v>
      </c>
      <c r="YN8" s="5" t="s">
        <v>57</v>
      </c>
      <c r="YO8" s="5" t="s">
        <v>58</v>
      </c>
      <c r="YP8" s="5" t="s">
        <v>57</v>
      </c>
      <c r="YQ8" s="5" t="s">
        <v>58</v>
      </c>
      <c r="YR8" s="5" t="s">
        <v>57</v>
      </c>
      <c r="YS8" s="5" t="s">
        <v>58</v>
      </c>
      <c r="YT8" s="5" t="s">
        <v>57</v>
      </c>
      <c r="YU8" s="5" t="s">
        <v>58</v>
      </c>
      <c r="YV8" s="5" t="s">
        <v>57</v>
      </c>
      <c r="YW8" s="5" t="s">
        <v>58</v>
      </c>
      <c r="YX8" s="5" t="s">
        <v>57</v>
      </c>
      <c r="YY8" s="5" t="s">
        <v>58</v>
      </c>
      <c r="YZ8" s="5" t="s">
        <v>57</v>
      </c>
      <c r="ZA8" s="5" t="s">
        <v>58</v>
      </c>
      <c r="ZB8" s="5" t="s">
        <v>57</v>
      </c>
      <c r="ZC8" s="5" t="s">
        <v>58</v>
      </c>
      <c r="ZD8" s="5" t="s">
        <v>57</v>
      </c>
      <c r="ZE8" s="5" t="s">
        <v>58</v>
      </c>
      <c r="ZF8" s="5" t="s">
        <v>57</v>
      </c>
      <c r="ZG8" s="5" t="s">
        <v>58</v>
      </c>
      <c r="ZH8" s="5" t="s">
        <v>57</v>
      </c>
      <c r="ZI8" s="5" t="s">
        <v>58</v>
      </c>
      <c r="ZJ8" s="5" t="s">
        <v>57</v>
      </c>
      <c r="ZK8" s="5" t="s">
        <v>58</v>
      </c>
      <c r="ZL8" s="5" t="s">
        <v>57</v>
      </c>
      <c r="ZM8" s="5" t="s">
        <v>58</v>
      </c>
      <c r="ZN8" s="5" t="s">
        <v>57</v>
      </c>
      <c r="ZO8" s="5" t="s">
        <v>58</v>
      </c>
      <c r="ZP8" s="5" t="s">
        <v>57</v>
      </c>
      <c r="ZQ8" s="5" t="s">
        <v>58</v>
      </c>
      <c r="ZR8" s="5" t="s">
        <v>57</v>
      </c>
      <c r="ZS8" s="5" t="s">
        <v>58</v>
      </c>
      <c r="ZT8" s="5" t="s">
        <v>57</v>
      </c>
      <c r="ZU8" s="5" t="s">
        <v>58</v>
      </c>
      <c r="ZV8" s="5" t="s">
        <v>57</v>
      </c>
      <c r="ZW8" s="5" t="s">
        <v>58</v>
      </c>
      <c r="ZX8" s="5" t="s">
        <v>57</v>
      </c>
      <c r="ZY8" s="5" t="s">
        <v>58</v>
      </c>
      <c r="ZZ8" s="5" t="s">
        <v>57</v>
      </c>
      <c r="AAA8" s="5" t="s">
        <v>58</v>
      </c>
      <c r="AAB8" s="5" t="s">
        <v>57</v>
      </c>
      <c r="AAC8" s="5" t="s">
        <v>58</v>
      </c>
      <c r="AAD8" s="5" t="s">
        <v>57</v>
      </c>
      <c r="AAE8" s="5" t="s">
        <v>58</v>
      </c>
      <c r="AAF8" s="5" t="s">
        <v>57</v>
      </c>
      <c r="AAG8" s="5" t="s">
        <v>58</v>
      </c>
      <c r="AAH8" s="5" t="s">
        <v>57</v>
      </c>
      <c r="AAI8" s="5" t="s">
        <v>58</v>
      </c>
      <c r="AAJ8" s="5" t="s">
        <v>57</v>
      </c>
      <c r="AAK8" s="5" t="s">
        <v>58</v>
      </c>
      <c r="AAL8" s="5" t="s">
        <v>57</v>
      </c>
      <c r="AAM8" s="5" t="s">
        <v>58</v>
      </c>
      <c r="AAN8" s="5" t="s">
        <v>57</v>
      </c>
      <c r="AAO8" s="5" t="s">
        <v>58</v>
      </c>
      <c r="AAP8" s="5" t="s">
        <v>57</v>
      </c>
      <c r="AAQ8" s="5" t="s">
        <v>58</v>
      </c>
      <c r="AAR8" s="5" t="s">
        <v>57</v>
      </c>
      <c r="AAS8" s="5" t="s">
        <v>58</v>
      </c>
      <c r="AAT8" s="5" t="s">
        <v>57</v>
      </c>
      <c r="AAU8" s="5" t="s">
        <v>58</v>
      </c>
      <c r="AAV8" s="5" t="s">
        <v>57</v>
      </c>
      <c r="AAW8" s="5" t="s">
        <v>58</v>
      </c>
      <c r="AAX8" s="5" t="s">
        <v>57</v>
      </c>
      <c r="AAY8" s="5" t="s">
        <v>58</v>
      </c>
      <c r="AAZ8" s="5" t="s">
        <v>57</v>
      </c>
      <c r="ABA8" s="5" t="s">
        <v>58</v>
      </c>
      <c r="ABB8" s="5" t="s">
        <v>57</v>
      </c>
      <c r="ABC8" s="5" t="s">
        <v>58</v>
      </c>
      <c r="ABD8" s="5" t="s">
        <v>57</v>
      </c>
      <c r="ABE8" s="5" t="s">
        <v>58</v>
      </c>
      <c r="ABF8" s="5" t="s">
        <v>57</v>
      </c>
      <c r="ABG8" s="5" t="s">
        <v>58</v>
      </c>
      <c r="ABH8" s="5" t="s">
        <v>57</v>
      </c>
      <c r="ABI8" s="5" t="s">
        <v>58</v>
      </c>
      <c r="ABJ8" s="5" t="s">
        <v>57</v>
      </c>
      <c r="ABK8" s="5" t="s">
        <v>58</v>
      </c>
      <c r="ABL8" s="5" t="s">
        <v>57</v>
      </c>
      <c r="ABM8" s="5" t="s">
        <v>58</v>
      </c>
      <c r="ABN8" s="5" t="s">
        <v>57</v>
      </c>
      <c r="ABO8" s="5" t="s">
        <v>58</v>
      </c>
      <c r="ABP8" s="5" t="s">
        <v>57</v>
      </c>
      <c r="ABQ8" s="5" t="s">
        <v>58</v>
      </c>
      <c r="ABR8" s="5" t="s">
        <v>57</v>
      </c>
      <c r="ABS8" s="5" t="s">
        <v>58</v>
      </c>
      <c r="ABT8" s="5" t="s">
        <v>57</v>
      </c>
      <c r="ABU8" s="5" t="s">
        <v>58</v>
      </c>
      <c r="ABV8" s="5" t="s">
        <v>57</v>
      </c>
      <c r="ABW8" s="5" t="s">
        <v>58</v>
      </c>
      <c r="ABX8" s="5" t="s">
        <v>53</v>
      </c>
      <c r="ABY8" s="5" t="s">
        <v>57</v>
      </c>
      <c r="ABZ8" s="5" t="s">
        <v>58</v>
      </c>
      <c r="ACA8" s="5" t="s">
        <v>53</v>
      </c>
      <c r="ACB8" s="29"/>
      <c r="ACC8" s="29"/>
      <c r="ACD8" s="29"/>
      <c r="ACE8" s="29"/>
      <c r="ACF8" s="28"/>
      <c r="ACG8" s="28"/>
      <c r="ACH8" s="28"/>
      <c r="ACI8" s="28"/>
    </row>
    <row r="9" spans="1:763" x14ac:dyDescent="0.25">
      <c r="E9" s="7">
        <f t="shared" ref="E9:BP9" si="0">SUM(E11:E64)</f>
        <v>6</v>
      </c>
      <c r="F9" s="7">
        <f t="shared" si="0"/>
        <v>19</v>
      </c>
      <c r="G9" s="7">
        <f t="shared" si="0"/>
        <v>15</v>
      </c>
      <c r="H9" s="7">
        <f t="shared" si="0"/>
        <v>23</v>
      </c>
      <c r="I9" s="7">
        <f t="shared" si="0"/>
        <v>21</v>
      </c>
      <c r="J9" s="7">
        <f t="shared" si="0"/>
        <v>22</v>
      </c>
      <c r="K9" s="7">
        <f t="shared" si="0"/>
        <v>19</v>
      </c>
      <c r="L9" s="7">
        <f t="shared" si="0"/>
        <v>26</v>
      </c>
      <c r="M9" s="7">
        <f t="shared" si="0"/>
        <v>11</v>
      </c>
      <c r="N9" s="7">
        <f t="shared" si="0"/>
        <v>29</v>
      </c>
      <c r="O9" s="7">
        <f t="shared" si="0"/>
        <v>16</v>
      </c>
      <c r="P9" s="7">
        <f t="shared" si="0"/>
        <v>26</v>
      </c>
      <c r="Q9" s="7">
        <f t="shared" si="0"/>
        <v>8</v>
      </c>
      <c r="R9" s="7">
        <f t="shared" si="0"/>
        <v>33</v>
      </c>
      <c r="S9" s="7">
        <f t="shared" si="0"/>
        <v>96</v>
      </c>
      <c r="T9" s="7">
        <f t="shared" si="0"/>
        <v>178</v>
      </c>
      <c r="U9" s="7">
        <f t="shared" si="0"/>
        <v>274</v>
      </c>
      <c r="V9" s="7">
        <f t="shared" si="0"/>
        <v>0</v>
      </c>
      <c r="W9" s="7">
        <f t="shared" si="0"/>
        <v>0</v>
      </c>
      <c r="X9" s="7">
        <f t="shared" si="0"/>
        <v>1</v>
      </c>
      <c r="Y9" s="7">
        <f t="shared" si="0"/>
        <v>0</v>
      </c>
      <c r="Z9" s="7">
        <f t="shared" si="0"/>
        <v>0</v>
      </c>
      <c r="AA9" s="7">
        <f t="shared" si="0"/>
        <v>0</v>
      </c>
      <c r="AB9" s="7">
        <f t="shared" si="0"/>
        <v>0</v>
      </c>
      <c r="AC9" s="7">
        <f t="shared" si="0"/>
        <v>0</v>
      </c>
      <c r="AD9" s="7">
        <f t="shared" si="0"/>
        <v>2</v>
      </c>
      <c r="AE9" s="7">
        <f t="shared" si="0"/>
        <v>0</v>
      </c>
      <c r="AF9" s="7">
        <f t="shared" si="0"/>
        <v>0</v>
      </c>
      <c r="AG9" s="7">
        <f t="shared" si="0"/>
        <v>0</v>
      </c>
      <c r="AH9" s="7">
        <f t="shared" si="0"/>
        <v>1</v>
      </c>
      <c r="AI9" s="7">
        <f t="shared" si="0"/>
        <v>0</v>
      </c>
      <c r="AJ9" s="7">
        <f t="shared" si="0"/>
        <v>0</v>
      </c>
      <c r="AK9" s="7">
        <f t="shared" si="0"/>
        <v>0</v>
      </c>
      <c r="AL9" s="7">
        <f t="shared" si="0"/>
        <v>0</v>
      </c>
      <c r="AM9" s="7">
        <f t="shared" si="0"/>
        <v>1</v>
      </c>
      <c r="AN9" s="7">
        <f t="shared" si="0"/>
        <v>0</v>
      </c>
      <c r="AO9" s="7">
        <f t="shared" si="0"/>
        <v>0</v>
      </c>
      <c r="AP9" s="7">
        <f t="shared" si="0"/>
        <v>1</v>
      </c>
      <c r="AQ9" s="7">
        <f t="shared" si="0"/>
        <v>0</v>
      </c>
      <c r="AR9" s="7">
        <f t="shared" si="0"/>
        <v>0</v>
      </c>
      <c r="AS9" s="7">
        <f t="shared" si="0"/>
        <v>0</v>
      </c>
      <c r="AT9" s="7">
        <f t="shared" si="0"/>
        <v>2</v>
      </c>
      <c r="AU9" s="7">
        <f t="shared" si="0"/>
        <v>2</v>
      </c>
      <c r="AV9" s="7">
        <f t="shared" si="0"/>
        <v>1</v>
      </c>
      <c r="AW9" s="7">
        <f t="shared" si="0"/>
        <v>0</v>
      </c>
      <c r="AX9" s="7">
        <f t="shared" si="0"/>
        <v>2</v>
      </c>
      <c r="AY9" s="7">
        <f t="shared" si="0"/>
        <v>1</v>
      </c>
      <c r="AZ9" s="7">
        <f t="shared" si="0"/>
        <v>6</v>
      </c>
      <c r="BA9" s="7">
        <f t="shared" si="0"/>
        <v>4</v>
      </c>
      <c r="BB9" s="7">
        <f t="shared" si="0"/>
        <v>0</v>
      </c>
      <c r="BC9" s="7">
        <f t="shared" si="0"/>
        <v>1</v>
      </c>
      <c r="BD9" s="7">
        <f t="shared" si="0"/>
        <v>6</v>
      </c>
      <c r="BE9" s="7">
        <f t="shared" si="0"/>
        <v>1</v>
      </c>
      <c r="BF9" s="7">
        <f t="shared" si="0"/>
        <v>3</v>
      </c>
      <c r="BG9" s="7">
        <f t="shared" si="0"/>
        <v>0</v>
      </c>
      <c r="BH9" s="7">
        <f t="shared" si="0"/>
        <v>1</v>
      </c>
      <c r="BI9" s="7">
        <f t="shared" si="0"/>
        <v>0</v>
      </c>
      <c r="BJ9" s="7">
        <f t="shared" si="0"/>
        <v>0</v>
      </c>
      <c r="BK9" s="7">
        <f t="shared" si="0"/>
        <v>1</v>
      </c>
      <c r="BL9" s="7">
        <f t="shared" si="0"/>
        <v>1</v>
      </c>
      <c r="BM9" s="7">
        <f t="shared" si="0"/>
        <v>1</v>
      </c>
      <c r="BN9" s="7">
        <f t="shared" si="0"/>
        <v>0</v>
      </c>
      <c r="BO9" s="7">
        <f t="shared" si="0"/>
        <v>0</v>
      </c>
      <c r="BP9" s="7">
        <f t="shared" si="0"/>
        <v>1</v>
      </c>
      <c r="BQ9" s="7">
        <f t="shared" ref="BQ9:EB9" si="1">SUM(BQ11:BQ64)</f>
        <v>0</v>
      </c>
      <c r="BR9" s="7">
        <f t="shared" si="1"/>
        <v>4</v>
      </c>
      <c r="BS9" s="7">
        <f t="shared" si="1"/>
        <v>0</v>
      </c>
      <c r="BT9" s="7">
        <f t="shared" si="1"/>
        <v>0</v>
      </c>
      <c r="BU9" s="7">
        <f t="shared" si="1"/>
        <v>1</v>
      </c>
      <c r="BV9" s="7">
        <f t="shared" si="1"/>
        <v>0</v>
      </c>
      <c r="BW9" s="7">
        <f t="shared" si="1"/>
        <v>0</v>
      </c>
      <c r="BX9" s="7">
        <f t="shared" si="1"/>
        <v>1</v>
      </c>
      <c r="BY9" s="7">
        <f t="shared" si="1"/>
        <v>0</v>
      </c>
      <c r="BZ9" s="7">
        <f t="shared" si="1"/>
        <v>2</v>
      </c>
      <c r="CA9" s="7">
        <f t="shared" si="1"/>
        <v>1</v>
      </c>
      <c r="CB9" s="7">
        <f t="shared" si="1"/>
        <v>1</v>
      </c>
      <c r="CC9" s="7">
        <f t="shared" si="1"/>
        <v>1</v>
      </c>
      <c r="CD9" s="7">
        <f t="shared" si="1"/>
        <v>0</v>
      </c>
      <c r="CE9" s="7">
        <f t="shared" si="1"/>
        <v>0</v>
      </c>
      <c r="CF9" s="7">
        <f t="shared" si="1"/>
        <v>2</v>
      </c>
      <c r="CG9" s="7">
        <f t="shared" si="1"/>
        <v>0</v>
      </c>
      <c r="CH9" s="7">
        <f t="shared" si="1"/>
        <v>0</v>
      </c>
      <c r="CI9" s="7">
        <f t="shared" si="1"/>
        <v>0</v>
      </c>
      <c r="CJ9" s="7">
        <f t="shared" si="1"/>
        <v>1</v>
      </c>
      <c r="CK9" s="7">
        <f t="shared" si="1"/>
        <v>0</v>
      </c>
      <c r="CL9" s="7">
        <f t="shared" si="1"/>
        <v>0</v>
      </c>
      <c r="CM9" s="7">
        <f t="shared" si="1"/>
        <v>0</v>
      </c>
      <c r="CN9" s="7">
        <f t="shared" si="1"/>
        <v>2</v>
      </c>
      <c r="CO9" s="7">
        <f t="shared" si="1"/>
        <v>0</v>
      </c>
      <c r="CP9" s="7">
        <f t="shared" si="1"/>
        <v>7</v>
      </c>
      <c r="CQ9" s="7">
        <f t="shared" si="1"/>
        <v>0</v>
      </c>
      <c r="CR9" s="7">
        <f t="shared" si="1"/>
        <v>0</v>
      </c>
      <c r="CS9" s="7">
        <f t="shared" si="1"/>
        <v>0</v>
      </c>
      <c r="CT9" s="7">
        <f t="shared" si="1"/>
        <v>1</v>
      </c>
      <c r="CU9" s="7">
        <f t="shared" si="1"/>
        <v>0</v>
      </c>
      <c r="CV9" s="7">
        <f t="shared" si="1"/>
        <v>2</v>
      </c>
      <c r="CW9" s="7">
        <f t="shared" si="1"/>
        <v>0</v>
      </c>
      <c r="CX9" s="7">
        <f t="shared" si="1"/>
        <v>0</v>
      </c>
      <c r="CY9" s="7">
        <f t="shared" si="1"/>
        <v>0</v>
      </c>
      <c r="CZ9" s="7">
        <f t="shared" si="1"/>
        <v>0</v>
      </c>
      <c r="DA9" s="7">
        <f t="shared" si="1"/>
        <v>0</v>
      </c>
      <c r="DB9" s="7">
        <f t="shared" si="1"/>
        <v>0</v>
      </c>
      <c r="DC9" s="7">
        <f t="shared" si="1"/>
        <v>0</v>
      </c>
      <c r="DD9" s="7">
        <f t="shared" si="1"/>
        <v>0</v>
      </c>
      <c r="DE9" s="7">
        <f t="shared" si="1"/>
        <v>0</v>
      </c>
      <c r="DF9" s="7">
        <f t="shared" si="1"/>
        <v>0</v>
      </c>
      <c r="DG9" s="7">
        <f t="shared" si="1"/>
        <v>0</v>
      </c>
      <c r="DH9" s="7">
        <f t="shared" si="1"/>
        <v>0</v>
      </c>
      <c r="DI9" s="7">
        <f t="shared" si="1"/>
        <v>0</v>
      </c>
      <c r="DJ9" s="7">
        <f t="shared" si="1"/>
        <v>0</v>
      </c>
      <c r="DK9" s="7">
        <f t="shared" si="1"/>
        <v>0</v>
      </c>
      <c r="DL9" s="7">
        <f t="shared" si="1"/>
        <v>0</v>
      </c>
      <c r="DM9" s="7">
        <f t="shared" si="1"/>
        <v>0</v>
      </c>
      <c r="DN9" s="7">
        <f t="shared" si="1"/>
        <v>0</v>
      </c>
      <c r="DO9" s="7">
        <f t="shared" si="1"/>
        <v>0</v>
      </c>
      <c r="DP9" s="7">
        <f t="shared" si="1"/>
        <v>1</v>
      </c>
      <c r="DQ9" s="7">
        <f t="shared" si="1"/>
        <v>1</v>
      </c>
      <c r="DR9" s="7">
        <f t="shared" si="1"/>
        <v>4</v>
      </c>
      <c r="DS9" s="7">
        <f t="shared" si="1"/>
        <v>1</v>
      </c>
      <c r="DT9" s="7">
        <f t="shared" si="1"/>
        <v>0</v>
      </c>
      <c r="DU9" s="7">
        <f t="shared" si="1"/>
        <v>0</v>
      </c>
      <c r="DV9" s="7">
        <f t="shared" si="1"/>
        <v>1</v>
      </c>
      <c r="DW9" s="7">
        <f t="shared" si="1"/>
        <v>0</v>
      </c>
      <c r="DX9" s="7">
        <f t="shared" si="1"/>
        <v>0</v>
      </c>
      <c r="DY9" s="7">
        <f t="shared" si="1"/>
        <v>0</v>
      </c>
      <c r="DZ9" s="7">
        <f t="shared" si="1"/>
        <v>0</v>
      </c>
      <c r="EA9" s="7">
        <f t="shared" si="1"/>
        <v>1</v>
      </c>
      <c r="EB9" s="7">
        <f t="shared" si="1"/>
        <v>0</v>
      </c>
      <c r="EC9" s="7">
        <f t="shared" ref="EC9:GN9" si="2">SUM(EC11:EC64)</f>
        <v>0</v>
      </c>
      <c r="ED9" s="7">
        <f t="shared" si="2"/>
        <v>0</v>
      </c>
      <c r="EE9" s="7">
        <f t="shared" si="2"/>
        <v>0</v>
      </c>
      <c r="EF9" s="7">
        <f t="shared" si="2"/>
        <v>0</v>
      </c>
      <c r="EG9" s="7">
        <f t="shared" si="2"/>
        <v>0</v>
      </c>
      <c r="EH9" s="7">
        <f t="shared" si="2"/>
        <v>0</v>
      </c>
      <c r="EI9" s="7">
        <f t="shared" si="2"/>
        <v>0</v>
      </c>
      <c r="EJ9" s="7">
        <f t="shared" si="2"/>
        <v>0</v>
      </c>
      <c r="EK9" s="7">
        <f t="shared" si="2"/>
        <v>0</v>
      </c>
      <c r="EL9" s="7">
        <f t="shared" si="2"/>
        <v>0</v>
      </c>
      <c r="EM9" s="7">
        <f t="shared" si="2"/>
        <v>0</v>
      </c>
      <c r="EN9" s="7">
        <f t="shared" si="2"/>
        <v>0</v>
      </c>
      <c r="EO9" s="7">
        <f t="shared" si="2"/>
        <v>0</v>
      </c>
      <c r="EP9" s="7">
        <f t="shared" si="2"/>
        <v>0</v>
      </c>
      <c r="EQ9" s="7">
        <f t="shared" si="2"/>
        <v>0</v>
      </c>
      <c r="ER9" s="7">
        <f t="shared" si="2"/>
        <v>0</v>
      </c>
      <c r="ES9" s="7">
        <f t="shared" si="2"/>
        <v>0</v>
      </c>
      <c r="ET9" s="7">
        <f t="shared" si="2"/>
        <v>0</v>
      </c>
      <c r="EU9" s="7">
        <f t="shared" si="2"/>
        <v>0</v>
      </c>
      <c r="EV9" s="7">
        <f t="shared" si="2"/>
        <v>0</v>
      </c>
      <c r="EW9" s="7">
        <f t="shared" si="2"/>
        <v>0</v>
      </c>
      <c r="EX9" s="7">
        <f t="shared" si="2"/>
        <v>1</v>
      </c>
      <c r="EY9" s="7">
        <f t="shared" si="2"/>
        <v>0</v>
      </c>
      <c r="EZ9" s="7">
        <f t="shared" si="2"/>
        <v>0</v>
      </c>
      <c r="FA9" s="7">
        <f t="shared" si="2"/>
        <v>0</v>
      </c>
      <c r="FB9" s="7">
        <f t="shared" si="2"/>
        <v>0</v>
      </c>
      <c r="FC9" s="7">
        <f t="shared" si="2"/>
        <v>0</v>
      </c>
      <c r="FD9" s="7">
        <f t="shared" si="2"/>
        <v>0</v>
      </c>
      <c r="FE9" s="7">
        <f t="shared" si="2"/>
        <v>0</v>
      </c>
      <c r="FF9" s="7">
        <f t="shared" si="2"/>
        <v>1</v>
      </c>
      <c r="FG9" s="7">
        <f t="shared" si="2"/>
        <v>0</v>
      </c>
      <c r="FH9" s="7">
        <f t="shared" si="2"/>
        <v>0</v>
      </c>
      <c r="FI9" s="7">
        <f t="shared" si="2"/>
        <v>0</v>
      </c>
      <c r="FJ9" s="7">
        <f t="shared" si="2"/>
        <v>0</v>
      </c>
      <c r="FK9" s="7">
        <f t="shared" si="2"/>
        <v>0</v>
      </c>
      <c r="FL9" s="7">
        <f t="shared" si="2"/>
        <v>0</v>
      </c>
      <c r="FM9" s="7">
        <f t="shared" si="2"/>
        <v>0</v>
      </c>
      <c r="FN9" s="7">
        <f t="shared" si="2"/>
        <v>0</v>
      </c>
      <c r="FO9" s="7">
        <f t="shared" si="2"/>
        <v>0</v>
      </c>
      <c r="FP9" s="7">
        <f t="shared" si="2"/>
        <v>0</v>
      </c>
      <c r="FQ9" s="7">
        <f t="shared" si="2"/>
        <v>0</v>
      </c>
      <c r="FR9" s="7">
        <f t="shared" si="2"/>
        <v>0</v>
      </c>
      <c r="FS9" s="7">
        <f t="shared" si="2"/>
        <v>0</v>
      </c>
      <c r="FT9" s="7">
        <f t="shared" si="2"/>
        <v>3</v>
      </c>
      <c r="FU9" s="7">
        <f t="shared" si="2"/>
        <v>2</v>
      </c>
      <c r="FV9" s="7">
        <f t="shared" si="2"/>
        <v>7</v>
      </c>
      <c r="FW9" s="7">
        <f t="shared" si="2"/>
        <v>8</v>
      </c>
      <c r="FX9" s="7">
        <f t="shared" si="2"/>
        <v>11</v>
      </c>
      <c r="FY9" s="7">
        <f t="shared" si="2"/>
        <v>9</v>
      </c>
      <c r="FZ9" s="7">
        <f t="shared" si="2"/>
        <v>5</v>
      </c>
      <c r="GA9" s="7">
        <f t="shared" si="2"/>
        <v>6</v>
      </c>
      <c r="GB9" s="7">
        <f t="shared" si="2"/>
        <v>4</v>
      </c>
      <c r="GC9" s="7">
        <f t="shared" si="2"/>
        <v>5</v>
      </c>
      <c r="GD9" s="7">
        <f t="shared" si="2"/>
        <v>8</v>
      </c>
      <c r="GE9" s="7">
        <f t="shared" si="2"/>
        <v>5</v>
      </c>
      <c r="GF9" s="7">
        <f t="shared" si="2"/>
        <v>6</v>
      </c>
      <c r="GG9" s="7">
        <f t="shared" si="2"/>
        <v>9</v>
      </c>
      <c r="GH9" s="7">
        <f t="shared" si="2"/>
        <v>3</v>
      </c>
      <c r="GI9" s="7">
        <f t="shared" si="2"/>
        <v>0</v>
      </c>
      <c r="GJ9" s="7">
        <f t="shared" si="2"/>
        <v>3</v>
      </c>
      <c r="GK9" s="7">
        <f t="shared" si="2"/>
        <v>4</v>
      </c>
      <c r="GL9" s="7">
        <f t="shared" si="2"/>
        <v>4</v>
      </c>
      <c r="GM9" s="7">
        <f t="shared" si="2"/>
        <v>3</v>
      </c>
      <c r="GN9" s="7">
        <f t="shared" si="2"/>
        <v>6</v>
      </c>
      <c r="GO9" s="7">
        <f t="shared" ref="GO9:IZ9" si="3">SUM(GO11:GO64)</f>
        <v>4</v>
      </c>
      <c r="GP9" s="7">
        <f t="shared" si="3"/>
        <v>1</v>
      </c>
      <c r="GQ9" s="7">
        <f t="shared" si="3"/>
        <v>1</v>
      </c>
      <c r="GR9" s="7">
        <f t="shared" si="3"/>
        <v>0</v>
      </c>
      <c r="GS9" s="7">
        <f t="shared" si="3"/>
        <v>1</v>
      </c>
      <c r="GT9" s="7">
        <f t="shared" si="3"/>
        <v>6</v>
      </c>
      <c r="GU9" s="7">
        <f t="shared" si="3"/>
        <v>9</v>
      </c>
      <c r="GV9" s="7">
        <f t="shared" si="3"/>
        <v>16</v>
      </c>
      <c r="GW9" s="7">
        <f t="shared" si="3"/>
        <v>14</v>
      </c>
      <c r="GX9" s="7">
        <f t="shared" si="3"/>
        <v>43</v>
      </c>
      <c r="GY9" s="7">
        <f t="shared" si="3"/>
        <v>24</v>
      </c>
      <c r="GZ9" s="7">
        <f t="shared" si="3"/>
        <v>41</v>
      </c>
      <c r="HA9" s="7">
        <f t="shared" si="3"/>
        <v>13</v>
      </c>
      <c r="HB9" s="7">
        <f t="shared" si="3"/>
        <v>36</v>
      </c>
      <c r="HC9" s="7">
        <f t="shared" si="3"/>
        <v>14</v>
      </c>
      <c r="HD9" s="7">
        <f t="shared" si="3"/>
        <v>29</v>
      </c>
      <c r="HE9" s="7">
        <f t="shared" si="3"/>
        <v>19</v>
      </c>
      <c r="HF9" s="7">
        <f t="shared" si="3"/>
        <v>19</v>
      </c>
      <c r="HG9" s="7">
        <f t="shared" si="3"/>
        <v>6</v>
      </c>
      <c r="HH9" s="7">
        <f t="shared" si="3"/>
        <v>28</v>
      </c>
      <c r="HI9" s="7">
        <f t="shared" si="3"/>
        <v>19</v>
      </c>
      <c r="HJ9" s="7">
        <f t="shared" si="3"/>
        <v>26</v>
      </c>
      <c r="HK9" s="7">
        <f t="shared" si="3"/>
        <v>11</v>
      </c>
      <c r="HL9" s="7">
        <f t="shared" si="3"/>
        <v>40</v>
      </c>
      <c r="HM9" s="7">
        <f t="shared" si="3"/>
        <v>10</v>
      </c>
      <c r="HN9" s="7">
        <f t="shared" si="3"/>
        <v>30</v>
      </c>
      <c r="HO9" s="7">
        <f t="shared" si="3"/>
        <v>16</v>
      </c>
      <c r="HP9" s="7">
        <f t="shared" si="3"/>
        <v>31</v>
      </c>
      <c r="HQ9" s="7">
        <f t="shared" si="3"/>
        <v>10</v>
      </c>
      <c r="HR9" s="7">
        <f t="shared" si="3"/>
        <v>22</v>
      </c>
      <c r="HS9" s="7">
        <f t="shared" si="3"/>
        <v>9</v>
      </c>
      <c r="HT9" s="7">
        <f t="shared" si="3"/>
        <v>20</v>
      </c>
      <c r="HU9" s="7">
        <f t="shared" si="3"/>
        <v>10</v>
      </c>
      <c r="HV9" s="7">
        <f t="shared" si="3"/>
        <v>32</v>
      </c>
      <c r="HW9" s="7">
        <f t="shared" si="3"/>
        <v>15</v>
      </c>
      <c r="HX9" s="7">
        <f t="shared" si="3"/>
        <v>9</v>
      </c>
      <c r="HY9" s="7">
        <f t="shared" si="3"/>
        <v>4</v>
      </c>
      <c r="HZ9" s="7">
        <f t="shared" si="3"/>
        <v>10</v>
      </c>
      <c r="IA9" s="7">
        <f t="shared" si="3"/>
        <v>7</v>
      </c>
      <c r="IB9" s="7">
        <f t="shared" si="3"/>
        <v>6</v>
      </c>
      <c r="IC9" s="7">
        <f t="shared" si="3"/>
        <v>1</v>
      </c>
      <c r="ID9" s="7">
        <f t="shared" si="3"/>
        <v>11</v>
      </c>
      <c r="IE9" s="7">
        <f t="shared" si="3"/>
        <v>7</v>
      </c>
      <c r="IF9" s="7">
        <f t="shared" si="3"/>
        <v>2</v>
      </c>
      <c r="IG9" s="7">
        <f t="shared" si="3"/>
        <v>3</v>
      </c>
      <c r="IH9" s="7">
        <f t="shared" si="3"/>
        <v>1</v>
      </c>
      <c r="II9" s="7">
        <f t="shared" si="3"/>
        <v>4</v>
      </c>
      <c r="IJ9" s="7">
        <f t="shared" si="3"/>
        <v>3</v>
      </c>
      <c r="IK9" s="7">
        <f t="shared" si="3"/>
        <v>1</v>
      </c>
      <c r="IL9" s="7">
        <f t="shared" si="3"/>
        <v>5</v>
      </c>
      <c r="IM9" s="7">
        <f t="shared" si="3"/>
        <v>2</v>
      </c>
      <c r="IN9" s="7">
        <f t="shared" si="3"/>
        <v>22</v>
      </c>
      <c r="IO9" s="7">
        <f t="shared" si="3"/>
        <v>5</v>
      </c>
      <c r="IP9" s="7">
        <f t="shared" si="3"/>
        <v>8</v>
      </c>
      <c r="IQ9" s="7">
        <f t="shared" si="3"/>
        <v>4</v>
      </c>
      <c r="IR9" s="7">
        <f t="shared" si="3"/>
        <v>9</v>
      </c>
      <c r="IS9" s="7">
        <f t="shared" si="3"/>
        <v>2</v>
      </c>
      <c r="IT9" s="7">
        <f t="shared" si="3"/>
        <v>3</v>
      </c>
      <c r="IU9" s="7">
        <f t="shared" si="3"/>
        <v>2</v>
      </c>
      <c r="IV9" s="7">
        <f t="shared" si="3"/>
        <v>1</v>
      </c>
      <c r="IW9" s="7">
        <f t="shared" si="3"/>
        <v>1</v>
      </c>
      <c r="IX9" s="7">
        <f t="shared" si="3"/>
        <v>5</v>
      </c>
      <c r="IY9" s="7">
        <f t="shared" si="3"/>
        <v>4</v>
      </c>
      <c r="IZ9" s="7">
        <f t="shared" si="3"/>
        <v>1</v>
      </c>
      <c r="JA9" s="7">
        <f t="shared" ref="JA9:LL9" si="4">SUM(JA11:JA64)</f>
        <v>0</v>
      </c>
      <c r="JB9" s="7">
        <f t="shared" si="4"/>
        <v>4</v>
      </c>
      <c r="JC9" s="7">
        <f t="shared" si="4"/>
        <v>2</v>
      </c>
      <c r="JD9" s="7">
        <f t="shared" si="4"/>
        <v>0</v>
      </c>
      <c r="JE9" s="7">
        <f t="shared" si="4"/>
        <v>1</v>
      </c>
      <c r="JF9" s="7">
        <f t="shared" si="4"/>
        <v>0</v>
      </c>
      <c r="JG9" s="7">
        <f t="shared" si="4"/>
        <v>1</v>
      </c>
      <c r="JH9" s="7">
        <f t="shared" si="4"/>
        <v>0</v>
      </c>
      <c r="JI9" s="7">
        <f t="shared" si="4"/>
        <v>0</v>
      </c>
      <c r="JJ9" s="7">
        <f t="shared" si="4"/>
        <v>1</v>
      </c>
      <c r="JK9" s="7">
        <f t="shared" si="4"/>
        <v>0</v>
      </c>
      <c r="JL9" s="7">
        <f t="shared" si="4"/>
        <v>0</v>
      </c>
      <c r="JM9" s="7">
        <f t="shared" si="4"/>
        <v>0</v>
      </c>
      <c r="JN9" s="7">
        <f t="shared" si="4"/>
        <v>7</v>
      </c>
      <c r="JO9" s="7">
        <f t="shared" si="4"/>
        <v>3</v>
      </c>
      <c r="JP9" s="7">
        <f t="shared" si="4"/>
        <v>14</v>
      </c>
      <c r="JQ9" s="7">
        <f t="shared" si="4"/>
        <v>6</v>
      </c>
      <c r="JR9" s="7">
        <f t="shared" si="4"/>
        <v>6</v>
      </c>
      <c r="JS9" s="7">
        <f t="shared" si="4"/>
        <v>3</v>
      </c>
      <c r="JT9" s="7">
        <f t="shared" si="4"/>
        <v>7</v>
      </c>
      <c r="JU9" s="7">
        <f t="shared" si="4"/>
        <v>4</v>
      </c>
      <c r="JV9" s="7">
        <f t="shared" si="4"/>
        <v>1</v>
      </c>
      <c r="JW9" s="7">
        <f t="shared" si="4"/>
        <v>1</v>
      </c>
      <c r="JX9" s="7">
        <f t="shared" si="4"/>
        <v>0</v>
      </c>
      <c r="JY9" s="7">
        <f t="shared" si="4"/>
        <v>1</v>
      </c>
      <c r="JZ9" s="7">
        <f t="shared" si="4"/>
        <v>0</v>
      </c>
      <c r="KA9" s="7">
        <f t="shared" si="4"/>
        <v>0</v>
      </c>
      <c r="KB9" s="7">
        <f t="shared" si="4"/>
        <v>675</v>
      </c>
      <c r="KC9" s="7">
        <f t="shared" si="4"/>
        <v>343</v>
      </c>
      <c r="KD9" s="7">
        <f t="shared" si="4"/>
        <v>1018</v>
      </c>
      <c r="KE9" s="7">
        <f t="shared" si="4"/>
        <v>0</v>
      </c>
      <c r="KF9" s="7">
        <f t="shared" si="4"/>
        <v>0</v>
      </c>
      <c r="KG9" s="7">
        <f t="shared" si="4"/>
        <v>0</v>
      </c>
      <c r="KH9" s="7">
        <f t="shared" si="4"/>
        <v>0</v>
      </c>
      <c r="KI9" s="7">
        <f t="shared" si="4"/>
        <v>0</v>
      </c>
      <c r="KJ9" s="7">
        <f t="shared" si="4"/>
        <v>0</v>
      </c>
      <c r="KK9" s="7">
        <f t="shared" si="4"/>
        <v>0</v>
      </c>
      <c r="KL9" s="7">
        <f t="shared" si="4"/>
        <v>0</v>
      </c>
      <c r="KM9" s="7">
        <f t="shared" si="4"/>
        <v>1</v>
      </c>
      <c r="KN9" s="7">
        <f t="shared" si="4"/>
        <v>0</v>
      </c>
      <c r="KO9" s="7">
        <f t="shared" si="4"/>
        <v>0</v>
      </c>
      <c r="KP9" s="7">
        <f t="shared" si="4"/>
        <v>0</v>
      </c>
      <c r="KQ9" s="7">
        <f t="shared" si="4"/>
        <v>1</v>
      </c>
      <c r="KR9" s="7">
        <f t="shared" si="4"/>
        <v>0</v>
      </c>
      <c r="KS9" s="7">
        <f t="shared" si="4"/>
        <v>0</v>
      </c>
      <c r="KT9" s="7">
        <f t="shared" si="4"/>
        <v>0</v>
      </c>
      <c r="KU9" s="7">
        <f t="shared" si="4"/>
        <v>3</v>
      </c>
      <c r="KV9" s="7">
        <f t="shared" si="4"/>
        <v>1</v>
      </c>
      <c r="KW9" s="7">
        <f t="shared" si="4"/>
        <v>0</v>
      </c>
      <c r="KX9" s="7">
        <f t="shared" si="4"/>
        <v>2</v>
      </c>
      <c r="KY9" s="7">
        <f t="shared" si="4"/>
        <v>3</v>
      </c>
      <c r="KZ9" s="7">
        <f t="shared" si="4"/>
        <v>0</v>
      </c>
      <c r="LA9" s="7">
        <f t="shared" si="4"/>
        <v>0</v>
      </c>
      <c r="LB9" s="7">
        <f t="shared" si="4"/>
        <v>0</v>
      </c>
      <c r="LC9" s="7">
        <f t="shared" si="4"/>
        <v>0</v>
      </c>
      <c r="LD9" s="7">
        <f t="shared" si="4"/>
        <v>5</v>
      </c>
      <c r="LE9" s="7">
        <f t="shared" si="4"/>
        <v>0</v>
      </c>
      <c r="LF9" s="7">
        <f t="shared" si="4"/>
        <v>0</v>
      </c>
      <c r="LG9" s="7">
        <f t="shared" si="4"/>
        <v>0</v>
      </c>
      <c r="LH9" s="7">
        <f t="shared" si="4"/>
        <v>0</v>
      </c>
      <c r="LI9" s="7">
        <f t="shared" si="4"/>
        <v>0</v>
      </c>
      <c r="LJ9" s="7">
        <f t="shared" si="4"/>
        <v>0</v>
      </c>
      <c r="LK9" s="7">
        <f t="shared" si="4"/>
        <v>0</v>
      </c>
      <c r="LL9" s="7">
        <f t="shared" si="4"/>
        <v>0</v>
      </c>
      <c r="LM9" s="7">
        <f t="shared" ref="LM9:NX9" si="5">SUM(LM11:LM64)</f>
        <v>0</v>
      </c>
      <c r="LN9" s="7">
        <f t="shared" si="5"/>
        <v>0</v>
      </c>
      <c r="LO9" s="7">
        <f t="shared" si="5"/>
        <v>0</v>
      </c>
      <c r="LP9" s="7">
        <f t="shared" si="5"/>
        <v>0</v>
      </c>
      <c r="LQ9" s="7">
        <f t="shared" si="5"/>
        <v>0</v>
      </c>
      <c r="LR9" s="7">
        <f t="shared" si="5"/>
        <v>0</v>
      </c>
      <c r="LS9" s="7">
        <f t="shared" si="5"/>
        <v>0</v>
      </c>
      <c r="LT9" s="7">
        <f t="shared" si="5"/>
        <v>0</v>
      </c>
      <c r="LU9" s="7">
        <f t="shared" si="5"/>
        <v>0</v>
      </c>
      <c r="LV9" s="7">
        <f t="shared" si="5"/>
        <v>0</v>
      </c>
      <c r="LW9" s="7">
        <f t="shared" si="5"/>
        <v>2</v>
      </c>
      <c r="LX9" s="7">
        <f t="shared" si="5"/>
        <v>0</v>
      </c>
      <c r="LY9" s="7">
        <f t="shared" si="5"/>
        <v>2</v>
      </c>
      <c r="LZ9" s="7">
        <f t="shared" si="5"/>
        <v>0</v>
      </c>
      <c r="MA9" s="7">
        <f t="shared" si="5"/>
        <v>6</v>
      </c>
      <c r="MB9" s="7">
        <f t="shared" si="5"/>
        <v>0</v>
      </c>
      <c r="MC9" s="7">
        <f t="shared" si="5"/>
        <v>0</v>
      </c>
      <c r="MD9" s="7">
        <f t="shared" si="5"/>
        <v>2</v>
      </c>
      <c r="ME9" s="7">
        <f t="shared" si="5"/>
        <v>0</v>
      </c>
      <c r="MF9" s="7">
        <f t="shared" si="5"/>
        <v>0</v>
      </c>
      <c r="MG9" s="7">
        <f t="shared" si="5"/>
        <v>0</v>
      </c>
      <c r="MH9" s="7">
        <f t="shared" si="5"/>
        <v>1</v>
      </c>
      <c r="MI9" s="7">
        <f t="shared" si="5"/>
        <v>0</v>
      </c>
      <c r="MJ9" s="7">
        <f t="shared" si="5"/>
        <v>0</v>
      </c>
      <c r="MK9" s="7">
        <f t="shared" si="5"/>
        <v>1</v>
      </c>
      <c r="ML9" s="7">
        <f t="shared" si="5"/>
        <v>1</v>
      </c>
      <c r="MM9" s="7">
        <f t="shared" si="5"/>
        <v>0</v>
      </c>
      <c r="MN9" s="7">
        <f t="shared" si="5"/>
        <v>0</v>
      </c>
      <c r="MO9" s="7">
        <f t="shared" si="5"/>
        <v>0</v>
      </c>
      <c r="MP9" s="7">
        <f t="shared" si="5"/>
        <v>0</v>
      </c>
      <c r="MQ9" s="7">
        <f t="shared" si="5"/>
        <v>0</v>
      </c>
      <c r="MR9" s="7">
        <f t="shared" si="5"/>
        <v>0</v>
      </c>
      <c r="MS9" s="7">
        <f t="shared" si="5"/>
        <v>0</v>
      </c>
      <c r="MT9" s="7">
        <f t="shared" si="5"/>
        <v>0</v>
      </c>
      <c r="MU9" s="7">
        <f t="shared" si="5"/>
        <v>0</v>
      </c>
      <c r="MV9" s="7">
        <f t="shared" si="5"/>
        <v>0</v>
      </c>
      <c r="MW9" s="7">
        <f t="shared" si="5"/>
        <v>0</v>
      </c>
      <c r="MX9" s="7">
        <f t="shared" si="5"/>
        <v>0</v>
      </c>
      <c r="MY9" s="7">
        <f t="shared" si="5"/>
        <v>0</v>
      </c>
      <c r="MZ9" s="7">
        <f t="shared" si="5"/>
        <v>0</v>
      </c>
      <c r="NA9" s="7">
        <f t="shared" si="5"/>
        <v>0</v>
      </c>
      <c r="NB9" s="7">
        <f t="shared" si="5"/>
        <v>0</v>
      </c>
      <c r="NC9" s="7">
        <f t="shared" si="5"/>
        <v>0</v>
      </c>
      <c r="ND9" s="7">
        <f t="shared" si="5"/>
        <v>0</v>
      </c>
      <c r="NE9" s="7">
        <f t="shared" si="5"/>
        <v>0</v>
      </c>
      <c r="NF9" s="7">
        <f t="shared" si="5"/>
        <v>0</v>
      </c>
      <c r="NG9" s="7">
        <f t="shared" si="5"/>
        <v>0</v>
      </c>
      <c r="NH9" s="7">
        <f t="shared" si="5"/>
        <v>0</v>
      </c>
      <c r="NI9" s="7">
        <f t="shared" si="5"/>
        <v>0</v>
      </c>
      <c r="NJ9" s="7">
        <f t="shared" si="5"/>
        <v>0</v>
      </c>
      <c r="NK9" s="7">
        <f t="shared" si="5"/>
        <v>0</v>
      </c>
      <c r="NL9" s="7">
        <f t="shared" si="5"/>
        <v>0</v>
      </c>
      <c r="NM9" s="7">
        <f t="shared" si="5"/>
        <v>0</v>
      </c>
      <c r="NN9" s="7">
        <f t="shared" si="5"/>
        <v>0</v>
      </c>
      <c r="NO9" s="7">
        <f t="shared" si="5"/>
        <v>0</v>
      </c>
      <c r="NP9" s="7">
        <f t="shared" si="5"/>
        <v>0</v>
      </c>
      <c r="NQ9" s="7">
        <f t="shared" si="5"/>
        <v>0</v>
      </c>
      <c r="NR9" s="7">
        <f t="shared" si="5"/>
        <v>0</v>
      </c>
      <c r="NS9" s="7">
        <f t="shared" si="5"/>
        <v>0</v>
      </c>
      <c r="NT9" s="7">
        <f t="shared" si="5"/>
        <v>0</v>
      </c>
      <c r="NU9" s="7">
        <f t="shared" si="5"/>
        <v>0</v>
      </c>
      <c r="NV9" s="7">
        <f t="shared" si="5"/>
        <v>0</v>
      </c>
      <c r="NW9" s="7">
        <f t="shared" si="5"/>
        <v>0</v>
      </c>
      <c r="NX9" s="7">
        <f t="shared" si="5"/>
        <v>0</v>
      </c>
      <c r="NY9" s="7">
        <f t="shared" ref="NY9:QJ9" si="6">SUM(NY11:NY64)</f>
        <v>0</v>
      </c>
      <c r="NZ9" s="7">
        <f t="shared" si="6"/>
        <v>0</v>
      </c>
      <c r="OA9" s="7">
        <f t="shared" si="6"/>
        <v>0</v>
      </c>
      <c r="OB9" s="7">
        <f t="shared" si="6"/>
        <v>0</v>
      </c>
      <c r="OC9" s="7">
        <f t="shared" si="6"/>
        <v>0</v>
      </c>
      <c r="OD9" s="7">
        <f t="shared" si="6"/>
        <v>0</v>
      </c>
      <c r="OE9" s="7">
        <f t="shared" si="6"/>
        <v>0</v>
      </c>
      <c r="OF9" s="7">
        <f t="shared" si="6"/>
        <v>0</v>
      </c>
      <c r="OG9" s="7">
        <f t="shared" si="6"/>
        <v>0</v>
      </c>
      <c r="OH9" s="7">
        <f t="shared" si="6"/>
        <v>0</v>
      </c>
      <c r="OI9" s="7">
        <f t="shared" si="6"/>
        <v>0</v>
      </c>
      <c r="OJ9" s="7">
        <f t="shared" si="6"/>
        <v>0</v>
      </c>
      <c r="OK9" s="7">
        <f t="shared" si="6"/>
        <v>0</v>
      </c>
      <c r="OL9" s="7">
        <f t="shared" si="6"/>
        <v>0</v>
      </c>
      <c r="OM9" s="7">
        <f t="shared" si="6"/>
        <v>0</v>
      </c>
      <c r="ON9" s="7">
        <f t="shared" si="6"/>
        <v>0</v>
      </c>
      <c r="OO9" s="7">
        <f t="shared" si="6"/>
        <v>0</v>
      </c>
      <c r="OP9" s="7">
        <f t="shared" si="6"/>
        <v>0</v>
      </c>
      <c r="OQ9" s="7">
        <f t="shared" si="6"/>
        <v>0</v>
      </c>
      <c r="OR9" s="7">
        <f t="shared" si="6"/>
        <v>0</v>
      </c>
      <c r="OS9" s="7">
        <f t="shared" si="6"/>
        <v>0</v>
      </c>
      <c r="OT9" s="7">
        <f t="shared" si="6"/>
        <v>0</v>
      </c>
      <c r="OU9" s="7">
        <f t="shared" si="6"/>
        <v>0</v>
      </c>
      <c r="OV9" s="7">
        <f t="shared" si="6"/>
        <v>0</v>
      </c>
      <c r="OW9" s="7">
        <f t="shared" si="6"/>
        <v>0</v>
      </c>
      <c r="OX9" s="7">
        <f t="shared" si="6"/>
        <v>0</v>
      </c>
      <c r="OY9" s="7">
        <f t="shared" si="6"/>
        <v>0</v>
      </c>
      <c r="OZ9" s="7">
        <f t="shared" si="6"/>
        <v>0</v>
      </c>
      <c r="PA9" s="7">
        <f t="shared" si="6"/>
        <v>0</v>
      </c>
      <c r="PB9" s="7">
        <f t="shared" si="6"/>
        <v>0</v>
      </c>
      <c r="PC9" s="7">
        <f t="shared" si="6"/>
        <v>0</v>
      </c>
      <c r="PD9" s="7">
        <f t="shared" si="6"/>
        <v>0</v>
      </c>
      <c r="PE9" s="7">
        <f t="shared" si="6"/>
        <v>0</v>
      </c>
      <c r="PF9" s="7">
        <f t="shared" si="6"/>
        <v>0</v>
      </c>
      <c r="PG9" s="7">
        <f t="shared" si="6"/>
        <v>0</v>
      </c>
      <c r="PH9" s="7">
        <f t="shared" si="6"/>
        <v>0</v>
      </c>
      <c r="PI9" s="7">
        <f t="shared" si="6"/>
        <v>0</v>
      </c>
      <c r="PJ9" s="7">
        <f t="shared" si="6"/>
        <v>0</v>
      </c>
      <c r="PK9" s="7">
        <f t="shared" si="6"/>
        <v>0</v>
      </c>
      <c r="PL9" s="7">
        <f t="shared" si="6"/>
        <v>0</v>
      </c>
      <c r="PM9" s="7">
        <f t="shared" si="6"/>
        <v>0</v>
      </c>
      <c r="PN9" s="7">
        <f t="shared" si="6"/>
        <v>0</v>
      </c>
      <c r="PO9" s="7">
        <f t="shared" si="6"/>
        <v>0</v>
      </c>
      <c r="PP9" s="7">
        <f t="shared" si="6"/>
        <v>0</v>
      </c>
      <c r="PQ9" s="7">
        <f t="shared" si="6"/>
        <v>0</v>
      </c>
      <c r="PR9" s="7">
        <f t="shared" si="6"/>
        <v>0</v>
      </c>
      <c r="PS9" s="7">
        <f t="shared" si="6"/>
        <v>0</v>
      </c>
      <c r="PT9" s="7">
        <f t="shared" si="6"/>
        <v>0</v>
      </c>
      <c r="PU9" s="7">
        <f t="shared" si="6"/>
        <v>0</v>
      </c>
      <c r="PV9" s="7">
        <f t="shared" si="6"/>
        <v>0</v>
      </c>
      <c r="PW9" s="7">
        <f t="shared" si="6"/>
        <v>0</v>
      </c>
      <c r="PX9" s="7">
        <f t="shared" si="6"/>
        <v>0</v>
      </c>
      <c r="PY9" s="7">
        <f t="shared" si="6"/>
        <v>0</v>
      </c>
      <c r="PZ9" s="7">
        <f t="shared" si="6"/>
        <v>0</v>
      </c>
      <c r="QA9" s="7">
        <f t="shared" si="6"/>
        <v>0</v>
      </c>
      <c r="QB9" s="7">
        <f t="shared" si="6"/>
        <v>0</v>
      </c>
      <c r="QC9" s="7">
        <f t="shared" si="6"/>
        <v>0</v>
      </c>
      <c r="QD9" s="7">
        <f t="shared" si="6"/>
        <v>0</v>
      </c>
      <c r="QE9" s="7">
        <f t="shared" si="6"/>
        <v>0</v>
      </c>
      <c r="QF9" s="7">
        <f t="shared" si="6"/>
        <v>1</v>
      </c>
      <c r="QG9" s="7">
        <f t="shared" si="6"/>
        <v>0</v>
      </c>
      <c r="QH9" s="7">
        <f t="shared" si="6"/>
        <v>0</v>
      </c>
      <c r="QI9" s="7">
        <f t="shared" si="6"/>
        <v>0</v>
      </c>
      <c r="QJ9" s="7">
        <f t="shared" si="6"/>
        <v>0</v>
      </c>
      <c r="QK9" s="7">
        <f t="shared" ref="QK9:SV9" si="7">SUM(QK11:QK64)</f>
        <v>0</v>
      </c>
      <c r="QL9" s="7">
        <f t="shared" si="7"/>
        <v>1</v>
      </c>
      <c r="QM9" s="7">
        <f t="shared" si="7"/>
        <v>0</v>
      </c>
      <c r="QN9" s="7">
        <f t="shared" si="7"/>
        <v>0</v>
      </c>
      <c r="QO9" s="7">
        <f t="shared" si="7"/>
        <v>0</v>
      </c>
      <c r="QP9" s="7">
        <f t="shared" si="7"/>
        <v>0</v>
      </c>
      <c r="QQ9" s="7">
        <f t="shared" si="7"/>
        <v>0</v>
      </c>
      <c r="QR9" s="7">
        <f t="shared" si="7"/>
        <v>0</v>
      </c>
      <c r="QS9" s="7">
        <f t="shared" si="7"/>
        <v>0</v>
      </c>
      <c r="QT9" s="7">
        <f t="shared" si="7"/>
        <v>0</v>
      </c>
      <c r="QU9" s="7">
        <f t="shared" si="7"/>
        <v>0</v>
      </c>
      <c r="QV9" s="7">
        <f t="shared" si="7"/>
        <v>0</v>
      </c>
      <c r="QW9" s="7">
        <f t="shared" si="7"/>
        <v>0</v>
      </c>
      <c r="QX9" s="7">
        <f t="shared" si="7"/>
        <v>0</v>
      </c>
      <c r="QY9" s="7">
        <f t="shared" si="7"/>
        <v>0</v>
      </c>
      <c r="QZ9" s="7">
        <f t="shared" si="7"/>
        <v>0</v>
      </c>
      <c r="RA9" s="7">
        <f t="shared" si="7"/>
        <v>0</v>
      </c>
      <c r="RB9" s="7">
        <f t="shared" si="7"/>
        <v>0</v>
      </c>
      <c r="RC9" s="7">
        <f t="shared" si="7"/>
        <v>0</v>
      </c>
      <c r="RD9" s="7">
        <f t="shared" si="7"/>
        <v>0</v>
      </c>
      <c r="RE9" s="7">
        <f t="shared" si="7"/>
        <v>0</v>
      </c>
      <c r="RF9" s="7">
        <f t="shared" si="7"/>
        <v>0</v>
      </c>
      <c r="RG9" s="7">
        <f t="shared" si="7"/>
        <v>1</v>
      </c>
      <c r="RH9" s="7">
        <f t="shared" si="7"/>
        <v>0</v>
      </c>
      <c r="RI9" s="7">
        <f t="shared" si="7"/>
        <v>0</v>
      </c>
      <c r="RJ9" s="7">
        <f t="shared" si="7"/>
        <v>0</v>
      </c>
      <c r="RK9" s="7">
        <f t="shared" si="7"/>
        <v>0</v>
      </c>
      <c r="RL9" s="7">
        <f t="shared" si="7"/>
        <v>0</v>
      </c>
      <c r="RM9" s="7">
        <f t="shared" si="7"/>
        <v>0</v>
      </c>
      <c r="RN9" s="7">
        <f t="shared" si="7"/>
        <v>0</v>
      </c>
      <c r="RO9" s="7">
        <f t="shared" si="7"/>
        <v>0</v>
      </c>
      <c r="RP9" s="7">
        <f t="shared" si="7"/>
        <v>0</v>
      </c>
      <c r="RQ9" s="7">
        <f t="shared" si="7"/>
        <v>0</v>
      </c>
      <c r="RR9" s="7">
        <f t="shared" si="7"/>
        <v>0</v>
      </c>
      <c r="RS9" s="7">
        <f t="shared" si="7"/>
        <v>1</v>
      </c>
      <c r="RT9" s="7">
        <f t="shared" si="7"/>
        <v>0</v>
      </c>
      <c r="RU9" s="7">
        <f t="shared" si="7"/>
        <v>0</v>
      </c>
      <c r="RV9" s="7">
        <f t="shared" si="7"/>
        <v>0</v>
      </c>
      <c r="RW9" s="7">
        <f t="shared" si="7"/>
        <v>1</v>
      </c>
      <c r="RX9" s="7">
        <f t="shared" si="7"/>
        <v>0</v>
      </c>
      <c r="RY9" s="7">
        <f t="shared" si="7"/>
        <v>4</v>
      </c>
      <c r="RZ9" s="7">
        <f t="shared" si="7"/>
        <v>2</v>
      </c>
      <c r="SA9" s="7">
        <f t="shared" si="7"/>
        <v>5</v>
      </c>
      <c r="SB9" s="7">
        <f t="shared" si="7"/>
        <v>2</v>
      </c>
      <c r="SC9" s="7">
        <f t="shared" si="7"/>
        <v>5</v>
      </c>
      <c r="SD9" s="7">
        <f t="shared" si="7"/>
        <v>2</v>
      </c>
      <c r="SE9" s="7">
        <f t="shared" si="7"/>
        <v>7</v>
      </c>
      <c r="SF9" s="7">
        <f t="shared" si="7"/>
        <v>3</v>
      </c>
      <c r="SG9" s="7">
        <f t="shared" si="7"/>
        <v>0</v>
      </c>
      <c r="SH9" s="7">
        <f t="shared" si="7"/>
        <v>0</v>
      </c>
      <c r="SI9" s="7">
        <f t="shared" si="7"/>
        <v>0</v>
      </c>
      <c r="SJ9" s="7">
        <f t="shared" si="7"/>
        <v>0</v>
      </c>
      <c r="SK9" s="7">
        <f t="shared" si="7"/>
        <v>0</v>
      </c>
      <c r="SL9" s="7">
        <f t="shared" si="7"/>
        <v>0</v>
      </c>
      <c r="SM9" s="7">
        <f t="shared" si="7"/>
        <v>4</v>
      </c>
      <c r="SN9" s="7">
        <f t="shared" si="7"/>
        <v>2</v>
      </c>
      <c r="SO9" s="7">
        <f t="shared" si="7"/>
        <v>0</v>
      </c>
      <c r="SP9" s="7">
        <f t="shared" si="7"/>
        <v>0</v>
      </c>
      <c r="SQ9" s="7">
        <f t="shared" si="7"/>
        <v>0</v>
      </c>
      <c r="SR9" s="7">
        <f t="shared" si="7"/>
        <v>0</v>
      </c>
      <c r="SS9" s="7">
        <f t="shared" si="7"/>
        <v>0</v>
      </c>
      <c r="ST9" s="7">
        <f t="shared" si="7"/>
        <v>0</v>
      </c>
      <c r="SU9" s="7">
        <f t="shared" si="7"/>
        <v>0</v>
      </c>
      <c r="SV9" s="7">
        <f t="shared" si="7"/>
        <v>0</v>
      </c>
      <c r="SW9" s="7">
        <f t="shared" ref="SW9:VH9" si="8">SUM(SW11:SW64)</f>
        <v>0</v>
      </c>
      <c r="SX9" s="7">
        <f t="shared" si="8"/>
        <v>0</v>
      </c>
      <c r="SY9" s="7">
        <f t="shared" si="8"/>
        <v>0</v>
      </c>
      <c r="SZ9" s="7">
        <f t="shared" si="8"/>
        <v>0</v>
      </c>
      <c r="TA9" s="7">
        <f t="shared" si="8"/>
        <v>0</v>
      </c>
      <c r="TB9" s="7">
        <f t="shared" si="8"/>
        <v>0</v>
      </c>
      <c r="TC9" s="7">
        <f t="shared" si="8"/>
        <v>0</v>
      </c>
      <c r="TD9" s="7">
        <f t="shared" si="8"/>
        <v>0</v>
      </c>
      <c r="TE9" s="7">
        <f t="shared" si="8"/>
        <v>0</v>
      </c>
      <c r="TF9" s="7">
        <f t="shared" si="8"/>
        <v>0</v>
      </c>
      <c r="TG9" s="7">
        <f t="shared" si="8"/>
        <v>0</v>
      </c>
      <c r="TH9" s="7">
        <f t="shared" si="8"/>
        <v>0</v>
      </c>
      <c r="TI9" s="7">
        <f t="shared" si="8"/>
        <v>0</v>
      </c>
      <c r="TJ9" s="7">
        <f t="shared" si="8"/>
        <v>0</v>
      </c>
      <c r="TK9" s="7">
        <f t="shared" si="8"/>
        <v>0</v>
      </c>
      <c r="TL9" s="7">
        <f t="shared" si="8"/>
        <v>0</v>
      </c>
      <c r="TM9" s="7">
        <f t="shared" si="8"/>
        <v>0</v>
      </c>
      <c r="TN9" s="7">
        <f t="shared" si="8"/>
        <v>0</v>
      </c>
      <c r="TO9" s="7">
        <f t="shared" si="8"/>
        <v>0</v>
      </c>
      <c r="TP9" s="7">
        <f t="shared" si="8"/>
        <v>0</v>
      </c>
      <c r="TQ9" s="7">
        <f t="shared" si="8"/>
        <v>0</v>
      </c>
      <c r="TR9" s="7">
        <f t="shared" si="8"/>
        <v>0</v>
      </c>
      <c r="TS9" s="7">
        <f t="shared" si="8"/>
        <v>0</v>
      </c>
      <c r="TT9" s="7">
        <f t="shared" si="8"/>
        <v>0</v>
      </c>
      <c r="TU9" s="7">
        <f t="shared" si="8"/>
        <v>0</v>
      </c>
      <c r="TV9" s="7">
        <f t="shared" si="8"/>
        <v>0</v>
      </c>
      <c r="TW9" s="7">
        <f t="shared" si="8"/>
        <v>0</v>
      </c>
      <c r="TX9" s="7">
        <f t="shared" si="8"/>
        <v>0</v>
      </c>
      <c r="TY9" s="7">
        <f t="shared" si="8"/>
        <v>0</v>
      </c>
      <c r="TZ9" s="7">
        <f t="shared" si="8"/>
        <v>0</v>
      </c>
      <c r="UA9" s="7">
        <f t="shared" si="8"/>
        <v>0</v>
      </c>
      <c r="UB9" s="7">
        <f t="shared" si="8"/>
        <v>1</v>
      </c>
      <c r="UC9" s="7">
        <f t="shared" si="8"/>
        <v>0</v>
      </c>
      <c r="UD9" s="7">
        <f t="shared" si="8"/>
        <v>0</v>
      </c>
      <c r="UE9" s="7">
        <f t="shared" si="8"/>
        <v>0</v>
      </c>
      <c r="UF9" s="7">
        <f t="shared" si="8"/>
        <v>0</v>
      </c>
      <c r="UG9" s="7">
        <f t="shared" si="8"/>
        <v>0</v>
      </c>
      <c r="UH9" s="7">
        <f t="shared" si="8"/>
        <v>0</v>
      </c>
      <c r="UI9" s="7">
        <f t="shared" si="8"/>
        <v>0</v>
      </c>
      <c r="UJ9" s="7">
        <f t="shared" si="8"/>
        <v>0</v>
      </c>
      <c r="UK9" s="7">
        <f t="shared" si="8"/>
        <v>47</v>
      </c>
      <c r="UL9" s="7">
        <f t="shared" si="8"/>
        <v>26</v>
      </c>
      <c r="UM9" s="7">
        <f t="shared" si="8"/>
        <v>73</v>
      </c>
      <c r="UN9" s="7">
        <f t="shared" si="8"/>
        <v>0</v>
      </c>
      <c r="UO9" s="7">
        <f t="shared" si="8"/>
        <v>0</v>
      </c>
      <c r="UP9" s="7">
        <f t="shared" si="8"/>
        <v>0</v>
      </c>
      <c r="UQ9" s="7">
        <f t="shared" si="8"/>
        <v>0</v>
      </c>
      <c r="UR9" s="7">
        <f t="shared" si="8"/>
        <v>0</v>
      </c>
      <c r="US9" s="7">
        <f t="shared" si="8"/>
        <v>0</v>
      </c>
      <c r="UT9" s="7">
        <f t="shared" si="8"/>
        <v>0</v>
      </c>
      <c r="UU9" s="7">
        <f t="shared" si="8"/>
        <v>4</v>
      </c>
      <c r="UV9" s="7">
        <f t="shared" si="8"/>
        <v>0</v>
      </c>
      <c r="UW9" s="7">
        <f t="shared" si="8"/>
        <v>0</v>
      </c>
      <c r="UX9" s="7">
        <f t="shared" si="8"/>
        <v>0</v>
      </c>
      <c r="UY9" s="7">
        <f t="shared" si="8"/>
        <v>0</v>
      </c>
      <c r="UZ9" s="7">
        <f t="shared" si="8"/>
        <v>3</v>
      </c>
      <c r="VA9" s="7">
        <f t="shared" si="8"/>
        <v>1</v>
      </c>
      <c r="VB9" s="7">
        <f t="shared" si="8"/>
        <v>2</v>
      </c>
      <c r="VC9" s="7">
        <f t="shared" si="8"/>
        <v>2</v>
      </c>
      <c r="VD9" s="7">
        <f t="shared" si="8"/>
        <v>6</v>
      </c>
      <c r="VE9" s="7">
        <f t="shared" si="8"/>
        <v>11</v>
      </c>
      <c r="VF9" s="7">
        <f t="shared" si="8"/>
        <v>14</v>
      </c>
      <c r="VG9" s="7">
        <f t="shared" si="8"/>
        <v>16</v>
      </c>
      <c r="VH9" s="7">
        <f t="shared" si="8"/>
        <v>0</v>
      </c>
      <c r="VI9" s="7">
        <f t="shared" ref="VI9:XT9" si="9">SUM(VI11:VI64)</f>
        <v>0</v>
      </c>
      <c r="VJ9" s="7">
        <f t="shared" si="9"/>
        <v>0</v>
      </c>
      <c r="VK9" s="7">
        <f t="shared" si="9"/>
        <v>0</v>
      </c>
      <c r="VL9" s="7">
        <f t="shared" si="9"/>
        <v>0</v>
      </c>
      <c r="VM9" s="7">
        <f t="shared" si="9"/>
        <v>0</v>
      </c>
      <c r="VN9" s="7">
        <f t="shared" si="9"/>
        <v>17</v>
      </c>
      <c r="VO9" s="7">
        <f t="shared" si="9"/>
        <v>12</v>
      </c>
      <c r="VP9" s="7">
        <f t="shared" si="9"/>
        <v>0</v>
      </c>
      <c r="VQ9" s="7">
        <f t="shared" si="9"/>
        <v>0</v>
      </c>
      <c r="VR9" s="7">
        <f t="shared" si="9"/>
        <v>0</v>
      </c>
      <c r="VS9" s="7">
        <f t="shared" si="9"/>
        <v>0</v>
      </c>
      <c r="VT9" s="7">
        <f t="shared" si="9"/>
        <v>5</v>
      </c>
      <c r="VU9" s="7">
        <f t="shared" si="9"/>
        <v>6</v>
      </c>
      <c r="VV9" s="7">
        <f t="shared" si="9"/>
        <v>5</v>
      </c>
      <c r="VW9" s="7">
        <f t="shared" si="9"/>
        <v>5</v>
      </c>
      <c r="VX9" s="7">
        <f t="shared" si="9"/>
        <v>14</v>
      </c>
      <c r="VY9" s="7">
        <f t="shared" si="9"/>
        <v>8</v>
      </c>
      <c r="VZ9" s="7">
        <f t="shared" si="9"/>
        <v>0</v>
      </c>
      <c r="WA9" s="7">
        <f t="shared" si="9"/>
        <v>0</v>
      </c>
      <c r="WB9" s="7">
        <f t="shared" si="9"/>
        <v>0</v>
      </c>
      <c r="WC9" s="7">
        <f t="shared" si="9"/>
        <v>0</v>
      </c>
      <c r="WD9" s="7">
        <f t="shared" si="9"/>
        <v>1</v>
      </c>
      <c r="WE9" s="7">
        <f t="shared" si="9"/>
        <v>1</v>
      </c>
      <c r="WF9" s="7">
        <f t="shared" si="9"/>
        <v>2</v>
      </c>
      <c r="WG9" s="7">
        <f t="shared" si="9"/>
        <v>2</v>
      </c>
      <c r="WH9" s="7">
        <f t="shared" si="9"/>
        <v>9</v>
      </c>
      <c r="WI9" s="7">
        <f t="shared" si="9"/>
        <v>4</v>
      </c>
      <c r="WJ9" s="7">
        <f t="shared" si="9"/>
        <v>0</v>
      </c>
      <c r="WK9" s="7">
        <f t="shared" si="9"/>
        <v>0</v>
      </c>
      <c r="WL9" s="7">
        <f t="shared" si="9"/>
        <v>0</v>
      </c>
      <c r="WM9" s="7">
        <f t="shared" si="9"/>
        <v>0</v>
      </c>
      <c r="WN9" s="7">
        <f t="shared" si="9"/>
        <v>0</v>
      </c>
      <c r="WO9" s="7">
        <f t="shared" si="9"/>
        <v>0</v>
      </c>
      <c r="WP9" s="7">
        <f t="shared" si="9"/>
        <v>0</v>
      </c>
      <c r="WQ9" s="7">
        <f t="shared" si="9"/>
        <v>0</v>
      </c>
      <c r="WR9" s="7">
        <f t="shared" si="9"/>
        <v>1</v>
      </c>
      <c r="WS9" s="7">
        <f t="shared" si="9"/>
        <v>0</v>
      </c>
      <c r="WT9" s="7">
        <f t="shared" si="9"/>
        <v>0</v>
      </c>
      <c r="WU9" s="7">
        <f t="shared" si="9"/>
        <v>0</v>
      </c>
      <c r="WV9" s="7">
        <f t="shared" si="9"/>
        <v>0</v>
      </c>
      <c r="WW9" s="7">
        <f t="shared" si="9"/>
        <v>0</v>
      </c>
      <c r="WX9" s="7">
        <f t="shared" si="9"/>
        <v>0</v>
      </c>
      <c r="WY9" s="7">
        <f t="shared" si="9"/>
        <v>0</v>
      </c>
      <c r="WZ9" s="7">
        <f t="shared" si="9"/>
        <v>0</v>
      </c>
      <c r="XA9" s="7">
        <f t="shared" si="9"/>
        <v>0</v>
      </c>
      <c r="XB9" s="7">
        <f t="shared" si="9"/>
        <v>0</v>
      </c>
      <c r="XC9" s="7">
        <f t="shared" si="9"/>
        <v>0</v>
      </c>
      <c r="XD9" s="7">
        <f t="shared" si="9"/>
        <v>0</v>
      </c>
      <c r="XE9" s="7">
        <f t="shared" si="9"/>
        <v>0</v>
      </c>
      <c r="XF9" s="7">
        <f t="shared" si="9"/>
        <v>0</v>
      </c>
      <c r="XG9" s="7">
        <f t="shared" si="9"/>
        <v>0</v>
      </c>
      <c r="XH9" s="7">
        <f t="shared" si="9"/>
        <v>0</v>
      </c>
      <c r="XI9" s="7">
        <f t="shared" si="9"/>
        <v>0</v>
      </c>
      <c r="XJ9" s="7">
        <f t="shared" si="9"/>
        <v>0</v>
      </c>
      <c r="XK9" s="7">
        <f t="shared" si="9"/>
        <v>0</v>
      </c>
      <c r="XL9" s="7">
        <f t="shared" si="9"/>
        <v>0</v>
      </c>
      <c r="XM9" s="7">
        <f t="shared" si="9"/>
        <v>0</v>
      </c>
      <c r="XN9" s="7">
        <f t="shared" si="9"/>
        <v>0</v>
      </c>
      <c r="XO9" s="7">
        <f t="shared" si="9"/>
        <v>0</v>
      </c>
      <c r="XP9" s="7">
        <f t="shared" si="9"/>
        <v>0</v>
      </c>
      <c r="XQ9" s="7">
        <f t="shared" si="9"/>
        <v>0</v>
      </c>
      <c r="XR9" s="7">
        <f t="shared" si="9"/>
        <v>0</v>
      </c>
      <c r="XS9" s="7">
        <f t="shared" si="9"/>
        <v>0</v>
      </c>
      <c r="XT9" s="7">
        <f t="shared" si="9"/>
        <v>0</v>
      </c>
      <c r="XU9" s="7">
        <f t="shared" ref="XU9:AAF9" si="10">SUM(XU11:XU64)</f>
        <v>0</v>
      </c>
      <c r="XV9" s="7">
        <f t="shared" si="10"/>
        <v>0</v>
      </c>
      <c r="XW9" s="7">
        <f t="shared" si="10"/>
        <v>0</v>
      </c>
      <c r="XX9" s="7">
        <f t="shared" si="10"/>
        <v>0</v>
      </c>
      <c r="XY9" s="7">
        <f t="shared" si="10"/>
        <v>0</v>
      </c>
      <c r="XZ9" s="7">
        <f t="shared" si="10"/>
        <v>0</v>
      </c>
      <c r="YA9" s="7">
        <f t="shared" si="10"/>
        <v>0</v>
      </c>
      <c r="YB9" s="7">
        <f t="shared" si="10"/>
        <v>0</v>
      </c>
      <c r="YC9" s="7">
        <f t="shared" si="10"/>
        <v>0</v>
      </c>
      <c r="YD9" s="7">
        <f t="shared" si="10"/>
        <v>0</v>
      </c>
      <c r="YE9" s="7">
        <f t="shared" si="10"/>
        <v>0</v>
      </c>
      <c r="YF9" s="7">
        <f t="shared" si="10"/>
        <v>0</v>
      </c>
      <c r="YG9" s="7">
        <f t="shared" si="10"/>
        <v>0</v>
      </c>
      <c r="YH9" s="7">
        <f t="shared" si="10"/>
        <v>0</v>
      </c>
      <c r="YI9" s="7">
        <f t="shared" si="10"/>
        <v>0</v>
      </c>
      <c r="YJ9" s="7">
        <f t="shared" si="10"/>
        <v>0</v>
      </c>
      <c r="YK9" s="7">
        <f t="shared" si="10"/>
        <v>0</v>
      </c>
      <c r="YL9" s="7">
        <f t="shared" si="10"/>
        <v>0</v>
      </c>
      <c r="YM9" s="7">
        <f t="shared" si="10"/>
        <v>0</v>
      </c>
      <c r="YN9" s="7">
        <f t="shared" si="10"/>
        <v>0</v>
      </c>
      <c r="YO9" s="7">
        <f t="shared" si="10"/>
        <v>0</v>
      </c>
      <c r="YP9" s="7">
        <f t="shared" si="10"/>
        <v>0</v>
      </c>
      <c r="YQ9" s="7">
        <f t="shared" si="10"/>
        <v>0</v>
      </c>
      <c r="YR9" s="7">
        <f t="shared" si="10"/>
        <v>0</v>
      </c>
      <c r="YS9" s="7">
        <f t="shared" si="10"/>
        <v>0</v>
      </c>
      <c r="YT9" s="7">
        <f t="shared" si="10"/>
        <v>2</v>
      </c>
      <c r="YU9" s="7">
        <f t="shared" si="10"/>
        <v>1</v>
      </c>
      <c r="YV9" s="7">
        <f t="shared" si="10"/>
        <v>2</v>
      </c>
      <c r="YW9" s="7">
        <f t="shared" si="10"/>
        <v>2</v>
      </c>
      <c r="YX9" s="7">
        <f t="shared" si="10"/>
        <v>2</v>
      </c>
      <c r="YY9" s="7">
        <f t="shared" si="10"/>
        <v>3</v>
      </c>
      <c r="YZ9" s="7">
        <f t="shared" si="10"/>
        <v>3</v>
      </c>
      <c r="ZA9" s="7">
        <f t="shared" si="10"/>
        <v>4</v>
      </c>
      <c r="ZB9" s="7">
        <f t="shared" si="10"/>
        <v>5</v>
      </c>
      <c r="ZC9" s="7">
        <f t="shared" si="10"/>
        <v>4</v>
      </c>
      <c r="ZD9" s="7">
        <f t="shared" si="10"/>
        <v>1</v>
      </c>
      <c r="ZE9" s="7">
        <f t="shared" si="10"/>
        <v>0</v>
      </c>
      <c r="ZF9" s="7">
        <f t="shared" si="10"/>
        <v>1</v>
      </c>
      <c r="ZG9" s="7">
        <f t="shared" si="10"/>
        <v>0</v>
      </c>
      <c r="ZH9" s="7">
        <f t="shared" si="10"/>
        <v>2</v>
      </c>
      <c r="ZI9" s="7">
        <f t="shared" si="10"/>
        <v>1</v>
      </c>
      <c r="ZJ9" s="7">
        <f t="shared" si="10"/>
        <v>3</v>
      </c>
      <c r="ZK9" s="7">
        <f t="shared" si="10"/>
        <v>1</v>
      </c>
      <c r="ZL9" s="7">
        <f t="shared" si="10"/>
        <v>1</v>
      </c>
      <c r="ZM9" s="7">
        <f t="shared" si="10"/>
        <v>2</v>
      </c>
      <c r="ZN9" s="7">
        <f t="shared" si="10"/>
        <v>2</v>
      </c>
      <c r="ZO9" s="7">
        <f t="shared" si="10"/>
        <v>0</v>
      </c>
      <c r="ZP9" s="7">
        <f t="shared" si="10"/>
        <v>1</v>
      </c>
      <c r="ZQ9" s="7">
        <f t="shared" si="10"/>
        <v>1</v>
      </c>
      <c r="ZR9" s="7">
        <f t="shared" si="10"/>
        <v>0</v>
      </c>
      <c r="ZS9" s="7">
        <f t="shared" si="10"/>
        <v>1</v>
      </c>
      <c r="ZT9" s="7">
        <f t="shared" si="10"/>
        <v>2</v>
      </c>
      <c r="ZU9" s="7">
        <f t="shared" si="10"/>
        <v>0</v>
      </c>
      <c r="ZV9" s="7">
        <f t="shared" si="10"/>
        <v>2</v>
      </c>
      <c r="ZW9" s="7">
        <f t="shared" si="10"/>
        <v>4</v>
      </c>
      <c r="ZX9" s="7">
        <f t="shared" si="10"/>
        <v>4</v>
      </c>
      <c r="ZY9" s="7">
        <f t="shared" si="10"/>
        <v>2</v>
      </c>
      <c r="ZZ9" s="7">
        <f t="shared" si="10"/>
        <v>3</v>
      </c>
      <c r="AAA9" s="7">
        <f t="shared" si="10"/>
        <v>2</v>
      </c>
      <c r="AAB9" s="7">
        <f t="shared" si="10"/>
        <v>3</v>
      </c>
      <c r="AAC9" s="7">
        <f t="shared" si="10"/>
        <v>1</v>
      </c>
      <c r="AAD9" s="7">
        <f t="shared" si="10"/>
        <v>4</v>
      </c>
      <c r="AAE9" s="7">
        <f t="shared" si="10"/>
        <v>2</v>
      </c>
      <c r="AAF9" s="7">
        <f t="shared" si="10"/>
        <v>2</v>
      </c>
      <c r="AAG9" s="7">
        <f t="shared" ref="AAG9:ACI9" si="11">SUM(AAG11:AAG64)</f>
        <v>2</v>
      </c>
      <c r="AAH9" s="7">
        <f t="shared" si="11"/>
        <v>5</v>
      </c>
      <c r="AAI9" s="7">
        <f t="shared" si="11"/>
        <v>3</v>
      </c>
      <c r="AAJ9" s="7">
        <f t="shared" si="11"/>
        <v>1</v>
      </c>
      <c r="AAK9" s="7">
        <f t="shared" si="11"/>
        <v>1</v>
      </c>
      <c r="AAL9" s="7">
        <f t="shared" si="11"/>
        <v>1</v>
      </c>
      <c r="AAM9" s="7">
        <f t="shared" si="11"/>
        <v>1</v>
      </c>
      <c r="AAN9" s="7">
        <f t="shared" si="11"/>
        <v>0</v>
      </c>
      <c r="AAO9" s="7">
        <f t="shared" si="11"/>
        <v>1</v>
      </c>
      <c r="AAP9" s="7">
        <f t="shared" si="11"/>
        <v>1</v>
      </c>
      <c r="AAQ9" s="7">
        <f t="shared" si="11"/>
        <v>2</v>
      </c>
      <c r="AAR9" s="7">
        <f t="shared" si="11"/>
        <v>1</v>
      </c>
      <c r="AAS9" s="7">
        <f t="shared" si="11"/>
        <v>1</v>
      </c>
      <c r="AAT9" s="7">
        <f t="shared" si="11"/>
        <v>2</v>
      </c>
      <c r="AAU9" s="7">
        <f t="shared" si="11"/>
        <v>1</v>
      </c>
      <c r="AAV9" s="7">
        <f t="shared" si="11"/>
        <v>2</v>
      </c>
      <c r="AAW9" s="7">
        <f t="shared" si="11"/>
        <v>2</v>
      </c>
      <c r="AAX9" s="7">
        <f t="shared" si="11"/>
        <v>1</v>
      </c>
      <c r="AAY9" s="7">
        <f t="shared" si="11"/>
        <v>1</v>
      </c>
      <c r="AAZ9" s="7">
        <f t="shared" si="11"/>
        <v>2</v>
      </c>
      <c r="ABA9" s="7">
        <f t="shared" si="11"/>
        <v>1</v>
      </c>
      <c r="ABB9" s="7">
        <f t="shared" si="11"/>
        <v>0</v>
      </c>
      <c r="ABC9" s="7">
        <f t="shared" si="11"/>
        <v>0</v>
      </c>
      <c r="ABD9" s="7">
        <f t="shared" si="11"/>
        <v>0</v>
      </c>
      <c r="ABE9" s="7">
        <f t="shared" si="11"/>
        <v>0</v>
      </c>
      <c r="ABF9" s="7">
        <f t="shared" si="11"/>
        <v>0</v>
      </c>
      <c r="ABG9" s="7">
        <f t="shared" si="11"/>
        <v>0</v>
      </c>
      <c r="ABH9" s="7">
        <f t="shared" si="11"/>
        <v>0</v>
      </c>
      <c r="ABI9" s="7">
        <f t="shared" si="11"/>
        <v>0</v>
      </c>
      <c r="ABJ9" s="7">
        <f t="shared" si="11"/>
        <v>0</v>
      </c>
      <c r="ABK9" s="7">
        <f t="shared" si="11"/>
        <v>0</v>
      </c>
      <c r="ABL9" s="7">
        <f t="shared" si="11"/>
        <v>0</v>
      </c>
      <c r="ABM9" s="7">
        <f t="shared" si="11"/>
        <v>0</v>
      </c>
      <c r="ABN9" s="7">
        <f t="shared" si="11"/>
        <v>0</v>
      </c>
      <c r="ABO9" s="7">
        <f t="shared" si="11"/>
        <v>0</v>
      </c>
      <c r="ABP9" s="7">
        <f t="shared" si="11"/>
        <v>0</v>
      </c>
      <c r="ABQ9" s="7">
        <f t="shared" si="11"/>
        <v>0</v>
      </c>
      <c r="ABR9" s="7">
        <f t="shared" si="11"/>
        <v>0</v>
      </c>
      <c r="ABS9" s="7">
        <f t="shared" si="11"/>
        <v>0</v>
      </c>
      <c r="ABT9" s="7">
        <f t="shared" si="11"/>
        <v>0</v>
      </c>
      <c r="ABU9" s="7">
        <f t="shared" si="11"/>
        <v>0</v>
      </c>
      <c r="ABV9" s="7">
        <f t="shared" si="11"/>
        <v>140</v>
      </c>
      <c r="ABW9" s="7">
        <f t="shared" si="11"/>
        <v>119</v>
      </c>
      <c r="ABX9" s="7">
        <f t="shared" si="11"/>
        <v>259</v>
      </c>
      <c r="ABY9" s="7">
        <f t="shared" si="11"/>
        <v>958</v>
      </c>
      <c r="ABZ9" s="7">
        <f t="shared" si="11"/>
        <v>666</v>
      </c>
      <c r="ACA9" s="7">
        <f t="shared" si="11"/>
        <v>1624</v>
      </c>
      <c r="ACB9" s="7">
        <f t="shared" si="11"/>
        <v>274</v>
      </c>
      <c r="ACC9" s="7">
        <f t="shared" si="11"/>
        <v>1091</v>
      </c>
      <c r="ACD9" s="7">
        <f t="shared" si="11"/>
        <v>259</v>
      </c>
      <c r="ACE9" s="7">
        <f t="shared" si="11"/>
        <v>1624</v>
      </c>
      <c r="ACF9" s="7">
        <f t="shared" si="11"/>
        <v>2</v>
      </c>
      <c r="ACG9" s="7">
        <f t="shared" si="11"/>
        <v>34</v>
      </c>
      <c r="ACH9" s="7">
        <f t="shared" si="11"/>
        <v>4</v>
      </c>
      <c r="ACI9" s="7">
        <f t="shared" si="11"/>
        <v>34</v>
      </c>
    </row>
    <row r="10" spans="1:763" x14ac:dyDescent="0.25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68</v>
      </c>
      <c r="K10" s="1" t="s">
        <v>69</v>
      </c>
      <c r="L10" s="1" t="s">
        <v>70</v>
      </c>
      <c r="M10" s="1" t="s">
        <v>71</v>
      </c>
      <c r="N10" s="1" t="s">
        <v>72</v>
      </c>
      <c r="O10" s="1" t="s">
        <v>73</v>
      </c>
      <c r="P10" s="1" t="s">
        <v>74</v>
      </c>
      <c r="Q10" s="1" t="s">
        <v>75</v>
      </c>
      <c r="R10" s="1" t="s">
        <v>76</v>
      </c>
      <c r="S10" s="6" t="s">
        <v>57</v>
      </c>
      <c r="T10" s="6" t="s">
        <v>58</v>
      </c>
      <c r="U10" s="6" t="s">
        <v>53</v>
      </c>
      <c r="V10" s="1" t="s">
        <v>77</v>
      </c>
      <c r="W10" s="1" t="s">
        <v>78</v>
      </c>
      <c r="X10" s="1" t="s">
        <v>79</v>
      </c>
      <c r="Y10" s="1" t="s">
        <v>80</v>
      </c>
      <c r="Z10" s="1" t="s">
        <v>81</v>
      </c>
      <c r="AA10" s="1" t="s">
        <v>82</v>
      </c>
      <c r="AB10" s="1" t="s">
        <v>83</v>
      </c>
      <c r="AC10" s="1" t="s">
        <v>84</v>
      </c>
      <c r="AD10" s="1" t="s">
        <v>85</v>
      </c>
      <c r="AE10" s="1" t="s">
        <v>86</v>
      </c>
      <c r="AF10" s="1" t="s">
        <v>87</v>
      </c>
      <c r="AG10" s="1" t="s">
        <v>88</v>
      </c>
      <c r="AH10" s="1" t="s">
        <v>89</v>
      </c>
      <c r="AI10" s="1" t="s">
        <v>90</v>
      </c>
      <c r="AJ10" s="1" t="s">
        <v>91</v>
      </c>
      <c r="AK10" s="1" t="s">
        <v>92</v>
      </c>
      <c r="AL10" s="1" t="s">
        <v>93</v>
      </c>
      <c r="AM10" s="1" t="s">
        <v>94</v>
      </c>
      <c r="AN10" s="1" t="s">
        <v>95</v>
      </c>
      <c r="AO10" s="1" t="s">
        <v>96</v>
      </c>
      <c r="AP10" s="1" t="s">
        <v>97</v>
      </c>
      <c r="AQ10" s="1" t="s">
        <v>98</v>
      </c>
      <c r="AR10" s="1" t="s">
        <v>99</v>
      </c>
      <c r="AS10" s="1" t="s">
        <v>100</v>
      </c>
      <c r="AT10" s="1" t="s">
        <v>101</v>
      </c>
      <c r="AU10" s="1" t="s">
        <v>102</v>
      </c>
      <c r="AV10" s="1" t="s">
        <v>103</v>
      </c>
      <c r="AW10" s="1" t="s">
        <v>104</v>
      </c>
      <c r="AX10" s="1" t="s">
        <v>105</v>
      </c>
      <c r="AY10" s="1" t="s">
        <v>106</v>
      </c>
      <c r="AZ10" s="1" t="s">
        <v>107</v>
      </c>
      <c r="BA10" s="1" t="s">
        <v>108</v>
      </c>
      <c r="BB10" s="1" t="s">
        <v>109</v>
      </c>
      <c r="BC10" s="1" t="s">
        <v>110</v>
      </c>
      <c r="BD10" s="1" t="s">
        <v>111</v>
      </c>
      <c r="BE10" s="1" t="s">
        <v>112</v>
      </c>
      <c r="BF10" s="1" t="s">
        <v>113</v>
      </c>
      <c r="BG10" s="1" t="s">
        <v>114</v>
      </c>
      <c r="BH10" s="1" t="s">
        <v>115</v>
      </c>
      <c r="BI10" s="1" t="s">
        <v>116</v>
      </c>
      <c r="BJ10" s="1" t="s">
        <v>117</v>
      </c>
      <c r="BK10" s="1" t="s">
        <v>118</v>
      </c>
      <c r="BL10" s="1" t="s">
        <v>119</v>
      </c>
      <c r="BM10" s="1" t="s">
        <v>120</v>
      </c>
      <c r="BN10" s="1" t="s">
        <v>121</v>
      </c>
      <c r="BO10" s="1" t="s">
        <v>122</v>
      </c>
      <c r="BP10" s="1" t="s">
        <v>123</v>
      </c>
      <c r="BQ10" s="1" t="s">
        <v>124</v>
      </c>
      <c r="BR10" s="1" t="s">
        <v>125</v>
      </c>
      <c r="BS10" s="1" t="s">
        <v>126</v>
      </c>
      <c r="BT10" s="1" t="s">
        <v>127</v>
      </c>
      <c r="BU10" s="1" t="s">
        <v>128</v>
      </c>
      <c r="BV10" s="1" t="s">
        <v>129</v>
      </c>
      <c r="BW10" s="1" t="s">
        <v>130</v>
      </c>
      <c r="BX10" s="1" t="s">
        <v>131</v>
      </c>
      <c r="BY10" s="1" t="s">
        <v>132</v>
      </c>
      <c r="BZ10" s="1" t="s">
        <v>133</v>
      </c>
      <c r="CA10" s="1" t="s">
        <v>134</v>
      </c>
      <c r="CB10" s="1" t="s">
        <v>135</v>
      </c>
      <c r="CC10" s="1" t="s">
        <v>136</v>
      </c>
      <c r="CD10" s="1" t="s">
        <v>137</v>
      </c>
      <c r="CE10" s="1" t="s">
        <v>138</v>
      </c>
      <c r="CF10" s="1" t="s">
        <v>139</v>
      </c>
      <c r="CG10" s="1" t="s">
        <v>140</v>
      </c>
      <c r="CH10" s="1" t="s">
        <v>141</v>
      </c>
      <c r="CI10" s="1" t="s">
        <v>142</v>
      </c>
      <c r="CJ10" s="1" t="s">
        <v>143</v>
      </c>
      <c r="CK10" s="1" t="s">
        <v>144</v>
      </c>
      <c r="CL10" s="1" t="s">
        <v>145</v>
      </c>
      <c r="CM10" s="1" t="s">
        <v>146</v>
      </c>
      <c r="CN10" s="1" t="s">
        <v>147</v>
      </c>
      <c r="CO10" s="1" t="s">
        <v>148</v>
      </c>
      <c r="CP10" s="1" t="s">
        <v>149</v>
      </c>
      <c r="CQ10" s="1" t="s">
        <v>150</v>
      </c>
      <c r="CR10" s="1" t="s">
        <v>151</v>
      </c>
      <c r="CS10" s="1" t="s">
        <v>152</v>
      </c>
      <c r="CT10" s="1" t="s">
        <v>153</v>
      </c>
      <c r="CU10" s="1" t="s">
        <v>154</v>
      </c>
      <c r="CV10" s="1" t="s">
        <v>155</v>
      </c>
      <c r="CW10" s="1" t="s">
        <v>156</v>
      </c>
      <c r="CX10" s="1" t="s">
        <v>157</v>
      </c>
      <c r="CY10" s="1" t="s">
        <v>158</v>
      </c>
      <c r="CZ10" s="1" t="s">
        <v>159</v>
      </c>
      <c r="DA10" s="1" t="s">
        <v>160</v>
      </c>
      <c r="DB10" s="1" t="s">
        <v>161</v>
      </c>
      <c r="DC10" s="1" t="s">
        <v>162</v>
      </c>
      <c r="DD10" s="1" t="s">
        <v>163</v>
      </c>
      <c r="DE10" s="1" t="s">
        <v>164</v>
      </c>
      <c r="DF10" s="1" t="s">
        <v>165</v>
      </c>
      <c r="DG10" s="1" t="s">
        <v>166</v>
      </c>
      <c r="DH10" s="1" t="s">
        <v>167</v>
      </c>
      <c r="DI10" s="1" t="s">
        <v>168</v>
      </c>
      <c r="DJ10" s="1" t="s">
        <v>169</v>
      </c>
      <c r="DK10" s="1" t="s">
        <v>170</v>
      </c>
      <c r="DL10" s="1" t="s">
        <v>171</v>
      </c>
      <c r="DM10" s="1" t="s">
        <v>172</v>
      </c>
      <c r="DN10" s="1" t="s">
        <v>173</v>
      </c>
      <c r="DO10" s="1" t="s">
        <v>174</v>
      </c>
      <c r="DP10" s="1" t="s">
        <v>175</v>
      </c>
      <c r="DQ10" s="1" t="s">
        <v>176</v>
      </c>
      <c r="DR10" s="1" t="s">
        <v>177</v>
      </c>
      <c r="DS10" s="1" t="s">
        <v>178</v>
      </c>
      <c r="DT10" s="1" t="s">
        <v>179</v>
      </c>
      <c r="DU10" s="1" t="s">
        <v>180</v>
      </c>
      <c r="DV10" s="1" t="s">
        <v>181</v>
      </c>
      <c r="DW10" s="1" t="s">
        <v>182</v>
      </c>
      <c r="DX10" s="1" t="s">
        <v>183</v>
      </c>
      <c r="DY10" s="1" t="s">
        <v>184</v>
      </c>
      <c r="DZ10" s="1" t="s">
        <v>185</v>
      </c>
      <c r="EA10" s="1" t="s">
        <v>186</v>
      </c>
      <c r="EB10" s="1" t="s">
        <v>187</v>
      </c>
      <c r="EC10" s="1" t="s">
        <v>188</v>
      </c>
      <c r="ED10" s="1" t="s">
        <v>189</v>
      </c>
      <c r="EE10" s="1" t="s">
        <v>190</v>
      </c>
      <c r="EF10" s="1" t="s">
        <v>191</v>
      </c>
      <c r="EG10" s="1" t="s">
        <v>192</v>
      </c>
      <c r="EH10" s="1" t="s">
        <v>193</v>
      </c>
      <c r="EI10" s="1" t="s">
        <v>194</v>
      </c>
      <c r="EJ10" s="1" t="s">
        <v>195</v>
      </c>
      <c r="EK10" s="1" t="s">
        <v>196</v>
      </c>
      <c r="EL10" s="1" t="s">
        <v>197</v>
      </c>
      <c r="EM10" s="1" t="s">
        <v>198</v>
      </c>
      <c r="EN10" s="1" t="s">
        <v>199</v>
      </c>
      <c r="EO10" s="1" t="s">
        <v>200</v>
      </c>
      <c r="EP10" s="1" t="s">
        <v>201</v>
      </c>
      <c r="EQ10" s="1" t="s">
        <v>202</v>
      </c>
      <c r="ER10" s="1" t="s">
        <v>203</v>
      </c>
      <c r="ES10" s="1" t="s">
        <v>204</v>
      </c>
      <c r="ET10" s="1" t="s">
        <v>205</v>
      </c>
      <c r="EU10" s="1" t="s">
        <v>206</v>
      </c>
      <c r="EV10" s="1" t="s">
        <v>207</v>
      </c>
      <c r="EW10" s="1" t="s">
        <v>208</v>
      </c>
      <c r="EX10" s="1" t="s">
        <v>209</v>
      </c>
      <c r="EY10" s="1" t="s">
        <v>210</v>
      </c>
      <c r="EZ10" s="1" t="s">
        <v>211</v>
      </c>
      <c r="FA10" s="1" t="s">
        <v>212</v>
      </c>
      <c r="FB10" s="1" t="s">
        <v>213</v>
      </c>
      <c r="FC10" s="1" t="s">
        <v>214</v>
      </c>
      <c r="FD10" s="1" t="s">
        <v>215</v>
      </c>
      <c r="FE10" s="1" t="s">
        <v>216</v>
      </c>
      <c r="FF10" s="1" t="s">
        <v>217</v>
      </c>
      <c r="FG10" s="1" t="s">
        <v>218</v>
      </c>
      <c r="FH10" s="1" t="s">
        <v>219</v>
      </c>
      <c r="FI10" s="1" t="s">
        <v>220</v>
      </c>
      <c r="FJ10" s="1" t="s">
        <v>221</v>
      </c>
      <c r="FK10" s="1" t="s">
        <v>222</v>
      </c>
      <c r="FL10" s="1" t="s">
        <v>223</v>
      </c>
      <c r="FM10" s="1" t="s">
        <v>224</v>
      </c>
      <c r="FN10" s="1" t="s">
        <v>225</v>
      </c>
      <c r="FO10" s="1" t="s">
        <v>226</v>
      </c>
      <c r="FP10" s="1" t="s">
        <v>227</v>
      </c>
      <c r="FQ10" s="1" t="s">
        <v>228</v>
      </c>
      <c r="FR10" s="1" t="s">
        <v>229</v>
      </c>
      <c r="FS10" s="1" t="s">
        <v>230</v>
      </c>
      <c r="FT10" s="1" t="s">
        <v>231</v>
      </c>
      <c r="FU10" s="1" t="s">
        <v>232</v>
      </c>
      <c r="FV10" s="1" t="s">
        <v>233</v>
      </c>
      <c r="FW10" s="1" t="s">
        <v>234</v>
      </c>
      <c r="FX10" s="1" t="s">
        <v>235</v>
      </c>
      <c r="FY10" s="1" t="s">
        <v>236</v>
      </c>
      <c r="FZ10" s="1" t="s">
        <v>237</v>
      </c>
      <c r="GA10" s="1" t="s">
        <v>238</v>
      </c>
      <c r="GB10" s="1" t="s">
        <v>239</v>
      </c>
      <c r="GC10" s="1" t="s">
        <v>240</v>
      </c>
      <c r="GD10" s="1" t="s">
        <v>241</v>
      </c>
      <c r="GE10" s="1" t="s">
        <v>242</v>
      </c>
      <c r="GF10" s="1" t="s">
        <v>243</v>
      </c>
      <c r="GG10" s="1" t="s">
        <v>244</v>
      </c>
      <c r="GH10" s="1" t="s">
        <v>245</v>
      </c>
      <c r="GI10" s="1" t="s">
        <v>246</v>
      </c>
      <c r="GJ10" s="1" t="s">
        <v>247</v>
      </c>
      <c r="GK10" s="1" t="s">
        <v>248</v>
      </c>
      <c r="GL10" s="1" t="s">
        <v>249</v>
      </c>
      <c r="GM10" s="1" t="s">
        <v>250</v>
      </c>
      <c r="GN10" s="1" t="s">
        <v>251</v>
      </c>
      <c r="GO10" s="1" t="s">
        <v>252</v>
      </c>
      <c r="GP10" s="1" t="s">
        <v>253</v>
      </c>
      <c r="GQ10" s="1" t="s">
        <v>254</v>
      </c>
      <c r="GR10" s="1" t="s">
        <v>255</v>
      </c>
      <c r="GS10" s="1" t="s">
        <v>256</v>
      </c>
      <c r="GT10" s="1" t="s">
        <v>257</v>
      </c>
      <c r="GU10" s="1" t="s">
        <v>258</v>
      </c>
      <c r="GV10" s="1" t="s">
        <v>259</v>
      </c>
      <c r="GW10" s="1" t="s">
        <v>260</v>
      </c>
      <c r="GX10" s="1" t="s">
        <v>261</v>
      </c>
      <c r="GY10" s="1" t="s">
        <v>262</v>
      </c>
      <c r="GZ10" s="1" t="s">
        <v>263</v>
      </c>
      <c r="HA10" s="1" t="s">
        <v>264</v>
      </c>
      <c r="HB10" s="1" t="s">
        <v>265</v>
      </c>
      <c r="HC10" s="1" t="s">
        <v>266</v>
      </c>
      <c r="HD10" s="1" t="s">
        <v>267</v>
      </c>
      <c r="HE10" s="1" t="s">
        <v>268</v>
      </c>
      <c r="HF10" s="1" t="s">
        <v>269</v>
      </c>
      <c r="HG10" s="1" t="s">
        <v>270</v>
      </c>
      <c r="HH10" s="1" t="s">
        <v>271</v>
      </c>
      <c r="HI10" s="1" t="s">
        <v>272</v>
      </c>
      <c r="HJ10" s="1" t="s">
        <v>273</v>
      </c>
      <c r="HK10" s="1" t="s">
        <v>274</v>
      </c>
      <c r="HL10" s="1" t="s">
        <v>275</v>
      </c>
      <c r="HM10" s="1" t="s">
        <v>276</v>
      </c>
      <c r="HN10" s="1" t="s">
        <v>277</v>
      </c>
      <c r="HO10" s="1" t="s">
        <v>278</v>
      </c>
      <c r="HP10" s="1" t="s">
        <v>279</v>
      </c>
      <c r="HQ10" s="1" t="s">
        <v>280</v>
      </c>
      <c r="HR10" s="1" t="s">
        <v>281</v>
      </c>
      <c r="HS10" s="1" t="s">
        <v>282</v>
      </c>
      <c r="HT10" s="1" t="s">
        <v>283</v>
      </c>
      <c r="HU10" s="1" t="s">
        <v>284</v>
      </c>
      <c r="HV10" s="1" t="s">
        <v>285</v>
      </c>
      <c r="HW10" s="1" t="s">
        <v>286</v>
      </c>
      <c r="HX10" s="1" t="s">
        <v>287</v>
      </c>
      <c r="HY10" s="1" t="s">
        <v>288</v>
      </c>
      <c r="HZ10" s="1" t="s">
        <v>289</v>
      </c>
      <c r="IA10" s="1" t="s">
        <v>290</v>
      </c>
      <c r="IB10" s="1" t="s">
        <v>291</v>
      </c>
      <c r="IC10" s="1" t="s">
        <v>292</v>
      </c>
      <c r="ID10" s="1" t="s">
        <v>293</v>
      </c>
      <c r="IE10" s="1" t="s">
        <v>294</v>
      </c>
      <c r="IF10" s="1" t="s">
        <v>295</v>
      </c>
      <c r="IG10" s="1" t="s">
        <v>296</v>
      </c>
      <c r="IH10" s="1" t="s">
        <v>297</v>
      </c>
      <c r="II10" s="1" t="s">
        <v>298</v>
      </c>
      <c r="IJ10" s="1" t="s">
        <v>299</v>
      </c>
      <c r="IK10" s="1" t="s">
        <v>300</v>
      </c>
      <c r="IL10" s="1" t="s">
        <v>301</v>
      </c>
      <c r="IM10" s="1" t="s">
        <v>302</v>
      </c>
      <c r="IN10" s="1" t="s">
        <v>303</v>
      </c>
      <c r="IO10" s="1" t="s">
        <v>304</v>
      </c>
      <c r="IP10" s="1" t="s">
        <v>305</v>
      </c>
      <c r="IQ10" s="1" t="s">
        <v>306</v>
      </c>
      <c r="IR10" s="1" t="s">
        <v>307</v>
      </c>
      <c r="IS10" s="1" t="s">
        <v>308</v>
      </c>
      <c r="IT10" s="1" t="s">
        <v>309</v>
      </c>
      <c r="IU10" s="1" t="s">
        <v>310</v>
      </c>
      <c r="IV10" s="1" t="s">
        <v>311</v>
      </c>
      <c r="IW10" s="1" t="s">
        <v>312</v>
      </c>
      <c r="IX10" s="1" t="s">
        <v>313</v>
      </c>
      <c r="IY10" s="1" t="s">
        <v>314</v>
      </c>
      <c r="IZ10" s="1" t="s">
        <v>315</v>
      </c>
      <c r="JA10" s="1" t="s">
        <v>316</v>
      </c>
      <c r="JB10" s="1" t="s">
        <v>317</v>
      </c>
      <c r="JC10" s="1" t="s">
        <v>318</v>
      </c>
      <c r="JD10" s="1" t="s">
        <v>319</v>
      </c>
      <c r="JE10" s="1" t="s">
        <v>320</v>
      </c>
      <c r="JF10" s="1" t="s">
        <v>321</v>
      </c>
      <c r="JG10" s="1" t="s">
        <v>322</v>
      </c>
      <c r="JH10" s="1" t="s">
        <v>323</v>
      </c>
      <c r="JI10" s="1" t="s">
        <v>324</v>
      </c>
      <c r="JJ10" s="1" t="s">
        <v>325</v>
      </c>
      <c r="JK10" s="1" t="s">
        <v>326</v>
      </c>
      <c r="JL10" s="1" t="s">
        <v>327</v>
      </c>
      <c r="JM10" s="1" t="s">
        <v>328</v>
      </c>
      <c r="JN10" s="1" t="s">
        <v>329</v>
      </c>
      <c r="JO10" s="1" t="s">
        <v>330</v>
      </c>
      <c r="JP10" s="1" t="s">
        <v>331</v>
      </c>
      <c r="JQ10" s="1" t="s">
        <v>332</v>
      </c>
      <c r="JR10" s="1" t="s">
        <v>333</v>
      </c>
      <c r="JS10" s="1" t="s">
        <v>334</v>
      </c>
      <c r="JT10" s="1" t="s">
        <v>335</v>
      </c>
      <c r="JU10" s="1" t="s">
        <v>336</v>
      </c>
      <c r="JV10" s="1" t="s">
        <v>337</v>
      </c>
      <c r="JW10" s="1" t="s">
        <v>338</v>
      </c>
      <c r="JX10" s="1" t="s">
        <v>339</v>
      </c>
      <c r="JY10" s="1" t="s">
        <v>340</v>
      </c>
      <c r="JZ10" s="1" t="s">
        <v>341</v>
      </c>
      <c r="KA10" s="1" t="s">
        <v>342</v>
      </c>
      <c r="KB10" s="3" t="s">
        <v>57</v>
      </c>
      <c r="KC10" s="3" t="s">
        <v>58</v>
      </c>
      <c r="KD10" s="3" t="s">
        <v>53</v>
      </c>
      <c r="KE10" s="1" t="s">
        <v>343</v>
      </c>
      <c r="KF10" s="1" t="s">
        <v>344</v>
      </c>
      <c r="KG10" s="1" t="s">
        <v>345</v>
      </c>
      <c r="KH10" s="1" t="s">
        <v>346</v>
      </c>
      <c r="KI10" s="1" t="s">
        <v>347</v>
      </c>
      <c r="KJ10" s="1" t="s">
        <v>348</v>
      </c>
      <c r="KK10" s="1" t="s">
        <v>349</v>
      </c>
      <c r="KL10" s="1" t="s">
        <v>350</v>
      </c>
      <c r="KM10" s="1" t="s">
        <v>351</v>
      </c>
      <c r="KN10" s="1" t="s">
        <v>352</v>
      </c>
      <c r="KO10" s="1" t="s">
        <v>353</v>
      </c>
      <c r="KP10" s="1" t="s">
        <v>354</v>
      </c>
      <c r="KQ10" s="1" t="s">
        <v>355</v>
      </c>
      <c r="KR10" s="1" t="s">
        <v>356</v>
      </c>
      <c r="KS10" s="1" t="s">
        <v>357</v>
      </c>
      <c r="KT10" s="1" t="s">
        <v>358</v>
      </c>
      <c r="KU10" s="1" t="s">
        <v>359</v>
      </c>
      <c r="KV10" s="1" t="s">
        <v>360</v>
      </c>
      <c r="KW10" s="1" t="s">
        <v>361</v>
      </c>
      <c r="KX10" s="1" t="s">
        <v>362</v>
      </c>
      <c r="KY10" s="1" t="s">
        <v>363</v>
      </c>
      <c r="KZ10" s="1" t="s">
        <v>364</v>
      </c>
      <c r="LA10" s="1" t="s">
        <v>365</v>
      </c>
      <c r="LB10" s="1" t="s">
        <v>366</v>
      </c>
      <c r="LC10" s="1" t="s">
        <v>367</v>
      </c>
      <c r="LD10" s="1" t="s">
        <v>368</v>
      </c>
      <c r="LE10" s="1" t="s">
        <v>369</v>
      </c>
      <c r="LF10" s="1" t="s">
        <v>370</v>
      </c>
      <c r="LG10" s="1" t="s">
        <v>371</v>
      </c>
      <c r="LH10" s="1" t="s">
        <v>372</v>
      </c>
      <c r="LI10" s="1" t="s">
        <v>373</v>
      </c>
      <c r="LJ10" s="1" t="s">
        <v>374</v>
      </c>
      <c r="LK10" s="1" t="s">
        <v>375</v>
      </c>
      <c r="LL10" s="1" t="s">
        <v>376</v>
      </c>
      <c r="LM10" s="1" t="s">
        <v>377</v>
      </c>
      <c r="LN10" s="1" t="s">
        <v>378</v>
      </c>
      <c r="LO10" s="1" t="s">
        <v>379</v>
      </c>
      <c r="LP10" s="1" t="s">
        <v>380</v>
      </c>
      <c r="LQ10" s="1" t="s">
        <v>381</v>
      </c>
      <c r="LR10" s="1" t="s">
        <v>382</v>
      </c>
      <c r="LS10" s="1" t="s">
        <v>383</v>
      </c>
      <c r="LT10" s="1" t="s">
        <v>384</v>
      </c>
      <c r="LU10" s="1" t="s">
        <v>385</v>
      </c>
      <c r="LV10" s="1" t="s">
        <v>386</v>
      </c>
      <c r="LW10" s="1" t="s">
        <v>387</v>
      </c>
      <c r="LX10" s="1" t="s">
        <v>388</v>
      </c>
      <c r="LY10" s="1" t="s">
        <v>389</v>
      </c>
      <c r="LZ10" s="1" t="s">
        <v>390</v>
      </c>
      <c r="MA10" s="1" t="s">
        <v>391</v>
      </c>
      <c r="MB10" s="1" t="s">
        <v>392</v>
      </c>
      <c r="MC10" s="1" t="s">
        <v>393</v>
      </c>
      <c r="MD10" s="1" t="s">
        <v>394</v>
      </c>
      <c r="ME10" s="1" t="s">
        <v>395</v>
      </c>
      <c r="MF10" s="1" t="s">
        <v>396</v>
      </c>
      <c r="MG10" s="1" t="s">
        <v>397</v>
      </c>
      <c r="MH10" s="1" t="s">
        <v>398</v>
      </c>
      <c r="MI10" s="1" t="s">
        <v>399</v>
      </c>
      <c r="MJ10" s="1" t="s">
        <v>400</v>
      </c>
      <c r="MK10" s="1" t="s">
        <v>401</v>
      </c>
      <c r="ML10" s="1" t="s">
        <v>402</v>
      </c>
      <c r="MM10" s="1" t="s">
        <v>403</v>
      </c>
      <c r="MN10" s="1" t="s">
        <v>404</v>
      </c>
      <c r="MO10" s="1" t="s">
        <v>405</v>
      </c>
      <c r="MP10" s="1" t="s">
        <v>406</v>
      </c>
      <c r="MQ10" s="1" t="s">
        <v>407</v>
      </c>
      <c r="MR10" s="1" t="s">
        <v>408</v>
      </c>
      <c r="MS10" s="1" t="s">
        <v>409</v>
      </c>
      <c r="MT10" s="1" t="s">
        <v>410</v>
      </c>
      <c r="MU10" s="1" t="s">
        <v>411</v>
      </c>
      <c r="MV10" s="1" t="s">
        <v>412</v>
      </c>
      <c r="MW10" s="1" t="s">
        <v>413</v>
      </c>
      <c r="MX10" s="1" t="s">
        <v>414</v>
      </c>
      <c r="MY10" s="1" t="s">
        <v>415</v>
      </c>
      <c r="MZ10" s="1" t="s">
        <v>416</v>
      </c>
      <c r="NA10" s="1" t="s">
        <v>417</v>
      </c>
      <c r="NB10" s="1" t="s">
        <v>418</v>
      </c>
      <c r="NC10" s="1" t="s">
        <v>419</v>
      </c>
      <c r="ND10" s="1" t="s">
        <v>420</v>
      </c>
      <c r="NE10" s="1" t="s">
        <v>421</v>
      </c>
      <c r="NF10" s="1" t="s">
        <v>422</v>
      </c>
      <c r="NG10" s="1" t="s">
        <v>423</v>
      </c>
      <c r="NH10" s="1" t="s">
        <v>424</v>
      </c>
      <c r="NI10" s="1" t="s">
        <v>425</v>
      </c>
      <c r="NJ10" s="1" t="s">
        <v>426</v>
      </c>
      <c r="NK10" s="1" t="s">
        <v>427</v>
      </c>
      <c r="NL10" s="1" t="s">
        <v>428</v>
      </c>
      <c r="NM10" s="1" t="s">
        <v>429</v>
      </c>
      <c r="NN10" s="1" t="s">
        <v>430</v>
      </c>
      <c r="NO10" s="1" t="s">
        <v>431</v>
      </c>
      <c r="NP10" s="1" t="s">
        <v>432</v>
      </c>
      <c r="NQ10" s="1" t="s">
        <v>433</v>
      </c>
      <c r="NR10" s="1" t="s">
        <v>434</v>
      </c>
      <c r="NS10" s="1" t="s">
        <v>435</v>
      </c>
      <c r="NT10" s="1" t="s">
        <v>436</v>
      </c>
      <c r="NU10" s="1" t="s">
        <v>437</v>
      </c>
      <c r="NV10" s="1" t="s">
        <v>438</v>
      </c>
      <c r="NW10" s="1" t="s">
        <v>439</v>
      </c>
      <c r="NX10" s="1" t="s">
        <v>440</v>
      </c>
      <c r="NY10" s="1" t="s">
        <v>441</v>
      </c>
      <c r="NZ10" s="1" t="s">
        <v>442</v>
      </c>
      <c r="OA10" s="1" t="s">
        <v>443</v>
      </c>
      <c r="OB10" s="1" t="s">
        <v>444</v>
      </c>
      <c r="OC10" s="1" t="s">
        <v>445</v>
      </c>
      <c r="OD10" s="1" t="s">
        <v>446</v>
      </c>
      <c r="OE10" s="1" t="s">
        <v>447</v>
      </c>
      <c r="OF10" s="1" t="s">
        <v>448</v>
      </c>
      <c r="OG10" s="1" t="s">
        <v>449</v>
      </c>
      <c r="OH10" s="1" t="s">
        <v>450</v>
      </c>
      <c r="OI10" s="1" t="s">
        <v>451</v>
      </c>
      <c r="OJ10" s="1" t="s">
        <v>452</v>
      </c>
      <c r="OK10" s="1" t="s">
        <v>453</v>
      </c>
      <c r="OL10" s="1" t="s">
        <v>454</v>
      </c>
      <c r="OM10" s="1" t="s">
        <v>455</v>
      </c>
      <c r="ON10" s="1" t="s">
        <v>456</v>
      </c>
      <c r="OO10" s="1" t="s">
        <v>457</v>
      </c>
      <c r="OP10" s="1" t="s">
        <v>458</v>
      </c>
      <c r="OQ10" s="1" t="s">
        <v>459</v>
      </c>
      <c r="OR10" s="1" t="s">
        <v>460</v>
      </c>
      <c r="OS10" s="1" t="s">
        <v>461</v>
      </c>
      <c r="OT10" s="1" t="s">
        <v>462</v>
      </c>
      <c r="OU10" s="1" t="s">
        <v>463</v>
      </c>
      <c r="OV10" s="1" t="s">
        <v>464</v>
      </c>
      <c r="OW10" s="1" t="s">
        <v>465</v>
      </c>
      <c r="OX10" s="1" t="s">
        <v>466</v>
      </c>
      <c r="OY10" s="1" t="s">
        <v>467</v>
      </c>
      <c r="OZ10" s="1" t="s">
        <v>468</v>
      </c>
      <c r="PA10" s="1" t="s">
        <v>469</v>
      </c>
      <c r="PB10" s="1" t="s">
        <v>470</v>
      </c>
      <c r="PC10" s="1" t="s">
        <v>471</v>
      </c>
      <c r="PD10" s="1" t="s">
        <v>472</v>
      </c>
      <c r="PE10" s="1" t="s">
        <v>473</v>
      </c>
      <c r="PF10" s="1" t="s">
        <v>474</v>
      </c>
      <c r="PG10" s="1" t="s">
        <v>475</v>
      </c>
      <c r="PH10" s="1" t="s">
        <v>476</v>
      </c>
      <c r="PI10" s="1" t="s">
        <v>477</v>
      </c>
      <c r="PJ10" s="1" t="s">
        <v>478</v>
      </c>
      <c r="PK10" s="1" t="s">
        <v>479</v>
      </c>
      <c r="PL10" s="1" t="s">
        <v>480</v>
      </c>
      <c r="PM10" s="1" t="s">
        <v>481</v>
      </c>
      <c r="PN10" s="1" t="s">
        <v>482</v>
      </c>
      <c r="PO10" s="1" t="s">
        <v>483</v>
      </c>
      <c r="PP10" s="1" t="s">
        <v>484</v>
      </c>
      <c r="PQ10" s="1" t="s">
        <v>485</v>
      </c>
      <c r="PR10" s="1" t="s">
        <v>486</v>
      </c>
      <c r="PS10" s="1" t="s">
        <v>487</v>
      </c>
      <c r="PT10" s="1" t="s">
        <v>488</v>
      </c>
      <c r="PU10" s="1" t="s">
        <v>489</v>
      </c>
      <c r="PV10" s="1" t="s">
        <v>490</v>
      </c>
      <c r="PW10" s="1" t="s">
        <v>491</v>
      </c>
      <c r="PX10" s="1" t="s">
        <v>492</v>
      </c>
      <c r="PY10" s="1" t="s">
        <v>493</v>
      </c>
      <c r="PZ10" s="1" t="s">
        <v>494</v>
      </c>
      <c r="QA10" s="1" t="s">
        <v>495</v>
      </c>
      <c r="QB10" s="1" t="s">
        <v>496</v>
      </c>
      <c r="QC10" s="1" t="s">
        <v>497</v>
      </c>
      <c r="QD10" s="1" t="s">
        <v>498</v>
      </c>
      <c r="QE10" s="1" t="s">
        <v>499</v>
      </c>
      <c r="QF10" s="1" t="s">
        <v>500</v>
      </c>
      <c r="QG10" s="1" t="s">
        <v>501</v>
      </c>
      <c r="QH10" s="1" t="s">
        <v>502</v>
      </c>
      <c r="QI10" s="1" t="s">
        <v>503</v>
      </c>
      <c r="QJ10" s="1" t="s">
        <v>504</v>
      </c>
      <c r="QK10" s="1" t="s">
        <v>505</v>
      </c>
      <c r="QL10" s="1" t="s">
        <v>506</v>
      </c>
      <c r="QM10" s="1" t="s">
        <v>507</v>
      </c>
      <c r="QN10" s="1" t="s">
        <v>508</v>
      </c>
      <c r="QO10" s="1" t="s">
        <v>509</v>
      </c>
      <c r="QP10" s="1" t="s">
        <v>510</v>
      </c>
      <c r="QQ10" s="1" t="s">
        <v>511</v>
      </c>
      <c r="QR10" s="1" t="s">
        <v>512</v>
      </c>
      <c r="QS10" s="1" t="s">
        <v>513</v>
      </c>
      <c r="QT10" s="1" t="s">
        <v>514</v>
      </c>
      <c r="QU10" s="1" t="s">
        <v>515</v>
      </c>
      <c r="QV10" s="1" t="s">
        <v>516</v>
      </c>
      <c r="QW10" s="1" t="s">
        <v>517</v>
      </c>
      <c r="QX10" s="1" t="s">
        <v>518</v>
      </c>
      <c r="QY10" s="1" t="s">
        <v>519</v>
      </c>
      <c r="QZ10" s="1" t="s">
        <v>520</v>
      </c>
      <c r="RA10" s="1" t="s">
        <v>521</v>
      </c>
      <c r="RB10" s="1" t="s">
        <v>522</v>
      </c>
      <c r="RC10" s="1" t="s">
        <v>523</v>
      </c>
      <c r="RD10" s="1" t="s">
        <v>524</v>
      </c>
      <c r="RE10" s="1" t="s">
        <v>525</v>
      </c>
      <c r="RF10" s="1" t="s">
        <v>526</v>
      </c>
      <c r="RG10" s="1" t="s">
        <v>527</v>
      </c>
      <c r="RH10" s="1" t="s">
        <v>528</v>
      </c>
      <c r="RI10" s="1" t="s">
        <v>529</v>
      </c>
      <c r="RJ10" s="1" t="s">
        <v>530</v>
      </c>
      <c r="RK10" s="1" t="s">
        <v>531</v>
      </c>
      <c r="RL10" s="1" t="s">
        <v>532</v>
      </c>
      <c r="RM10" s="1" t="s">
        <v>533</v>
      </c>
      <c r="RN10" s="1" t="s">
        <v>534</v>
      </c>
      <c r="RO10" s="1" t="s">
        <v>535</v>
      </c>
      <c r="RP10" s="1" t="s">
        <v>536</v>
      </c>
      <c r="RQ10" s="1" t="s">
        <v>537</v>
      </c>
      <c r="RR10" s="1" t="s">
        <v>538</v>
      </c>
      <c r="RS10" s="1" t="s">
        <v>539</v>
      </c>
      <c r="RT10" s="1" t="s">
        <v>540</v>
      </c>
      <c r="RU10" s="1" t="s">
        <v>541</v>
      </c>
      <c r="RV10" s="1" t="s">
        <v>542</v>
      </c>
      <c r="RW10" s="1" t="s">
        <v>543</v>
      </c>
      <c r="RX10" s="1" t="s">
        <v>544</v>
      </c>
      <c r="RY10" s="1" t="s">
        <v>545</v>
      </c>
      <c r="RZ10" s="1" t="s">
        <v>546</v>
      </c>
      <c r="SA10" s="1" t="s">
        <v>547</v>
      </c>
      <c r="SB10" s="1" t="s">
        <v>548</v>
      </c>
      <c r="SC10" s="1" t="s">
        <v>549</v>
      </c>
      <c r="SD10" s="1" t="s">
        <v>550</v>
      </c>
      <c r="SE10" s="1" t="s">
        <v>551</v>
      </c>
      <c r="SF10" s="1" t="s">
        <v>552</v>
      </c>
      <c r="SG10" s="1" t="s">
        <v>553</v>
      </c>
      <c r="SH10" s="1" t="s">
        <v>554</v>
      </c>
      <c r="SI10" s="1" t="s">
        <v>555</v>
      </c>
      <c r="SJ10" s="1" t="s">
        <v>556</v>
      </c>
      <c r="SK10" s="1" t="s">
        <v>557</v>
      </c>
      <c r="SL10" s="1" t="s">
        <v>558</v>
      </c>
      <c r="SM10" s="1" t="s">
        <v>559</v>
      </c>
      <c r="SN10" s="1" t="s">
        <v>560</v>
      </c>
      <c r="SO10" s="1" t="s">
        <v>561</v>
      </c>
      <c r="SP10" s="1" t="s">
        <v>562</v>
      </c>
      <c r="SQ10" s="1" t="s">
        <v>563</v>
      </c>
      <c r="SR10" s="1" t="s">
        <v>564</v>
      </c>
      <c r="SS10" s="1" t="s">
        <v>565</v>
      </c>
      <c r="ST10" s="1" t="s">
        <v>566</v>
      </c>
      <c r="SU10" s="1" t="s">
        <v>567</v>
      </c>
      <c r="SV10" s="1" t="s">
        <v>568</v>
      </c>
      <c r="SW10" s="1" t="s">
        <v>569</v>
      </c>
      <c r="SX10" s="1" t="s">
        <v>570</v>
      </c>
      <c r="SY10" s="1" t="s">
        <v>571</v>
      </c>
      <c r="SZ10" s="1" t="s">
        <v>572</v>
      </c>
      <c r="TA10" s="1" t="s">
        <v>573</v>
      </c>
      <c r="TB10" s="1" t="s">
        <v>574</v>
      </c>
      <c r="TC10" s="1" t="s">
        <v>575</v>
      </c>
      <c r="TD10" s="1" t="s">
        <v>576</v>
      </c>
      <c r="TE10" s="1" t="s">
        <v>577</v>
      </c>
      <c r="TF10" s="1" t="s">
        <v>578</v>
      </c>
      <c r="TG10" s="1" t="s">
        <v>579</v>
      </c>
      <c r="TH10" s="1" t="s">
        <v>580</v>
      </c>
      <c r="TI10" s="1" t="s">
        <v>581</v>
      </c>
      <c r="TJ10" s="1" t="s">
        <v>582</v>
      </c>
      <c r="TK10" s="1" t="s">
        <v>583</v>
      </c>
      <c r="TL10" s="1" t="s">
        <v>584</v>
      </c>
      <c r="TM10" s="1" t="s">
        <v>585</v>
      </c>
      <c r="TN10" s="1" t="s">
        <v>586</v>
      </c>
      <c r="TO10" s="1" t="s">
        <v>587</v>
      </c>
      <c r="TP10" s="1" t="s">
        <v>588</v>
      </c>
      <c r="TQ10" s="1" t="s">
        <v>589</v>
      </c>
      <c r="TR10" s="1" t="s">
        <v>590</v>
      </c>
      <c r="TS10" s="1" t="s">
        <v>591</v>
      </c>
      <c r="TT10" s="1" t="s">
        <v>592</v>
      </c>
      <c r="TU10" s="1" t="s">
        <v>593</v>
      </c>
      <c r="TV10" s="1" t="s">
        <v>594</v>
      </c>
      <c r="TW10" s="1" t="s">
        <v>595</v>
      </c>
      <c r="TX10" s="1" t="s">
        <v>596</v>
      </c>
      <c r="TY10" s="1" t="s">
        <v>597</v>
      </c>
      <c r="TZ10" s="1" t="s">
        <v>598</v>
      </c>
      <c r="UA10" s="1" t="s">
        <v>599</v>
      </c>
      <c r="UB10" s="1" t="s">
        <v>600</v>
      </c>
      <c r="UC10" s="1" t="s">
        <v>601</v>
      </c>
      <c r="UD10" s="1" t="s">
        <v>602</v>
      </c>
      <c r="UE10" s="1" t="s">
        <v>603</v>
      </c>
      <c r="UF10" s="1" t="s">
        <v>604</v>
      </c>
      <c r="UG10" s="1" t="s">
        <v>605</v>
      </c>
      <c r="UH10" s="1" t="s">
        <v>606</v>
      </c>
      <c r="UI10" s="1" t="s">
        <v>607</v>
      </c>
      <c r="UJ10" s="1" t="s">
        <v>608</v>
      </c>
      <c r="UK10" s="4" t="s">
        <v>57</v>
      </c>
      <c r="UL10" s="4" t="s">
        <v>58</v>
      </c>
      <c r="UM10" s="4" t="s">
        <v>53</v>
      </c>
      <c r="UN10" s="1" t="s">
        <v>609</v>
      </c>
      <c r="UO10" s="1" t="s">
        <v>610</v>
      </c>
      <c r="UP10" s="1" t="s">
        <v>611</v>
      </c>
      <c r="UQ10" s="1" t="s">
        <v>612</v>
      </c>
      <c r="UR10" s="1" t="s">
        <v>613</v>
      </c>
      <c r="US10" s="1" t="s">
        <v>614</v>
      </c>
      <c r="UT10" s="1" t="s">
        <v>615</v>
      </c>
      <c r="UU10" s="1" t="s">
        <v>616</v>
      </c>
      <c r="UV10" s="1" t="s">
        <v>617</v>
      </c>
      <c r="UW10" s="1" t="s">
        <v>618</v>
      </c>
      <c r="UX10" s="1" t="s">
        <v>619</v>
      </c>
      <c r="UY10" s="1" t="s">
        <v>620</v>
      </c>
      <c r="UZ10" s="1" t="s">
        <v>621</v>
      </c>
      <c r="VA10" s="1" t="s">
        <v>622</v>
      </c>
      <c r="VB10" s="1" t="s">
        <v>623</v>
      </c>
      <c r="VC10" s="1" t="s">
        <v>624</v>
      </c>
      <c r="VD10" s="1" t="s">
        <v>625</v>
      </c>
      <c r="VE10" s="1" t="s">
        <v>626</v>
      </c>
      <c r="VF10" s="1" t="s">
        <v>627</v>
      </c>
      <c r="VG10" s="1" t="s">
        <v>628</v>
      </c>
      <c r="VH10" s="1" t="s">
        <v>629</v>
      </c>
      <c r="VI10" s="1" t="s">
        <v>630</v>
      </c>
      <c r="VJ10" s="1" t="s">
        <v>631</v>
      </c>
      <c r="VK10" s="1" t="s">
        <v>632</v>
      </c>
      <c r="VL10" s="1" t="s">
        <v>633</v>
      </c>
      <c r="VM10" s="1" t="s">
        <v>634</v>
      </c>
      <c r="VN10" s="1" t="s">
        <v>635</v>
      </c>
      <c r="VO10" s="1" t="s">
        <v>636</v>
      </c>
      <c r="VP10" s="1" t="s">
        <v>637</v>
      </c>
      <c r="VQ10" s="1" t="s">
        <v>638</v>
      </c>
      <c r="VR10" s="1" t="s">
        <v>639</v>
      </c>
      <c r="VS10" s="1" t="s">
        <v>640</v>
      </c>
      <c r="VT10" s="1" t="s">
        <v>641</v>
      </c>
      <c r="VU10" s="1" t="s">
        <v>642</v>
      </c>
      <c r="VV10" s="1" t="s">
        <v>643</v>
      </c>
      <c r="VW10" s="1" t="s">
        <v>644</v>
      </c>
      <c r="VX10" s="1" t="s">
        <v>645</v>
      </c>
      <c r="VY10" s="1" t="s">
        <v>646</v>
      </c>
      <c r="VZ10" s="1" t="s">
        <v>647</v>
      </c>
      <c r="WA10" s="1" t="s">
        <v>648</v>
      </c>
      <c r="WB10" s="1" t="s">
        <v>649</v>
      </c>
      <c r="WC10" s="1" t="s">
        <v>650</v>
      </c>
      <c r="WD10" s="1" t="s">
        <v>651</v>
      </c>
      <c r="WE10" s="1" t="s">
        <v>652</v>
      </c>
      <c r="WF10" s="1" t="s">
        <v>653</v>
      </c>
      <c r="WG10" s="1" t="s">
        <v>654</v>
      </c>
      <c r="WH10" s="1" t="s">
        <v>655</v>
      </c>
      <c r="WI10" s="1" t="s">
        <v>656</v>
      </c>
      <c r="WJ10" s="1" t="s">
        <v>657</v>
      </c>
      <c r="WK10" s="1" t="s">
        <v>658</v>
      </c>
      <c r="WL10" s="1" t="s">
        <v>659</v>
      </c>
      <c r="WM10" s="1" t="s">
        <v>660</v>
      </c>
      <c r="WN10" s="1" t="s">
        <v>661</v>
      </c>
      <c r="WO10" s="1" t="s">
        <v>662</v>
      </c>
      <c r="WP10" s="1" t="s">
        <v>663</v>
      </c>
      <c r="WQ10" s="1" t="s">
        <v>664</v>
      </c>
      <c r="WR10" s="1" t="s">
        <v>665</v>
      </c>
      <c r="WS10" s="1" t="s">
        <v>666</v>
      </c>
      <c r="WT10" s="1" t="s">
        <v>667</v>
      </c>
      <c r="WU10" s="1" t="s">
        <v>668</v>
      </c>
      <c r="WV10" s="1" t="s">
        <v>669</v>
      </c>
      <c r="WW10" s="1" t="s">
        <v>670</v>
      </c>
      <c r="WX10" s="1" t="s">
        <v>671</v>
      </c>
      <c r="WY10" s="1" t="s">
        <v>672</v>
      </c>
      <c r="WZ10" s="1" t="s">
        <v>673</v>
      </c>
      <c r="XA10" s="1" t="s">
        <v>674</v>
      </c>
      <c r="XB10" s="1" t="s">
        <v>675</v>
      </c>
      <c r="XC10" s="1" t="s">
        <v>676</v>
      </c>
      <c r="XD10" s="1" t="s">
        <v>677</v>
      </c>
      <c r="XE10" s="1" t="s">
        <v>678</v>
      </c>
      <c r="XF10" s="1" t="s">
        <v>679</v>
      </c>
      <c r="XG10" s="1" t="s">
        <v>680</v>
      </c>
      <c r="XH10" s="1" t="s">
        <v>681</v>
      </c>
      <c r="XI10" s="1" t="s">
        <v>682</v>
      </c>
      <c r="XJ10" s="1" t="s">
        <v>683</v>
      </c>
      <c r="XK10" s="1" t="s">
        <v>684</v>
      </c>
      <c r="XL10" s="1" t="s">
        <v>685</v>
      </c>
      <c r="XM10" s="1" t="s">
        <v>686</v>
      </c>
      <c r="XN10" s="1" t="s">
        <v>687</v>
      </c>
      <c r="XO10" s="1" t="s">
        <v>688</v>
      </c>
      <c r="XP10" s="1" t="s">
        <v>689</v>
      </c>
      <c r="XQ10" s="1" t="s">
        <v>690</v>
      </c>
      <c r="XR10" s="1" t="s">
        <v>691</v>
      </c>
      <c r="XS10" s="1" t="s">
        <v>692</v>
      </c>
      <c r="XT10" s="1" t="s">
        <v>693</v>
      </c>
      <c r="XU10" s="1" t="s">
        <v>694</v>
      </c>
      <c r="XV10" s="1" t="s">
        <v>695</v>
      </c>
      <c r="XW10" s="1" t="s">
        <v>696</v>
      </c>
      <c r="XX10" s="1" t="s">
        <v>697</v>
      </c>
      <c r="XY10" s="1" t="s">
        <v>698</v>
      </c>
      <c r="XZ10" s="1" t="s">
        <v>699</v>
      </c>
      <c r="YA10" s="1" t="s">
        <v>700</v>
      </c>
      <c r="YB10" s="1" t="s">
        <v>701</v>
      </c>
      <c r="YC10" s="1" t="s">
        <v>702</v>
      </c>
      <c r="YD10" s="1" t="s">
        <v>703</v>
      </c>
      <c r="YE10" s="1" t="s">
        <v>704</v>
      </c>
      <c r="YF10" s="1" t="s">
        <v>705</v>
      </c>
      <c r="YG10" s="1" t="s">
        <v>706</v>
      </c>
      <c r="YH10" s="1" t="s">
        <v>707</v>
      </c>
      <c r="YI10" s="1" t="s">
        <v>708</v>
      </c>
      <c r="YJ10" s="1" t="s">
        <v>709</v>
      </c>
      <c r="YK10" s="1" t="s">
        <v>710</v>
      </c>
      <c r="YL10" s="1" t="s">
        <v>711</v>
      </c>
      <c r="YM10" s="1" t="s">
        <v>712</v>
      </c>
      <c r="YN10" s="1" t="s">
        <v>713</v>
      </c>
      <c r="YO10" s="1" t="s">
        <v>714</v>
      </c>
      <c r="YP10" s="1" t="s">
        <v>715</v>
      </c>
      <c r="YQ10" s="1" t="s">
        <v>716</v>
      </c>
      <c r="YR10" s="1" t="s">
        <v>717</v>
      </c>
      <c r="YS10" s="1" t="s">
        <v>718</v>
      </c>
      <c r="YT10" s="1" t="s">
        <v>719</v>
      </c>
      <c r="YU10" s="1" t="s">
        <v>720</v>
      </c>
      <c r="YV10" s="1" t="s">
        <v>721</v>
      </c>
      <c r="YW10" s="1" t="s">
        <v>722</v>
      </c>
      <c r="YX10" s="1" t="s">
        <v>723</v>
      </c>
      <c r="YY10" s="1" t="s">
        <v>724</v>
      </c>
      <c r="YZ10" s="1" t="s">
        <v>725</v>
      </c>
      <c r="ZA10" s="1" t="s">
        <v>726</v>
      </c>
      <c r="ZB10" s="1" t="s">
        <v>727</v>
      </c>
      <c r="ZC10" s="1" t="s">
        <v>728</v>
      </c>
      <c r="ZD10" s="1" t="s">
        <v>729</v>
      </c>
      <c r="ZE10" s="1" t="s">
        <v>730</v>
      </c>
      <c r="ZF10" s="1" t="s">
        <v>731</v>
      </c>
      <c r="ZG10" s="1" t="s">
        <v>732</v>
      </c>
      <c r="ZH10" s="1" t="s">
        <v>733</v>
      </c>
      <c r="ZI10" s="1" t="s">
        <v>734</v>
      </c>
      <c r="ZJ10" s="1" t="s">
        <v>735</v>
      </c>
      <c r="ZK10" s="1" t="s">
        <v>736</v>
      </c>
      <c r="ZL10" s="1" t="s">
        <v>737</v>
      </c>
      <c r="ZM10" s="1" t="s">
        <v>738</v>
      </c>
      <c r="ZN10" s="1" t="s">
        <v>739</v>
      </c>
      <c r="ZO10" s="1" t="s">
        <v>740</v>
      </c>
      <c r="ZP10" s="1" t="s">
        <v>741</v>
      </c>
      <c r="ZQ10" s="1" t="s">
        <v>742</v>
      </c>
      <c r="ZR10" s="1" t="s">
        <v>743</v>
      </c>
      <c r="ZS10" s="1" t="s">
        <v>744</v>
      </c>
      <c r="ZT10" s="1" t="s">
        <v>745</v>
      </c>
      <c r="ZU10" s="1" t="s">
        <v>746</v>
      </c>
      <c r="ZV10" s="1" t="s">
        <v>747</v>
      </c>
      <c r="ZW10" s="1" t="s">
        <v>748</v>
      </c>
      <c r="ZX10" s="1" t="s">
        <v>749</v>
      </c>
      <c r="ZY10" s="1" t="s">
        <v>750</v>
      </c>
      <c r="ZZ10" s="1" t="s">
        <v>751</v>
      </c>
      <c r="AAA10" s="1" t="s">
        <v>752</v>
      </c>
      <c r="AAB10" s="1" t="s">
        <v>753</v>
      </c>
      <c r="AAC10" s="1" t="s">
        <v>754</v>
      </c>
      <c r="AAD10" s="1" t="s">
        <v>755</v>
      </c>
      <c r="AAE10" s="1" t="s">
        <v>756</v>
      </c>
      <c r="AAF10" s="1" t="s">
        <v>757</v>
      </c>
      <c r="AAG10" s="1" t="s">
        <v>758</v>
      </c>
      <c r="AAH10" s="1" t="s">
        <v>759</v>
      </c>
      <c r="AAI10" s="1" t="s">
        <v>760</v>
      </c>
      <c r="AAJ10" s="1" t="s">
        <v>761</v>
      </c>
      <c r="AAK10" s="1" t="s">
        <v>762</v>
      </c>
      <c r="AAL10" s="1" t="s">
        <v>763</v>
      </c>
      <c r="AAM10" s="1" t="s">
        <v>764</v>
      </c>
      <c r="AAN10" s="1" t="s">
        <v>765</v>
      </c>
      <c r="AAO10" s="1" t="s">
        <v>766</v>
      </c>
      <c r="AAP10" s="1" t="s">
        <v>767</v>
      </c>
      <c r="AAQ10" s="1" t="s">
        <v>768</v>
      </c>
      <c r="AAR10" s="1" t="s">
        <v>769</v>
      </c>
      <c r="AAS10" s="1" t="s">
        <v>770</v>
      </c>
      <c r="AAT10" s="1" t="s">
        <v>771</v>
      </c>
      <c r="AAU10" s="1" t="s">
        <v>772</v>
      </c>
      <c r="AAV10" s="1" t="s">
        <v>773</v>
      </c>
      <c r="AAW10" s="1" t="s">
        <v>774</v>
      </c>
      <c r="AAX10" s="1" t="s">
        <v>775</v>
      </c>
      <c r="AAY10" s="1" t="s">
        <v>776</v>
      </c>
      <c r="AAZ10" s="1" t="s">
        <v>777</v>
      </c>
      <c r="ABA10" s="1" t="s">
        <v>778</v>
      </c>
      <c r="ABB10" s="1" t="s">
        <v>779</v>
      </c>
      <c r="ABC10" s="1" t="s">
        <v>780</v>
      </c>
      <c r="ABD10" s="1" t="s">
        <v>781</v>
      </c>
      <c r="ABE10" s="1" t="s">
        <v>782</v>
      </c>
      <c r="ABF10" s="1" t="s">
        <v>783</v>
      </c>
      <c r="ABG10" s="1" t="s">
        <v>784</v>
      </c>
      <c r="ABH10" s="1" t="s">
        <v>785</v>
      </c>
      <c r="ABI10" s="1" t="s">
        <v>786</v>
      </c>
      <c r="ABJ10" s="1" t="s">
        <v>787</v>
      </c>
      <c r="ABK10" s="1" t="s">
        <v>788</v>
      </c>
      <c r="ABL10" s="1" t="s">
        <v>789</v>
      </c>
      <c r="ABM10" s="1" t="s">
        <v>790</v>
      </c>
      <c r="ABN10" s="1" t="s">
        <v>791</v>
      </c>
      <c r="ABO10" s="1" t="s">
        <v>792</v>
      </c>
      <c r="ABP10" s="1" t="s">
        <v>793</v>
      </c>
      <c r="ABQ10" s="1" t="s">
        <v>794</v>
      </c>
      <c r="ABR10" s="1" t="s">
        <v>795</v>
      </c>
      <c r="ABS10" s="1" t="s">
        <v>796</v>
      </c>
      <c r="ABT10" s="1" t="s">
        <v>797</v>
      </c>
      <c r="ABU10" s="1" t="s">
        <v>798</v>
      </c>
      <c r="ABV10" s="5" t="s">
        <v>57</v>
      </c>
      <c r="ABW10" s="5" t="s">
        <v>58</v>
      </c>
      <c r="ABX10" s="8" t="s">
        <v>53</v>
      </c>
      <c r="ABY10" s="5" t="s">
        <v>57</v>
      </c>
      <c r="ABZ10" s="5" t="s">
        <v>58</v>
      </c>
      <c r="ACA10" s="5" t="s">
        <v>53</v>
      </c>
      <c r="ACB10" s="9" t="s">
        <v>11</v>
      </c>
      <c r="ACC10" s="9" t="s">
        <v>12</v>
      </c>
      <c r="ACD10" s="9" t="s">
        <v>13</v>
      </c>
      <c r="ACE10" s="1" t="s">
        <v>14</v>
      </c>
      <c r="ACF10" s="10" t="s">
        <v>15</v>
      </c>
      <c r="ACG10" s="10" t="s">
        <v>16</v>
      </c>
      <c r="ACH10" s="10" t="s">
        <v>17</v>
      </c>
      <c r="ACI10" s="10" t="s">
        <v>18</v>
      </c>
    </row>
    <row r="11" spans="1:763" x14ac:dyDescent="0.25">
      <c r="A11" t="s">
        <v>799</v>
      </c>
      <c r="B11" t="s">
        <v>800</v>
      </c>
      <c r="C11">
        <v>101813</v>
      </c>
      <c r="D11" t="s">
        <v>801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f t="shared" ref="S11:T64" si="12">E11+G11+I11+K11+M11+O11+Q11</f>
        <v>0</v>
      </c>
      <c r="T11">
        <f t="shared" si="12"/>
        <v>0</v>
      </c>
      <c r="U11">
        <f t="shared" ref="U11:U23" si="13">SUM(S11:T11)</f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 s="11">
        <f t="shared" ref="KB11:KC64" si="14">V11+X11+Z11+AB11+AD11+AF11+AH11+AJ11+AL11+AN11+AP11+AR11+AT11+AV11+AX11+AZ11+BB11+BD11+BF11+BH11+BJ11+BL11+BN11+BP11+BR11+BT11+BV11+BX11+BZ11+CB11+CD11+CF11+CH11+CJ11+CL11+CN11+CP11+CR11+CT11+CV11+CX11+CZ11+DB11+DD11+DF11+DH11+DJ11+DL11+DN11+DP11+DR11+DT11+DV11+DX11+DZ11+EB11+ED11+EF11+EH11+EJ11+EL11+EN11+EP11+ER11+ET11+EV11+EX11+EZ11+FB11+FD11+FF11+FH11+FJ11+FL11+FN11+FP11+FR11+FT11+FV11+FX11+FZ11+GB11+GD11+GF11+GH11+GJ11+GL11+GN11+GP11+GR11+GT11+GV11+GX11+GZ11+HB11+HD11+HF11+HH11+HJ11+HL11+HN11+HP11+HR11+HT11+HV11+HX11+HZ11+IB11+ID11+IF11+IH11+IJ11+IL11+IN11+IP11+IR11+IT11+IV11+IX11+IZ11+JB11+JD11+JF11+JH11+JJ11+JL11+JN11+JP11+JR11+JT11+JV11+JX11+JZ11</f>
        <v>0</v>
      </c>
      <c r="KC11" s="11">
        <f t="shared" si="14"/>
        <v>2</v>
      </c>
      <c r="KD11" s="11">
        <f t="shared" ref="KD11:KD23" si="15">SUM(KB11:KC11)</f>
        <v>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 s="11">
        <f t="shared" ref="UK11:UL64" si="16">KE11+KG11+KI11+KK11+KM11+KO11+KQ11+KS11+KU11+KW11+KY11+LA11+LC11+LE11+LG11+LI11+LK11+LM11+LO11+LQ11+LS11+LU11+LW11+LY11+MA11+MC11+ME11+MG11+MI11+MK11+MM11+MO11+MQ11+MS11+MU11+MW11+MY11+NA11+NC11+NE11+NG11+NI11+NK11+NM11+NO11+NQ11+NS11+NU11+NW11+NY11+OA11+OC11+OE11+OG11+OI11+OK11+OM11+OO11+OQ11+OS11+OU11+OW11+OY11+PA11+PC11+PE11+PG11+PI11+PK11+PM11+PO11+PQ11+PS11+PU11+PW11+PY11+QA11+QC11+QE11+QG11+QI11+QK11+QM11+QO11+QQ11+QS11+QU11+QW11+QY11+RA11+RC11+RE11+RG11+RI11+RK11+RM11+RO11+RQ11+RS11+RU11+RW11+RY11+SA11+SC11+SE11+SG11+SI11+SK11+SM11+SO11+SQ11+SS11+SU11+SW11+SY11+TA11+TC11+TE11+TG11+TI11+TK11+TM11+TO11+TQ11+TS11+TU11+TW11+TY11+UA11+UC11+UE11+UG11+UI11</f>
        <v>0</v>
      </c>
      <c r="UL11" s="11">
        <f t="shared" si="16"/>
        <v>0</v>
      </c>
      <c r="UM11" s="11">
        <f t="shared" ref="UM11:UM23" si="17">SUM(UK11:UL11)</f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 s="11">
        <f t="shared" ref="ABV11:ABW64" si="18">UN11+UP11+UR11+UT11+UV11+UX11+UZ11+VB11+VD11+VF11+VH11+VJ11+VL11+VN11+VP11+VR11+VT11+VV11+VX11+VZ11+WB11+WD11+WF11+WH11+WJ11+WL11+WN11+WP11+WR11+WT11+WV11+WX11+WZ11+XB11+XD11+XF11+XH11+XJ11+XL11+XN11+XP11+XR11+XT11+XV11+XX11+XZ11+YB11+YD11+YF11+YH11+YJ11+YL11+YN11+YP11+YR11+YT11+YV11+YX11+YZ11+ZB11+ZD11+ZF11+ZH11+ZJ11+ZL11+ZN11+ZP11+ZR11+ZT11+ZV11+ZX11+ZZ11+AAB11+AAD11+AAF11+AAH11+AAJ11+AAL11+AAN11+AAP11+AAR11+AAT11+AAV11+AAX11+AAZ11+ABB11+ABD11+ABF11+ABH11+ABJ11+ABL11+ABN11+ABP11+ABR11+ABT11</f>
        <v>0</v>
      </c>
      <c r="ABW11" s="11">
        <f t="shared" si="18"/>
        <v>0</v>
      </c>
      <c r="ABX11" s="11">
        <f t="shared" ref="ABX11:ABX23" si="19">SUM(ABV11:ABW11)</f>
        <v>0</v>
      </c>
      <c r="ABY11" s="11">
        <f t="shared" ref="ABY11:ACA64" si="20">ABV11+UK11+KB11+S11</f>
        <v>0</v>
      </c>
      <c r="ABZ11" s="11">
        <f t="shared" si="20"/>
        <v>2</v>
      </c>
      <c r="ACA11" s="11">
        <f t="shared" si="20"/>
        <v>2</v>
      </c>
      <c r="ACB11" s="7">
        <f t="shared" ref="ACB11:ACB23" si="21">SUM(E11:R11)</f>
        <v>0</v>
      </c>
      <c r="ACC11" s="7">
        <f t="shared" ref="ACC11:ACC23" si="22">KD11+UM11</f>
        <v>2</v>
      </c>
      <c r="ACD11" s="7">
        <f t="shared" ref="ACD11:ACD23" si="23">SUM(UN11:ABU11)</f>
        <v>0</v>
      </c>
      <c r="ACE11" s="12">
        <f t="shared" ref="ACE11:ACE23" si="24">SUM(ACB11:ACD11)</f>
        <v>2</v>
      </c>
      <c r="ACF11">
        <f t="shared" ref="ACF11:ACI41" si="25">IF(ACB11&gt;=1,1,0)</f>
        <v>0</v>
      </c>
      <c r="ACG11">
        <f t="shared" si="25"/>
        <v>1</v>
      </c>
      <c r="ACH11">
        <f t="shared" si="25"/>
        <v>0</v>
      </c>
      <c r="ACI11">
        <f t="shared" si="25"/>
        <v>1</v>
      </c>
    </row>
    <row r="12" spans="1:763" x14ac:dyDescent="0.25">
      <c r="A12" t="s">
        <v>799</v>
      </c>
      <c r="B12" t="s">
        <v>800</v>
      </c>
      <c r="C12">
        <v>102157</v>
      </c>
      <c r="D12" t="s">
        <v>802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f t="shared" si="12"/>
        <v>0</v>
      </c>
      <c r="T12">
        <f t="shared" si="12"/>
        <v>0</v>
      </c>
      <c r="U12">
        <f t="shared" si="13"/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 s="11">
        <f t="shared" si="14"/>
        <v>0</v>
      </c>
      <c r="KC12" s="11">
        <f t="shared" si="14"/>
        <v>0</v>
      </c>
      <c r="KD12" s="11">
        <f t="shared" si="15"/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 s="11">
        <f t="shared" si="16"/>
        <v>0</v>
      </c>
      <c r="UL12" s="11">
        <f t="shared" si="16"/>
        <v>0</v>
      </c>
      <c r="UM12" s="11">
        <f t="shared" si="17"/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 s="11">
        <f t="shared" si="18"/>
        <v>0</v>
      </c>
      <c r="ABW12" s="11">
        <f t="shared" si="18"/>
        <v>0</v>
      </c>
      <c r="ABX12" s="11">
        <f t="shared" si="19"/>
        <v>0</v>
      </c>
      <c r="ABY12" s="11">
        <f t="shared" si="20"/>
        <v>0</v>
      </c>
      <c r="ABZ12" s="11">
        <f t="shared" si="20"/>
        <v>0</v>
      </c>
      <c r="ACA12" s="11">
        <f t="shared" si="20"/>
        <v>0</v>
      </c>
      <c r="ACB12" s="7">
        <f t="shared" si="21"/>
        <v>0</v>
      </c>
      <c r="ACC12" s="7">
        <f t="shared" si="22"/>
        <v>0</v>
      </c>
      <c r="ACD12" s="7">
        <f t="shared" si="23"/>
        <v>0</v>
      </c>
      <c r="ACE12" s="12">
        <f t="shared" si="24"/>
        <v>0</v>
      </c>
      <c r="ACF12">
        <f t="shared" si="25"/>
        <v>0</v>
      </c>
      <c r="ACG12">
        <f t="shared" si="25"/>
        <v>0</v>
      </c>
      <c r="ACH12">
        <f t="shared" si="25"/>
        <v>0</v>
      </c>
      <c r="ACI12">
        <f t="shared" si="25"/>
        <v>0</v>
      </c>
    </row>
    <row r="13" spans="1:763" x14ac:dyDescent="0.25">
      <c r="A13" t="s">
        <v>799</v>
      </c>
      <c r="B13" t="s">
        <v>800</v>
      </c>
      <c r="C13">
        <v>102164</v>
      </c>
      <c r="D13" t="s">
        <v>803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f t="shared" si="12"/>
        <v>0</v>
      </c>
      <c r="T13">
        <f t="shared" si="12"/>
        <v>0</v>
      </c>
      <c r="U13">
        <f t="shared" si="13"/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</v>
      </c>
      <c r="HC13">
        <v>1</v>
      </c>
      <c r="HD13">
        <v>0</v>
      </c>
      <c r="HE13">
        <v>0</v>
      </c>
      <c r="HF13">
        <v>1</v>
      </c>
      <c r="HG13">
        <v>0</v>
      </c>
      <c r="HH13">
        <v>1</v>
      </c>
      <c r="HI13">
        <v>0</v>
      </c>
      <c r="HJ13">
        <v>0</v>
      </c>
      <c r="HK13">
        <v>1</v>
      </c>
      <c r="HL13">
        <v>0</v>
      </c>
      <c r="HM13">
        <v>1</v>
      </c>
      <c r="HN13">
        <v>1</v>
      </c>
      <c r="HO13">
        <v>0</v>
      </c>
      <c r="HP13">
        <v>1</v>
      </c>
      <c r="HQ13">
        <v>0</v>
      </c>
      <c r="HR13">
        <v>0</v>
      </c>
      <c r="HS13">
        <v>1</v>
      </c>
      <c r="HT13">
        <v>2</v>
      </c>
      <c r="HU13">
        <v>1</v>
      </c>
      <c r="HV13">
        <v>1</v>
      </c>
      <c r="HW13">
        <v>0</v>
      </c>
      <c r="HX13">
        <v>1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 s="11">
        <f t="shared" si="14"/>
        <v>16</v>
      </c>
      <c r="KC13" s="11">
        <f t="shared" si="14"/>
        <v>8</v>
      </c>
      <c r="KD13" s="11">
        <f t="shared" si="15"/>
        <v>24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 s="11">
        <f t="shared" si="16"/>
        <v>0</v>
      </c>
      <c r="UL13" s="11">
        <f t="shared" si="16"/>
        <v>0</v>
      </c>
      <c r="UM13" s="11">
        <f t="shared" si="17"/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 s="11">
        <f t="shared" si="18"/>
        <v>0</v>
      </c>
      <c r="ABW13" s="11">
        <f t="shared" si="18"/>
        <v>0</v>
      </c>
      <c r="ABX13" s="11">
        <f t="shared" si="19"/>
        <v>0</v>
      </c>
      <c r="ABY13" s="11">
        <f t="shared" si="20"/>
        <v>16</v>
      </c>
      <c r="ABZ13" s="11">
        <f t="shared" si="20"/>
        <v>8</v>
      </c>
      <c r="ACA13" s="11">
        <f t="shared" si="20"/>
        <v>24</v>
      </c>
      <c r="ACB13" s="7">
        <f t="shared" si="21"/>
        <v>0</v>
      </c>
      <c r="ACC13" s="7">
        <f t="shared" si="22"/>
        <v>24</v>
      </c>
      <c r="ACD13" s="7">
        <f t="shared" si="23"/>
        <v>0</v>
      </c>
      <c r="ACE13" s="12">
        <f t="shared" si="24"/>
        <v>24</v>
      </c>
      <c r="ACF13">
        <f t="shared" si="25"/>
        <v>0</v>
      </c>
      <c r="ACG13">
        <f t="shared" si="25"/>
        <v>1</v>
      </c>
      <c r="ACH13">
        <f t="shared" si="25"/>
        <v>0</v>
      </c>
      <c r="ACI13">
        <f t="shared" si="25"/>
        <v>1</v>
      </c>
    </row>
    <row r="14" spans="1:763" x14ac:dyDescent="0.25">
      <c r="A14" t="s">
        <v>799</v>
      </c>
      <c r="B14" t="s">
        <v>800</v>
      </c>
      <c r="C14">
        <v>129374</v>
      </c>
      <c r="D14" t="s">
        <v>804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f t="shared" si="12"/>
        <v>0</v>
      </c>
      <c r="T14">
        <f t="shared" si="12"/>
        <v>0</v>
      </c>
      <c r="U14">
        <f t="shared" si="13"/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1</v>
      </c>
      <c r="FV14">
        <v>2</v>
      </c>
      <c r="FW14">
        <v>2</v>
      </c>
      <c r="FX14">
        <v>2</v>
      </c>
      <c r="FY14">
        <v>3</v>
      </c>
      <c r="FZ14">
        <v>3</v>
      </c>
      <c r="GA14">
        <v>4</v>
      </c>
      <c r="GB14">
        <v>1</v>
      </c>
      <c r="GC14">
        <v>2</v>
      </c>
      <c r="GD14">
        <v>2</v>
      </c>
      <c r="GE14">
        <v>1</v>
      </c>
      <c r="GF14">
        <v>2</v>
      </c>
      <c r="GG14">
        <v>1</v>
      </c>
      <c r="GH14">
        <v>1</v>
      </c>
      <c r="GI14">
        <v>0</v>
      </c>
      <c r="GJ14">
        <v>1</v>
      </c>
      <c r="GK14">
        <v>0</v>
      </c>
      <c r="GL14">
        <v>2</v>
      </c>
      <c r="GM14">
        <v>1</v>
      </c>
      <c r="GN14">
        <v>3</v>
      </c>
      <c r="GO14">
        <v>1</v>
      </c>
      <c r="GP14">
        <v>0</v>
      </c>
      <c r="GQ14">
        <v>1</v>
      </c>
      <c r="GR14">
        <v>0</v>
      </c>
      <c r="GS14">
        <v>1</v>
      </c>
      <c r="GT14">
        <v>1</v>
      </c>
      <c r="GU14">
        <v>0</v>
      </c>
      <c r="GV14">
        <v>2</v>
      </c>
      <c r="GW14">
        <v>0</v>
      </c>
      <c r="GX14">
        <v>1</v>
      </c>
      <c r="GY14">
        <v>1</v>
      </c>
      <c r="GZ14">
        <v>0</v>
      </c>
      <c r="HA14">
        <v>1</v>
      </c>
      <c r="HB14">
        <v>0</v>
      </c>
      <c r="HC14">
        <v>0</v>
      </c>
      <c r="HD14">
        <v>2</v>
      </c>
      <c r="HE14">
        <v>2</v>
      </c>
      <c r="HF14">
        <v>0</v>
      </c>
      <c r="HG14">
        <v>1</v>
      </c>
      <c r="HH14">
        <v>0</v>
      </c>
      <c r="HI14">
        <v>1</v>
      </c>
      <c r="HJ14">
        <v>3</v>
      </c>
      <c r="HK14">
        <v>2</v>
      </c>
      <c r="HL14">
        <v>2</v>
      </c>
      <c r="HM14">
        <v>1</v>
      </c>
      <c r="HN14">
        <v>1</v>
      </c>
      <c r="HO14">
        <v>1</v>
      </c>
      <c r="HP14">
        <v>1</v>
      </c>
      <c r="HQ14">
        <v>2</v>
      </c>
      <c r="HR14">
        <v>1</v>
      </c>
      <c r="HS14">
        <v>1</v>
      </c>
      <c r="HT14">
        <v>1</v>
      </c>
      <c r="HU14">
        <v>1</v>
      </c>
      <c r="HV14">
        <v>0</v>
      </c>
      <c r="HW14">
        <v>0</v>
      </c>
      <c r="HX14">
        <v>3</v>
      </c>
      <c r="HY14">
        <v>2</v>
      </c>
      <c r="HZ14">
        <v>1</v>
      </c>
      <c r="IA14">
        <v>1</v>
      </c>
      <c r="IB14">
        <v>1</v>
      </c>
      <c r="IC14">
        <v>1</v>
      </c>
      <c r="ID14">
        <v>0</v>
      </c>
      <c r="IE14">
        <v>1</v>
      </c>
      <c r="IF14">
        <v>1</v>
      </c>
      <c r="IG14">
        <v>1</v>
      </c>
      <c r="IH14">
        <v>0</v>
      </c>
      <c r="II14">
        <v>1</v>
      </c>
      <c r="IJ14">
        <v>0</v>
      </c>
      <c r="IK14">
        <v>0</v>
      </c>
      <c r="IL14">
        <v>1</v>
      </c>
      <c r="IM14">
        <v>1</v>
      </c>
      <c r="IN14">
        <v>2</v>
      </c>
      <c r="IO14">
        <v>1</v>
      </c>
      <c r="IP14">
        <v>2</v>
      </c>
      <c r="IQ14">
        <v>2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 s="11">
        <f t="shared" si="14"/>
        <v>51</v>
      </c>
      <c r="KC14" s="11">
        <f t="shared" si="14"/>
        <v>45</v>
      </c>
      <c r="KD14" s="11">
        <f t="shared" si="15"/>
        <v>96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 s="11">
        <f t="shared" si="16"/>
        <v>0</v>
      </c>
      <c r="UL14" s="11">
        <f t="shared" si="16"/>
        <v>0</v>
      </c>
      <c r="UM14" s="11">
        <f t="shared" si="17"/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2</v>
      </c>
      <c r="YU14">
        <v>1</v>
      </c>
      <c r="YV14">
        <v>2</v>
      </c>
      <c r="YW14">
        <v>2</v>
      </c>
      <c r="YX14">
        <v>2</v>
      </c>
      <c r="YY14">
        <v>3</v>
      </c>
      <c r="YZ14">
        <v>3</v>
      </c>
      <c r="ZA14">
        <v>4</v>
      </c>
      <c r="ZB14">
        <v>5</v>
      </c>
      <c r="ZC14">
        <v>4</v>
      </c>
      <c r="ZD14">
        <v>1</v>
      </c>
      <c r="ZE14">
        <v>0</v>
      </c>
      <c r="ZF14">
        <v>1</v>
      </c>
      <c r="ZG14">
        <v>0</v>
      </c>
      <c r="ZH14">
        <v>2</v>
      </c>
      <c r="ZI14">
        <v>1</v>
      </c>
      <c r="ZJ14">
        <v>3</v>
      </c>
      <c r="ZK14">
        <v>1</v>
      </c>
      <c r="ZL14">
        <v>1</v>
      </c>
      <c r="ZM14">
        <v>2</v>
      </c>
      <c r="ZN14">
        <v>2</v>
      </c>
      <c r="ZO14">
        <v>0</v>
      </c>
      <c r="ZP14">
        <v>1</v>
      </c>
      <c r="ZQ14">
        <v>1</v>
      </c>
      <c r="ZR14">
        <v>0</v>
      </c>
      <c r="ZS14">
        <v>1</v>
      </c>
      <c r="ZT14">
        <v>0</v>
      </c>
      <c r="ZU14">
        <v>0</v>
      </c>
      <c r="ZV14">
        <v>2</v>
      </c>
      <c r="ZW14">
        <v>4</v>
      </c>
      <c r="ZX14">
        <v>3</v>
      </c>
      <c r="ZY14">
        <v>2</v>
      </c>
      <c r="ZZ14">
        <v>2</v>
      </c>
      <c r="AAA14">
        <v>1</v>
      </c>
      <c r="AAB14">
        <v>1</v>
      </c>
      <c r="AAC14">
        <v>1</v>
      </c>
      <c r="AAD14">
        <v>1</v>
      </c>
      <c r="AAE14">
        <v>2</v>
      </c>
      <c r="AAF14">
        <v>2</v>
      </c>
      <c r="AAG14">
        <v>2</v>
      </c>
      <c r="AAH14">
        <v>3</v>
      </c>
      <c r="AAI14">
        <v>2</v>
      </c>
      <c r="AAJ14">
        <v>1</v>
      </c>
      <c r="AAK14">
        <v>1</v>
      </c>
      <c r="AAL14">
        <v>1</v>
      </c>
      <c r="AAM14">
        <v>1</v>
      </c>
      <c r="AAN14">
        <v>0</v>
      </c>
      <c r="AAO14">
        <v>1</v>
      </c>
      <c r="AAP14">
        <v>1</v>
      </c>
      <c r="AAQ14">
        <v>2</v>
      </c>
      <c r="AAR14">
        <v>1</v>
      </c>
      <c r="AAS14">
        <v>1</v>
      </c>
      <c r="AAT14">
        <v>2</v>
      </c>
      <c r="AAU14">
        <v>1</v>
      </c>
      <c r="AAV14">
        <v>2</v>
      </c>
      <c r="AAW14">
        <v>2</v>
      </c>
      <c r="AAX14">
        <v>1</v>
      </c>
      <c r="AAY14">
        <v>1</v>
      </c>
      <c r="AAZ14">
        <v>2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 s="11">
        <f t="shared" si="18"/>
        <v>51</v>
      </c>
      <c r="ABW14" s="11">
        <f t="shared" si="18"/>
        <v>45</v>
      </c>
      <c r="ABX14" s="11">
        <f t="shared" si="19"/>
        <v>96</v>
      </c>
      <c r="ABY14" s="11">
        <f t="shared" si="20"/>
        <v>102</v>
      </c>
      <c r="ABZ14" s="11">
        <f t="shared" si="20"/>
        <v>90</v>
      </c>
      <c r="ACA14" s="11">
        <f t="shared" si="20"/>
        <v>192</v>
      </c>
      <c r="ACB14" s="7">
        <f t="shared" si="21"/>
        <v>0</v>
      </c>
      <c r="ACC14" s="7">
        <f t="shared" si="22"/>
        <v>96</v>
      </c>
      <c r="ACD14" s="7">
        <f t="shared" si="23"/>
        <v>96</v>
      </c>
      <c r="ACE14" s="12">
        <f t="shared" si="24"/>
        <v>192</v>
      </c>
      <c r="ACF14">
        <f t="shared" si="25"/>
        <v>0</v>
      </c>
      <c r="ACG14">
        <f t="shared" si="25"/>
        <v>1</v>
      </c>
      <c r="ACH14">
        <f t="shared" si="25"/>
        <v>1</v>
      </c>
      <c r="ACI14">
        <f t="shared" si="25"/>
        <v>1</v>
      </c>
    </row>
    <row r="15" spans="1:763" x14ac:dyDescent="0.25">
      <c r="A15" t="s">
        <v>799</v>
      </c>
      <c r="B15" t="s">
        <v>800</v>
      </c>
      <c r="C15">
        <v>129375</v>
      </c>
      <c r="D15" t="s">
        <v>805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f t="shared" si="12"/>
        <v>0</v>
      </c>
      <c r="T15">
        <f t="shared" si="12"/>
        <v>0</v>
      </c>
      <c r="U15">
        <f t="shared" si="13"/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 s="11">
        <f t="shared" si="14"/>
        <v>0</v>
      </c>
      <c r="KC15" s="11">
        <f t="shared" si="14"/>
        <v>0</v>
      </c>
      <c r="KD15" s="11">
        <f t="shared" si="15"/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 s="11">
        <f t="shared" si="16"/>
        <v>0</v>
      </c>
      <c r="UL15" s="11">
        <f t="shared" si="16"/>
        <v>0</v>
      </c>
      <c r="UM15" s="11">
        <f t="shared" si="17"/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 s="11">
        <f t="shared" si="18"/>
        <v>0</v>
      </c>
      <c r="ABW15" s="11">
        <f t="shared" si="18"/>
        <v>0</v>
      </c>
      <c r="ABX15" s="11">
        <f t="shared" si="19"/>
        <v>0</v>
      </c>
      <c r="ABY15" s="11">
        <f t="shared" si="20"/>
        <v>0</v>
      </c>
      <c r="ABZ15" s="11">
        <f t="shared" si="20"/>
        <v>0</v>
      </c>
      <c r="ACA15" s="11">
        <f t="shared" si="20"/>
        <v>0</v>
      </c>
      <c r="ACB15" s="7">
        <f t="shared" si="21"/>
        <v>0</v>
      </c>
      <c r="ACC15" s="7">
        <f t="shared" si="22"/>
        <v>0</v>
      </c>
      <c r="ACD15" s="7">
        <f t="shared" si="23"/>
        <v>0</v>
      </c>
      <c r="ACE15" s="12">
        <f t="shared" si="24"/>
        <v>0</v>
      </c>
      <c r="ACF15">
        <f t="shared" si="25"/>
        <v>0</v>
      </c>
      <c r="ACG15">
        <f t="shared" si="25"/>
        <v>0</v>
      </c>
      <c r="ACH15">
        <f t="shared" si="25"/>
        <v>0</v>
      </c>
      <c r="ACI15">
        <f t="shared" si="25"/>
        <v>0</v>
      </c>
    </row>
    <row r="16" spans="1:763" x14ac:dyDescent="0.25">
      <c r="A16" t="s">
        <v>799</v>
      </c>
      <c r="B16" t="s">
        <v>800</v>
      </c>
      <c r="C16">
        <v>129376</v>
      </c>
      <c r="D16" t="s">
        <v>806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f t="shared" si="12"/>
        <v>0</v>
      </c>
      <c r="T16">
        <f t="shared" si="12"/>
        <v>0</v>
      </c>
      <c r="U16">
        <f t="shared" si="13"/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 s="11">
        <f t="shared" si="14"/>
        <v>0</v>
      </c>
      <c r="KC16" s="11">
        <f t="shared" si="14"/>
        <v>0</v>
      </c>
      <c r="KD16" s="11">
        <f t="shared" si="15"/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1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1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 s="11">
        <f t="shared" si="16"/>
        <v>0</v>
      </c>
      <c r="UL16" s="11">
        <f t="shared" si="16"/>
        <v>2</v>
      </c>
      <c r="UM16" s="11">
        <f t="shared" si="17"/>
        <v>2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 s="11">
        <f t="shared" si="18"/>
        <v>0</v>
      </c>
      <c r="ABW16" s="11">
        <f t="shared" si="18"/>
        <v>0</v>
      </c>
      <c r="ABX16" s="11">
        <f t="shared" si="19"/>
        <v>0</v>
      </c>
      <c r="ABY16" s="11">
        <f t="shared" si="20"/>
        <v>0</v>
      </c>
      <c r="ABZ16" s="11">
        <f t="shared" si="20"/>
        <v>2</v>
      </c>
      <c r="ACA16" s="11">
        <f t="shared" si="20"/>
        <v>2</v>
      </c>
      <c r="ACB16" s="7">
        <f t="shared" si="21"/>
        <v>0</v>
      </c>
      <c r="ACC16" s="7">
        <f t="shared" si="22"/>
        <v>2</v>
      </c>
      <c r="ACD16" s="7">
        <f t="shared" si="23"/>
        <v>0</v>
      </c>
      <c r="ACE16" s="12">
        <f t="shared" si="24"/>
        <v>2</v>
      </c>
      <c r="ACF16">
        <f t="shared" si="25"/>
        <v>0</v>
      </c>
      <c r="ACG16">
        <f t="shared" si="25"/>
        <v>1</v>
      </c>
      <c r="ACH16">
        <f t="shared" si="25"/>
        <v>0</v>
      </c>
      <c r="ACI16">
        <f t="shared" si="25"/>
        <v>1</v>
      </c>
    </row>
    <row r="17" spans="1:763" x14ac:dyDescent="0.25">
      <c r="A17" t="s">
        <v>799</v>
      </c>
      <c r="B17" t="s">
        <v>800</v>
      </c>
      <c r="C17">
        <v>129377</v>
      </c>
      <c r="D17" t="s">
        <v>807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f t="shared" si="12"/>
        <v>0</v>
      </c>
      <c r="T17">
        <f t="shared" si="12"/>
        <v>0</v>
      </c>
      <c r="U17">
        <f t="shared" si="13"/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 s="11">
        <f t="shared" si="14"/>
        <v>0</v>
      </c>
      <c r="KC17" s="11">
        <f t="shared" si="14"/>
        <v>0</v>
      </c>
      <c r="KD17" s="11">
        <f t="shared" si="15"/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 s="11">
        <f t="shared" si="16"/>
        <v>0</v>
      </c>
      <c r="UL17" s="11">
        <f t="shared" si="16"/>
        <v>0</v>
      </c>
      <c r="UM17" s="11">
        <f t="shared" si="17"/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 s="11">
        <f t="shared" si="18"/>
        <v>0</v>
      </c>
      <c r="ABW17" s="11">
        <f t="shared" si="18"/>
        <v>0</v>
      </c>
      <c r="ABX17" s="11">
        <f t="shared" si="19"/>
        <v>0</v>
      </c>
      <c r="ABY17" s="11">
        <f t="shared" si="20"/>
        <v>0</v>
      </c>
      <c r="ABZ17" s="11">
        <f t="shared" si="20"/>
        <v>0</v>
      </c>
      <c r="ACA17" s="11">
        <f t="shared" si="20"/>
        <v>0</v>
      </c>
      <c r="ACB17" s="7">
        <f t="shared" si="21"/>
        <v>0</v>
      </c>
      <c r="ACC17" s="7">
        <f t="shared" si="22"/>
        <v>0</v>
      </c>
      <c r="ACD17" s="7">
        <f t="shared" si="23"/>
        <v>0</v>
      </c>
      <c r="ACE17" s="12">
        <f t="shared" si="24"/>
        <v>0</v>
      </c>
      <c r="ACF17">
        <f t="shared" si="25"/>
        <v>0</v>
      </c>
      <c r="ACG17">
        <f t="shared" si="25"/>
        <v>0</v>
      </c>
      <c r="ACH17">
        <f t="shared" si="25"/>
        <v>0</v>
      </c>
      <c r="ACI17">
        <f t="shared" si="25"/>
        <v>0</v>
      </c>
    </row>
    <row r="18" spans="1:763" x14ac:dyDescent="0.25">
      <c r="A18" t="s">
        <v>799</v>
      </c>
      <c r="B18" t="s">
        <v>800</v>
      </c>
      <c r="C18">
        <v>129380</v>
      </c>
      <c r="D18" t="s">
        <v>808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f t="shared" si="12"/>
        <v>0</v>
      </c>
      <c r="T18">
        <f t="shared" si="12"/>
        <v>0</v>
      </c>
      <c r="U18">
        <f t="shared" si="13"/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 s="11">
        <f t="shared" si="14"/>
        <v>0</v>
      </c>
      <c r="KC18" s="11">
        <f t="shared" si="14"/>
        <v>0</v>
      </c>
      <c r="KD18" s="11">
        <f t="shared" si="15"/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 s="11">
        <f t="shared" si="16"/>
        <v>0</v>
      </c>
      <c r="UL18" s="11">
        <f t="shared" si="16"/>
        <v>0</v>
      </c>
      <c r="UM18" s="11">
        <f t="shared" si="17"/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 s="11">
        <f t="shared" si="18"/>
        <v>0</v>
      </c>
      <c r="ABW18" s="11">
        <f t="shared" si="18"/>
        <v>0</v>
      </c>
      <c r="ABX18" s="11">
        <f t="shared" si="19"/>
        <v>0</v>
      </c>
      <c r="ABY18" s="11">
        <f t="shared" si="20"/>
        <v>0</v>
      </c>
      <c r="ABZ18" s="11">
        <f t="shared" si="20"/>
        <v>0</v>
      </c>
      <c r="ACA18" s="11">
        <f t="shared" si="20"/>
        <v>0</v>
      </c>
      <c r="ACB18" s="7">
        <f t="shared" si="21"/>
        <v>0</v>
      </c>
      <c r="ACC18" s="7">
        <f t="shared" si="22"/>
        <v>0</v>
      </c>
      <c r="ACD18" s="7">
        <f t="shared" si="23"/>
        <v>0</v>
      </c>
      <c r="ACE18" s="12">
        <f t="shared" si="24"/>
        <v>0</v>
      </c>
      <c r="ACF18">
        <f t="shared" si="25"/>
        <v>0</v>
      </c>
      <c r="ACG18">
        <f t="shared" si="25"/>
        <v>0</v>
      </c>
      <c r="ACH18">
        <f t="shared" si="25"/>
        <v>0</v>
      </c>
      <c r="ACI18">
        <f t="shared" si="25"/>
        <v>0</v>
      </c>
    </row>
    <row r="19" spans="1:763" x14ac:dyDescent="0.25">
      <c r="A19" t="s">
        <v>799</v>
      </c>
      <c r="B19" t="s">
        <v>800</v>
      </c>
      <c r="C19">
        <v>129381</v>
      </c>
      <c r="D19" t="s">
        <v>809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f t="shared" si="12"/>
        <v>0</v>
      </c>
      <c r="T19">
        <f t="shared" si="12"/>
        <v>0</v>
      </c>
      <c r="U19">
        <f t="shared" si="13"/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1</v>
      </c>
      <c r="FW19">
        <v>2</v>
      </c>
      <c r="FX19">
        <v>6</v>
      </c>
      <c r="FY19">
        <v>5</v>
      </c>
      <c r="FZ19">
        <v>1</v>
      </c>
      <c r="GA19">
        <v>2</v>
      </c>
      <c r="GB19">
        <v>0</v>
      </c>
      <c r="GC19">
        <v>2</v>
      </c>
      <c r="GD19">
        <v>3</v>
      </c>
      <c r="GE19">
        <v>4</v>
      </c>
      <c r="GF19">
        <v>2</v>
      </c>
      <c r="GG19">
        <v>4</v>
      </c>
      <c r="GH19">
        <v>0</v>
      </c>
      <c r="GI19">
        <v>0</v>
      </c>
      <c r="GJ19">
        <v>0</v>
      </c>
      <c r="GK19">
        <v>1</v>
      </c>
      <c r="GL19">
        <v>2</v>
      </c>
      <c r="GM19">
        <v>2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4</v>
      </c>
      <c r="GU19">
        <v>9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5</v>
      </c>
      <c r="HK19">
        <v>1</v>
      </c>
      <c r="HL19">
        <v>14</v>
      </c>
      <c r="HM19">
        <v>1</v>
      </c>
      <c r="HN19">
        <v>3</v>
      </c>
      <c r="HO19">
        <v>2</v>
      </c>
      <c r="HP19">
        <v>7</v>
      </c>
      <c r="HQ19">
        <v>1</v>
      </c>
      <c r="HR19">
        <v>0</v>
      </c>
      <c r="HS19">
        <v>0</v>
      </c>
      <c r="HT19">
        <v>4</v>
      </c>
      <c r="HU19">
        <v>0</v>
      </c>
      <c r="HV19">
        <v>10</v>
      </c>
      <c r="HW19">
        <v>6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2</v>
      </c>
      <c r="IJ19">
        <v>0</v>
      </c>
      <c r="IK19">
        <v>0</v>
      </c>
      <c r="IL19">
        <v>3</v>
      </c>
      <c r="IM19">
        <v>0</v>
      </c>
      <c r="IN19">
        <v>9</v>
      </c>
      <c r="IO19">
        <v>1</v>
      </c>
      <c r="IP19">
        <v>2</v>
      </c>
      <c r="IQ19">
        <v>1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5</v>
      </c>
      <c r="IY19">
        <v>4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 s="11">
        <f t="shared" si="14"/>
        <v>82</v>
      </c>
      <c r="KC19" s="11">
        <f t="shared" si="14"/>
        <v>51</v>
      </c>
      <c r="KD19" s="11">
        <f t="shared" si="15"/>
        <v>133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 s="11">
        <f t="shared" si="16"/>
        <v>0</v>
      </c>
      <c r="UL19" s="11">
        <f t="shared" si="16"/>
        <v>0</v>
      </c>
      <c r="UM19" s="11">
        <f t="shared" si="17"/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 s="11">
        <f t="shared" si="18"/>
        <v>0</v>
      </c>
      <c r="ABW19" s="11">
        <f t="shared" si="18"/>
        <v>0</v>
      </c>
      <c r="ABX19" s="11">
        <f t="shared" si="19"/>
        <v>0</v>
      </c>
      <c r="ABY19" s="11">
        <f t="shared" si="20"/>
        <v>82</v>
      </c>
      <c r="ABZ19" s="11">
        <f t="shared" si="20"/>
        <v>51</v>
      </c>
      <c r="ACA19" s="11">
        <f t="shared" si="20"/>
        <v>133</v>
      </c>
      <c r="ACB19" s="7">
        <f t="shared" si="21"/>
        <v>0</v>
      </c>
      <c r="ACC19" s="7">
        <f t="shared" si="22"/>
        <v>133</v>
      </c>
      <c r="ACD19" s="7">
        <f t="shared" si="23"/>
        <v>0</v>
      </c>
      <c r="ACE19" s="12">
        <f t="shared" si="24"/>
        <v>133</v>
      </c>
      <c r="ACF19">
        <f t="shared" si="25"/>
        <v>0</v>
      </c>
      <c r="ACG19">
        <f t="shared" si="25"/>
        <v>1</v>
      </c>
      <c r="ACH19">
        <f t="shared" si="25"/>
        <v>0</v>
      </c>
      <c r="ACI19">
        <f t="shared" si="25"/>
        <v>1</v>
      </c>
    </row>
    <row r="20" spans="1:763" x14ac:dyDescent="0.25">
      <c r="A20" t="s">
        <v>799</v>
      </c>
      <c r="B20" t="s">
        <v>800</v>
      </c>
      <c r="C20">
        <v>129382</v>
      </c>
      <c r="D20" t="s">
        <v>810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f t="shared" si="12"/>
        <v>0</v>
      </c>
      <c r="T20">
        <f t="shared" si="12"/>
        <v>0</v>
      </c>
      <c r="U20">
        <f t="shared" si="13"/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 s="11">
        <f t="shared" si="14"/>
        <v>0</v>
      </c>
      <c r="KC20" s="11">
        <f t="shared" si="14"/>
        <v>0</v>
      </c>
      <c r="KD20" s="11">
        <f t="shared" si="15"/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 s="11">
        <f t="shared" si="16"/>
        <v>0</v>
      </c>
      <c r="UL20" s="11">
        <f t="shared" si="16"/>
        <v>0</v>
      </c>
      <c r="UM20" s="11">
        <f t="shared" si="17"/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 s="11">
        <f t="shared" si="18"/>
        <v>0</v>
      </c>
      <c r="ABW20" s="11">
        <f t="shared" si="18"/>
        <v>0</v>
      </c>
      <c r="ABX20" s="11">
        <f t="shared" si="19"/>
        <v>0</v>
      </c>
      <c r="ABY20" s="11">
        <f t="shared" si="20"/>
        <v>0</v>
      </c>
      <c r="ABZ20" s="11">
        <f t="shared" si="20"/>
        <v>0</v>
      </c>
      <c r="ACA20" s="11">
        <f t="shared" si="20"/>
        <v>0</v>
      </c>
      <c r="ACB20" s="7">
        <f t="shared" si="21"/>
        <v>0</v>
      </c>
      <c r="ACC20" s="7">
        <f t="shared" si="22"/>
        <v>0</v>
      </c>
      <c r="ACD20" s="7">
        <f t="shared" si="23"/>
        <v>0</v>
      </c>
      <c r="ACE20" s="12">
        <f t="shared" si="24"/>
        <v>0</v>
      </c>
      <c r="ACF20">
        <f t="shared" si="25"/>
        <v>0</v>
      </c>
      <c r="ACG20">
        <f t="shared" si="25"/>
        <v>0</v>
      </c>
      <c r="ACH20">
        <f t="shared" si="25"/>
        <v>0</v>
      </c>
      <c r="ACI20">
        <f t="shared" si="25"/>
        <v>0</v>
      </c>
    </row>
    <row r="21" spans="1:763" x14ac:dyDescent="0.25">
      <c r="A21" t="s">
        <v>799</v>
      </c>
      <c r="B21" t="s">
        <v>800</v>
      </c>
      <c r="C21">
        <v>129383</v>
      </c>
      <c r="D21" t="s">
        <v>811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f t="shared" si="12"/>
        <v>0</v>
      </c>
      <c r="T21">
        <f t="shared" si="12"/>
        <v>0</v>
      </c>
      <c r="U21">
        <f t="shared" si="13"/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 s="11">
        <f t="shared" si="14"/>
        <v>0</v>
      </c>
      <c r="KC21" s="11">
        <f t="shared" si="14"/>
        <v>0</v>
      </c>
      <c r="KD21" s="11">
        <f t="shared" si="15"/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 s="11">
        <f t="shared" si="16"/>
        <v>0</v>
      </c>
      <c r="UL21" s="11">
        <f t="shared" si="16"/>
        <v>0</v>
      </c>
      <c r="UM21" s="11">
        <f t="shared" si="17"/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 s="11">
        <f t="shared" si="18"/>
        <v>0</v>
      </c>
      <c r="ABW21" s="11">
        <f t="shared" si="18"/>
        <v>0</v>
      </c>
      <c r="ABX21" s="11">
        <f t="shared" si="19"/>
        <v>0</v>
      </c>
      <c r="ABY21" s="11">
        <f t="shared" si="20"/>
        <v>0</v>
      </c>
      <c r="ABZ21" s="11">
        <f t="shared" si="20"/>
        <v>0</v>
      </c>
      <c r="ACA21" s="11">
        <f t="shared" si="20"/>
        <v>0</v>
      </c>
      <c r="ACB21" s="7">
        <f t="shared" si="21"/>
        <v>0</v>
      </c>
      <c r="ACC21" s="7">
        <f t="shared" si="22"/>
        <v>0</v>
      </c>
      <c r="ACD21" s="7">
        <f t="shared" si="23"/>
        <v>0</v>
      </c>
      <c r="ACE21" s="12">
        <f t="shared" si="24"/>
        <v>0</v>
      </c>
      <c r="ACF21">
        <f t="shared" si="25"/>
        <v>0</v>
      </c>
      <c r="ACG21">
        <f t="shared" si="25"/>
        <v>0</v>
      </c>
      <c r="ACH21">
        <f t="shared" si="25"/>
        <v>0</v>
      </c>
      <c r="ACI21">
        <f t="shared" si="25"/>
        <v>0</v>
      </c>
    </row>
    <row r="22" spans="1:763" x14ac:dyDescent="0.25">
      <c r="A22" t="s">
        <v>799</v>
      </c>
      <c r="B22" t="s">
        <v>800</v>
      </c>
      <c r="C22">
        <v>129384</v>
      </c>
      <c r="D22" t="s">
        <v>812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f t="shared" si="12"/>
        <v>0</v>
      </c>
      <c r="T22">
        <f t="shared" si="12"/>
        <v>0</v>
      </c>
      <c r="U22">
        <f t="shared" si="13"/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4</v>
      </c>
      <c r="HE22">
        <v>1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2</v>
      </c>
      <c r="HQ22">
        <v>0</v>
      </c>
      <c r="HR22">
        <v>6</v>
      </c>
      <c r="HS22">
        <v>1</v>
      </c>
      <c r="HT22">
        <v>0</v>
      </c>
      <c r="HU22">
        <v>0</v>
      </c>
      <c r="HV22">
        <v>3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 s="11">
        <f t="shared" si="14"/>
        <v>19</v>
      </c>
      <c r="KC22" s="11">
        <f t="shared" si="14"/>
        <v>6</v>
      </c>
      <c r="KD22" s="11">
        <f t="shared" si="15"/>
        <v>25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 s="11">
        <f t="shared" si="16"/>
        <v>0</v>
      </c>
      <c r="UL22" s="11">
        <f t="shared" si="16"/>
        <v>0</v>
      </c>
      <c r="UM22" s="11">
        <f t="shared" si="17"/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 s="11">
        <f t="shared" si="18"/>
        <v>0</v>
      </c>
      <c r="ABW22" s="11">
        <f t="shared" si="18"/>
        <v>0</v>
      </c>
      <c r="ABX22" s="11">
        <f t="shared" si="19"/>
        <v>0</v>
      </c>
      <c r="ABY22" s="11">
        <f t="shared" si="20"/>
        <v>19</v>
      </c>
      <c r="ABZ22" s="11">
        <f t="shared" si="20"/>
        <v>6</v>
      </c>
      <c r="ACA22" s="11">
        <f t="shared" si="20"/>
        <v>25</v>
      </c>
      <c r="ACB22" s="7">
        <f t="shared" si="21"/>
        <v>0</v>
      </c>
      <c r="ACC22" s="7">
        <f t="shared" si="22"/>
        <v>25</v>
      </c>
      <c r="ACD22" s="7">
        <f t="shared" si="23"/>
        <v>0</v>
      </c>
      <c r="ACE22" s="12">
        <f t="shared" si="24"/>
        <v>25</v>
      </c>
      <c r="ACF22">
        <f t="shared" si="25"/>
        <v>0</v>
      </c>
      <c r="ACG22">
        <f t="shared" si="25"/>
        <v>1</v>
      </c>
      <c r="ACH22">
        <f t="shared" si="25"/>
        <v>0</v>
      </c>
      <c r="ACI22">
        <f t="shared" si="25"/>
        <v>1</v>
      </c>
    </row>
    <row r="23" spans="1:763" x14ac:dyDescent="0.25">
      <c r="A23" t="s">
        <v>799</v>
      </c>
      <c r="B23" t="s">
        <v>800</v>
      </c>
      <c r="C23">
        <v>129385</v>
      </c>
      <c r="D23" t="s">
        <v>813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f t="shared" si="12"/>
        <v>0</v>
      </c>
      <c r="T23">
        <f t="shared" si="12"/>
        <v>0</v>
      </c>
      <c r="U23">
        <f t="shared" si="13"/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4</v>
      </c>
      <c r="GW23">
        <v>4</v>
      </c>
      <c r="GX23">
        <v>5</v>
      </c>
      <c r="GY23">
        <v>3</v>
      </c>
      <c r="GZ23">
        <v>5</v>
      </c>
      <c r="HA23">
        <v>1</v>
      </c>
      <c r="HB23">
        <v>2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5</v>
      </c>
      <c r="HK23">
        <v>3</v>
      </c>
      <c r="HL23">
        <v>4</v>
      </c>
      <c r="HM23">
        <v>3</v>
      </c>
      <c r="HN23">
        <v>4</v>
      </c>
      <c r="HO23">
        <v>3</v>
      </c>
      <c r="HP23">
        <v>3</v>
      </c>
      <c r="HQ23">
        <v>2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1</v>
      </c>
      <c r="JW23">
        <v>0</v>
      </c>
      <c r="JX23">
        <v>0</v>
      </c>
      <c r="JY23">
        <v>0</v>
      </c>
      <c r="JZ23">
        <v>0</v>
      </c>
      <c r="KA23">
        <v>0</v>
      </c>
      <c r="KB23" s="11">
        <f t="shared" si="14"/>
        <v>34</v>
      </c>
      <c r="KC23" s="11">
        <f t="shared" si="14"/>
        <v>20</v>
      </c>
      <c r="KD23" s="11">
        <f t="shared" si="15"/>
        <v>54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 s="11">
        <f t="shared" si="16"/>
        <v>0</v>
      </c>
      <c r="UL23" s="11">
        <f t="shared" si="16"/>
        <v>0</v>
      </c>
      <c r="UM23" s="11">
        <f t="shared" si="17"/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 s="11">
        <f t="shared" si="18"/>
        <v>0</v>
      </c>
      <c r="ABW23" s="11">
        <f t="shared" si="18"/>
        <v>0</v>
      </c>
      <c r="ABX23" s="11">
        <f t="shared" si="19"/>
        <v>0</v>
      </c>
      <c r="ABY23" s="11">
        <f t="shared" si="20"/>
        <v>34</v>
      </c>
      <c r="ABZ23" s="11">
        <f t="shared" si="20"/>
        <v>20</v>
      </c>
      <c r="ACA23" s="11">
        <f t="shared" si="20"/>
        <v>54</v>
      </c>
      <c r="ACB23" s="7">
        <f t="shared" si="21"/>
        <v>0</v>
      </c>
      <c r="ACC23" s="7">
        <f t="shared" si="22"/>
        <v>54</v>
      </c>
      <c r="ACD23" s="7">
        <f t="shared" si="23"/>
        <v>0</v>
      </c>
      <c r="ACE23" s="12">
        <f t="shared" si="24"/>
        <v>54</v>
      </c>
      <c r="ACF23">
        <f t="shared" si="25"/>
        <v>0</v>
      </c>
      <c r="ACG23">
        <f t="shared" si="25"/>
        <v>1</v>
      </c>
      <c r="ACH23">
        <f t="shared" si="25"/>
        <v>0</v>
      </c>
      <c r="ACI23">
        <f t="shared" si="25"/>
        <v>1</v>
      </c>
    </row>
    <row r="24" spans="1:763" x14ac:dyDescent="0.25">
      <c r="A24" t="s">
        <v>799</v>
      </c>
      <c r="B24" t="s">
        <v>800</v>
      </c>
      <c r="C24">
        <v>129386</v>
      </c>
      <c r="D24" t="s">
        <v>814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f t="shared" si="12"/>
        <v>0</v>
      </c>
      <c r="T24">
        <f t="shared" si="12"/>
        <v>0</v>
      </c>
      <c r="U24">
        <f t="shared" ref="U24:U64" si="26">SUM(S24:T24)</f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 s="11">
        <f t="shared" si="14"/>
        <v>0</v>
      </c>
      <c r="KC24" s="11">
        <f t="shared" si="14"/>
        <v>0</v>
      </c>
      <c r="KD24" s="11">
        <f t="shared" ref="KD24:KD64" si="27">SUM(KB24:KC24)</f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 s="11">
        <f t="shared" si="16"/>
        <v>0</v>
      </c>
      <c r="UL24" s="11">
        <f t="shared" si="16"/>
        <v>0</v>
      </c>
      <c r="UM24" s="11">
        <f t="shared" ref="UM24:UM64" si="28">SUM(UK24:UL24)</f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 s="11">
        <f t="shared" si="18"/>
        <v>0</v>
      </c>
      <c r="ABW24" s="11">
        <f t="shared" si="18"/>
        <v>0</v>
      </c>
      <c r="ABX24" s="11">
        <f t="shared" ref="ABX24:ABX64" si="29">SUM(ABV24:ABW24)</f>
        <v>0</v>
      </c>
      <c r="ABY24" s="11">
        <f t="shared" si="20"/>
        <v>0</v>
      </c>
      <c r="ABZ24" s="11">
        <f t="shared" si="20"/>
        <v>0</v>
      </c>
      <c r="ACA24" s="11">
        <f t="shared" si="20"/>
        <v>0</v>
      </c>
      <c r="ACB24" s="7">
        <f t="shared" ref="ACB24:ACB64" si="30">SUM(E24:R24)</f>
        <v>0</v>
      </c>
      <c r="ACC24" s="7">
        <f t="shared" ref="ACC24:ACC64" si="31">KD24+UM24</f>
        <v>0</v>
      </c>
      <c r="ACD24" s="7">
        <f t="shared" ref="ACD24:ACD64" si="32">SUM(UN24:ABU24)</f>
        <v>0</v>
      </c>
      <c r="ACE24" s="12">
        <f t="shared" ref="ACE24:ACE64" si="33">SUM(ACB24:ACD24)</f>
        <v>0</v>
      </c>
      <c r="ACF24">
        <f t="shared" si="25"/>
        <v>0</v>
      </c>
      <c r="ACG24">
        <f t="shared" si="25"/>
        <v>0</v>
      </c>
      <c r="ACH24">
        <f t="shared" si="25"/>
        <v>0</v>
      </c>
      <c r="ACI24">
        <f t="shared" si="25"/>
        <v>0</v>
      </c>
    </row>
    <row r="25" spans="1:763" x14ac:dyDescent="0.25">
      <c r="A25" t="s">
        <v>799</v>
      </c>
      <c r="B25" t="s">
        <v>800</v>
      </c>
      <c r="C25">
        <v>129387</v>
      </c>
      <c r="D25" t="s">
        <v>815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f t="shared" si="12"/>
        <v>0</v>
      </c>
      <c r="T25">
        <f t="shared" si="12"/>
        <v>0</v>
      </c>
      <c r="U25">
        <f t="shared" si="26"/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2</v>
      </c>
      <c r="HC25">
        <v>0</v>
      </c>
      <c r="HD25">
        <v>1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1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 s="11">
        <f t="shared" si="14"/>
        <v>11</v>
      </c>
      <c r="KC25" s="11">
        <f t="shared" si="14"/>
        <v>1</v>
      </c>
      <c r="KD25" s="11">
        <f t="shared" si="27"/>
        <v>12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 s="11">
        <f t="shared" si="16"/>
        <v>0</v>
      </c>
      <c r="UL25" s="11">
        <f t="shared" si="16"/>
        <v>0</v>
      </c>
      <c r="UM25" s="11">
        <f t="shared" si="28"/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 s="11">
        <f t="shared" si="18"/>
        <v>0</v>
      </c>
      <c r="ABW25" s="11">
        <f t="shared" si="18"/>
        <v>0</v>
      </c>
      <c r="ABX25" s="11">
        <f t="shared" si="29"/>
        <v>0</v>
      </c>
      <c r="ABY25" s="11">
        <f t="shared" si="20"/>
        <v>11</v>
      </c>
      <c r="ABZ25" s="11">
        <f t="shared" si="20"/>
        <v>1</v>
      </c>
      <c r="ACA25" s="11">
        <f t="shared" si="20"/>
        <v>12</v>
      </c>
      <c r="ACB25" s="7">
        <f t="shared" si="30"/>
        <v>0</v>
      </c>
      <c r="ACC25" s="7">
        <f t="shared" si="31"/>
        <v>12</v>
      </c>
      <c r="ACD25" s="7">
        <f t="shared" si="32"/>
        <v>0</v>
      </c>
      <c r="ACE25" s="12">
        <f t="shared" si="33"/>
        <v>12</v>
      </c>
      <c r="ACF25">
        <f t="shared" si="25"/>
        <v>0</v>
      </c>
      <c r="ACG25">
        <f t="shared" si="25"/>
        <v>1</v>
      </c>
      <c r="ACH25">
        <f t="shared" si="25"/>
        <v>0</v>
      </c>
      <c r="ACI25">
        <f t="shared" si="25"/>
        <v>1</v>
      </c>
    </row>
    <row r="26" spans="1:763" x14ac:dyDescent="0.25">
      <c r="A26" t="s">
        <v>799</v>
      </c>
      <c r="B26" t="s">
        <v>800</v>
      </c>
      <c r="C26">
        <v>129388</v>
      </c>
      <c r="D26" t="s">
        <v>816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f t="shared" si="12"/>
        <v>0</v>
      </c>
      <c r="T26">
        <f t="shared" si="12"/>
        <v>0</v>
      </c>
      <c r="U26">
        <f t="shared" si="26"/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 s="11">
        <f t="shared" si="14"/>
        <v>0</v>
      </c>
      <c r="KC26" s="11">
        <f t="shared" si="14"/>
        <v>0</v>
      </c>
      <c r="KD26" s="11">
        <f t="shared" si="27"/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 s="11">
        <f t="shared" si="16"/>
        <v>0</v>
      </c>
      <c r="UL26" s="11">
        <f t="shared" si="16"/>
        <v>0</v>
      </c>
      <c r="UM26" s="11">
        <f t="shared" si="28"/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 s="11">
        <f t="shared" si="18"/>
        <v>0</v>
      </c>
      <c r="ABW26" s="11">
        <f t="shared" si="18"/>
        <v>0</v>
      </c>
      <c r="ABX26" s="11">
        <f t="shared" si="29"/>
        <v>0</v>
      </c>
      <c r="ABY26" s="11">
        <f t="shared" si="20"/>
        <v>0</v>
      </c>
      <c r="ABZ26" s="11">
        <f t="shared" si="20"/>
        <v>0</v>
      </c>
      <c r="ACA26" s="11">
        <f t="shared" si="20"/>
        <v>0</v>
      </c>
      <c r="ACB26" s="7">
        <f t="shared" si="30"/>
        <v>0</v>
      </c>
      <c r="ACC26" s="7">
        <f t="shared" si="31"/>
        <v>0</v>
      </c>
      <c r="ACD26" s="7">
        <f t="shared" si="32"/>
        <v>0</v>
      </c>
      <c r="ACE26" s="12">
        <f t="shared" si="33"/>
        <v>0</v>
      </c>
      <c r="ACF26">
        <f t="shared" si="25"/>
        <v>0</v>
      </c>
      <c r="ACG26">
        <f t="shared" si="25"/>
        <v>0</v>
      </c>
      <c r="ACH26">
        <f t="shared" si="25"/>
        <v>0</v>
      </c>
      <c r="ACI26">
        <f t="shared" si="25"/>
        <v>0</v>
      </c>
    </row>
    <row r="27" spans="1:763" x14ac:dyDescent="0.25">
      <c r="A27" t="s">
        <v>799</v>
      </c>
      <c r="B27" t="s">
        <v>800</v>
      </c>
      <c r="C27">
        <v>129389</v>
      </c>
      <c r="D27" t="s">
        <v>817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f t="shared" si="12"/>
        <v>0</v>
      </c>
      <c r="T27">
        <f t="shared" si="12"/>
        <v>0</v>
      </c>
      <c r="U27">
        <f t="shared" si="26"/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 s="11">
        <f t="shared" si="14"/>
        <v>0</v>
      </c>
      <c r="KC27" s="11">
        <f t="shared" si="14"/>
        <v>0</v>
      </c>
      <c r="KD27" s="11">
        <f t="shared" si="27"/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 s="11">
        <f t="shared" si="16"/>
        <v>0</v>
      </c>
      <c r="UL27" s="11">
        <f t="shared" si="16"/>
        <v>0</v>
      </c>
      <c r="UM27" s="11">
        <f t="shared" si="28"/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 s="11">
        <f t="shared" si="18"/>
        <v>0</v>
      </c>
      <c r="ABW27" s="11">
        <f t="shared" si="18"/>
        <v>0</v>
      </c>
      <c r="ABX27" s="11">
        <f t="shared" si="29"/>
        <v>0</v>
      </c>
      <c r="ABY27" s="11">
        <f t="shared" si="20"/>
        <v>0</v>
      </c>
      <c r="ABZ27" s="11">
        <f t="shared" si="20"/>
        <v>0</v>
      </c>
      <c r="ACA27" s="11">
        <f t="shared" si="20"/>
        <v>0</v>
      </c>
      <c r="ACB27" s="7">
        <f t="shared" si="30"/>
        <v>0</v>
      </c>
      <c r="ACC27" s="7">
        <f t="shared" si="31"/>
        <v>0</v>
      </c>
      <c r="ACD27" s="7">
        <f t="shared" si="32"/>
        <v>0</v>
      </c>
      <c r="ACE27" s="12">
        <f t="shared" si="33"/>
        <v>0</v>
      </c>
      <c r="ACF27">
        <f t="shared" si="25"/>
        <v>0</v>
      </c>
      <c r="ACG27">
        <f t="shared" si="25"/>
        <v>0</v>
      </c>
      <c r="ACH27">
        <f t="shared" si="25"/>
        <v>0</v>
      </c>
      <c r="ACI27">
        <f t="shared" si="25"/>
        <v>0</v>
      </c>
    </row>
    <row r="28" spans="1:763" x14ac:dyDescent="0.25">
      <c r="A28" t="s">
        <v>799</v>
      </c>
      <c r="B28" t="s">
        <v>800</v>
      </c>
      <c r="C28">
        <v>129390</v>
      </c>
      <c r="D28" t="s">
        <v>818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f t="shared" si="12"/>
        <v>0</v>
      </c>
      <c r="T28">
        <f t="shared" si="12"/>
        <v>0</v>
      </c>
      <c r="U28">
        <f t="shared" si="26"/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 s="11">
        <f t="shared" si="14"/>
        <v>0</v>
      </c>
      <c r="KC28" s="11">
        <f t="shared" si="14"/>
        <v>0</v>
      </c>
      <c r="KD28" s="11">
        <f t="shared" si="27"/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 s="11">
        <f t="shared" si="16"/>
        <v>0</v>
      </c>
      <c r="UL28" s="11">
        <f t="shared" si="16"/>
        <v>0</v>
      </c>
      <c r="UM28" s="11">
        <f t="shared" si="28"/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 s="11">
        <f t="shared" si="18"/>
        <v>0</v>
      </c>
      <c r="ABW28" s="11">
        <f t="shared" si="18"/>
        <v>0</v>
      </c>
      <c r="ABX28" s="11">
        <f t="shared" si="29"/>
        <v>0</v>
      </c>
      <c r="ABY28" s="11">
        <f t="shared" si="20"/>
        <v>0</v>
      </c>
      <c r="ABZ28" s="11">
        <f t="shared" si="20"/>
        <v>0</v>
      </c>
      <c r="ACA28" s="11">
        <f t="shared" si="20"/>
        <v>0</v>
      </c>
      <c r="ACB28" s="7">
        <f t="shared" si="30"/>
        <v>0</v>
      </c>
      <c r="ACC28" s="7">
        <f t="shared" si="31"/>
        <v>0</v>
      </c>
      <c r="ACD28" s="7">
        <f t="shared" si="32"/>
        <v>0</v>
      </c>
      <c r="ACE28" s="12">
        <f t="shared" si="33"/>
        <v>0</v>
      </c>
      <c r="ACF28">
        <f t="shared" si="25"/>
        <v>0</v>
      </c>
      <c r="ACG28">
        <f t="shared" si="25"/>
        <v>0</v>
      </c>
      <c r="ACH28">
        <f t="shared" si="25"/>
        <v>0</v>
      </c>
      <c r="ACI28">
        <f t="shared" si="25"/>
        <v>0</v>
      </c>
    </row>
    <row r="29" spans="1:763" x14ac:dyDescent="0.25">
      <c r="A29" t="s">
        <v>799</v>
      </c>
      <c r="B29" t="s">
        <v>800</v>
      </c>
      <c r="C29">
        <v>129391</v>
      </c>
      <c r="D29" t="s">
        <v>819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f t="shared" si="12"/>
        <v>0</v>
      </c>
      <c r="T29">
        <f t="shared" si="12"/>
        <v>0</v>
      </c>
      <c r="U29">
        <f t="shared" si="26"/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</v>
      </c>
      <c r="GX29">
        <v>0</v>
      </c>
      <c r="GY29">
        <v>1</v>
      </c>
      <c r="GZ29">
        <v>1</v>
      </c>
      <c r="HA29">
        <v>0</v>
      </c>
      <c r="HB29">
        <v>3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3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1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 s="11">
        <f t="shared" si="14"/>
        <v>10</v>
      </c>
      <c r="KC29" s="11">
        <f t="shared" si="14"/>
        <v>3</v>
      </c>
      <c r="KD29" s="11">
        <f t="shared" si="27"/>
        <v>13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 s="11">
        <f t="shared" si="16"/>
        <v>0</v>
      </c>
      <c r="UL29" s="11">
        <f t="shared" si="16"/>
        <v>0</v>
      </c>
      <c r="UM29" s="11">
        <f t="shared" si="28"/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 s="11">
        <f t="shared" si="18"/>
        <v>0</v>
      </c>
      <c r="ABW29" s="11">
        <f t="shared" si="18"/>
        <v>0</v>
      </c>
      <c r="ABX29" s="11">
        <f t="shared" si="29"/>
        <v>0</v>
      </c>
      <c r="ABY29" s="11">
        <f t="shared" si="20"/>
        <v>10</v>
      </c>
      <c r="ABZ29" s="11">
        <f t="shared" si="20"/>
        <v>3</v>
      </c>
      <c r="ACA29" s="11">
        <f t="shared" si="20"/>
        <v>13</v>
      </c>
      <c r="ACB29" s="7">
        <f t="shared" si="30"/>
        <v>0</v>
      </c>
      <c r="ACC29" s="7">
        <f t="shared" si="31"/>
        <v>13</v>
      </c>
      <c r="ACD29" s="7">
        <f t="shared" si="32"/>
        <v>0</v>
      </c>
      <c r="ACE29" s="12">
        <f t="shared" si="33"/>
        <v>13</v>
      </c>
      <c r="ACF29">
        <f t="shared" si="25"/>
        <v>0</v>
      </c>
      <c r="ACG29">
        <f t="shared" si="25"/>
        <v>1</v>
      </c>
      <c r="ACH29">
        <f t="shared" si="25"/>
        <v>0</v>
      </c>
      <c r="ACI29">
        <f t="shared" si="25"/>
        <v>1</v>
      </c>
    </row>
    <row r="30" spans="1:763" x14ac:dyDescent="0.25">
      <c r="A30" t="s">
        <v>799</v>
      </c>
      <c r="B30" t="s">
        <v>800</v>
      </c>
      <c r="C30">
        <v>129392</v>
      </c>
      <c r="D30" t="s">
        <v>820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f t="shared" si="12"/>
        <v>0</v>
      </c>
      <c r="T30">
        <f t="shared" si="12"/>
        <v>0</v>
      </c>
      <c r="U30">
        <f t="shared" si="26"/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1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2</v>
      </c>
      <c r="GW30">
        <v>1</v>
      </c>
      <c r="GX30">
        <v>5</v>
      </c>
      <c r="GY30">
        <v>2</v>
      </c>
      <c r="GZ30">
        <v>15</v>
      </c>
      <c r="HA30">
        <v>6</v>
      </c>
      <c r="HB30">
        <v>5</v>
      </c>
      <c r="HC30">
        <v>4</v>
      </c>
      <c r="HD30">
        <v>3</v>
      </c>
      <c r="HE30">
        <v>0</v>
      </c>
      <c r="HF30">
        <v>3</v>
      </c>
      <c r="HG30">
        <v>0</v>
      </c>
      <c r="HH30">
        <v>6</v>
      </c>
      <c r="HI30">
        <v>4</v>
      </c>
      <c r="HJ30">
        <v>2</v>
      </c>
      <c r="HK30">
        <v>1</v>
      </c>
      <c r="HL30">
        <v>5</v>
      </c>
      <c r="HM30">
        <v>2</v>
      </c>
      <c r="HN30">
        <v>13</v>
      </c>
      <c r="HO30">
        <v>6</v>
      </c>
      <c r="HP30">
        <v>0</v>
      </c>
      <c r="HQ30">
        <v>0</v>
      </c>
      <c r="HR30">
        <v>3</v>
      </c>
      <c r="HS30">
        <v>0</v>
      </c>
      <c r="HT30">
        <v>1</v>
      </c>
      <c r="HU30">
        <v>0</v>
      </c>
      <c r="HV30">
        <v>6</v>
      </c>
      <c r="HW30">
        <v>4</v>
      </c>
      <c r="HX30">
        <v>0</v>
      </c>
      <c r="HY30">
        <v>0</v>
      </c>
      <c r="HZ30">
        <v>6</v>
      </c>
      <c r="IA30">
        <v>2</v>
      </c>
      <c r="IB30">
        <v>4</v>
      </c>
      <c r="IC30">
        <v>0</v>
      </c>
      <c r="ID30">
        <v>5</v>
      </c>
      <c r="IE30">
        <v>4</v>
      </c>
      <c r="IF30">
        <v>0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4</v>
      </c>
      <c r="IO30">
        <v>1</v>
      </c>
      <c r="IP30">
        <v>4</v>
      </c>
      <c r="IQ30">
        <v>0</v>
      </c>
      <c r="IR30">
        <v>0</v>
      </c>
      <c r="IS30">
        <v>0</v>
      </c>
      <c r="IT30">
        <v>1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2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6</v>
      </c>
      <c r="JQ30">
        <v>2</v>
      </c>
      <c r="JR30">
        <v>4</v>
      </c>
      <c r="JS30">
        <v>2</v>
      </c>
      <c r="JT30">
        <v>5</v>
      </c>
      <c r="JU30">
        <v>4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 s="11">
        <f t="shared" si="14"/>
        <v>111</v>
      </c>
      <c r="KC30" s="11">
        <f t="shared" si="14"/>
        <v>49</v>
      </c>
      <c r="KD30" s="11">
        <f t="shared" si="27"/>
        <v>160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 s="11">
        <f t="shared" si="16"/>
        <v>0</v>
      </c>
      <c r="UL30" s="11">
        <f t="shared" si="16"/>
        <v>0</v>
      </c>
      <c r="UM30" s="11">
        <f t="shared" si="28"/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 s="11">
        <f t="shared" si="18"/>
        <v>0</v>
      </c>
      <c r="ABW30" s="11">
        <f t="shared" si="18"/>
        <v>0</v>
      </c>
      <c r="ABX30" s="11">
        <f t="shared" si="29"/>
        <v>0</v>
      </c>
      <c r="ABY30" s="11">
        <f t="shared" si="20"/>
        <v>111</v>
      </c>
      <c r="ABZ30" s="11">
        <f t="shared" si="20"/>
        <v>49</v>
      </c>
      <c r="ACA30" s="11">
        <f t="shared" si="20"/>
        <v>160</v>
      </c>
      <c r="ACB30" s="7">
        <f t="shared" si="30"/>
        <v>0</v>
      </c>
      <c r="ACC30" s="7">
        <f t="shared" si="31"/>
        <v>160</v>
      </c>
      <c r="ACD30" s="7">
        <f t="shared" si="32"/>
        <v>0</v>
      </c>
      <c r="ACE30" s="12">
        <f t="shared" si="33"/>
        <v>160</v>
      </c>
      <c r="ACF30">
        <f t="shared" si="25"/>
        <v>0</v>
      </c>
      <c r="ACG30">
        <f t="shared" si="25"/>
        <v>1</v>
      </c>
      <c r="ACH30">
        <f t="shared" si="25"/>
        <v>0</v>
      </c>
      <c r="ACI30">
        <f t="shared" si="25"/>
        <v>1</v>
      </c>
    </row>
    <row r="31" spans="1:763" x14ac:dyDescent="0.25">
      <c r="A31" t="s">
        <v>799</v>
      </c>
      <c r="B31" t="s">
        <v>800</v>
      </c>
      <c r="C31">
        <v>129393</v>
      </c>
      <c r="D31" t="s">
        <v>821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f t="shared" si="12"/>
        <v>0</v>
      </c>
      <c r="T31">
        <f t="shared" si="12"/>
        <v>0</v>
      </c>
      <c r="U31">
        <f t="shared" si="26"/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1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 s="11">
        <f t="shared" si="14"/>
        <v>5</v>
      </c>
      <c r="KC31" s="11">
        <f t="shared" si="14"/>
        <v>4</v>
      </c>
      <c r="KD31" s="11">
        <f t="shared" si="27"/>
        <v>9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 s="11">
        <f t="shared" si="16"/>
        <v>0</v>
      </c>
      <c r="UL31" s="11">
        <f t="shared" si="16"/>
        <v>0</v>
      </c>
      <c r="UM31" s="11">
        <f t="shared" si="28"/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 s="11">
        <f t="shared" si="18"/>
        <v>0</v>
      </c>
      <c r="ABW31" s="11">
        <f t="shared" si="18"/>
        <v>0</v>
      </c>
      <c r="ABX31" s="11">
        <f t="shared" si="29"/>
        <v>0</v>
      </c>
      <c r="ABY31" s="11">
        <f t="shared" si="20"/>
        <v>5</v>
      </c>
      <c r="ABZ31" s="11">
        <f t="shared" si="20"/>
        <v>4</v>
      </c>
      <c r="ACA31" s="11">
        <f t="shared" si="20"/>
        <v>9</v>
      </c>
      <c r="ACB31" s="7">
        <f t="shared" si="30"/>
        <v>0</v>
      </c>
      <c r="ACC31" s="7">
        <f t="shared" si="31"/>
        <v>9</v>
      </c>
      <c r="ACD31" s="7">
        <f t="shared" si="32"/>
        <v>0</v>
      </c>
      <c r="ACE31" s="12">
        <f t="shared" si="33"/>
        <v>9</v>
      </c>
      <c r="ACF31">
        <f t="shared" si="25"/>
        <v>0</v>
      </c>
      <c r="ACG31">
        <f t="shared" si="25"/>
        <v>1</v>
      </c>
      <c r="ACH31">
        <f t="shared" si="25"/>
        <v>0</v>
      </c>
      <c r="ACI31">
        <f t="shared" si="25"/>
        <v>1</v>
      </c>
    </row>
    <row r="32" spans="1:763" x14ac:dyDescent="0.25">
      <c r="A32" t="s">
        <v>799</v>
      </c>
      <c r="B32" t="s">
        <v>800</v>
      </c>
      <c r="C32">
        <v>129394</v>
      </c>
      <c r="D32" t="s">
        <v>822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f t="shared" si="12"/>
        <v>0</v>
      </c>
      <c r="T32">
        <f t="shared" si="12"/>
        <v>0</v>
      </c>
      <c r="U32">
        <f t="shared" si="26"/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1</v>
      </c>
      <c r="GZ32">
        <v>5</v>
      </c>
      <c r="HA32">
        <v>0</v>
      </c>
      <c r="HB32">
        <v>2</v>
      </c>
      <c r="HC32">
        <v>0</v>
      </c>
      <c r="HD32">
        <v>1</v>
      </c>
      <c r="HE32">
        <v>2</v>
      </c>
      <c r="HF32">
        <v>3</v>
      </c>
      <c r="HG32">
        <v>0</v>
      </c>
      <c r="HH32">
        <v>5</v>
      </c>
      <c r="HI32">
        <v>4</v>
      </c>
      <c r="HJ32">
        <v>1</v>
      </c>
      <c r="HK32">
        <v>1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2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 s="11">
        <f t="shared" si="14"/>
        <v>23</v>
      </c>
      <c r="KC32" s="11">
        <f t="shared" si="14"/>
        <v>9</v>
      </c>
      <c r="KD32" s="11">
        <f t="shared" si="27"/>
        <v>32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 s="11">
        <f t="shared" si="16"/>
        <v>0</v>
      </c>
      <c r="UL32" s="11">
        <f t="shared" si="16"/>
        <v>0</v>
      </c>
      <c r="UM32" s="11">
        <f t="shared" si="28"/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 s="11">
        <f t="shared" si="18"/>
        <v>0</v>
      </c>
      <c r="ABW32" s="11">
        <f t="shared" si="18"/>
        <v>0</v>
      </c>
      <c r="ABX32" s="11">
        <f t="shared" si="29"/>
        <v>0</v>
      </c>
      <c r="ABY32" s="11">
        <f t="shared" si="20"/>
        <v>23</v>
      </c>
      <c r="ABZ32" s="11">
        <f t="shared" si="20"/>
        <v>9</v>
      </c>
      <c r="ACA32" s="11">
        <f t="shared" si="20"/>
        <v>32</v>
      </c>
      <c r="ACB32" s="7">
        <f t="shared" si="30"/>
        <v>0</v>
      </c>
      <c r="ACC32" s="7">
        <f t="shared" si="31"/>
        <v>32</v>
      </c>
      <c r="ACD32" s="7">
        <f t="shared" si="32"/>
        <v>0</v>
      </c>
      <c r="ACE32" s="12">
        <f t="shared" si="33"/>
        <v>32</v>
      </c>
      <c r="ACF32">
        <f t="shared" si="25"/>
        <v>0</v>
      </c>
      <c r="ACG32">
        <f t="shared" si="25"/>
        <v>1</v>
      </c>
      <c r="ACH32">
        <f t="shared" si="25"/>
        <v>0</v>
      </c>
      <c r="ACI32">
        <f t="shared" si="25"/>
        <v>1</v>
      </c>
    </row>
    <row r="33" spans="1:763" x14ac:dyDescent="0.25">
      <c r="A33" t="s">
        <v>799</v>
      </c>
      <c r="B33" t="s">
        <v>800</v>
      </c>
      <c r="C33">
        <v>129395</v>
      </c>
      <c r="D33" t="s">
        <v>823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f t="shared" si="12"/>
        <v>0</v>
      </c>
      <c r="T33">
        <f t="shared" si="12"/>
        <v>0</v>
      </c>
      <c r="U33">
        <f t="shared" si="26"/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 s="11">
        <f t="shared" si="14"/>
        <v>0</v>
      </c>
      <c r="KC33" s="11">
        <f t="shared" si="14"/>
        <v>0</v>
      </c>
      <c r="KD33" s="11">
        <f t="shared" si="27"/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 s="11">
        <f t="shared" si="16"/>
        <v>0</v>
      </c>
      <c r="UL33" s="11">
        <f t="shared" si="16"/>
        <v>0</v>
      </c>
      <c r="UM33" s="11">
        <f t="shared" si="28"/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 s="11">
        <f t="shared" si="18"/>
        <v>0</v>
      </c>
      <c r="ABW33" s="11">
        <f t="shared" si="18"/>
        <v>0</v>
      </c>
      <c r="ABX33" s="11">
        <f t="shared" si="29"/>
        <v>0</v>
      </c>
      <c r="ABY33" s="11">
        <f t="shared" si="20"/>
        <v>0</v>
      </c>
      <c r="ABZ33" s="11">
        <f t="shared" si="20"/>
        <v>0</v>
      </c>
      <c r="ACA33" s="11">
        <f t="shared" si="20"/>
        <v>0</v>
      </c>
      <c r="ACB33" s="7">
        <f t="shared" si="30"/>
        <v>0</v>
      </c>
      <c r="ACC33" s="7">
        <f t="shared" si="31"/>
        <v>0</v>
      </c>
      <c r="ACD33" s="7">
        <f t="shared" si="32"/>
        <v>0</v>
      </c>
      <c r="ACE33" s="12">
        <f t="shared" si="33"/>
        <v>0</v>
      </c>
      <c r="ACF33">
        <f t="shared" si="25"/>
        <v>0</v>
      </c>
      <c r="ACG33">
        <f t="shared" si="25"/>
        <v>0</v>
      </c>
      <c r="ACH33">
        <f t="shared" si="25"/>
        <v>0</v>
      </c>
      <c r="ACI33">
        <f t="shared" si="25"/>
        <v>0</v>
      </c>
    </row>
    <row r="34" spans="1:763" x14ac:dyDescent="0.25">
      <c r="A34" t="s">
        <v>799</v>
      </c>
      <c r="B34" t="s">
        <v>800</v>
      </c>
      <c r="C34">
        <v>129396</v>
      </c>
      <c r="D34" t="s">
        <v>824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f t="shared" si="12"/>
        <v>0</v>
      </c>
      <c r="T34">
        <f t="shared" si="12"/>
        <v>0</v>
      </c>
      <c r="U34">
        <f t="shared" si="26"/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 s="11">
        <f t="shared" si="14"/>
        <v>1</v>
      </c>
      <c r="KC34" s="11">
        <f t="shared" si="14"/>
        <v>0</v>
      </c>
      <c r="KD34" s="11">
        <f t="shared" si="27"/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 s="11">
        <f t="shared" si="16"/>
        <v>0</v>
      </c>
      <c r="UL34" s="11">
        <f t="shared" si="16"/>
        <v>0</v>
      </c>
      <c r="UM34" s="11">
        <f t="shared" si="28"/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 s="11">
        <f t="shared" si="18"/>
        <v>0</v>
      </c>
      <c r="ABW34" s="11">
        <f t="shared" si="18"/>
        <v>0</v>
      </c>
      <c r="ABX34" s="11">
        <f t="shared" si="29"/>
        <v>0</v>
      </c>
      <c r="ABY34" s="11">
        <f t="shared" si="20"/>
        <v>1</v>
      </c>
      <c r="ABZ34" s="11">
        <f t="shared" si="20"/>
        <v>0</v>
      </c>
      <c r="ACA34" s="11">
        <f t="shared" si="20"/>
        <v>1</v>
      </c>
      <c r="ACB34" s="7">
        <f t="shared" si="30"/>
        <v>0</v>
      </c>
      <c r="ACC34" s="7">
        <f t="shared" si="31"/>
        <v>1</v>
      </c>
      <c r="ACD34" s="7">
        <f t="shared" si="32"/>
        <v>0</v>
      </c>
      <c r="ACE34" s="12">
        <f t="shared" si="33"/>
        <v>1</v>
      </c>
      <c r="ACF34">
        <f t="shared" si="25"/>
        <v>0</v>
      </c>
      <c r="ACG34">
        <f t="shared" si="25"/>
        <v>1</v>
      </c>
      <c r="ACH34">
        <f t="shared" si="25"/>
        <v>0</v>
      </c>
      <c r="ACI34">
        <f t="shared" si="25"/>
        <v>1</v>
      </c>
    </row>
    <row r="35" spans="1:763" x14ac:dyDescent="0.25">
      <c r="A35" t="s">
        <v>799</v>
      </c>
      <c r="B35" t="s">
        <v>800</v>
      </c>
      <c r="C35">
        <v>129397</v>
      </c>
      <c r="D35" t="s">
        <v>825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f t="shared" si="12"/>
        <v>0</v>
      </c>
      <c r="T35">
        <f t="shared" si="12"/>
        <v>0</v>
      </c>
      <c r="U35">
        <f t="shared" si="26"/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 s="11">
        <f t="shared" si="14"/>
        <v>0</v>
      </c>
      <c r="KC35" s="11">
        <f t="shared" si="14"/>
        <v>0</v>
      </c>
      <c r="KD35" s="11">
        <f t="shared" si="27"/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 s="11">
        <f t="shared" si="16"/>
        <v>0</v>
      </c>
      <c r="UL35" s="11">
        <f t="shared" si="16"/>
        <v>0</v>
      </c>
      <c r="UM35" s="11">
        <f t="shared" si="28"/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 s="11">
        <f t="shared" si="18"/>
        <v>0</v>
      </c>
      <c r="ABW35" s="11">
        <f t="shared" si="18"/>
        <v>0</v>
      </c>
      <c r="ABX35" s="11">
        <f t="shared" si="29"/>
        <v>0</v>
      </c>
      <c r="ABY35" s="11">
        <f t="shared" si="20"/>
        <v>0</v>
      </c>
      <c r="ABZ35" s="11">
        <f t="shared" si="20"/>
        <v>0</v>
      </c>
      <c r="ACA35" s="11">
        <f t="shared" si="20"/>
        <v>0</v>
      </c>
      <c r="ACB35" s="7">
        <f t="shared" si="30"/>
        <v>0</v>
      </c>
      <c r="ACC35" s="7">
        <f t="shared" si="31"/>
        <v>0</v>
      </c>
      <c r="ACD35" s="7">
        <f t="shared" si="32"/>
        <v>0</v>
      </c>
      <c r="ACE35" s="12">
        <f t="shared" si="33"/>
        <v>0</v>
      </c>
      <c r="ACF35">
        <f t="shared" si="25"/>
        <v>0</v>
      </c>
      <c r="ACG35">
        <f t="shared" si="25"/>
        <v>0</v>
      </c>
      <c r="ACH35">
        <f t="shared" si="25"/>
        <v>0</v>
      </c>
      <c r="ACI35">
        <f t="shared" si="25"/>
        <v>0</v>
      </c>
    </row>
    <row r="36" spans="1:763" x14ac:dyDescent="0.25">
      <c r="A36" t="s">
        <v>799</v>
      </c>
      <c r="B36" t="s">
        <v>800</v>
      </c>
      <c r="C36">
        <v>129398</v>
      </c>
      <c r="D36" t="s">
        <v>826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f t="shared" si="12"/>
        <v>0</v>
      </c>
      <c r="T36">
        <f t="shared" si="12"/>
        <v>0</v>
      </c>
      <c r="U36">
        <f t="shared" si="26"/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0</v>
      </c>
      <c r="HN36">
        <v>0</v>
      </c>
      <c r="HO36">
        <v>2</v>
      </c>
      <c r="HP36">
        <v>2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1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1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 s="11">
        <f t="shared" si="14"/>
        <v>6</v>
      </c>
      <c r="KC36" s="11">
        <f t="shared" si="14"/>
        <v>6</v>
      </c>
      <c r="KD36" s="11">
        <f t="shared" si="27"/>
        <v>12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 s="11">
        <f t="shared" si="16"/>
        <v>0</v>
      </c>
      <c r="UL36" s="11">
        <f t="shared" si="16"/>
        <v>0</v>
      </c>
      <c r="UM36" s="11">
        <f t="shared" si="28"/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 s="11">
        <f t="shared" si="18"/>
        <v>0</v>
      </c>
      <c r="ABW36" s="11">
        <f t="shared" si="18"/>
        <v>0</v>
      </c>
      <c r="ABX36" s="11">
        <f t="shared" si="29"/>
        <v>0</v>
      </c>
      <c r="ABY36" s="11">
        <f t="shared" si="20"/>
        <v>6</v>
      </c>
      <c r="ABZ36" s="11">
        <f t="shared" si="20"/>
        <v>6</v>
      </c>
      <c r="ACA36" s="11">
        <f t="shared" si="20"/>
        <v>12</v>
      </c>
      <c r="ACB36" s="7">
        <f t="shared" si="30"/>
        <v>0</v>
      </c>
      <c r="ACC36" s="7">
        <f t="shared" si="31"/>
        <v>12</v>
      </c>
      <c r="ACD36" s="7">
        <f t="shared" si="32"/>
        <v>0</v>
      </c>
      <c r="ACE36" s="12">
        <f t="shared" si="33"/>
        <v>12</v>
      </c>
      <c r="ACF36">
        <f t="shared" si="25"/>
        <v>0</v>
      </c>
      <c r="ACG36">
        <f t="shared" si="25"/>
        <v>1</v>
      </c>
      <c r="ACH36">
        <f t="shared" si="25"/>
        <v>0</v>
      </c>
      <c r="ACI36">
        <f t="shared" si="25"/>
        <v>1</v>
      </c>
    </row>
    <row r="37" spans="1:763" x14ac:dyDescent="0.25">
      <c r="A37" t="s">
        <v>799</v>
      </c>
      <c r="B37" t="s">
        <v>800</v>
      </c>
      <c r="C37">
        <v>129399</v>
      </c>
      <c r="D37" t="s">
        <v>827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12"/>
        <v>0</v>
      </c>
      <c r="T37">
        <f t="shared" si="12"/>
        <v>0</v>
      </c>
      <c r="U37">
        <f t="shared" si="26"/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2</v>
      </c>
      <c r="FY37">
        <v>0</v>
      </c>
      <c r="FZ37">
        <v>0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 s="11">
        <f t="shared" si="14"/>
        <v>4</v>
      </c>
      <c r="KC37" s="11">
        <f t="shared" si="14"/>
        <v>0</v>
      </c>
      <c r="KD37" s="11">
        <f t="shared" si="27"/>
        <v>4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 s="11">
        <f t="shared" si="16"/>
        <v>0</v>
      </c>
      <c r="UL37" s="11">
        <f t="shared" si="16"/>
        <v>0</v>
      </c>
      <c r="UM37" s="11">
        <f t="shared" si="28"/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 s="11">
        <f t="shared" si="18"/>
        <v>0</v>
      </c>
      <c r="ABW37" s="11">
        <f t="shared" si="18"/>
        <v>0</v>
      </c>
      <c r="ABX37" s="11">
        <f t="shared" si="29"/>
        <v>0</v>
      </c>
      <c r="ABY37" s="11">
        <f t="shared" si="20"/>
        <v>4</v>
      </c>
      <c r="ABZ37" s="11">
        <f t="shared" si="20"/>
        <v>0</v>
      </c>
      <c r="ACA37" s="11">
        <f t="shared" si="20"/>
        <v>4</v>
      </c>
      <c r="ACB37" s="7">
        <f t="shared" si="30"/>
        <v>0</v>
      </c>
      <c r="ACC37" s="7">
        <f t="shared" si="31"/>
        <v>4</v>
      </c>
      <c r="ACD37" s="7">
        <f t="shared" si="32"/>
        <v>0</v>
      </c>
      <c r="ACE37" s="12">
        <f t="shared" si="33"/>
        <v>4</v>
      </c>
      <c r="ACF37">
        <f t="shared" si="25"/>
        <v>0</v>
      </c>
      <c r="ACG37">
        <f t="shared" si="25"/>
        <v>1</v>
      </c>
      <c r="ACH37">
        <f t="shared" si="25"/>
        <v>0</v>
      </c>
      <c r="ACI37">
        <f t="shared" si="25"/>
        <v>1</v>
      </c>
    </row>
    <row r="38" spans="1:763" x14ac:dyDescent="0.25">
      <c r="A38" t="s">
        <v>799</v>
      </c>
      <c r="B38" t="s">
        <v>800</v>
      </c>
      <c r="C38">
        <v>129400</v>
      </c>
      <c r="D38" t="s">
        <v>828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f t="shared" si="12"/>
        <v>0</v>
      </c>
      <c r="T38">
        <f t="shared" si="12"/>
        <v>0</v>
      </c>
      <c r="U38">
        <f t="shared" si="26"/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 s="11">
        <f t="shared" si="14"/>
        <v>0</v>
      </c>
      <c r="KC38" s="11">
        <f t="shared" si="14"/>
        <v>0</v>
      </c>
      <c r="KD38" s="11">
        <f t="shared" si="27"/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 s="11">
        <f t="shared" si="16"/>
        <v>0</v>
      </c>
      <c r="UL38" s="11">
        <f t="shared" si="16"/>
        <v>0</v>
      </c>
      <c r="UM38" s="11">
        <f t="shared" si="28"/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 s="11">
        <f t="shared" si="18"/>
        <v>0</v>
      </c>
      <c r="ABW38" s="11">
        <f t="shared" si="18"/>
        <v>0</v>
      </c>
      <c r="ABX38" s="11">
        <f t="shared" si="29"/>
        <v>0</v>
      </c>
      <c r="ABY38" s="11">
        <f t="shared" si="20"/>
        <v>0</v>
      </c>
      <c r="ABZ38" s="11">
        <f t="shared" si="20"/>
        <v>0</v>
      </c>
      <c r="ACA38" s="11">
        <f t="shared" si="20"/>
        <v>0</v>
      </c>
      <c r="ACB38" s="7">
        <f t="shared" si="30"/>
        <v>0</v>
      </c>
      <c r="ACC38" s="7">
        <f t="shared" si="31"/>
        <v>0</v>
      </c>
      <c r="ACD38" s="7">
        <f t="shared" si="32"/>
        <v>0</v>
      </c>
      <c r="ACE38" s="12">
        <f t="shared" si="33"/>
        <v>0</v>
      </c>
      <c r="ACF38">
        <f t="shared" si="25"/>
        <v>0</v>
      </c>
      <c r="ACG38">
        <f t="shared" si="25"/>
        <v>0</v>
      </c>
      <c r="ACH38">
        <f t="shared" si="25"/>
        <v>0</v>
      </c>
      <c r="ACI38">
        <f t="shared" si="25"/>
        <v>0</v>
      </c>
    </row>
    <row r="39" spans="1:763" x14ac:dyDescent="0.25">
      <c r="A39" t="s">
        <v>799</v>
      </c>
      <c r="B39" t="s">
        <v>800</v>
      </c>
      <c r="C39">
        <v>129401</v>
      </c>
      <c r="D39" t="s">
        <v>829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f t="shared" si="12"/>
        <v>0</v>
      </c>
      <c r="T39">
        <f t="shared" si="12"/>
        <v>0</v>
      </c>
      <c r="U39">
        <f t="shared" si="26"/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2</v>
      </c>
      <c r="GW39">
        <v>4</v>
      </c>
      <c r="GX39">
        <v>12</v>
      </c>
      <c r="GY39">
        <v>5</v>
      </c>
      <c r="GZ39">
        <v>2</v>
      </c>
      <c r="HA39">
        <v>0</v>
      </c>
      <c r="HB39">
        <v>3</v>
      </c>
      <c r="HC39">
        <v>2</v>
      </c>
      <c r="HD39">
        <v>4</v>
      </c>
      <c r="HE39">
        <v>5</v>
      </c>
      <c r="HF39">
        <v>0</v>
      </c>
      <c r="HG39">
        <v>0</v>
      </c>
      <c r="HH39">
        <v>5</v>
      </c>
      <c r="HI39">
        <v>4</v>
      </c>
      <c r="HJ39">
        <v>4</v>
      </c>
      <c r="HK39">
        <v>0</v>
      </c>
      <c r="HL39">
        <v>6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4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 s="11">
        <f t="shared" si="14"/>
        <v>46</v>
      </c>
      <c r="KC39" s="11">
        <f t="shared" si="14"/>
        <v>25</v>
      </c>
      <c r="KD39" s="11">
        <f t="shared" si="27"/>
        <v>71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 s="11">
        <f t="shared" si="16"/>
        <v>0</v>
      </c>
      <c r="UL39" s="11">
        <f t="shared" si="16"/>
        <v>0</v>
      </c>
      <c r="UM39" s="11">
        <f t="shared" si="28"/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 s="11">
        <f t="shared" si="18"/>
        <v>0</v>
      </c>
      <c r="ABW39" s="11">
        <f t="shared" si="18"/>
        <v>0</v>
      </c>
      <c r="ABX39" s="11">
        <f t="shared" si="29"/>
        <v>0</v>
      </c>
      <c r="ABY39" s="11">
        <f t="shared" si="20"/>
        <v>46</v>
      </c>
      <c r="ABZ39" s="11">
        <f t="shared" si="20"/>
        <v>25</v>
      </c>
      <c r="ACA39" s="11">
        <f t="shared" si="20"/>
        <v>71</v>
      </c>
      <c r="ACB39" s="7">
        <f t="shared" si="30"/>
        <v>0</v>
      </c>
      <c r="ACC39" s="7">
        <f t="shared" si="31"/>
        <v>71</v>
      </c>
      <c r="ACD39" s="7">
        <f t="shared" si="32"/>
        <v>0</v>
      </c>
      <c r="ACE39" s="12">
        <f t="shared" si="33"/>
        <v>71</v>
      </c>
      <c r="ACF39">
        <f t="shared" si="25"/>
        <v>0</v>
      </c>
      <c r="ACG39">
        <f t="shared" si="25"/>
        <v>1</v>
      </c>
      <c r="ACH39">
        <f t="shared" si="25"/>
        <v>0</v>
      </c>
      <c r="ACI39">
        <f t="shared" si="25"/>
        <v>1</v>
      </c>
    </row>
    <row r="40" spans="1:763" x14ac:dyDescent="0.25">
      <c r="A40" t="s">
        <v>799</v>
      </c>
      <c r="B40" t="s">
        <v>800</v>
      </c>
      <c r="C40">
        <v>129402</v>
      </c>
      <c r="D40" t="s">
        <v>830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f t="shared" si="12"/>
        <v>0</v>
      </c>
      <c r="T40">
        <f t="shared" si="12"/>
        <v>0</v>
      </c>
      <c r="U40">
        <f t="shared" si="26"/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2</v>
      </c>
      <c r="GY40">
        <v>0</v>
      </c>
      <c r="GZ40">
        <v>1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 s="11">
        <f t="shared" si="14"/>
        <v>6</v>
      </c>
      <c r="KC40" s="11">
        <f t="shared" si="14"/>
        <v>0</v>
      </c>
      <c r="KD40" s="11">
        <f t="shared" si="27"/>
        <v>6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 s="11">
        <f t="shared" si="16"/>
        <v>0</v>
      </c>
      <c r="UL40" s="11">
        <f t="shared" si="16"/>
        <v>0</v>
      </c>
      <c r="UM40" s="11">
        <f t="shared" si="28"/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 s="11">
        <f t="shared" si="18"/>
        <v>0</v>
      </c>
      <c r="ABW40" s="11">
        <f t="shared" si="18"/>
        <v>0</v>
      </c>
      <c r="ABX40" s="11">
        <f t="shared" si="29"/>
        <v>0</v>
      </c>
      <c r="ABY40" s="11">
        <f t="shared" si="20"/>
        <v>6</v>
      </c>
      <c r="ABZ40" s="11">
        <f t="shared" si="20"/>
        <v>0</v>
      </c>
      <c r="ACA40" s="11">
        <f t="shared" si="20"/>
        <v>6</v>
      </c>
      <c r="ACB40" s="7">
        <f t="shared" si="30"/>
        <v>0</v>
      </c>
      <c r="ACC40" s="7">
        <f t="shared" si="31"/>
        <v>6</v>
      </c>
      <c r="ACD40" s="7">
        <f t="shared" si="32"/>
        <v>0</v>
      </c>
      <c r="ACE40" s="12">
        <f t="shared" si="33"/>
        <v>6</v>
      </c>
      <c r="ACF40">
        <f t="shared" si="25"/>
        <v>0</v>
      </c>
      <c r="ACG40">
        <f t="shared" si="25"/>
        <v>1</v>
      </c>
      <c r="ACH40">
        <f t="shared" si="25"/>
        <v>0</v>
      </c>
      <c r="ACI40">
        <f t="shared" si="25"/>
        <v>1</v>
      </c>
    </row>
    <row r="41" spans="1:763" x14ac:dyDescent="0.25">
      <c r="A41" t="s">
        <v>799</v>
      </c>
      <c r="B41" t="s">
        <v>800</v>
      </c>
      <c r="C41">
        <v>129403</v>
      </c>
      <c r="D41" t="s">
        <v>831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f t="shared" si="12"/>
        <v>0</v>
      </c>
      <c r="T41">
        <f t="shared" si="12"/>
        <v>0</v>
      </c>
      <c r="U41">
        <f t="shared" si="26"/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1</v>
      </c>
      <c r="HL41">
        <v>1</v>
      </c>
      <c r="HM41">
        <v>0</v>
      </c>
      <c r="HN41">
        <v>1</v>
      </c>
      <c r="HO41">
        <v>1</v>
      </c>
      <c r="HP41">
        <v>0</v>
      </c>
      <c r="HQ41">
        <v>0</v>
      </c>
      <c r="HR41">
        <v>1</v>
      </c>
      <c r="HS41">
        <v>0</v>
      </c>
      <c r="HT41">
        <v>1</v>
      </c>
      <c r="HU4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 s="11">
        <f t="shared" si="14"/>
        <v>8</v>
      </c>
      <c r="KC41" s="11">
        <f t="shared" si="14"/>
        <v>3</v>
      </c>
      <c r="KD41" s="11">
        <f t="shared" si="27"/>
        <v>11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 s="11">
        <f t="shared" si="16"/>
        <v>0</v>
      </c>
      <c r="UL41" s="11">
        <f t="shared" si="16"/>
        <v>0</v>
      </c>
      <c r="UM41" s="11">
        <f t="shared" si="28"/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 s="11">
        <f t="shared" si="18"/>
        <v>0</v>
      </c>
      <c r="ABW41" s="11">
        <f t="shared" si="18"/>
        <v>0</v>
      </c>
      <c r="ABX41" s="11">
        <f t="shared" si="29"/>
        <v>0</v>
      </c>
      <c r="ABY41" s="11">
        <f t="shared" si="20"/>
        <v>8</v>
      </c>
      <c r="ABZ41" s="11">
        <f t="shared" si="20"/>
        <v>3</v>
      </c>
      <c r="ACA41" s="11">
        <f t="shared" si="20"/>
        <v>11</v>
      </c>
      <c r="ACB41" s="7">
        <f t="shared" si="30"/>
        <v>0</v>
      </c>
      <c r="ACC41" s="7">
        <f t="shared" si="31"/>
        <v>11</v>
      </c>
      <c r="ACD41" s="7">
        <f t="shared" si="32"/>
        <v>0</v>
      </c>
      <c r="ACE41" s="12">
        <f t="shared" si="33"/>
        <v>11</v>
      </c>
      <c r="ACF41">
        <f t="shared" si="25"/>
        <v>0</v>
      </c>
      <c r="ACG41">
        <f t="shared" si="25"/>
        <v>1</v>
      </c>
      <c r="ACH41">
        <f t="shared" si="25"/>
        <v>0</v>
      </c>
      <c r="ACI41">
        <f t="shared" ref="ACI41:ACI64" si="34">IF(ACE41&gt;=1,1,0)</f>
        <v>1</v>
      </c>
    </row>
    <row r="42" spans="1:763" x14ac:dyDescent="0.25">
      <c r="A42" t="s">
        <v>799</v>
      </c>
      <c r="B42" t="s">
        <v>800</v>
      </c>
      <c r="C42">
        <v>129404</v>
      </c>
      <c r="D42" t="s">
        <v>832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f t="shared" si="12"/>
        <v>0</v>
      </c>
      <c r="T42">
        <f t="shared" si="12"/>
        <v>0</v>
      </c>
      <c r="U42">
        <f t="shared" si="26"/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 s="11">
        <f t="shared" si="14"/>
        <v>0</v>
      </c>
      <c r="KC42" s="11">
        <f t="shared" si="14"/>
        <v>0</v>
      </c>
      <c r="KD42" s="11">
        <f t="shared" si="27"/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 s="11">
        <f t="shared" si="16"/>
        <v>0</v>
      </c>
      <c r="UL42" s="11">
        <f t="shared" si="16"/>
        <v>0</v>
      </c>
      <c r="UM42" s="11">
        <f t="shared" si="28"/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 s="11">
        <f t="shared" si="18"/>
        <v>0</v>
      </c>
      <c r="ABW42" s="11">
        <f t="shared" si="18"/>
        <v>0</v>
      </c>
      <c r="ABX42" s="11">
        <f t="shared" si="29"/>
        <v>0</v>
      </c>
      <c r="ABY42" s="11">
        <f t="shared" si="20"/>
        <v>0</v>
      </c>
      <c r="ABZ42" s="11">
        <f t="shared" si="20"/>
        <v>0</v>
      </c>
      <c r="ACA42" s="11">
        <f t="shared" si="20"/>
        <v>0</v>
      </c>
      <c r="ACB42" s="7">
        <f t="shared" si="30"/>
        <v>0</v>
      </c>
      <c r="ACC42" s="7">
        <f t="shared" si="31"/>
        <v>0</v>
      </c>
      <c r="ACD42" s="7">
        <f t="shared" si="32"/>
        <v>0</v>
      </c>
      <c r="ACE42" s="12">
        <f t="shared" si="33"/>
        <v>0</v>
      </c>
      <c r="ACF42">
        <f t="shared" ref="ACF42:ACH64" si="35">IF(ACB42&gt;=1,1,0)</f>
        <v>0</v>
      </c>
      <c r="ACG42">
        <f t="shared" si="35"/>
        <v>0</v>
      </c>
      <c r="ACH42">
        <f t="shared" si="35"/>
        <v>0</v>
      </c>
      <c r="ACI42">
        <f t="shared" si="34"/>
        <v>0</v>
      </c>
    </row>
    <row r="43" spans="1:763" x14ac:dyDescent="0.25">
      <c r="A43" t="s">
        <v>799</v>
      </c>
      <c r="B43" t="s">
        <v>800</v>
      </c>
      <c r="C43">
        <v>129405</v>
      </c>
      <c r="D43" t="s">
        <v>833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12"/>
        <v>0</v>
      </c>
      <c r="T43">
        <f t="shared" si="12"/>
        <v>0</v>
      </c>
      <c r="U43">
        <f t="shared" si="26"/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6</v>
      </c>
      <c r="BA43">
        <v>3</v>
      </c>
      <c r="BB43">
        <v>0</v>
      </c>
      <c r="BC43">
        <v>0</v>
      </c>
      <c r="BD43">
        <v>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</v>
      </c>
      <c r="CO43">
        <v>0</v>
      </c>
      <c r="CP43">
        <v>7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3</v>
      </c>
      <c r="DS43">
        <v>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1</v>
      </c>
      <c r="GK43">
        <v>1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2</v>
      </c>
      <c r="GW43">
        <v>2</v>
      </c>
      <c r="GX43">
        <v>6</v>
      </c>
      <c r="GY43">
        <v>5</v>
      </c>
      <c r="GZ43">
        <v>0</v>
      </c>
      <c r="HA43">
        <v>0</v>
      </c>
      <c r="HB43">
        <v>4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1</v>
      </c>
      <c r="HK43">
        <v>1</v>
      </c>
      <c r="HL43">
        <v>0</v>
      </c>
      <c r="HM43">
        <v>0</v>
      </c>
      <c r="HN43">
        <v>0</v>
      </c>
      <c r="HO43">
        <v>0</v>
      </c>
      <c r="HP43">
        <v>3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1</v>
      </c>
      <c r="IN43">
        <v>3</v>
      </c>
      <c r="IO43">
        <v>2</v>
      </c>
      <c r="IP43">
        <v>0</v>
      </c>
      <c r="IQ43">
        <v>0</v>
      </c>
      <c r="IR43">
        <v>4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</v>
      </c>
      <c r="JC43">
        <v>1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1</v>
      </c>
      <c r="JO43">
        <v>1</v>
      </c>
      <c r="JP43">
        <v>4</v>
      </c>
      <c r="JQ43">
        <v>3</v>
      </c>
      <c r="JR43">
        <v>0</v>
      </c>
      <c r="JS43">
        <v>0</v>
      </c>
      <c r="JT43">
        <v>1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 s="11">
        <f t="shared" si="14"/>
        <v>70</v>
      </c>
      <c r="KC43" s="11">
        <f t="shared" si="14"/>
        <v>29</v>
      </c>
      <c r="KD43" s="11">
        <f t="shared" si="27"/>
        <v>99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 s="11">
        <f t="shared" si="16"/>
        <v>0</v>
      </c>
      <c r="UL43" s="11">
        <f t="shared" si="16"/>
        <v>0</v>
      </c>
      <c r="UM43" s="11">
        <f t="shared" si="28"/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 s="11">
        <f t="shared" si="18"/>
        <v>0</v>
      </c>
      <c r="ABW43" s="11">
        <f t="shared" si="18"/>
        <v>0</v>
      </c>
      <c r="ABX43" s="11">
        <f t="shared" si="29"/>
        <v>0</v>
      </c>
      <c r="ABY43" s="11">
        <f t="shared" si="20"/>
        <v>70</v>
      </c>
      <c r="ABZ43" s="11">
        <f t="shared" si="20"/>
        <v>29</v>
      </c>
      <c r="ACA43" s="11">
        <f t="shared" si="20"/>
        <v>99</v>
      </c>
      <c r="ACB43" s="7">
        <f t="shared" si="30"/>
        <v>0</v>
      </c>
      <c r="ACC43" s="7">
        <f t="shared" si="31"/>
        <v>99</v>
      </c>
      <c r="ACD43" s="7">
        <f t="shared" si="32"/>
        <v>0</v>
      </c>
      <c r="ACE43" s="12">
        <f t="shared" si="33"/>
        <v>99</v>
      </c>
      <c r="ACF43">
        <f t="shared" si="35"/>
        <v>0</v>
      </c>
      <c r="ACG43">
        <f t="shared" si="35"/>
        <v>1</v>
      </c>
      <c r="ACH43">
        <f t="shared" si="35"/>
        <v>0</v>
      </c>
      <c r="ACI43">
        <f t="shared" si="34"/>
        <v>1</v>
      </c>
    </row>
    <row r="44" spans="1:763" x14ac:dyDescent="0.25">
      <c r="A44" t="s">
        <v>799</v>
      </c>
      <c r="B44" t="s">
        <v>800</v>
      </c>
      <c r="C44">
        <v>129406</v>
      </c>
      <c r="D44" t="s">
        <v>834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f t="shared" si="12"/>
        <v>0</v>
      </c>
      <c r="T44">
        <f t="shared" si="12"/>
        <v>0</v>
      </c>
      <c r="U44">
        <f t="shared" si="26"/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1</v>
      </c>
      <c r="HO44">
        <v>0</v>
      </c>
      <c r="HP44">
        <v>4</v>
      </c>
      <c r="HQ44">
        <v>2</v>
      </c>
      <c r="HR44">
        <v>5</v>
      </c>
      <c r="HS44">
        <v>2</v>
      </c>
      <c r="HT44">
        <v>5</v>
      </c>
      <c r="HU44">
        <v>2</v>
      </c>
      <c r="HV44">
        <v>7</v>
      </c>
      <c r="HW44">
        <v>3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4</v>
      </c>
      <c r="IE44">
        <v>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 s="11">
        <f t="shared" si="14"/>
        <v>28</v>
      </c>
      <c r="KC44" s="11">
        <f t="shared" si="14"/>
        <v>12</v>
      </c>
      <c r="KD44" s="11">
        <f t="shared" si="27"/>
        <v>40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1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1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1</v>
      </c>
      <c r="RT44">
        <v>0</v>
      </c>
      <c r="RU44">
        <v>0</v>
      </c>
      <c r="RV44">
        <v>0</v>
      </c>
      <c r="RW44">
        <v>1</v>
      </c>
      <c r="RX44">
        <v>0</v>
      </c>
      <c r="RY44">
        <v>4</v>
      </c>
      <c r="RZ44">
        <v>2</v>
      </c>
      <c r="SA44">
        <v>5</v>
      </c>
      <c r="SB44">
        <v>2</v>
      </c>
      <c r="SC44">
        <v>5</v>
      </c>
      <c r="SD44">
        <v>2</v>
      </c>
      <c r="SE44">
        <v>7</v>
      </c>
      <c r="SF44">
        <v>3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4</v>
      </c>
      <c r="SN44">
        <v>2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 s="11">
        <f t="shared" si="16"/>
        <v>28</v>
      </c>
      <c r="UL44" s="11">
        <f t="shared" si="16"/>
        <v>12</v>
      </c>
      <c r="UM44" s="11">
        <f t="shared" si="28"/>
        <v>40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1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 s="11">
        <f t="shared" si="18"/>
        <v>1</v>
      </c>
      <c r="ABW44" s="11">
        <f t="shared" si="18"/>
        <v>0</v>
      </c>
      <c r="ABX44" s="11">
        <f t="shared" si="29"/>
        <v>1</v>
      </c>
      <c r="ABY44" s="11">
        <f t="shared" si="20"/>
        <v>57</v>
      </c>
      <c r="ABZ44" s="11">
        <f t="shared" si="20"/>
        <v>24</v>
      </c>
      <c r="ACA44" s="11">
        <f t="shared" si="20"/>
        <v>81</v>
      </c>
      <c r="ACB44" s="7">
        <f t="shared" si="30"/>
        <v>0</v>
      </c>
      <c r="ACC44" s="7">
        <f t="shared" si="31"/>
        <v>80</v>
      </c>
      <c r="ACD44" s="7">
        <f t="shared" si="32"/>
        <v>1</v>
      </c>
      <c r="ACE44" s="12">
        <f t="shared" si="33"/>
        <v>81</v>
      </c>
      <c r="ACF44">
        <f t="shared" si="35"/>
        <v>0</v>
      </c>
      <c r="ACG44">
        <f t="shared" si="35"/>
        <v>1</v>
      </c>
      <c r="ACH44">
        <f t="shared" si="35"/>
        <v>1</v>
      </c>
      <c r="ACI44">
        <f t="shared" si="34"/>
        <v>1</v>
      </c>
    </row>
    <row r="45" spans="1:763" x14ac:dyDescent="0.25">
      <c r="A45" t="s">
        <v>799</v>
      </c>
      <c r="B45" t="s">
        <v>800</v>
      </c>
      <c r="C45">
        <v>129407</v>
      </c>
      <c r="D45" t="s">
        <v>835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f t="shared" si="12"/>
        <v>0</v>
      </c>
      <c r="T45">
        <f t="shared" si="12"/>
        <v>0</v>
      </c>
      <c r="U45">
        <f t="shared" si="26"/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 s="11">
        <f t="shared" si="14"/>
        <v>0</v>
      </c>
      <c r="KC45" s="11">
        <f t="shared" si="14"/>
        <v>0</v>
      </c>
      <c r="KD45" s="11">
        <f t="shared" si="27"/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 s="11">
        <f t="shared" si="16"/>
        <v>0</v>
      </c>
      <c r="UL45" s="11">
        <f t="shared" si="16"/>
        <v>0</v>
      </c>
      <c r="UM45" s="11">
        <f t="shared" si="28"/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 s="11">
        <f t="shared" si="18"/>
        <v>0</v>
      </c>
      <c r="ABW45" s="11">
        <f t="shared" si="18"/>
        <v>0</v>
      </c>
      <c r="ABX45" s="11">
        <f t="shared" si="29"/>
        <v>0</v>
      </c>
      <c r="ABY45" s="11">
        <f t="shared" si="20"/>
        <v>0</v>
      </c>
      <c r="ABZ45" s="11">
        <f t="shared" si="20"/>
        <v>0</v>
      </c>
      <c r="ACA45" s="11">
        <f t="shared" si="20"/>
        <v>0</v>
      </c>
      <c r="ACB45" s="7">
        <f t="shared" si="30"/>
        <v>0</v>
      </c>
      <c r="ACC45" s="7">
        <f t="shared" si="31"/>
        <v>0</v>
      </c>
      <c r="ACD45" s="7">
        <f t="shared" si="32"/>
        <v>0</v>
      </c>
      <c r="ACE45" s="12">
        <f t="shared" si="33"/>
        <v>0</v>
      </c>
      <c r="ACF45">
        <f t="shared" si="35"/>
        <v>0</v>
      </c>
      <c r="ACG45">
        <f t="shared" si="35"/>
        <v>0</v>
      </c>
      <c r="ACH45">
        <f t="shared" si="35"/>
        <v>0</v>
      </c>
      <c r="ACI45">
        <f t="shared" si="34"/>
        <v>0</v>
      </c>
    </row>
    <row r="46" spans="1:763" x14ac:dyDescent="0.25">
      <c r="A46" t="s">
        <v>799</v>
      </c>
      <c r="B46" t="s">
        <v>800</v>
      </c>
      <c r="C46">
        <v>129408</v>
      </c>
      <c r="D46" t="s">
        <v>836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f t="shared" si="12"/>
        <v>0</v>
      </c>
      <c r="T46">
        <f t="shared" si="12"/>
        <v>0</v>
      </c>
      <c r="U46">
        <f t="shared" si="26"/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2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3</v>
      </c>
      <c r="HE46">
        <v>1</v>
      </c>
      <c r="HF46">
        <v>1</v>
      </c>
      <c r="HG46">
        <v>1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 s="11">
        <f t="shared" si="14"/>
        <v>8</v>
      </c>
      <c r="KC46" s="11">
        <f t="shared" si="14"/>
        <v>3</v>
      </c>
      <c r="KD46" s="11">
        <f t="shared" si="27"/>
        <v>11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 s="11">
        <f t="shared" si="16"/>
        <v>0</v>
      </c>
      <c r="UL46" s="11">
        <f t="shared" si="16"/>
        <v>0</v>
      </c>
      <c r="UM46" s="11">
        <f t="shared" si="28"/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 s="11">
        <f t="shared" si="18"/>
        <v>0</v>
      </c>
      <c r="ABW46" s="11">
        <f t="shared" si="18"/>
        <v>0</v>
      </c>
      <c r="ABX46" s="11">
        <f t="shared" si="29"/>
        <v>0</v>
      </c>
      <c r="ABY46" s="11">
        <f t="shared" si="20"/>
        <v>8</v>
      </c>
      <c r="ABZ46" s="11">
        <f t="shared" si="20"/>
        <v>3</v>
      </c>
      <c r="ACA46" s="11">
        <f t="shared" si="20"/>
        <v>11</v>
      </c>
      <c r="ACB46" s="7">
        <f t="shared" si="30"/>
        <v>0</v>
      </c>
      <c r="ACC46" s="7">
        <f t="shared" si="31"/>
        <v>11</v>
      </c>
      <c r="ACD46" s="7">
        <f t="shared" si="32"/>
        <v>0</v>
      </c>
      <c r="ACE46" s="12">
        <f t="shared" si="33"/>
        <v>11</v>
      </c>
      <c r="ACF46">
        <f t="shared" si="35"/>
        <v>0</v>
      </c>
      <c r="ACG46">
        <f t="shared" si="35"/>
        <v>1</v>
      </c>
      <c r="ACH46">
        <f t="shared" si="35"/>
        <v>0</v>
      </c>
      <c r="ACI46">
        <f t="shared" si="34"/>
        <v>1</v>
      </c>
    </row>
    <row r="47" spans="1:763" x14ac:dyDescent="0.25">
      <c r="A47" t="s">
        <v>799</v>
      </c>
      <c r="B47" t="s">
        <v>800</v>
      </c>
      <c r="C47">
        <v>129409</v>
      </c>
      <c r="D47" t="s">
        <v>837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f t="shared" si="12"/>
        <v>0</v>
      </c>
      <c r="T47">
        <f t="shared" si="12"/>
        <v>0</v>
      </c>
      <c r="U47">
        <f t="shared" si="26"/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 s="11">
        <f t="shared" si="14"/>
        <v>3</v>
      </c>
      <c r="KC47" s="11">
        <f t="shared" si="14"/>
        <v>0</v>
      </c>
      <c r="KD47" s="11">
        <f t="shared" si="27"/>
        <v>3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 s="11">
        <f t="shared" si="16"/>
        <v>0</v>
      </c>
      <c r="UL47" s="11">
        <f t="shared" si="16"/>
        <v>0</v>
      </c>
      <c r="UM47" s="11">
        <f t="shared" si="28"/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 s="11">
        <f t="shared" si="18"/>
        <v>0</v>
      </c>
      <c r="ABW47" s="11">
        <f t="shared" si="18"/>
        <v>0</v>
      </c>
      <c r="ABX47" s="11">
        <f t="shared" si="29"/>
        <v>0</v>
      </c>
      <c r="ABY47" s="11">
        <f t="shared" si="20"/>
        <v>3</v>
      </c>
      <c r="ABZ47" s="11">
        <f t="shared" si="20"/>
        <v>0</v>
      </c>
      <c r="ACA47" s="11">
        <f t="shared" si="20"/>
        <v>3</v>
      </c>
      <c r="ACB47" s="7">
        <f t="shared" si="30"/>
        <v>0</v>
      </c>
      <c r="ACC47" s="7">
        <f t="shared" si="31"/>
        <v>3</v>
      </c>
      <c r="ACD47" s="7">
        <f t="shared" si="32"/>
        <v>0</v>
      </c>
      <c r="ACE47" s="12">
        <f t="shared" si="33"/>
        <v>3</v>
      </c>
      <c r="ACF47">
        <f t="shared" si="35"/>
        <v>0</v>
      </c>
      <c r="ACG47">
        <f t="shared" si="35"/>
        <v>1</v>
      </c>
      <c r="ACH47">
        <f t="shared" si="35"/>
        <v>0</v>
      </c>
      <c r="ACI47">
        <f t="shared" si="34"/>
        <v>1</v>
      </c>
    </row>
    <row r="48" spans="1:763" x14ac:dyDescent="0.25">
      <c r="A48" t="s">
        <v>799</v>
      </c>
      <c r="B48" t="s">
        <v>800</v>
      </c>
      <c r="C48">
        <v>129410</v>
      </c>
      <c r="D48" t="s">
        <v>838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f t="shared" si="12"/>
        <v>0</v>
      </c>
      <c r="T48">
        <f t="shared" si="12"/>
        <v>0</v>
      </c>
      <c r="U48">
        <f t="shared" si="26"/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2</v>
      </c>
      <c r="GZ48">
        <v>4</v>
      </c>
      <c r="HA48">
        <v>0</v>
      </c>
      <c r="HB48">
        <v>1</v>
      </c>
      <c r="HC48">
        <v>0</v>
      </c>
      <c r="HD48">
        <v>1</v>
      </c>
      <c r="HE48">
        <v>1</v>
      </c>
      <c r="HF48">
        <v>3</v>
      </c>
      <c r="HG48">
        <v>2</v>
      </c>
      <c r="HH48">
        <v>3</v>
      </c>
      <c r="HI48">
        <v>0</v>
      </c>
      <c r="HJ48">
        <v>0</v>
      </c>
      <c r="HK48">
        <v>0</v>
      </c>
      <c r="HL48">
        <v>1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1</v>
      </c>
      <c r="HS48">
        <v>1</v>
      </c>
      <c r="HT48">
        <v>3</v>
      </c>
      <c r="HU48">
        <v>3</v>
      </c>
      <c r="HV48">
        <v>2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0</v>
      </c>
      <c r="IF48">
        <v>1</v>
      </c>
      <c r="IG48">
        <v>1</v>
      </c>
      <c r="IH48">
        <v>1</v>
      </c>
      <c r="II48">
        <v>1</v>
      </c>
      <c r="IJ48">
        <v>2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1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1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 s="11">
        <f t="shared" si="14"/>
        <v>26</v>
      </c>
      <c r="KC48" s="11">
        <f t="shared" si="14"/>
        <v>13</v>
      </c>
      <c r="KD48" s="11">
        <f t="shared" si="27"/>
        <v>39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 s="11">
        <f t="shared" si="16"/>
        <v>0</v>
      </c>
      <c r="UL48" s="11">
        <f t="shared" si="16"/>
        <v>0</v>
      </c>
      <c r="UM48" s="11">
        <f t="shared" si="28"/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 s="11">
        <f t="shared" si="18"/>
        <v>0</v>
      </c>
      <c r="ABW48" s="11">
        <f t="shared" si="18"/>
        <v>0</v>
      </c>
      <c r="ABX48" s="11">
        <f t="shared" si="29"/>
        <v>0</v>
      </c>
      <c r="ABY48" s="11">
        <f t="shared" si="20"/>
        <v>26</v>
      </c>
      <c r="ABZ48" s="11">
        <f t="shared" si="20"/>
        <v>13</v>
      </c>
      <c r="ACA48" s="11">
        <f t="shared" si="20"/>
        <v>39</v>
      </c>
      <c r="ACB48" s="7">
        <f t="shared" si="30"/>
        <v>0</v>
      </c>
      <c r="ACC48" s="7">
        <f t="shared" si="31"/>
        <v>39</v>
      </c>
      <c r="ACD48" s="7">
        <f t="shared" si="32"/>
        <v>0</v>
      </c>
      <c r="ACE48" s="12">
        <f t="shared" si="33"/>
        <v>39</v>
      </c>
      <c r="ACF48">
        <f t="shared" si="35"/>
        <v>0</v>
      </c>
      <c r="ACG48">
        <f t="shared" si="35"/>
        <v>1</v>
      </c>
      <c r="ACH48">
        <f t="shared" si="35"/>
        <v>0</v>
      </c>
      <c r="ACI48">
        <f t="shared" si="34"/>
        <v>1</v>
      </c>
    </row>
    <row r="49" spans="1:763" x14ac:dyDescent="0.25">
      <c r="A49" t="s">
        <v>799</v>
      </c>
      <c r="B49" t="s">
        <v>800</v>
      </c>
      <c r="C49">
        <v>129412</v>
      </c>
      <c r="D49" t="s">
        <v>839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f t="shared" si="12"/>
        <v>0</v>
      </c>
      <c r="T49">
        <f t="shared" si="12"/>
        <v>0</v>
      </c>
      <c r="U49">
        <f t="shared" si="26"/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 s="11">
        <f t="shared" si="14"/>
        <v>0</v>
      </c>
      <c r="KC49" s="11">
        <f t="shared" si="14"/>
        <v>0</v>
      </c>
      <c r="KD49" s="11">
        <f t="shared" si="27"/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 s="11">
        <f t="shared" si="16"/>
        <v>0</v>
      </c>
      <c r="UL49" s="11">
        <f t="shared" si="16"/>
        <v>0</v>
      </c>
      <c r="UM49" s="11">
        <f t="shared" si="28"/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 s="11">
        <f t="shared" si="18"/>
        <v>0</v>
      </c>
      <c r="ABW49" s="11">
        <f t="shared" si="18"/>
        <v>0</v>
      </c>
      <c r="ABX49" s="11">
        <f t="shared" si="29"/>
        <v>0</v>
      </c>
      <c r="ABY49" s="11">
        <f t="shared" si="20"/>
        <v>0</v>
      </c>
      <c r="ABZ49" s="11">
        <f t="shared" si="20"/>
        <v>0</v>
      </c>
      <c r="ACA49" s="11">
        <f t="shared" si="20"/>
        <v>0</v>
      </c>
      <c r="ACB49" s="7">
        <f t="shared" si="30"/>
        <v>0</v>
      </c>
      <c r="ACC49" s="7">
        <f t="shared" si="31"/>
        <v>0</v>
      </c>
      <c r="ACD49" s="7">
        <f t="shared" si="32"/>
        <v>0</v>
      </c>
      <c r="ACE49" s="12">
        <f t="shared" si="33"/>
        <v>0</v>
      </c>
      <c r="ACF49">
        <f t="shared" si="35"/>
        <v>0</v>
      </c>
      <c r="ACG49">
        <f t="shared" si="35"/>
        <v>0</v>
      </c>
      <c r="ACH49">
        <f t="shared" si="35"/>
        <v>0</v>
      </c>
      <c r="ACI49">
        <f t="shared" si="34"/>
        <v>0</v>
      </c>
    </row>
    <row r="50" spans="1:763" x14ac:dyDescent="0.25">
      <c r="A50" t="s">
        <v>799</v>
      </c>
      <c r="B50" t="s">
        <v>800</v>
      </c>
      <c r="C50">
        <v>129413</v>
      </c>
      <c r="D50" t="s">
        <v>840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f t="shared" si="12"/>
        <v>0</v>
      </c>
      <c r="T50">
        <f t="shared" si="12"/>
        <v>0</v>
      </c>
      <c r="U50">
        <f t="shared" si="26"/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4</v>
      </c>
      <c r="GY50">
        <v>2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0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 s="11">
        <f t="shared" si="14"/>
        <v>11</v>
      </c>
      <c r="KC50" s="11">
        <f t="shared" si="14"/>
        <v>4</v>
      </c>
      <c r="KD50" s="11">
        <f t="shared" si="27"/>
        <v>15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 s="11">
        <f t="shared" si="16"/>
        <v>0</v>
      </c>
      <c r="UL50" s="11">
        <f t="shared" si="16"/>
        <v>0</v>
      </c>
      <c r="UM50" s="11">
        <f t="shared" si="28"/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 s="11">
        <f t="shared" si="18"/>
        <v>0</v>
      </c>
      <c r="ABW50" s="11">
        <f t="shared" si="18"/>
        <v>0</v>
      </c>
      <c r="ABX50" s="11">
        <f t="shared" si="29"/>
        <v>0</v>
      </c>
      <c r="ABY50" s="11">
        <f t="shared" si="20"/>
        <v>11</v>
      </c>
      <c r="ABZ50" s="11">
        <f t="shared" si="20"/>
        <v>4</v>
      </c>
      <c r="ACA50" s="11">
        <f t="shared" si="20"/>
        <v>15</v>
      </c>
      <c r="ACB50" s="7">
        <f t="shared" si="30"/>
        <v>0</v>
      </c>
      <c r="ACC50" s="7">
        <f t="shared" si="31"/>
        <v>15</v>
      </c>
      <c r="ACD50" s="7">
        <f t="shared" si="32"/>
        <v>0</v>
      </c>
      <c r="ACE50" s="12">
        <f t="shared" si="33"/>
        <v>15</v>
      </c>
      <c r="ACF50">
        <f t="shared" si="35"/>
        <v>0</v>
      </c>
      <c r="ACG50">
        <f t="shared" si="35"/>
        <v>1</v>
      </c>
      <c r="ACH50">
        <f t="shared" si="35"/>
        <v>0</v>
      </c>
      <c r="ACI50">
        <f t="shared" si="34"/>
        <v>1</v>
      </c>
    </row>
    <row r="51" spans="1:763" x14ac:dyDescent="0.25">
      <c r="A51" t="s">
        <v>799</v>
      </c>
      <c r="B51" t="s">
        <v>800</v>
      </c>
      <c r="C51">
        <v>129414</v>
      </c>
      <c r="D51" t="s">
        <v>841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f t="shared" si="12"/>
        <v>0</v>
      </c>
      <c r="T51">
        <f t="shared" si="12"/>
        <v>0</v>
      </c>
      <c r="U51">
        <f t="shared" si="26"/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1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 s="11">
        <f t="shared" si="14"/>
        <v>4</v>
      </c>
      <c r="KC51" s="11">
        <f t="shared" si="14"/>
        <v>1</v>
      </c>
      <c r="KD51" s="11">
        <f t="shared" si="27"/>
        <v>5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 s="11">
        <f t="shared" si="16"/>
        <v>0</v>
      </c>
      <c r="UL51" s="11">
        <f t="shared" si="16"/>
        <v>0</v>
      </c>
      <c r="UM51" s="11">
        <f t="shared" si="28"/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 s="11">
        <f t="shared" si="18"/>
        <v>0</v>
      </c>
      <c r="ABW51" s="11">
        <f t="shared" si="18"/>
        <v>0</v>
      </c>
      <c r="ABX51" s="11">
        <f t="shared" si="29"/>
        <v>0</v>
      </c>
      <c r="ABY51" s="11">
        <f t="shared" si="20"/>
        <v>4</v>
      </c>
      <c r="ABZ51" s="11">
        <f t="shared" si="20"/>
        <v>1</v>
      </c>
      <c r="ACA51" s="11">
        <f t="shared" si="20"/>
        <v>5</v>
      </c>
      <c r="ACB51" s="7">
        <f t="shared" si="30"/>
        <v>0</v>
      </c>
      <c r="ACC51" s="7">
        <f t="shared" si="31"/>
        <v>5</v>
      </c>
      <c r="ACD51" s="7">
        <f t="shared" si="32"/>
        <v>0</v>
      </c>
      <c r="ACE51" s="12">
        <f t="shared" si="33"/>
        <v>5</v>
      </c>
      <c r="ACF51">
        <f t="shared" si="35"/>
        <v>0</v>
      </c>
      <c r="ACG51">
        <f t="shared" si="35"/>
        <v>1</v>
      </c>
      <c r="ACH51">
        <f t="shared" si="35"/>
        <v>0</v>
      </c>
      <c r="ACI51">
        <f t="shared" si="34"/>
        <v>1</v>
      </c>
    </row>
    <row r="52" spans="1:763" x14ac:dyDescent="0.25">
      <c r="A52" t="s">
        <v>799</v>
      </c>
      <c r="B52" t="s">
        <v>800</v>
      </c>
      <c r="C52">
        <v>129417</v>
      </c>
      <c r="D52" t="s">
        <v>842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f t="shared" si="12"/>
        <v>0</v>
      </c>
      <c r="T52">
        <f t="shared" si="12"/>
        <v>0</v>
      </c>
      <c r="U52">
        <f t="shared" si="26"/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 s="11">
        <f t="shared" si="14"/>
        <v>6</v>
      </c>
      <c r="KC52" s="11">
        <f t="shared" si="14"/>
        <v>0</v>
      </c>
      <c r="KD52" s="11">
        <f t="shared" si="27"/>
        <v>6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 s="11">
        <f t="shared" si="16"/>
        <v>0</v>
      </c>
      <c r="UL52" s="11">
        <f t="shared" si="16"/>
        <v>0</v>
      </c>
      <c r="UM52" s="11">
        <f t="shared" si="28"/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 s="11">
        <f t="shared" si="18"/>
        <v>0</v>
      </c>
      <c r="ABW52" s="11">
        <f t="shared" si="18"/>
        <v>0</v>
      </c>
      <c r="ABX52" s="11">
        <f t="shared" si="29"/>
        <v>0</v>
      </c>
      <c r="ABY52" s="11">
        <f t="shared" si="20"/>
        <v>6</v>
      </c>
      <c r="ABZ52" s="11">
        <f t="shared" si="20"/>
        <v>0</v>
      </c>
      <c r="ACA52" s="11">
        <f t="shared" si="20"/>
        <v>6</v>
      </c>
      <c r="ACB52" s="7">
        <f t="shared" si="30"/>
        <v>0</v>
      </c>
      <c r="ACC52" s="7">
        <f t="shared" si="31"/>
        <v>6</v>
      </c>
      <c r="ACD52" s="7">
        <f t="shared" si="32"/>
        <v>0</v>
      </c>
      <c r="ACE52" s="12">
        <f t="shared" si="33"/>
        <v>6</v>
      </c>
      <c r="ACF52">
        <f t="shared" si="35"/>
        <v>0</v>
      </c>
      <c r="ACG52">
        <f t="shared" si="35"/>
        <v>1</v>
      </c>
      <c r="ACH52">
        <f t="shared" si="35"/>
        <v>0</v>
      </c>
      <c r="ACI52">
        <f t="shared" si="34"/>
        <v>1</v>
      </c>
    </row>
    <row r="53" spans="1:763" x14ac:dyDescent="0.25">
      <c r="A53" t="s">
        <v>799</v>
      </c>
      <c r="B53" t="s">
        <v>800</v>
      </c>
      <c r="C53">
        <v>129418</v>
      </c>
      <c r="D53" t="s">
        <v>843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f t="shared" si="12"/>
        <v>0</v>
      </c>
      <c r="T53">
        <f t="shared" si="12"/>
        <v>0</v>
      </c>
      <c r="U53">
        <f t="shared" si="26"/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1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 s="11">
        <f t="shared" si="14"/>
        <v>1</v>
      </c>
      <c r="KC53" s="11">
        <f t="shared" si="14"/>
        <v>0</v>
      </c>
      <c r="KD53" s="11">
        <f t="shared" si="27"/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 s="11">
        <f t="shared" si="16"/>
        <v>0</v>
      </c>
      <c r="UL53" s="11">
        <f t="shared" si="16"/>
        <v>0</v>
      </c>
      <c r="UM53" s="11">
        <f t="shared" si="28"/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 s="11">
        <f t="shared" si="18"/>
        <v>0</v>
      </c>
      <c r="ABW53" s="11">
        <f t="shared" si="18"/>
        <v>0</v>
      </c>
      <c r="ABX53" s="11">
        <f t="shared" si="29"/>
        <v>0</v>
      </c>
      <c r="ABY53" s="11">
        <f t="shared" si="20"/>
        <v>1</v>
      </c>
      <c r="ABZ53" s="11">
        <f t="shared" si="20"/>
        <v>0</v>
      </c>
      <c r="ACA53" s="11">
        <f t="shared" si="20"/>
        <v>1</v>
      </c>
      <c r="ACB53" s="7">
        <f t="shared" si="30"/>
        <v>0</v>
      </c>
      <c r="ACC53" s="7">
        <f t="shared" si="31"/>
        <v>1</v>
      </c>
      <c r="ACD53" s="7">
        <f t="shared" si="32"/>
        <v>0</v>
      </c>
      <c r="ACE53" s="12">
        <f t="shared" si="33"/>
        <v>1</v>
      </c>
      <c r="ACF53">
        <f t="shared" si="35"/>
        <v>0</v>
      </c>
      <c r="ACG53">
        <f t="shared" si="35"/>
        <v>1</v>
      </c>
      <c r="ACH53">
        <f t="shared" si="35"/>
        <v>0</v>
      </c>
      <c r="ACI53">
        <f t="shared" si="34"/>
        <v>1</v>
      </c>
    </row>
    <row r="54" spans="1:763" x14ac:dyDescent="0.25">
      <c r="A54" t="s">
        <v>799</v>
      </c>
      <c r="B54" t="s">
        <v>800</v>
      </c>
      <c r="C54">
        <v>129419</v>
      </c>
      <c r="D54" t="s">
        <v>844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f t="shared" si="12"/>
        <v>0</v>
      </c>
      <c r="T54">
        <f t="shared" si="12"/>
        <v>0</v>
      </c>
      <c r="U54">
        <f t="shared" si="26"/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1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 s="11">
        <f t="shared" si="14"/>
        <v>1</v>
      </c>
      <c r="KC54" s="11">
        <f t="shared" si="14"/>
        <v>2</v>
      </c>
      <c r="KD54" s="11">
        <f t="shared" si="27"/>
        <v>3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 s="11">
        <f t="shared" si="16"/>
        <v>0</v>
      </c>
      <c r="UL54" s="11">
        <f t="shared" si="16"/>
        <v>0</v>
      </c>
      <c r="UM54" s="11">
        <f t="shared" si="28"/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 s="11">
        <f t="shared" si="18"/>
        <v>0</v>
      </c>
      <c r="ABW54" s="11">
        <f t="shared" si="18"/>
        <v>0</v>
      </c>
      <c r="ABX54" s="11">
        <f t="shared" si="29"/>
        <v>0</v>
      </c>
      <c r="ABY54" s="11">
        <f t="shared" si="20"/>
        <v>1</v>
      </c>
      <c r="ABZ54" s="11">
        <f t="shared" si="20"/>
        <v>2</v>
      </c>
      <c r="ACA54" s="11">
        <f t="shared" si="20"/>
        <v>3</v>
      </c>
      <c r="ACB54" s="7">
        <f t="shared" si="30"/>
        <v>0</v>
      </c>
      <c r="ACC54" s="7">
        <f t="shared" si="31"/>
        <v>3</v>
      </c>
      <c r="ACD54" s="7">
        <f t="shared" si="32"/>
        <v>0</v>
      </c>
      <c r="ACE54" s="12">
        <f t="shared" si="33"/>
        <v>3</v>
      </c>
      <c r="ACF54">
        <f t="shared" si="35"/>
        <v>0</v>
      </c>
      <c r="ACG54">
        <f t="shared" si="35"/>
        <v>1</v>
      </c>
      <c r="ACH54">
        <f t="shared" si="35"/>
        <v>0</v>
      </c>
      <c r="ACI54">
        <f t="shared" si="34"/>
        <v>1</v>
      </c>
    </row>
    <row r="55" spans="1:763" x14ac:dyDescent="0.25">
      <c r="A55" t="s">
        <v>799</v>
      </c>
      <c r="B55" t="s">
        <v>800</v>
      </c>
      <c r="C55">
        <v>129420</v>
      </c>
      <c r="D55" t="s">
        <v>845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f t="shared" si="12"/>
        <v>0</v>
      </c>
      <c r="T55">
        <f t="shared" si="12"/>
        <v>0</v>
      </c>
      <c r="U55">
        <f t="shared" si="26"/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 s="11">
        <f t="shared" si="14"/>
        <v>8</v>
      </c>
      <c r="KC55" s="11">
        <f t="shared" si="14"/>
        <v>3</v>
      </c>
      <c r="KD55" s="11">
        <f t="shared" si="27"/>
        <v>11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 s="11">
        <f t="shared" si="16"/>
        <v>0</v>
      </c>
      <c r="UL55" s="11">
        <f t="shared" si="16"/>
        <v>0</v>
      </c>
      <c r="UM55" s="11">
        <f t="shared" si="28"/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 s="11">
        <f t="shared" si="18"/>
        <v>0</v>
      </c>
      <c r="ABW55" s="11">
        <f t="shared" si="18"/>
        <v>0</v>
      </c>
      <c r="ABX55" s="11">
        <f t="shared" si="29"/>
        <v>0</v>
      </c>
      <c r="ABY55" s="11">
        <f t="shared" si="20"/>
        <v>8</v>
      </c>
      <c r="ABZ55" s="11">
        <f t="shared" si="20"/>
        <v>3</v>
      </c>
      <c r="ACA55" s="11">
        <f t="shared" si="20"/>
        <v>11</v>
      </c>
      <c r="ACB55" s="7">
        <f t="shared" si="30"/>
        <v>0</v>
      </c>
      <c r="ACC55" s="7">
        <f t="shared" si="31"/>
        <v>11</v>
      </c>
      <c r="ACD55" s="7">
        <f t="shared" si="32"/>
        <v>0</v>
      </c>
      <c r="ACE55" s="12">
        <f t="shared" si="33"/>
        <v>11</v>
      </c>
      <c r="ACF55">
        <f t="shared" si="35"/>
        <v>0</v>
      </c>
      <c r="ACG55">
        <f t="shared" si="35"/>
        <v>1</v>
      </c>
      <c r="ACH55">
        <f t="shared" si="35"/>
        <v>0</v>
      </c>
      <c r="ACI55">
        <f t="shared" si="34"/>
        <v>1</v>
      </c>
    </row>
    <row r="56" spans="1:763" x14ac:dyDescent="0.25">
      <c r="A56" t="s">
        <v>799</v>
      </c>
      <c r="B56" t="s">
        <v>800</v>
      </c>
      <c r="C56">
        <v>129421</v>
      </c>
      <c r="D56" t="s">
        <v>846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f t="shared" si="12"/>
        <v>0</v>
      </c>
      <c r="T56">
        <f t="shared" si="12"/>
        <v>0</v>
      </c>
      <c r="U56">
        <f t="shared" si="26"/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2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</v>
      </c>
      <c r="HM56">
        <v>1</v>
      </c>
      <c r="HN56">
        <v>2</v>
      </c>
      <c r="HO56">
        <v>0</v>
      </c>
      <c r="HP56">
        <v>3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1</v>
      </c>
      <c r="HX56">
        <v>2</v>
      </c>
      <c r="HY56">
        <v>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 s="11">
        <f t="shared" si="14"/>
        <v>12</v>
      </c>
      <c r="KC56" s="11">
        <f t="shared" si="14"/>
        <v>3</v>
      </c>
      <c r="KD56" s="11">
        <f t="shared" si="27"/>
        <v>15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 s="11">
        <f t="shared" si="16"/>
        <v>0</v>
      </c>
      <c r="UL56" s="11">
        <f t="shared" si="16"/>
        <v>0</v>
      </c>
      <c r="UM56" s="11">
        <f t="shared" si="28"/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2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1</v>
      </c>
      <c r="AAA56">
        <v>1</v>
      </c>
      <c r="AAB56">
        <v>2</v>
      </c>
      <c r="AAC56">
        <v>0</v>
      </c>
      <c r="AAD56">
        <v>3</v>
      </c>
      <c r="AAE56">
        <v>0</v>
      </c>
      <c r="AAF56">
        <v>0</v>
      </c>
      <c r="AAG56">
        <v>0</v>
      </c>
      <c r="AAH56">
        <v>2</v>
      </c>
      <c r="AAI56">
        <v>1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 s="11">
        <f t="shared" si="18"/>
        <v>10</v>
      </c>
      <c r="ABW56" s="11">
        <f t="shared" si="18"/>
        <v>2</v>
      </c>
      <c r="ABX56" s="11">
        <f t="shared" si="29"/>
        <v>12</v>
      </c>
      <c r="ABY56" s="11">
        <f t="shared" si="20"/>
        <v>22</v>
      </c>
      <c r="ABZ56" s="11">
        <f t="shared" si="20"/>
        <v>5</v>
      </c>
      <c r="ACA56" s="11">
        <f t="shared" si="20"/>
        <v>27</v>
      </c>
      <c r="ACB56" s="7">
        <f t="shared" si="30"/>
        <v>0</v>
      </c>
      <c r="ACC56" s="7">
        <f t="shared" si="31"/>
        <v>15</v>
      </c>
      <c r="ACD56" s="7">
        <f t="shared" si="32"/>
        <v>12</v>
      </c>
      <c r="ACE56" s="12">
        <f t="shared" si="33"/>
        <v>27</v>
      </c>
      <c r="ACF56">
        <f t="shared" si="35"/>
        <v>0</v>
      </c>
      <c r="ACG56">
        <f t="shared" si="35"/>
        <v>1</v>
      </c>
      <c r="ACH56">
        <f t="shared" si="35"/>
        <v>1</v>
      </c>
      <c r="ACI56">
        <f t="shared" si="34"/>
        <v>1</v>
      </c>
    </row>
    <row r="57" spans="1:763" x14ac:dyDescent="0.25">
      <c r="A57" t="s">
        <v>799</v>
      </c>
      <c r="B57" t="s">
        <v>800</v>
      </c>
      <c r="C57">
        <v>129422</v>
      </c>
      <c r="D57" t="s">
        <v>847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f t="shared" si="12"/>
        <v>0</v>
      </c>
      <c r="T57">
        <f t="shared" si="12"/>
        <v>0</v>
      </c>
      <c r="U57">
        <f t="shared" si="26"/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 s="11">
        <f t="shared" si="14"/>
        <v>0</v>
      </c>
      <c r="KC57" s="11">
        <f t="shared" si="14"/>
        <v>0</v>
      </c>
      <c r="KD57" s="11">
        <f t="shared" si="27"/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 s="11">
        <f t="shared" si="16"/>
        <v>0</v>
      </c>
      <c r="UL57" s="11">
        <f t="shared" si="16"/>
        <v>0</v>
      </c>
      <c r="UM57" s="11">
        <f t="shared" si="28"/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 s="11">
        <f t="shared" si="18"/>
        <v>0</v>
      </c>
      <c r="ABW57" s="11">
        <f t="shared" si="18"/>
        <v>0</v>
      </c>
      <c r="ABX57" s="11">
        <f t="shared" si="29"/>
        <v>0</v>
      </c>
      <c r="ABY57" s="11">
        <f t="shared" si="20"/>
        <v>0</v>
      </c>
      <c r="ABZ57" s="11">
        <f t="shared" si="20"/>
        <v>0</v>
      </c>
      <c r="ACA57" s="11">
        <f t="shared" si="20"/>
        <v>0</v>
      </c>
      <c r="ACB57" s="7">
        <f t="shared" si="30"/>
        <v>0</v>
      </c>
      <c r="ACC57" s="7">
        <f t="shared" si="31"/>
        <v>0</v>
      </c>
      <c r="ACD57" s="7">
        <f t="shared" si="32"/>
        <v>0</v>
      </c>
      <c r="ACE57" s="12">
        <f t="shared" si="33"/>
        <v>0</v>
      </c>
      <c r="ACF57">
        <f t="shared" si="35"/>
        <v>0</v>
      </c>
      <c r="ACG57">
        <f t="shared" si="35"/>
        <v>0</v>
      </c>
      <c r="ACH57">
        <f t="shared" si="35"/>
        <v>0</v>
      </c>
      <c r="ACI57">
        <f t="shared" si="34"/>
        <v>0</v>
      </c>
    </row>
    <row r="58" spans="1:763" x14ac:dyDescent="0.25">
      <c r="A58" t="s">
        <v>799</v>
      </c>
      <c r="B58" t="s">
        <v>800</v>
      </c>
      <c r="C58">
        <v>205504</v>
      </c>
      <c r="D58" t="s">
        <v>848</v>
      </c>
      <c r="E58">
        <v>6</v>
      </c>
      <c r="F58">
        <v>19</v>
      </c>
      <c r="G58">
        <v>12</v>
      </c>
      <c r="H58">
        <v>22</v>
      </c>
      <c r="I58">
        <v>17</v>
      </c>
      <c r="J58">
        <v>18</v>
      </c>
      <c r="K58">
        <v>12</v>
      </c>
      <c r="L58">
        <v>22</v>
      </c>
      <c r="M58">
        <v>5</v>
      </c>
      <c r="N58">
        <v>26</v>
      </c>
      <c r="O58">
        <v>9</v>
      </c>
      <c r="P58">
        <v>23</v>
      </c>
      <c r="Q58">
        <v>6</v>
      </c>
      <c r="R58">
        <v>30</v>
      </c>
      <c r="S58">
        <f t="shared" si="12"/>
        <v>67</v>
      </c>
      <c r="T58">
        <f t="shared" si="12"/>
        <v>160</v>
      </c>
      <c r="U58">
        <f t="shared" si="26"/>
        <v>227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2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 s="11">
        <f t="shared" si="14"/>
        <v>5</v>
      </c>
      <c r="KC58" s="11">
        <f t="shared" si="14"/>
        <v>4</v>
      </c>
      <c r="KD58" s="11">
        <f t="shared" si="27"/>
        <v>9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</v>
      </c>
      <c r="KN58">
        <v>0</v>
      </c>
      <c r="KO58">
        <v>0</v>
      </c>
      <c r="KP58">
        <v>0</v>
      </c>
      <c r="KQ58">
        <v>1</v>
      </c>
      <c r="KR58">
        <v>0</v>
      </c>
      <c r="KS58">
        <v>0</v>
      </c>
      <c r="KT58">
        <v>0</v>
      </c>
      <c r="KU58">
        <v>3</v>
      </c>
      <c r="KV58">
        <v>1</v>
      </c>
      <c r="KW58">
        <v>0</v>
      </c>
      <c r="KX58">
        <v>2</v>
      </c>
      <c r="KY58">
        <v>3</v>
      </c>
      <c r="KZ58">
        <v>0</v>
      </c>
      <c r="LA58">
        <v>0</v>
      </c>
      <c r="LB58">
        <v>0</v>
      </c>
      <c r="LC58">
        <v>0</v>
      </c>
      <c r="LD58">
        <v>5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2</v>
      </c>
      <c r="LX58">
        <v>0</v>
      </c>
      <c r="LY58">
        <v>2</v>
      </c>
      <c r="LZ58">
        <v>0</v>
      </c>
      <c r="MA58">
        <v>6</v>
      </c>
      <c r="MB58">
        <v>0</v>
      </c>
      <c r="MC58">
        <v>0</v>
      </c>
      <c r="MD58">
        <v>2</v>
      </c>
      <c r="ME58">
        <v>0</v>
      </c>
      <c r="MF58">
        <v>0</v>
      </c>
      <c r="MG58">
        <v>0</v>
      </c>
      <c r="MH58">
        <v>1</v>
      </c>
      <c r="MI58">
        <v>0</v>
      </c>
      <c r="MJ58">
        <v>0</v>
      </c>
      <c r="MK58">
        <v>1</v>
      </c>
      <c r="ML58">
        <v>1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 s="11">
        <f t="shared" si="16"/>
        <v>19</v>
      </c>
      <c r="UL58" s="11">
        <f t="shared" si="16"/>
        <v>12</v>
      </c>
      <c r="UM58" s="11">
        <f t="shared" si="28"/>
        <v>31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4</v>
      </c>
      <c r="UV58">
        <v>0</v>
      </c>
      <c r="UW58">
        <v>0</v>
      </c>
      <c r="UX58">
        <v>0</v>
      </c>
      <c r="UY58">
        <v>0</v>
      </c>
      <c r="UZ58">
        <v>3</v>
      </c>
      <c r="VA58">
        <v>1</v>
      </c>
      <c r="VB58">
        <v>2</v>
      </c>
      <c r="VC58">
        <v>2</v>
      </c>
      <c r="VD58">
        <v>6</v>
      </c>
      <c r="VE58">
        <v>11</v>
      </c>
      <c r="VF58">
        <v>14</v>
      </c>
      <c r="VG58">
        <v>16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17</v>
      </c>
      <c r="VO58">
        <v>12</v>
      </c>
      <c r="VP58">
        <v>0</v>
      </c>
      <c r="VQ58">
        <v>0</v>
      </c>
      <c r="VR58">
        <v>0</v>
      </c>
      <c r="VS58">
        <v>0</v>
      </c>
      <c r="VT58">
        <v>5</v>
      </c>
      <c r="VU58">
        <v>6</v>
      </c>
      <c r="VV58">
        <v>5</v>
      </c>
      <c r="VW58">
        <v>5</v>
      </c>
      <c r="VX58">
        <v>14</v>
      </c>
      <c r="VY58">
        <v>8</v>
      </c>
      <c r="VZ58">
        <v>0</v>
      </c>
      <c r="WA58">
        <v>0</v>
      </c>
      <c r="WB58">
        <v>0</v>
      </c>
      <c r="WC58">
        <v>0</v>
      </c>
      <c r="WD58">
        <v>1</v>
      </c>
      <c r="WE58">
        <v>1</v>
      </c>
      <c r="WF58">
        <v>2</v>
      </c>
      <c r="WG58">
        <v>2</v>
      </c>
      <c r="WH58">
        <v>9</v>
      </c>
      <c r="WI58">
        <v>4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 s="11">
        <f t="shared" si="18"/>
        <v>78</v>
      </c>
      <c r="ABW58" s="11">
        <f t="shared" si="18"/>
        <v>72</v>
      </c>
      <c r="ABX58" s="11">
        <f t="shared" si="29"/>
        <v>150</v>
      </c>
      <c r="ABY58" s="11">
        <f t="shared" si="20"/>
        <v>169</v>
      </c>
      <c r="ABZ58" s="11">
        <f t="shared" si="20"/>
        <v>248</v>
      </c>
      <c r="ACA58" s="11">
        <f t="shared" si="20"/>
        <v>417</v>
      </c>
      <c r="ACB58" s="7">
        <f t="shared" si="30"/>
        <v>227</v>
      </c>
      <c r="ACC58" s="7">
        <f t="shared" si="31"/>
        <v>40</v>
      </c>
      <c r="ACD58" s="7">
        <f t="shared" si="32"/>
        <v>150</v>
      </c>
      <c r="ACE58" s="12">
        <f t="shared" si="33"/>
        <v>417</v>
      </c>
      <c r="ACF58">
        <f t="shared" si="35"/>
        <v>1</v>
      </c>
      <c r="ACG58">
        <f t="shared" si="35"/>
        <v>1</v>
      </c>
      <c r="ACH58">
        <f t="shared" si="35"/>
        <v>1</v>
      </c>
      <c r="ACI58">
        <f t="shared" si="34"/>
        <v>1</v>
      </c>
    </row>
    <row r="59" spans="1:763" x14ac:dyDescent="0.25">
      <c r="A59" t="s">
        <v>799</v>
      </c>
      <c r="B59" t="s">
        <v>800</v>
      </c>
      <c r="C59">
        <v>257001</v>
      </c>
      <c r="D59" t="s">
        <v>849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f t="shared" si="12"/>
        <v>0</v>
      </c>
      <c r="T59">
        <f t="shared" si="12"/>
        <v>0</v>
      </c>
      <c r="U59">
        <f t="shared" si="26"/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 s="11">
        <f t="shared" si="14"/>
        <v>0</v>
      </c>
      <c r="KC59" s="11">
        <f t="shared" si="14"/>
        <v>0</v>
      </c>
      <c r="KD59" s="11">
        <f t="shared" si="27"/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 s="11">
        <f t="shared" si="16"/>
        <v>0</v>
      </c>
      <c r="UL59" s="11">
        <f t="shared" si="16"/>
        <v>0</v>
      </c>
      <c r="UM59" s="11">
        <f t="shared" si="28"/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 s="11">
        <f t="shared" si="18"/>
        <v>0</v>
      </c>
      <c r="ABW59" s="11">
        <f t="shared" si="18"/>
        <v>0</v>
      </c>
      <c r="ABX59" s="11">
        <f t="shared" si="29"/>
        <v>0</v>
      </c>
      <c r="ABY59" s="11">
        <f t="shared" si="20"/>
        <v>0</v>
      </c>
      <c r="ABZ59" s="11">
        <f t="shared" si="20"/>
        <v>0</v>
      </c>
      <c r="ACA59" s="11">
        <f t="shared" si="20"/>
        <v>0</v>
      </c>
      <c r="ACB59" s="7">
        <f t="shared" si="30"/>
        <v>0</v>
      </c>
      <c r="ACC59" s="7">
        <f t="shared" si="31"/>
        <v>0</v>
      </c>
      <c r="ACD59" s="7">
        <f t="shared" si="32"/>
        <v>0</v>
      </c>
      <c r="ACE59" s="12">
        <f t="shared" si="33"/>
        <v>0</v>
      </c>
      <c r="ACF59">
        <f t="shared" si="35"/>
        <v>0</v>
      </c>
      <c r="ACG59">
        <f t="shared" si="35"/>
        <v>0</v>
      </c>
      <c r="ACH59">
        <f t="shared" si="35"/>
        <v>0</v>
      </c>
      <c r="ACI59">
        <f t="shared" si="34"/>
        <v>0</v>
      </c>
    </row>
    <row r="60" spans="1:763" x14ac:dyDescent="0.25">
      <c r="A60" t="s">
        <v>799</v>
      </c>
      <c r="B60" t="s">
        <v>800</v>
      </c>
      <c r="C60">
        <v>500454</v>
      </c>
      <c r="D60" t="s">
        <v>850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f t="shared" si="12"/>
        <v>0</v>
      </c>
      <c r="T60">
        <f t="shared" si="12"/>
        <v>0</v>
      </c>
      <c r="U60">
        <f t="shared" si="26"/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 s="11">
        <f t="shared" si="14"/>
        <v>0</v>
      </c>
      <c r="KC60" s="11">
        <f t="shared" si="14"/>
        <v>0</v>
      </c>
      <c r="KD60" s="11">
        <f t="shared" si="27"/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 s="11">
        <f t="shared" si="16"/>
        <v>0</v>
      </c>
      <c r="UL60" s="11">
        <f t="shared" si="16"/>
        <v>0</v>
      </c>
      <c r="UM60" s="11">
        <f t="shared" si="28"/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 s="11">
        <f t="shared" si="18"/>
        <v>0</v>
      </c>
      <c r="ABW60" s="11">
        <f t="shared" si="18"/>
        <v>0</v>
      </c>
      <c r="ABX60" s="11">
        <f t="shared" si="29"/>
        <v>0</v>
      </c>
      <c r="ABY60" s="11">
        <f t="shared" si="20"/>
        <v>0</v>
      </c>
      <c r="ABZ60" s="11">
        <f t="shared" si="20"/>
        <v>0</v>
      </c>
      <c r="ACA60" s="11">
        <f t="shared" si="20"/>
        <v>0</v>
      </c>
      <c r="ACB60" s="7">
        <f t="shared" si="30"/>
        <v>0</v>
      </c>
      <c r="ACC60" s="7">
        <f t="shared" si="31"/>
        <v>0</v>
      </c>
      <c r="ACD60" s="7">
        <f t="shared" si="32"/>
        <v>0</v>
      </c>
      <c r="ACE60" s="12">
        <f t="shared" si="33"/>
        <v>0</v>
      </c>
      <c r="ACF60">
        <f t="shared" si="35"/>
        <v>0</v>
      </c>
      <c r="ACG60">
        <f t="shared" si="35"/>
        <v>0</v>
      </c>
      <c r="ACH60">
        <f t="shared" si="35"/>
        <v>0</v>
      </c>
      <c r="ACI60">
        <f t="shared" si="34"/>
        <v>0</v>
      </c>
    </row>
    <row r="61" spans="1:763" x14ac:dyDescent="0.25">
      <c r="A61" t="s">
        <v>799</v>
      </c>
      <c r="B61" t="s">
        <v>800</v>
      </c>
      <c r="C61">
        <v>501085</v>
      </c>
      <c r="D61" t="s">
        <v>851</v>
      </c>
      <c r="E61">
        <v>0</v>
      </c>
      <c r="F61">
        <v>0</v>
      </c>
      <c r="G61">
        <v>3</v>
      </c>
      <c r="H61">
        <v>1</v>
      </c>
      <c r="I61">
        <v>4</v>
      </c>
      <c r="J61">
        <v>4</v>
      </c>
      <c r="K61">
        <v>7</v>
      </c>
      <c r="L61">
        <v>4</v>
      </c>
      <c r="M61">
        <v>6</v>
      </c>
      <c r="N61">
        <v>3</v>
      </c>
      <c r="O61">
        <v>7</v>
      </c>
      <c r="P61">
        <v>3</v>
      </c>
      <c r="Q61">
        <v>2</v>
      </c>
      <c r="R61">
        <v>3</v>
      </c>
      <c r="S61">
        <f t="shared" si="12"/>
        <v>29</v>
      </c>
      <c r="T61">
        <f t="shared" si="12"/>
        <v>18</v>
      </c>
      <c r="U61">
        <f t="shared" si="26"/>
        <v>47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3</v>
      </c>
      <c r="HA61">
        <v>3</v>
      </c>
      <c r="HB61">
        <v>5</v>
      </c>
      <c r="HC61">
        <v>3</v>
      </c>
      <c r="HD61">
        <v>4</v>
      </c>
      <c r="HE61">
        <v>2</v>
      </c>
      <c r="HF61">
        <v>5</v>
      </c>
      <c r="HG61">
        <v>2</v>
      </c>
      <c r="HH61">
        <v>1</v>
      </c>
      <c r="HI61">
        <v>2</v>
      </c>
      <c r="HJ61">
        <v>0</v>
      </c>
      <c r="HK61">
        <v>0</v>
      </c>
      <c r="HL61">
        <v>2</v>
      </c>
      <c r="HM61">
        <v>0</v>
      </c>
      <c r="HN61">
        <v>1</v>
      </c>
      <c r="HO61">
        <v>1</v>
      </c>
      <c r="HP61">
        <v>2</v>
      </c>
      <c r="HQ61">
        <v>1</v>
      </c>
      <c r="HR61">
        <v>2</v>
      </c>
      <c r="HS61">
        <v>1</v>
      </c>
      <c r="HT61">
        <v>2</v>
      </c>
      <c r="HU61">
        <v>1</v>
      </c>
      <c r="HV61">
        <v>1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 s="11">
        <f t="shared" si="14"/>
        <v>29</v>
      </c>
      <c r="KC61" s="11">
        <f t="shared" si="14"/>
        <v>18</v>
      </c>
      <c r="KD61" s="11">
        <f t="shared" si="27"/>
        <v>47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 s="11">
        <f t="shared" si="16"/>
        <v>0</v>
      </c>
      <c r="UL61" s="11">
        <f t="shared" si="16"/>
        <v>0</v>
      </c>
      <c r="UM61" s="11">
        <f t="shared" si="28"/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 s="11">
        <f t="shared" si="18"/>
        <v>0</v>
      </c>
      <c r="ABW61" s="11">
        <f t="shared" si="18"/>
        <v>0</v>
      </c>
      <c r="ABX61" s="11">
        <f t="shared" si="29"/>
        <v>0</v>
      </c>
      <c r="ABY61" s="11">
        <f t="shared" si="20"/>
        <v>58</v>
      </c>
      <c r="ABZ61" s="11">
        <f t="shared" si="20"/>
        <v>36</v>
      </c>
      <c r="ACA61" s="11">
        <f t="shared" si="20"/>
        <v>94</v>
      </c>
      <c r="ACB61" s="7">
        <f t="shared" si="30"/>
        <v>47</v>
      </c>
      <c r="ACC61" s="7">
        <f t="shared" si="31"/>
        <v>47</v>
      </c>
      <c r="ACD61" s="7">
        <f t="shared" si="32"/>
        <v>0</v>
      </c>
      <c r="ACE61" s="12">
        <f t="shared" si="33"/>
        <v>94</v>
      </c>
      <c r="ACF61">
        <f t="shared" si="35"/>
        <v>1</v>
      </c>
      <c r="ACG61">
        <f t="shared" si="35"/>
        <v>1</v>
      </c>
      <c r="ACH61">
        <f t="shared" si="35"/>
        <v>0</v>
      </c>
      <c r="ACI61">
        <f t="shared" si="34"/>
        <v>1</v>
      </c>
    </row>
    <row r="62" spans="1:763" x14ac:dyDescent="0.25">
      <c r="A62" t="s">
        <v>799</v>
      </c>
      <c r="B62" t="s">
        <v>800</v>
      </c>
      <c r="C62">
        <v>501086</v>
      </c>
      <c r="D62" t="s">
        <v>852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f t="shared" si="12"/>
        <v>0</v>
      </c>
      <c r="T62">
        <f t="shared" si="12"/>
        <v>0</v>
      </c>
      <c r="U62">
        <f t="shared" si="26"/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0</v>
      </c>
      <c r="JP62">
        <v>0</v>
      </c>
      <c r="JQ62">
        <v>0</v>
      </c>
      <c r="JR62">
        <v>1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</v>
      </c>
      <c r="JZ62">
        <v>0</v>
      </c>
      <c r="KA62">
        <v>0</v>
      </c>
      <c r="KB62" s="11">
        <f t="shared" si="14"/>
        <v>2</v>
      </c>
      <c r="KC62" s="11">
        <f t="shared" si="14"/>
        <v>2</v>
      </c>
      <c r="KD62" s="11">
        <f t="shared" si="27"/>
        <v>4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 s="11">
        <f t="shared" si="16"/>
        <v>0</v>
      </c>
      <c r="UL62" s="11">
        <f t="shared" si="16"/>
        <v>0</v>
      </c>
      <c r="UM62" s="11">
        <f t="shared" si="28"/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 s="11">
        <f t="shared" si="18"/>
        <v>0</v>
      </c>
      <c r="ABW62" s="11">
        <f t="shared" si="18"/>
        <v>0</v>
      </c>
      <c r="ABX62" s="11">
        <f t="shared" si="29"/>
        <v>0</v>
      </c>
      <c r="ABY62" s="11">
        <f t="shared" si="20"/>
        <v>2</v>
      </c>
      <c r="ABZ62" s="11">
        <f t="shared" si="20"/>
        <v>2</v>
      </c>
      <c r="ACA62" s="11">
        <f t="shared" si="20"/>
        <v>4</v>
      </c>
      <c r="ACB62" s="7">
        <f t="shared" si="30"/>
        <v>0</v>
      </c>
      <c r="ACC62" s="7">
        <f t="shared" si="31"/>
        <v>4</v>
      </c>
      <c r="ACD62" s="7">
        <f t="shared" si="32"/>
        <v>0</v>
      </c>
      <c r="ACE62" s="12">
        <f t="shared" si="33"/>
        <v>4</v>
      </c>
      <c r="ACF62">
        <f t="shared" si="35"/>
        <v>0</v>
      </c>
      <c r="ACG62">
        <f t="shared" si="35"/>
        <v>1</v>
      </c>
      <c r="ACH62">
        <f t="shared" si="35"/>
        <v>0</v>
      </c>
      <c r="ACI62">
        <f t="shared" si="34"/>
        <v>1</v>
      </c>
    </row>
    <row r="63" spans="1:763" x14ac:dyDescent="0.25">
      <c r="A63" t="s">
        <v>799</v>
      </c>
      <c r="B63" t="s">
        <v>800</v>
      </c>
      <c r="C63">
        <v>501087</v>
      </c>
      <c r="D63" t="s">
        <v>853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f t="shared" si="12"/>
        <v>0</v>
      </c>
      <c r="T63">
        <f t="shared" si="12"/>
        <v>0</v>
      </c>
      <c r="U63">
        <f t="shared" si="26"/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1</v>
      </c>
      <c r="GW63">
        <v>2</v>
      </c>
      <c r="GX63">
        <v>5</v>
      </c>
      <c r="GY63">
        <v>1</v>
      </c>
      <c r="GZ63">
        <v>2</v>
      </c>
      <c r="HA63">
        <v>1</v>
      </c>
      <c r="HB63">
        <v>5</v>
      </c>
      <c r="HC63">
        <v>2</v>
      </c>
      <c r="HD63">
        <v>4</v>
      </c>
      <c r="HE63">
        <v>3</v>
      </c>
      <c r="HF63">
        <v>2</v>
      </c>
      <c r="HG63">
        <v>0</v>
      </c>
      <c r="HH63">
        <v>4</v>
      </c>
      <c r="HI63">
        <v>4</v>
      </c>
      <c r="HJ63">
        <v>0</v>
      </c>
      <c r="HK63">
        <v>0</v>
      </c>
      <c r="HL63">
        <v>2</v>
      </c>
      <c r="HM63">
        <v>1</v>
      </c>
      <c r="HN63">
        <v>0</v>
      </c>
      <c r="HO63">
        <v>0</v>
      </c>
      <c r="HP63">
        <v>0</v>
      </c>
      <c r="HQ63">
        <v>0</v>
      </c>
      <c r="HR63">
        <v>3</v>
      </c>
      <c r="HS63">
        <v>2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1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 s="11">
        <f t="shared" si="14"/>
        <v>28</v>
      </c>
      <c r="KC63" s="11">
        <f t="shared" si="14"/>
        <v>17</v>
      </c>
      <c r="KD63" s="11">
        <f t="shared" si="27"/>
        <v>45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 s="11">
        <f t="shared" si="16"/>
        <v>0</v>
      </c>
      <c r="UL63" s="11">
        <f t="shared" si="16"/>
        <v>0</v>
      </c>
      <c r="UM63" s="11">
        <f t="shared" si="28"/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 s="11">
        <f t="shared" si="18"/>
        <v>0</v>
      </c>
      <c r="ABW63" s="11">
        <f t="shared" si="18"/>
        <v>0</v>
      </c>
      <c r="ABX63" s="11">
        <f t="shared" si="29"/>
        <v>0</v>
      </c>
      <c r="ABY63" s="11">
        <f t="shared" si="20"/>
        <v>28</v>
      </c>
      <c r="ABZ63" s="11">
        <f t="shared" si="20"/>
        <v>17</v>
      </c>
      <c r="ACA63" s="11">
        <f t="shared" si="20"/>
        <v>45</v>
      </c>
      <c r="ACB63" s="7">
        <f t="shared" si="30"/>
        <v>0</v>
      </c>
      <c r="ACC63" s="7">
        <f t="shared" si="31"/>
        <v>45</v>
      </c>
      <c r="ACD63" s="7">
        <f t="shared" si="32"/>
        <v>0</v>
      </c>
      <c r="ACE63" s="12">
        <f t="shared" si="33"/>
        <v>45</v>
      </c>
      <c r="ACF63">
        <f t="shared" si="35"/>
        <v>0</v>
      </c>
      <c r="ACG63">
        <f t="shared" si="35"/>
        <v>1</v>
      </c>
      <c r="ACH63">
        <f t="shared" si="35"/>
        <v>0</v>
      </c>
      <c r="ACI63">
        <f t="shared" si="34"/>
        <v>1</v>
      </c>
    </row>
    <row r="64" spans="1:763" x14ac:dyDescent="0.25">
      <c r="A64" t="s">
        <v>799</v>
      </c>
      <c r="B64" t="s">
        <v>800</v>
      </c>
      <c r="C64">
        <v>501424</v>
      </c>
      <c r="D64" t="s">
        <v>854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f t="shared" si="12"/>
        <v>0</v>
      </c>
      <c r="T64">
        <f t="shared" si="12"/>
        <v>0</v>
      </c>
      <c r="U64">
        <f t="shared" si="26"/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 s="11">
        <f t="shared" si="14"/>
        <v>0</v>
      </c>
      <c r="KC64" s="11">
        <f t="shared" si="14"/>
        <v>0</v>
      </c>
      <c r="KD64" s="11">
        <f t="shared" si="27"/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 s="11">
        <f t="shared" si="16"/>
        <v>0</v>
      </c>
      <c r="UL64" s="11">
        <f t="shared" si="16"/>
        <v>0</v>
      </c>
      <c r="UM64" s="11">
        <f t="shared" si="28"/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 s="11">
        <f t="shared" si="18"/>
        <v>0</v>
      </c>
      <c r="ABW64" s="11">
        <f t="shared" si="18"/>
        <v>0</v>
      </c>
      <c r="ABX64" s="11">
        <f t="shared" si="29"/>
        <v>0</v>
      </c>
      <c r="ABY64" s="11">
        <f t="shared" si="20"/>
        <v>0</v>
      </c>
      <c r="ABZ64" s="11">
        <f t="shared" si="20"/>
        <v>0</v>
      </c>
      <c r="ACA64" s="11">
        <f t="shared" si="20"/>
        <v>0</v>
      </c>
      <c r="ACB64" s="7">
        <f t="shared" si="30"/>
        <v>0</v>
      </c>
      <c r="ACC64" s="7">
        <f t="shared" si="31"/>
        <v>0</v>
      </c>
      <c r="ACD64" s="7">
        <f t="shared" si="32"/>
        <v>0</v>
      </c>
      <c r="ACE64" s="12">
        <f t="shared" si="33"/>
        <v>0</v>
      </c>
      <c r="ACF64">
        <f t="shared" si="35"/>
        <v>0</v>
      </c>
      <c r="ACG64">
        <f t="shared" si="35"/>
        <v>0</v>
      </c>
      <c r="ACH64">
        <f t="shared" si="35"/>
        <v>0</v>
      </c>
      <c r="ACI64">
        <f t="shared" si="34"/>
        <v>0</v>
      </c>
    </row>
  </sheetData>
  <autoFilter ref="A10:ABU64" xr:uid="{00000000-0009-0000-0000-000002000000}"/>
  <mergeCells count="467">
    <mergeCell ref="UN3:ABU3"/>
    <mergeCell ref="V4:KA4"/>
    <mergeCell ref="KB4:KD7"/>
    <mergeCell ref="KE4:UJ4"/>
    <mergeCell ref="UK4:UM7"/>
    <mergeCell ref="UN4:YS4"/>
    <mergeCell ref="YT4:ABU4"/>
    <mergeCell ref="VH5:VQ5"/>
    <mergeCell ref="VR5:WA5"/>
    <mergeCell ref="WB5:WK5"/>
    <mergeCell ref="XF5:XO5"/>
    <mergeCell ref="XP5:XY5"/>
    <mergeCell ref="XZ5:YI5"/>
    <mergeCell ref="YJ5:YS5"/>
    <mergeCell ref="ACF4:ACF8"/>
    <mergeCell ref="ACG4:ACG8"/>
    <mergeCell ref="ACH4:ACH8"/>
    <mergeCell ref="ACI4:ACI8"/>
    <mergeCell ref="V5:FS5"/>
    <mergeCell ref="FT5:KA5"/>
    <mergeCell ref="KE5:QB5"/>
    <mergeCell ref="QC5:UJ5"/>
    <mergeCell ref="UN5:UW5"/>
    <mergeCell ref="UX5:VG5"/>
    <mergeCell ref="ABV4:ABX7"/>
    <mergeCell ref="ABY4:ACA7"/>
    <mergeCell ref="ACB4:ACB8"/>
    <mergeCell ref="ACC4:ACC8"/>
    <mergeCell ref="ACD4:ACD8"/>
    <mergeCell ref="ACE4:ACE8"/>
    <mergeCell ref="DP6:EC6"/>
    <mergeCell ref="ED6:EQ6"/>
    <mergeCell ref="ER6:FE6"/>
    <mergeCell ref="FF6:FS6"/>
    <mergeCell ref="FT6:GG6"/>
    <mergeCell ref="GH6:GU6"/>
    <mergeCell ref="ABB5:ABK5"/>
    <mergeCell ref="ABL5:ABU5"/>
    <mergeCell ref="E6:U6"/>
    <mergeCell ref="V6:AI6"/>
    <mergeCell ref="AJ6:AW6"/>
    <mergeCell ref="AX6:BK6"/>
    <mergeCell ref="BL6:BY6"/>
    <mergeCell ref="BZ6:CM6"/>
    <mergeCell ref="CN6:DA6"/>
    <mergeCell ref="DB6:DO6"/>
    <mergeCell ref="YT5:ZC5"/>
    <mergeCell ref="ZD5:ZM5"/>
    <mergeCell ref="ZN5:ZW5"/>
    <mergeCell ref="ZX5:AAG5"/>
    <mergeCell ref="AAH5:AAQ5"/>
    <mergeCell ref="AAR5:ABA5"/>
    <mergeCell ref="WL5:WU5"/>
    <mergeCell ref="WV5:XE5"/>
    <mergeCell ref="KE6:KR6"/>
    <mergeCell ref="KS6:LF6"/>
    <mergeCell ref="LG6:LT6"/>
    <mergeCell ref="LU6:MH6"/>
    <mergeCell ref="MI6:MV6"/>
    <mergeCell ref="MW6:NJ6"/>
    <mergeCell ref="GV6:HI6"/>
    <mergeCell ref="HJ6:HW6"/>
    <mergeCell ref="HX6:IK6"/>
    <mergeCell ref="IL6:IY6"/>
    <mergeCell ref="IZ6:JM6"/>
    <mergeCell ref="JN6:KA6"/>
    <mergeCell ref="QQ6:RD6"/>
    <mergeCell ref="RE6:RR6"/>
    <mergeCell ref="RS6:SF6"/>
    <mergeCell ref="SG6:ST6"/>
    <mergeCell ref="SU6:TH6"/>
    <mergeCell ref="TI6:TV6"/>
    <mergeCell ref="NK6:NX6"/>
    <mergeCell ref="NY6:OL6"/>
    <mergeCell ref="OM6:OZ6"/>
    <mergeCell ref="PA6:PN6"/>
    <mergeCell ref="PO6:QB6"/>
    <mergeCell ref="QC6:QP6"/>
    <mergeCell ref="VR6:VS7"/>
    <mergeCell ref="VT6:VY6"/>
    <mergeCell ref="VJ7:VK7"/>
    <mergeCell ref="VL7:VM7"/>
    <mergeCell ref="VN7:VO7"/>
    <mergeCell ref="VT7:VU7"/>
    <mergeCell ref="TW6:UJ6"/>
    <mergeCell ref="UN6:UO7"/>
    <mergeCell ref="UP6:UU6"/>
    <mergeCell ref="UV6:UW7"/>
    <mergeCell ref="UX6:UY7"/>
    <mergeCell ref="UZ6:VE6"/>
    <mergeCell ref="UC7:UD7"/>
    <mergeCell ref="UE7:UF7"/>
    <mergeCell ref="UG7:UH7"/>
    <mergeCell ref="UI7:UJ7"/>
    <mergeCell ref="XR6:XW6"/>
    <mergeCell ref="XX6:XY7"/>
    <mergeCell ref="XZ6:YA7"/>
    <mergeCell ref="YB6:YG6"/>
    <mergeCell ref="YD7:YE7"/>
    <mergeCell ref="YF7:YG7"/>
    <mergeCell ref="WT6:WU7"/>
    <mergeCell ref="WV6:WW7"/>
    <mergeCell ref="WX6:XC6"/>
    <mergeCell ref="XD6:XE7"/>
    <mergeCell ref="XF6:XG7"/>
    <mergeCell ref="XH6:XM6"/>
    <mergeCell ref="WX7:WY7"/>
    <mergeCell ref="WZ7:XA7"/>
    <mergeCell ref="XB7:XC7"/>
    <mergeCell ref="XH7:XI7"/>
    <mergeCell ref="AAJ7:AAK7"/>
    <mergeCell ref="ZB6:ZC7"/>
    <mergeCell ref="ZD6:ZE7"/>
    <mergeCell ref="ZF6:ZK6"/>
    <mergeCell ref="ZL6:ZM7"/>
    <mergeCell ref="ZN6:ZO7"/>
    <mergeCell ref="ZP6:ZU6"/>
    <mergeCell ref="ZR7:ZS7"/>
    <mergeCell ref="ZT7:ZU7"/>
    <mergeCell ref="ABT6:ABU7"/>
    <mergeCell ref="E7:F7"/>
    <mergeCell ref="G7:H7"/>
    <mergeCell ref="I7:J7"/>
    <mergeCell ref="K7:L7"/>
    <mergeCell ref="M7:N7"/>
    <mergeCell ref="O7:P7"/>
    <mergeCell ref="AAP6:AAQ7"/>
    <mergeCell ref="AAR6:AAS7"/>
    <mergeCell ref="AAT6:AAY6"/>
    <mergeCell ref="AAZ6:ABA7"/>
    <mergeCell ref="ABB6:ABC7"/>
    <mergeCell ref="ABD6:ABI6"/>
    <mergeCell ref="ABF7:ABG7"/>
    <mergeCell ref="ABH7:ABI7"/>
    <mergeCell ref="ZV6:ZW7"/>
    <mergeCell ref="ZX6:ZY7"/>
    <mergeCell ref="ZZ6:AAE6"/>
    <mergeCell ref="AAF6:AAG7"/>
    <mergeCell ref="AAH6:AAI7"/>
    <mergeCell ref="AAJ6:AAO6"/>
    <mergeCell ref="ZZ7:AAA7"/>
    <mergeCell ref="AAB7:AAC7"/>
    <mergeCell ref="AAD7:AAE7"/>
    <mergeCell ref="AD7:AE7"/>
    <mergeCell ref="AF7:AG7"/>
    <mergeCell ref="AH7:AI7"/>
    <mergeCell ref="AJ7:AK7"/>
    <mergeCell ref="AL7:AM7"/>
    <mergeCell ref="AN7:AO7"/>
    <mergeCell ref="Q7:R7"/>
    <mergeCell ref="S7:U7"/>
    <mergeCell ref="V7:W7"/>
    <mergeCell ref="X7:Y7"/>
    <mergeCell ref="Z7:AA7"/>
    <mergeCell ref="AB7:AC7"/>
    <mergeCell ref="BB7:BC7"/>
    <mergeCell ref="BD7:BE7"/>
    <mergeCell ref="BF7:BG7"/>
    <mergeCell ref="BH7:BI7"/>
    <mergeCell ref="BJ7:BK7"/>
    <mergeCell ref="BL7:BM7"/>
    <mergeCell ref="AP7:AQ7"/>
    <mergeCell ref="AR7:AS7"/>
    <mergeCell ref="AT7:AU7"/>
    <mergeCell ref="AV7:AW7"/>
    <mergeCell ref="AX7:AY7"/>
    <mergeCell ref="AZ7:BA7"/>
    <mergeCell ref="BZ7:CA7"/>
    <mergeCell ref="CB7:CC7"/>
    <mergeCell ref="CD7:CE7"/>
    <mergeCell ref="CF7:CG7"/>
    <mergeCell ref="CH7:CI7"/>
    <mergeCell ref="CJ7:CK7"/>
    <mergeCell ref="BN7:BO7"/>
    <mergeCell ref="BP7:BQ7"/>
    <mergeCell ref="BR7:BS7"/>
    <mergeCell ref="BT7:BU7"/>
    <mergeCell ref="BV7:BW7"/>
    <mergeCell ref="BX7:BY7"/>
    <mergeCell ref="CX7:CY7"/>
    <mergeCell ref="CZ7:DA7"/>
    <mergeCell ref="DB7:DC7"/>
    <mergeCell ref="DD7:DE7"/>
    <mergeCell ref="DF7:DG7"/>
    <mergeCell ref="DH7:DI7"/>
    <mergeCell ref="CL7:CM7"/>
    <mergeCell ref="CN7:CO7"/>
    <mergeCell ref="CP7:CQ7"/>
    <mergeCell ref="CR7:CS7"/>
    <mergeCell ref="CT7:CU7"/>
    <mergeCell ref="CV7:CW7"/>
    <mergeCell ref="DV7:DW7"/>
    <mergeCell ref="DX7:DY7"/>
    <mergeCell ref="DZ7:EA7"/>
    <mergeCell ref="EB7:EC7"/>
    <mergeCell ref="ED7:EE7"/>
    <mergeCell ref="EF7:EG7"/>
    <mergeCell ref="DJ7:DK7"/>
    <mergeCell ref="DL7:DM7"/>
    <mergeCell ref="DN7:DO7"/>
    <mergeCell ref="DP7:DQ7"/>
    <mergeCell ref="DR7:DS7"/>
    <mergeCell ref="DT7:DU7"/>
    <mergeCell ref="ET7:EU7"/>
    <mergeCell ref="EV7:EW7"/>
    <mergeCell ref="EX7:EY7"/>
    <mergeCell ref="EZ7:FA7"/>
    <mergeCell ref="FB7:FC7"/>
    <mergeCell ref="FD7:FE7"/>
    <mergeCell ref="EH7:EI7"/>
    <mergeCell ref="EJ7:EK7"/>
    <mergeCell ref="EL7:EM7"/>
    <mergeCell ref="EN7:EO7"/>
    <mergeCell ref="EP7:EQ7"/>
    <mergeCell ref="ER7:ES7"/>
    <mergeCell ref="FR7:FS7"/>
    <mergeCell ref="FT7:FU7"/>
    <mergeCell ref="FV7:FW7"/>
    <mergeCell ref="FX7:FY7"/>
    <mergeCell ref="FZ7:GA7"/>
    <mergeCell ref="GB7:GC7"/>
    <mergeCell ref="FF7:FG7"/>
    <mergeCell ref="FH7:FI7"/>
    <mergeCell ref="FJ7:FK7"/>
    <mergeCell ref="FL7:FM7"/>
    <mergeCell ref="FN7:FO7"/>
    <mergeCell ref="FP7:FQ7"/>
    <mergeCell ref="GP7:GQ7"/>
    <mergeCell ref="GR7:GS7"/>
    <mergeCell ref="GT7:GU7"/>
    <mergeCell ref="GV7:GW7"/>
    <mergeCell ref="GX7:GY7"/>
    <mergeCell ref="GZ7:HA7"/>
    <mergeCell ref="GD7:GE7"/>
    <mergeCell ref="GF7:GG7"/>
    <mergeCell ref="GH7:GI7"/>
    <mergeCell ref="GJ7:GK7"/>
    <mergeCell ref="GL7:GM7"/>
    <mergeCell ref="GN7:GO7"/>
    <mergeCell ref="HN7:HO7"/>
    <mergeCell ref="HP7:HQ7"/>
    <mergeCell ref="HR7:HS7"/>
    <mergeCell ref="HT7:HU7"/>
    <mergeCell ref="HV7:HW7"/>
    <mergeCell ref="HX7:HY7"/>
    <mergeCell ref="HB7:HC7"/>
    <mergeCell ref="HD7:HE7"/>
    <mergeCell ref="HF7:HG7"/>
    <mergeCell ref="HH7:HI7"/>
    <mergeCell ref="HJ7:HK7"/>
    <mergeCell ref="HL7:HM7"/>
    <mergeCell ref="IL7:IM7"/>
    <mergeCell ref="IN7:IO7"/>
    <mergeCell ref="IP7:IQ7"/>
    <mergeCell ref="IR7:IS7"/>
    <mergeCell ref="IT7:IU7"/>
    <mergeCell ref="IV7:IW7"/>
    <mergeCell ref="HZ7:IA7"/>
    <mergeCell ref="IB7:IC7"/>
    <mergeCell ref="ID7:IE7"/>
    <mergeCell ref="IF7:IG7"/>
    <mergeCell ref="IH7:II7"/>
    <mergeCell ref="IJ7:IK7"/>
    <mergeCell ref="JJ7:JK7"/>
    <mergeCell ref="JL7:JM7"/>
    <mergeCell ref="JN7:JO7"/>
    <mergeCell ref="JP7:JQ7"/>
    <mergeCell ref="JR7:JS7"/>
    <mergeCell ref="JT7:JU7"/>
    <mergeCell ref="IX7:IY7"/>
    <mergeCell ref="IZ7:JA7"/>
    <mergeCell ref="JB7:JC7"/>
    <mergeCell ref="JD7:JE7"/>
    <mergeCell ref="JF7:JG7"/>
    <mergeCell ref="JH7:JI7"/>
    <mergeCell ref="KK7:KL7"/>
    <mergeCell ref="KM7:KN7"/>
    <mergeCell ref="KO7:KP7"/>
    <mergeCell ref="KQ7:KR7"/>
    <mergeCell ref="KS7:KT7"/>
    <mergeCell ref="KU7:KV7"/>
    <mergeCell ref="JV7:JW7"/>
    <mergeCell ref="JX7:JY7"/>
    <mergeCell ref="JZ7:KA7"/>
    <mergeCell ref="KE7:KF7"/>
    <mergeCell ref="KG7:KH7"/>
    <mergeCell ref="KI7:KJ7"/>
    <mergeCell ref="LI7:LJ7"/>
    <mergeCell ref="LK7:LL7"/>
    <mergeCell ref="LM7:LN7"/>
    <mergeCell ref="LO7:LP7"/>
    <mergeCell ref="LQ7:LR7"/>
    <mergeCell ref="LS7:LT7"/>
    <mergeCell ref="KW7:KX7"/>
    <mergeCell ref="KY7:KZ7"/>
    <mergeCell ref="LA7:LB7"/>
    <mergeCell ref="LC7:LD7"/>
    <mergeCell ref="LE7:LF7"/>
    <mergeCell ref="LG7:LH7"/>
    <mergeCell ref="MG7:MH7"/>
    <mergeCell ref="MI7:MJ7"/>
    <mergeCell ref="MK7:ML7"/>
    <mergeCell ref="MM7:MN7"/>
    <mergeCell ref="MO7:MP7"/>
    <mergeCell ref="MQ7:MR7"/>
    <mergeCell ref="LU7:LV7"/>
    <mergeCell ref="LW7:LX7"/>
    <mergeCell ref="LY7:LZ7"/>
    <mergeCell ref="MA7:MB7"/>
    <mergeCell ref="MC7:MD7"/>
    <mergeCell ref="ME7:MF7"/>
    <mergeCell ref="NE7:NF7"/>
    <mergeCell ref="NG7:NH7"/>
    <mergeCell ref="NI7:NJ7"/>
    <mergeCell ref="NK7:NL7"/>
    <mergeCell ref="NM7:NN7"/>
    <mergeCell ref="NO7:NP7"/>
    <mergeCell ref="MS7:MT7"/>
    <mergeCell ref="MU7:MV7"/>
    <mergeCell ref="MW7:MX7"/>
    <mergeCell ref="MY7:MZ7"/>
    <mergeCell ref="NA7:NB7"/>
    <mergeCell ref="NC7:ND7"/>
    <mergeCell ref="OC7:OD7"/>
    <mergeCell ref="OE7:OF7"/>
    <mergeCell ref="OG7:OH7"/>
    <mergeCell ref="OI7:OJ7"/>
    <mergeCell ref="OK7:OL7"/>
    <mergeCell ref="OM7:ON7"/>
    <mergeCell ref="NQ7:NR7"/>
    <mergeCell ref="NS7:NT7"/>
    <mergeCell ref="NU7:NV7"/>
    <mergeCell ref="NW7:NX7"/>
    <mergeCell ref="NY7:NZ7"/>
    <mergeCell ref="OA7:OB7"/>
    <mergeCell ref="PA7:PB7"/>
    <mergeCell ref="PC7:PD7"/>
    <mergeCell ref="PE7:PF7"/>
    <mergeCell ref="PG7:PH7"/>
    <mergeCell ref="PI7:PJ7"/>
    <mergeCell ref="PK7:PL7"/>
    <mergeCell ref="OO7:OP7"/>
    <mergeCell ref="OQ7:OR7"/>
    <mergeCell ref="OS7:OT7"/>
    <mergeCell ref="OU7:OV7"/>
    <mergeCell ref="OW7:OX7"/>
    <mergeCell ref="OY7:OZ7"/>
    <mergeCell ref="PY7:PZ7"/>
    <mergeCell ref="QA7:QB7"/>
    <mergeCell ref="QC7:QD7"/>
    <mergeCell ref="QE7:QF7"/>
    <mergeCell ref="QG7:QH7"/>
    <mergeCell ref="QI7:QJ7"/>
    <mergeCell ref="PM7:PN7"/>
    <mergeCell ref="PO7:PP7"/>
    <mergeCell ref="PQ7:PR7"/>
    <mergeCell ref="PS7:PT7"/>
    <mergeCell ref="PU7:PV7"/>
    <mergeCell ref="PW7:PX7"/>
    <mergeCell ref="QW7:QX7"/>
    <mergeCell ref="QY7:QZ7"/>
    <mergeCell ref="RA7:RB7"/>
    <mergeCell ref="RC7:RD7"/>
    <mergeCell ref="RE7:RF7"/>
    <mergeCell ref="RG7:RH7"/>
    <mergeCell ref="QK7:QL7"/>
    <mergeCell ref="QM7:QN7"/>
    <mergeCell ref="QO7:QP7"/>
    <mergeCell ref="QQ7:QR7"/>
    <mergeCell ref="QS7:QT7"/>
    <mergeCell ref="QU7:QV7"/>
    <mergeCell ref="RU7:RV7"/>
    <mergeCell ref="RW7:RX7"/>
    <mergeCell ref="RY7:RZ7"/>
    <mergeCell ref="SA7:SB7"/>
    <mergeCell ref="SC7:SD7"/>
    <mergeCell ref="SE7:SF7"/>
    <mergeCell ref="RI7:RJ7"/>
    <mergeCell ref="RK7:RL7"/>
    <mergeCell ref="RM7:RN7"/>
    <mergeCell ref="RO7:RP7"/>
    <mergeCell ref="RQ7:RR7"/>
    <mergeCell ref="RS7:RT7"/>
    <mergeCell ref="SS7:ST7"/>
    <mergeCell ref="SU7:SV7"/>
    <mergeCell ref="SW7:SX7"/>
    <mergeCell ref="SY7:SZ7"/>
    <mergeCell ref="TA7:TB7"/>
    <mergeCell ref="TC7:TD7"/>
    <mergeCell ref="SG7:SH7"/>
    <mergeCell ref="SI7:SJ7"/>
    <mergeCell ref="SK7:SL7"/>
    <mergeCell ref="SM7:SN7"/>
    <mergeCell ref="SO7:SP7"/>
    <mergeCell ref="SQ7:SR7"/>
    <mergeCell ref="TQ7:TR7"/>
    <mergeCell ref="TS7:TT7"/>
    <mergeCell ref="TU7:TV7"/>
    <mergeCell ref="TW7:TX7"/>
    <mergeCell ref="TY7:TZ7"/>
    <mergeCell ref="UA7:UB7"/>
    <mergeCell ref="TE7:TF7"/>
    <mergeCell ref="TG7:TH7"/>
    <mergeCell ref="TI7:TJ7"/>
    <mergeCell ref="TK7:TL7"/>
    <mergeCell ref="TM7:TN7"/>
    <mergeCell ref="TO7:TP7"/>
    <mergeCell ref="VV7:VW7"/>
    <mergeCell ref="VX7:VY7"/>
    <mergeCell ref="WD7:WE7"/>
    <mergeCell ref="WF7:WG7"/>
    <mergeCell ref="WH7:WI7"/>
    <mergeCell ref="WN7:WO7"/>
    <mergeCell ref="UP7:UQ7"/>
    <mergeCell ref="UR7:US7"/>
    <mergeCell ref="UT7:UU7"/>
    <mergeCell ref="UZ7:VA7"/>
    <mergeCell ref="VB7:VC7"/>
    <mergeCell ref="VD7:VE7"/>
    <mergeCell ref="VZ6:WA7"/>
    <mergeCell ref="WB6:WC7"/>
    <mergeCell ref="WD6:WI6"/>
    <mergeCell ref="WJ6:WK7"/>
    <mergeCell ref="WL6:WM7"/>
    <mergeCell ref="WN6:WS6"/>
    <mergeCell ref="WP7:WQ7"/>
    <mergeCell ref="WR7:WS7"/>
    <mergeCell ref="VF6:VG7"/>
    <mergeCell ref="VH6:VI7"/>
    <mergeCell ref="VJ6:VO6"/>
    <mergeCell ref="VP6:VQ7"/>
    <mergeCell ref="YX7:YY7"/>
    <mergeCell ref="YZ7:ZA7"/>
    <mergeCell ref="ZF7:ZG7"/>
    <mergeCell ref="ZH7:ZI7"/>
    <mergeCell ref="ZJ7:ZK7"/>
    <mergeCell ref="ZP7:ZQ7"/>
    <mergeCell ref="XJ7:XK7"/>
    <mergeCell ref="XL7:XM7"/>
    <mergeCell ref="XR7:XS7"/>
    <mergeCell ref="XT7:XU7"/>
    <mergeCell ref="XV7:XW7"/>
    <mergeCell ref="YB7:YC7"/>
    <mergeCell ref="YH6:YI7"/>
    <mergeCell ref="YJ6:YK7"/>
    <mergeCell ref="YL6:YQ6"/>
    <mergeCell ref="YR6:YS7"/>
    <mergeCell ref="YT6:YU7"/>
    <mergeCell ref="YV6:ZA6"/>
    <mergeCell ref="YL7:YM7"/>
    <mergeCell ref="YN7:YO7"/>
    <mergeCell ref="YP7:YQ7"/>
    <mergeCell ref="YV7:YW7"/>
    <mergeCell ref="XN6:XO7"/>
    <mergeCell ref="XP6:XQ7"/>
    <mergeCell ref="ABN7:ABO7"/>
    <mergeCell ref="ABP7:ABQ7"/>
    <mergeCell ref="ABR7:ABS7"/>
    <mergeCell ref="AAL7:AAM7"/>
    <mergeCell ref="AAN7:AAO7"/>
    <mergeCell ref="AAT7:AAU7"/>
    <mergeCell ref="AAV7:AAW7"/>
    <mergeCell ref="AAX7:AAY7"/>
    <mergeCell ref="ABD7:ABE7"/>
    <mergeCell ref="ABJ6:ABK7"/>
    <mergeCell ref="ABL6:ABM7"/>
    <mergeCell ref="ABN6:ABS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C7F6-CE60-46F0-B689-83360B864DD9}">
  <dimension ref="A1:GQ30"/>
  <sheetViews>
    <sheetView workbookViewId="0">
      <pane xSplit="3" ySplit="8" topLeftCell="D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3.5703125" bestFit="1" customWidth="1"/>
    <col min="3" max="3" width="11.140625" bestFit="1" customWidth="1"/>
    <col min="4" max="4" width="35.28515625" customWidth="1"/>
  </cols>
  <sheetData>
    <row r="1" spans="1:199" x14ac:dyDescent="0.25">
      <c r="A1" s="1" t="s">
        <v>855</v>
      </c>
    </row>
    <row r="2" spans="1:199" x14ac:dyDescent="0.25">
      <c r="A2" s="1" t="s">
        <v>1</v>
      </c>
      <c r="E2" s="51" t="s">
        <v>856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13"/>
      <c r="GN2" s="13"/>
      <c r="GO2" s="13"/>
    </row>
    <row r="3" spans="1:199" x14ac:dyDescent="0.25">
      <c r="A3" s="1" t="s">
        <v>857</v>
      </c>
      <c r="E3" s="49" t="s">
        <v>858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 t="s">
        <v>859</v>
      </c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52" t="s">
        <v>10</v>
      </c>
      <c r="GN3" s="53"/>
      <c r="GO3" s="53"/>
    </row>
    <row r="4" spans="1:199" x14ac:dyDescent="0.25">
      <c r="E4" s="49" t="s">
        <v>19</v>
      </c>
      <c r="F4" s="49"/>
      <c r="G4" s="49"/>
      <c r="H4" s="49"/>
      <c r="I4" s="49"/>
      <c r="J4" s="49"/>
      <c r="K4" s="49"/>
      <c r="L4" s="49"/>
      <c r="M4" s="49"/>
      <c r="N4" s="49"/>
      <c r="O4" s="49" t="s">
        <v>20</v>
      </c>
      <c r="P4" s="49"/>
      <c r="Q4" s="49"/>
      <c r="R4" s="49"/>
      <c r="S4" s="49"/>
      <c r="T4" s="49"/>
      <c r="U4" s="49"/>
      <c r="V4" s="49"/>
      <c r="W4" s="49"/>
      <c r="X4" s="49"/>
      <c r="Y4" s="49" t="s">
        <v>21</v>
      </c>
      <c r="Z4" s="49"/>
      <c r="AA4" s="49"/>
      <c r="AB4" s="49"/>
      <c r="AC4" s="49"/>
      <c r="AD4" s="49"/>
      <c r="AE4" s="49"/>
      <c r="AF4" s="49"/>
      <c r="AG4" s="49"/>
      <c r="AH4" s="49"/>
      <c r="AI4" s="49" t="s">
        <v>22</v>
      </c>
      <c r="AJ4" s="49"/>
      <c r="AK4" s="49"/>
      <c r="AL4" s="49"/>
      <c r="AM4" s="49"/>
      <c r="AN4" s="49"/>
      <c r="AO4" s="49"/>
      <c r="AP4" s="49"/>
      <c r="AQ4" s="49"/>
      <c r="AR4" s="49"/>
      <c r="AS4" s="49" t="s">
        <v>23</v>
      </c>
      <c r="AT4" s="49"/>
      <c r="AU4" s="49"/>
      <c r="AV4" s="49"/>
      <c r="AW4" s="49"/>
      <c r="AX4" s="49"/>
      <c r="AY4" s="49"/>
      <c r="AZ4" s="49"/>
      <c r="BA4" s="49"/>
      <c r="BB4" s="49"/>
      <c r="BC4" s="49" t="s">
        <v>24</v>
      </c>
      <c r="BD4" s="49"/>
      <c r="BE4" s="49"/>
      <c r="BF4" s="49"/>
      <c r="BG4" s="49"/>
      <c r="BH4" s="49"/>
      <c r="BI4" s="49"/>
      <c r="BJ4" s="49"/>
      <c r="BK4" s="49"/>
      <c r="BL4" s="49"/>
      <c r="BM4" s="49" t="s">
        <v>860</v>
      </c>
      <c r="BN4" s="49"/>
      <c r="BO4" s="49"/>
      <c r="BP4" s="49"/>
      <c r="BQ4" s="49"/>
      <c r="BR4" s="49"/>
      <c r="BS4" s="49"/>
      <c r="BT4" s="49"/>
      <c r="BU4" s="49"/>
      <c r="BV4" s="49"/>
      <c r="BW4" s="49" t="s">
        <v>41</v>
      </c>
      <c r="BX4" s="49"/>
      <c r="BY4" s="49"/>
      <c r="BZ4" s="49"/>
      <c r="CA4" s="49"/>
      <c r="CB4" s="49"/>
      <c r="CC4" s="49"/>
      <c r="CD4" s="49"/>
      <c r="CE4" s="49"/>
      <c r="CF4" s="49"/>
      <c r="CG4" s="49" t="s">
        <v>27</v>
      </c>
      <c r="CH4" s="49"/>
      <c r="CI4" s="49"/>
      <c r="CJ4" s="49"/>
      <c r="CK4" s="49"/>
      <c r="CL4" s="49"/>
      <c r="CM4" s="49"/>
      <c r="CN4" s="49"/>
      <c r="CO4" s="49"/>
      <c r="CP4" s="49"/>
      <c r="CQ4" s="49" t="s">
        <v>861</v>
      </c>
      <c r="CR4" s="49"/>
      <c r="CS4" s="49"/>
      <c r="CT4" s="49"/>
      <c r="CU4" s="49"/>
      <c r="CV4" s="49"/>
      <c r="CW4" s="49"/>
      <c r="CX4" s="49"/>
      <c r="CY4" s="49"/>
      <c r="CZ4" s="49"/>
      <c r="DA4" s="49" t="s">
        <v>29</v>
      </c>
      <c r="DB4" s="49"/>
      <c r="DC4" s="49"/>
      <c r="DD4" s="49"/>
      <c r="DE4" s="49"/>
      <c r="DF4" s="49"/>
      <c r="DG4" s="49"/>
      <c r="DH4" s="49"/>
      <c r="DI4" s="49"/>
      <c r="DJ4" s="49"/>
      <c r="DK4" s="49" t="s">
        <v>30</v>
      </c>
      <c r="DL4" s="49"/>
      <c r="DM4" s="49"/>
      <c r="DN4" s="49"/>
      <c r="DO4" s="49"/>
      <c r="DP4" s="49"/>
      <c r="DQ4" s="49"/>
      <c r="DR4" s="49"/>
      <c r="DS4" s="49"/>
      <c r="DT4" s="49"/>
      <c r="DU4" s="49" t="s">
        <v>31</v>
      </c>
      <c r="DV4" s="49"/>
      <c r="DW4" s="49"/>
      <c r="DX4" s="49"/>
      <c r="DY4" s="49"/>
      <c r="DZ4" s="49"/>
      <c r="EA4" s="49"/>
      <c r="EB4" s="49"/>
      <c r="EC4" s="49"/>
      <c r="ED4" s="49"/>
      <c r="EE4" s="49" t="s">
        <v>32</v>
      </c>
      <c r="EF4" s="49"/>
      <c r="EG4" s="49"/>
      <c r="EH4" s="49"/>
      <c r="EI4" s="49"/>
      <c r="EJ4" s="49"/>
      <c r="EK4" s="49"/>
      <c r="EL4" s="49"/>
      <c r="EM4" s="49"/>
      <c r="EN4" s="49"/>
      <c r="EO4" s="50" t="s">
        <v>33</v>
      </c>
      <c r="EP4" s="49"/>
      <c r="EQ4" s="49"/>
      <c r="ER4" s="49"/>
      <c r="ES4" s="49"/>
      <c r="ET4" s="49"/>
      <c r="EU4" s="49"/>
      <c r="EV4" s="49"/>
      <c r="EW4" s="49"/>
      <c r="EX4" s="49"/>
      <c r="EY4" s="50" t="s">
        <v>34</v>
      </c>
      <c r="EZ4" s="49"/>
      <c r="FA4" s="49"/>
      <c r="FB4" s="49"/>
      <c r="FC4" s="49"/>
      <c r="FD4" s="49"/>
      <c r="FE4" s="49"/>
      <c r="FF4" s="49"/>
      <c r="FG4" s="49"/>
      <c r="FH4" s="49"/>
      <c r="FI4" s="50" t="s">
        <v>35</v>
      </c>
      <c r="FJ4" s="49"/>
      <c r="FK4" s="49"/>
      <c r="FL4" s="49"/>
      <c r="FM4" s="49"/>
      <c r="FN4" s="49"/>
      <c r="FO4" s="49"/>
      <c r="FP4" s="49"/>
      <c r="FQ4" s="49"/>
      <c r="FR4" s="49"/>
      <c r="FS4" s="50" t="s">
        <v>862</v>
      </c>
      <c r="FT4" s="49"/>
      <c r="FU4" s="49"/>
      <c r="FV4" s="49"/>
      <c r="FW4" s="49"/>
      <c r="FX4" s="49"/>
      <c r="FY4" s="49"/>
      <c r="FZ4" s="49"/>
      <c r="GA4" s="49"/>
      <c r="GB4" s="49"/>
      <c r="GC4" s="50" t="s">
        <v>37</v>
      </c>
      <c r="GD4" s="49"/>
      <c r="GE4" s="49"/>
      <c r="GF4" s="49"/>
      <c r="GG4" s="49"/>
      <c r="GH4" s="49"/>
      <c r="GI4" s="49"/>
      <c r="GJ4" s="49"/>
      <c r="GK4" s="49"/>
      <c r="GL4" s="49"/>
      <c r="GM4" s="52"/>
      <c r="GN4" s="53"/>
      <c r="GO4" s="53"/>
    </row>
    <row r="5" spans="1:199" x14ac:dyDescent="0.25">
      <c r="E5" s="49" t="s">
        <v>45</v>
      </c>
      <c r="F5" s="49"/>
      <c r="G5" s="49" t="s">
        <v>863</v>
      </c>
      <c r="H5" s="49"/>
      <c r="I5" s="49" t="s">
        <v>864</v>
      </c>
      <c r="J5" s="49"/>
      <c r="K5" s="49" t="s">
        <v>865</v>
      </c>
      <c r="L5" s="49"/>
      <c r="M5" s="49" t="s">
        <v>866</v>
      </c>
      <c r="N5" s="49"/>
      <c r="O5" s="49" t="s">
        <v>45</v>
      </c>
      <c r="P5" s="49"/>
      <c r="Q5" s="49" t="s">
        <v>863</v>
      </c>
      <c r="R5" s="49"/>
      <c r="S5" s="49" t="s">
        <v>864</v>
      </c>
      <c r="T5" s="49"/>
      <c r="U5" s="49" t="s">
        <v>865</v>
      </c>
      <c r="V5" s="49"/>
      <c r="W5" s="49" t="s">
        <v>866</v>
      </c>
      <c r="X5" s="49"/>
      <c r="Y5" s="49" t="s">
        <v>45</v>
      </c>
      <c r="Z5" s="49"/>
      <c r="AA5" s="49" t="s">
        <v>863</v>
      </c>
      <c r="AB5" s="49"/>
      <c r="AC5" s="49" t="s">
        <v>864</v>
      </c>
      <c r="AD5" s="49"/>
      <c r="AE5" s="49" t="s">
        <v>865</v>
      </c>
      <c r="AF5" s="49"/>
      <c r="AG5" s="49" t="s">
        <v>866</v>
      </c>
      <c r="AH5" s="49"/>
      <c r="AI5" s="49" t="s">
        <v>45</v>
      </c>
      <c r="AJ5" s="49"/>
      <c r="AK5" s="49" t="s">
        <v>863</v>
      </c>
      <c r="AL5" s="49"/>
      <c r="AM5" s="49" t="s">
        <v>864</v>
      </c>
      <c r="AN5" s="49"/>
      <c r="AO5" s="49" t="s">
        <v>865</v>
      </c>
      <c r="AP5" s="49"/>
      <c r="AQ5" s="49" t="s">
        <v>866</v>
      </c>
      <c r="AR5" s="49"/>
      <c r="AS5" s="49" t="s">
        <v>45</v>
      </c>
      <c r="AT5" s="49"/>
      <c r="AU5" s="49" t="s">
        <v>863</v>
      </c>
      <c r="AV5" s="49"/>
      <c r="AW5" s="49" t="s">
        <v>864</v>
      </c>
      <c r="AX5" s="49"/>
      <c r="AY5" s="49" t="s">
        <v>865</v>
      </c>
      <c r="AZ5" s="49"/>
      <c r="BA5" s="49" t="s">
        <v>866</v>
      </c>
      <c r="BB5" s="49"/>
      <c r="BC5" s="49" t="s">
        <v>45</v>
      </c>
      <c r="BD5" s="49"/>
      <c r="BE5" s="49" t="s">
        <v>863</v>
      </c>
      <c r="BF5" s="49"/>
      <c r="BG5" s="49" t="s">
        <v>864</v>
      </c>
      <c r="BH5" s="49"/>
      <c r="BI5" s="49" t="s">
        <v>865</v>
      </c>
      <c r="BJ5" s="49"/>
      <c r="BK5" s="49" t="s">
        <v>866</v>
      </c>
      <c r="BL5" s="49"/>
      <c r="BM5" s="49" t="s">
        <v>45</v>
      </c>
      <c r="BN5" s="49"/>
      <c r="BO5" s="49" t="s">
        <v>863</v>
      </c>
      <c r="BP5" s="49"/>
      <c r="BQ5" s="49" t="s">
        <v>864</v>
      </c>
      <c r="BR5" s="49"/>
      <c r="BS5" s="49" t="s">
        <v>865</v>
      </c>
      <c r="BT5" s="49"/>
      <c r="BU5" s="49" t="s">
        <v>866</v>
      </c>
      <c r="BV5" s="49"/>
      <c r="BW5" s="49" t="s">
        <v>45</v>
      </c>
      <c r="BX5" s="49"/>
      <c r="BY5" s="49" t="s">
        <v>863</v>
      </c>
      <c r="BZ5" s="49"/>
      <c r="CA5" s="49" t="s">
        <v>864</v>
      </c>
      <c r="CB5" s="49"/>
      <c r="CC5" s="49" t="s">
        <v>865</v>
      </c>
      <c r="CD5" s="49"/>
      <c r="CE5" s="49" t="s">
        <v>866</v>
      </c>
      <c r="CF5" s="49"/>
      <c r="CG5" s="49" t="s">
        <v>45</v>
      </c>
      <c r="CH5" s="49"/>
      <c r="CI5" s="49" t="s">
        <v>863</v>
      </c>
      <c r="CJ5" s="49"/>
      <c r="CK5" s="49" t="s">
        <v>864</v>
      </c>
      <c r="CL5" s="49"/>
      <c r="CM5" s="49" t="s">
        <v>865</v>
      </c>
      <c r="CN5" s="49"/>
      <c r="CO5" s="49" t="s">
        <v>866</v>
      </c>
      <c r="CP5" s="49"/>
      <c r="CQ5" s="49" t="s">
        <v>45</v>
      </c>
      <c r="CR5" s="49"/>
      <c r="CS5" s="49" t="s">
        <v>863</v>
      </c>
      <c r="CT5" s="49"/>
      <c r="CU5" s="49" t="s">
        <v>864</v>
      </c>
      <c r="CV5" s="49"/>
      <c r="CW5" s="49" t="s">
        <v>865</v>
      </c>
      <c r="CX5" s="49"/>
      <c r="CY5" s="49" t="s">
        <v>866</v>
      </c>
      <c r="CZ5" s="49"/>
      <c r="DA5" s="49" t="s">
        <v>45</v>
      </c>
      <c r="DB5" s="49"/>
      <c r="DC5" s="49" t="s">
        <v>863</v>
      </c>
      <c r="DD5" s="49"/>
      <c r="DE5" s="49" t="s">
        <v>864</v>
      </c>
      <c r="DF5" s="49"/>
      <c r="DG5" s="49" t="s">
        <v>865</v>
      </c>
      <c r="DH5" s="49"/>
      <c r="DI5" s="49" t="s">
        <v>866</v>
      </c>
      <c r="DJ5" s="49"/>
      <c r="DK5" s="49" t="s">
        <v>45</v>
      </c>
      <c r="DL5" s="49"/>
      <c r="DM5" s="49" t="s">
        <v>863</v>
      </c>
      <c r="DN5" s="49"/>
      <c r="DO5" s="49" t="s">
        <v>864</v>
      </c>
      <c r="DP5" s="49"/>
      <c r="DQ5" s="49" t="s">
        <v>865</v>
      </c>
      <c r="DR5" s="49"/>
      <c r="DS5" s="49" t="s">
        <v>866</v>
      </c>
      <c r="DT5" s="49"/>
      <c r="DU5" s="49" t="s">
        <v>45</v>
      </c>
      <c r="DV5" s="49"/>
      <c r="DW5" s="49" t="s">
        <v>863</v>
      </c>
      <c r="DX5" s="49"/>
      <c r="DY5" s="49" t="s">
        <v>864</v>
      </c>
      <c r="DZ5" s="49"/>
      <c r="EA5" s="49" t="s">
        <v>865</v>
      </c>
      <c r="EB5" s="49"/>
      <c r="EC5" s="49" t="s">
        <v>866</v>
      </c>
      <c r="ED5" s="49"/>
      <c r="EE5" s="49" t="s">
        <v>45</v>
      </c>
      <c r="EF5" s="49"/>
      <c r="EG5" s="49" t="s">
        <v>863</v>
      </c>
      <c r="EH5" s="49"/>
      <c r="EI5" s="49" t="s">
        <v>864</v>
      </c>
      <c r="EJ5" s="49"/>
      <c r="EK5" s="49" t="s">
        <v>865</v>
      </c>
      <c r="EL5" s="49"/>
      <c r="EM5" s="49" t="s">
        <v>866</v>
      </c>
      <c r="EN5" s="49"/>
      <c r="EO5" s="49" t="s">
        <v>45</v>
      </c>
      <c r="EP5" s="49"/>
      <c r="EQ5" s="49" t="s">
        <v>863</v>
      </c>
      <c r="ER5" s="49"/>
      <c r="ES5" s="49" t="s">
        <v>864</v>
      </c>
      <c r="ET5" s="49"/>
      <c r="EU5" s="49" t="s">
        <v>865</v>
      </c>
      <c r="EV5" s="49"/>
      <c r="EW5" s="49" t="s">
        <v>866</v>
      </c>
      <c r="EX5" s="49"/>
      <c r="EY5" s="49" t="s">
        <v>45</v>
      </c>
      <c r="EZ5" s="49"/>
      <c r="FA5" s="49" t="s">
        <v>863</v>
      </c>
      <c r="FB5" s="49"/>
      <c r="FC5" s="49" t="s">
        <v>864</v>
      </c>
      <c r="FD5" s="49"/>
      <c r="FE5" s="49" t="s">
        <v>865</v>
      </c>
      <c r="FF5" s="49"/>
      <c r="FG5" s="49" t="s">
        <v>866</v>
      </c>
      <c r="FH5" s="49"/>
      <c r="FI5" s="49" t="s">
        <v>45</v>
      </c>
      <c r="FJ5" s="49"/>
      <c r="FK5" s="49" t="s">
        <v>863</v>
      </c>
      <c r="FL5" s="49"/>
      <c r="FM5" s="49" t="s">
        <v>864</v>
      </c>
      <c r="FN5" s="49"/>
      <c r="FO5" s="49" t="s">
        <v>865</v>
      </c>
      <c r="FP5" s="49"/>
      <c r="FQ5" s="49" t="s">
        <v>866</v>
      </c>
      <c r="FR5" s="49"/>
      <c r="FS5" s="49" t="s">
        <v>45</v>
      </c>
      <c r="FT5" s="49"/>
      <c r="FU5" s="49" t="s">
        <v>863</v>
      </c>
      <c r="FV5" s="49"/>
      <c r="FW5" s="49" t="s">
        <v>864</v>
      </c>
      <c r="FX5" s="49"/>
      <c r="FY5" s="49" t="s">
        <v>865</v>
      </c>
      <c r="FZ5" s="49"/>
      <c r="GA5" s="49" t="s">
        <v>866</v>
      </c>
      <c r="GB5" s="49"/>
      <c r="GC5" s="49" t="s">
        <v>45</v>
      </c>
      <c r="GD5" s="49"/>
      <c r="GE5" s="49" t="s">
        <v>863</v>
      </c>
      <c r="GF5" s="49"/>
      <c r="GG5" s="49" t="s">
        <v>864</v>
      </c>
      <c r="GH5" s="49"/>
      <c r="GI5" s="49" t="s">
        <v>865</v>
      </c>
      <c r="GJ5" s="49"/>
      <c r="GK5" s="49" t="s">
        <v>866</v>
      </c>
      <c r="GL5" s="49"/>
      <c r="GM5" s="52"/>
      <c r="GN5" s="53"/>
      <c r="GO5" s="53"/>
    </row>
    <row r="6" spans="1:199" x14ac:dyDescent="0.25">
      <c r="E6" s="14" t="s">
        <v>57</v>
      </c>
      <c r="F6" s="14" t="s">
        <v>58</v>
      </c>
      <c r="G6" s="14" t="s">
        <v>57</v>
      </c>
      <c r="H6" s="14" t="s">
        <v>58</v>
      </c>
      <c r="I6" s="14" t="s">
        <v>57</v>
      </c>
      <c r="J6" s="14" t="s">
        <v>58</v>
      </c>
      <c r="K6" s="14" t="s">
        <v>57</v>
      </c>
      <c r="L6" s="14" t="s">
        <v>58</v>
      </c>
      <c r="M6" s="14" t="s">
        <v>57</v>
      </c>
      <c r="N6" s="14" t="s">
        <v>58</v>
      </c>
      <c r="O6" s="14" t="s">
        <v>57</v>
      </c>
      <c r="P6" s="14" t="s">
        <v>58</v>
      </c>
      <c r="Q6" s="14" t="s">
        <v>57</v>
      </c>
      <c r="R6" s="14" t="s">
        <v>58</v>
      </c>
      <c r="S6" s="14" t="s">
        <v>57</v>
      </c>
      <c r="T6" s="14" t="s">
        <v>58</v>
      </c>
      <c r="U6" s="14" t="s">
        <v>57</v>
      </c>
      <c r="V6" s="14" t="s">
        <v>58</v>
      </c>
      <c r="W6" s="14" t="s">
        <v>57</v>
      </c>
      <c r="X6" s="14" t="s">
        <v>58</v>
      </c>
      <c r="Y6" s="14" t="s">
        <v>57</v>
      </c>
      <c r="Z6" s="14" t="s">
        <v>58</v>
      </c>
      <c r="AA6" s="14" t="s">
        <v>57</v>
      </c>
      <c r="AB6" s="14" t="s">
        <v>58</v>
      </c>
      <c r="AC6" s="14" t="s">
        <v>57</v>
      </c>
      <c r="AD6" s="14" t="s">
        <v>58</v>
      </c>
      <c r="AE6" s="14" t="s">
        <v>57</v>
      </c>
      <c r="AF6" s="14" t="s">
        <v>58</v>
      </c>
      <c r="AG6" s="14" t="s">
        <v>57</v>
      </c>
      <c r="AH6" s="14" t="s">
        <v>58</v>
      </c>
      <c r="AI6" s="14" t="s">
        <v>57</v>
      </c>
      <c r="AJ6" s="14" t="s">
        <v>58</v>
      </c>
      <c r="AK6" s="14" t="s">
        <v>57</v>
      </c>
      <c r="AL6" s="14" t="s">
        <v>58</v>
      </c>
      <c r="AM6" s="14" t="s">
        <v>57</v>
      </c>
      <c r="AN6" s="14" t="s">
        <v>58</v>
      </c>
      <c r="AO6" s="14" t="s">
        <v>57</v>
      </c>
      <c r="AP6" s="14" t="s">
        <v>58</v>
      </c>
      <c r="AQ6" s="14" t="s">
        <v>57</v>
      </c>
      <c r="AR6" s="14" t="s">
        <v>58</v>
      </c>
      <c r="AS6" s="14" t="s">
        <v>57</v>
      </c>
      <c r="AT6" s="14" t="s">
        <v>58</v>
      </c>
      <c r="AU6" s="14" t="s">
        <v>57</v>
      </c>
      <c r="AV6" s="14" t="s">
        <v>58</v>
      </c>
      <c r="AW6" s="14" t="s">
        <v>57</v>
      </c>
      <c r="AX6" s="14" t="s">
        <v>58</v>
      </c>
      <c r="AY6" s="14" t="s">
        <v>57</v>
      </c>
      <c r="AZ6" s="14" t="s">
        <v>58</v>
      </c>
      <c r="BA6" s="14" t="s">
        <v>57</v>
      </c>
      <c r="BB6" s="14" t="s">
        <v>58</v>
      </c>
      <c r="BC6" s="14" t="s">
        <v>57</v>
      </c>
      <c r="BD6" s="14" t="s">
        <v>58</v>
      </c>
      <c r="BE6" s="14" t="s">
        <v>57</v>
      </c>
      <c r="BF6" s="14" t="s">
        <v>58</v>
      </c>
      <c r="BG6" s="14" t="s">
        <v>57</v>
      </c>
      <c r="BH6" s="14" t="s">
        <v>58</v>
      </c>
      <c r="BI6" s="14" t="s">
        <v>57</v>
      </c>
      <c r="BJ6" s="14" t="s">
        <v>58</v>
      </c>
      <c r="BK6" s="14" t="s">
        <v>57</v>
      </c>
      <c r="BL6" s="14" t="s">
        <v>58</v>
      </c>
      <c r="BM6" s="14" t="s">
        <v>57</v>
      </c>
      <c r="BN6" s="14" t="s">
        <v>58</v>
      </c>
      <c r="BO6" s="14" t="s">
        <v>57</v>
      </c>
      <c r="BP6" s="14" t="s">
        <v>58</v>
      </c>
      <c r="BQ6" s="14" t="s">
        <v>57</v>
      </c>
      <c r="BR6" s="14" t="s">
        <v>58</v>
      </c>
      <c r="BS6" s="14" t="s">
        <v>57</v>
      </c>
      <c r="BT6" s="14" t="s">
        <v>58</v>
      </c>
      <c r="BU6" s="14" t="s">
        <v>57</v>
      </c>
      <c r="BV6" s="14" t="s">
        <v>58</v>
      </c>
      <c r="BW6" s="14" t="s">
        <v>57</v>
      </c>
      <c r="BX6" s="14" t="s">
        <v>58</v>
      </c>
      <c r="BY6" s="14" t="s">
        <v>57</v>
      </c>
      <c r="BZ6" s="14" t="s">
        <v>58</v>
      </c>
      <c r="CA6" s="14" t="s">
        <v>57</v>
      </c>
      <c r="CB6" s="14" t="s">
        <v>58</v>
      </c>
      <c r="CC6" s="14" t="s">
        <v>57</v>
      </c>
      <c r="CD6" s="14" t="s">
        <v>58</v>
      </c>
      <c r="CE6" s="14" t="s">
        <v>57</v>
      </c>
      <c r="CF6" s="14" t="s">
        <v>58</v>
      </c>
      <c r="CG6" s="14" t="s">
        <v>57</v>
      </c>
      <c r="CH6" s="14" t="s">
        <v>58</v>
      </c>
      <c r="CI6" s="14" t="s">
        <v>57</v>
      </c>
      <c r="CJ6" s="14" t="s">
        <v>58</v>
      </c>
      <c r="CK6" s="14" t="s">
        <v>57</v>
      </c>
      <c r="CL6" s="14" t="s">
        <v>58</v>
      </c>
      <c r="CM6" s="14" t="s">
        <v>57</v>
      </c>
      <c r="CN6" s="14" t="s">
        <v>58</v>
      </c>
      <c r="CO6" s="14" t="s">
        <v>57</v>
      </c>
      <c r="CP6" s="14" t="s">
        <v>58</v>
      </c>
      <c r="CQ6" s="14" t="s">
        <v>57</v>
      </c>
      <c r="CR6" s="14" t="s">
        <v>58</v>
      </c>
      <c r="CS6" s="14" t="s">
        <v>57</v>
      </c>
      <c r="CT6" s="14" t="s">
        <v>58</v>
      </c>
      <c r="CU6" s="14" t="s">
        <v>57</v>
      </c>
      <c r="CV6" s="14" t="s">
        <v>58</v>
      </c>
      <c r="CW6" s="14" t="s">
        <v>57</v>
      </c>
      <c r="CX6" s="14" t="s">
        <v>58</v>
      </c>
      <c r="CY6" s="14" t="s">
        <v>57</v>
      </c>
      <c r="CZ6" s="14" t="s">
        <v>58</v>
      </c>
      <c r="DA6" s="14" t="s">
        <v>57</v>
      </c>
      <c r="DB6" s="14" t="s">
        <v>58</v>
      </c>
      <c r="DC6" s="14" t="s">
        <v>57</v>
      </c>
      <c r="DD6" s="14" t="s">
        <v>58</v>
      </c>
      <c r="DE6" s="14" t="s">
        <v>57</v>
      </c>
      <c r="DF6" s="14" t="s">
        <v>58</v>
      </c>
      <c r="DG6" s="14" t="s">
        <v>57</v>
      </c>
      <c r="DH6" s="14" t="s">
        <v>58</v>
      </c>
      <c r="DI6" s="14" t="s">
        <v>57</v>
      </c>
      <c r="DJ6" s="14" t="s">
        <v>58</v>
      </c>
      <c r="DK6" s="14" t="s">
        <v>57</v>
      </c>
      <c r="DL6" s="14" t="s">
        <v>58</v>
      </c>
      <c r="DM6" s="14" t="s">
        <v>57</v>
      </c>
      <c r="DN6" s="14" t="s">
        <v>58</v>
      </c>
      <c r="DO6" s="14" t="s">
        <v>57</v>
      </c>
      <c r="DP6" s="14" t="s">
        <v>58</v>
      </c>
      <c r="DQ6" s="14" t="s">
        <v>57</v>
      </c>
      <c r="DR6" s="14" t="s">
        <v>58</v>
      </c>
      <c r="DS6" s="14" t="s">
        <v>57</v>
      </c>
      <c r="DT6" s="14" t="s">
        <v>58</v>
      </c>
      <c r="DU6" s="14" t="s">
        <v>57</v>
      </c>
      <c r="DV6" s="14" t="s">
        <v>58</v>
      </c>
      <c r="DW6" s="14" t="s">
        <v>57</v>
      </c>
      <c r="DX6" s="14" t="s">
        <v>58</v>
      </c>
      <c r="DY6" s="14" t="s">
        <v>57</v>
      </c>
      <c r="DZ6" s="14" t="s">
        <v>58</v>
      </c>
      <c r="EA6" s="14" t="s">
        <v>57</v>
      </c>
      <c r="EB6" s="14" t="s">
        <v>58</v>
      </c>
      <c r="EC6" s="14" t="s">
        <v>57</v>
      </c>
      <c r="ED6" s="14" t="s">
        <v>58</v>
      </c>
      <c r="EE6" s="14" t="s">
        <v>57</v>
      </c>
      <c r="EF6" s="14" t="s">
        <v>58</v>
      </c>
      <c r="EG6" s="14" t="s">
        <v>57</v>
      </c>
      <c r="EH6" s="14" t="s">
        <v>58</v>
      </c>
      <c r="EI6" s="14" t="s">
        <v>57</v>
      </c>
      <c r="EJ6" s="14" t="s">
        <v>58</v>
      </c>
      <c r="EK6" s="14" t="s">
        <v>57</v>
      </c>
      <c r="EL6" s="14" t="s">
        <v>58</v>
      </c>
      <c r="EM6" s="14" t="s">
        <v>57</v>
      </c>
      <c r="EN6" s="14" t="s">
        <v>58</v>
      </c>
      <c r="EO6" s="14" t="s">
        <v>57</v>
      </c>
      <c r="EP6" s="14" t="s">
        <v>58</v>
      </c>
      <c r="EQ6" s="14" t="s">
        <v>57</v>
      </c>
      <c r="ER6" s="14" t="s">
        <v>58</v>
      </c>
      <c r="ES6" s="14" t="s">
        <v>57</v>
      </c>
      <c r="ET6" s="14" t="s">
        <v>58</v>
      </c>
      <c r="EU6" s="14" t="s">
        <v>57</v>
      </c>
      <c r="EV6" s="14" t="s">
        <v>58</v>
      </c>
      <c r="EW6" s="14" t="s">
        <v>57</v>
      </c>
      <c r="EX6" s="14" t="s">
        <v>58</v>
      </c>
      <c r="EY6" s="14" t="s">
        <v>57</v>
      </c>
      <c r="EZ6" s="14" t="s">
        <v>58</v>
      </c>
      <c r="FA6" s="14" t="s">
        <v>57</v>
      </c>
      <c r="FB6" s="14" t="s">
        <v>58</v>
      </c>
      <c r="FC6" s="14" t="s">
        <v>57</v>
      </c>
      <c r="FD6" s="14" t="s">
        <v>58</v>
      </c>
      <c r="FE6" s="14" t="s">
        <v>57</v>
      </c>
      <c r="FF6" s="14" t="s">
        <v>58</v>
      </c>
      <c r="FG6" s="14" t="s">
        <v>57</v>
      </c>
      <c r="FH6" s="14" t="s">
        <v>58</v>
      </c>
      <c r="FI6" s="14" t="s">
        <v>57</v>
      </c>
      <c r="FJ6" s="14" t="s">
        <v>58</v>
      </c>
      <c r="FK6" s="14" t="s">
        <v>57</v>
      </c>
      <c r="FL6" s="14" t="s">
        <v>58</v>
      </c>
      <c r="FM6" s="14" t="s">
        <v>57</v>
      </c>
      <c r="FN6" s="14" t="s">
        <v>58</v>
      </c>
      <c r="FO6" s="14" t="s">
        <v>57</v>
      </c>
      <c r="FP6" s="14" t="s">
        <v>58</v>
      </c>
      <c r="FQ6" s="14" t="s">
        <v>57</v>
      </c>
      <c r="FR6" s="14" t="s">
        <v>58</v>
      </c>
      <c r="FS6" s="14" t="s">
        <v>57</v>
      </c>
      <c r="FT6" s="14" t="s">
        <v>58</v>
      </c>
      <c r="FU6" s="14" t="s">
        <v>57</v>
      </c>
      <c r="FV6" s="14" t="s">
        <v>58</v>
      </c>
      <c r="FW6" s="14" t="s">
        <v>57</v>
      </c>
      <c r="FX6" s="14" t="s">
        <v>58</v>
      </c>
      <c r="FY6" s="14" t="s">
        <v>57</v>
      </c>
      <c r="FZ6" s="14" t="s">
        <v>58</v>
      </c>
      <c r="GA6" s="14" t="s">
        <v>57</v>
      </c>
      <c r="GB6" s="14" t="s">
        <v>58</v>
      </c>
      <c r="GC6" s="14" t="s">
        <v>57</v>
      </c>
      <c r="GD6" s="14" t="s">
        <v>58</v>
      </c>
      <c r="GE6" s="14" t="s">
        <v>57</v>
      </c>
      <c r="GF6" s="14" t="s">
        <v>58</v>
      </c>
      <c r="GG6" s="14" t="s">
        <v>57</v>
      </c>
      <c r="GH6" s="14" t="s">
        <v>58</v>
      </c>
      <c r="GI6" s="14" t="s">
        <v>57</v>
      </c>
      <c r="GJ6" s="14" t="s">
        <v>58</v>
      </c>
      <c r="GK6" s="14" t="s">
        <v>57</v>
      </c>
      <c r="GL6" s="14" t="s">
        <v>58</v>
      </c>
      <c r="GM6" s="14" t="s">
        <v>57</v>
      </c>
      <c r="GN6" s="14" t="s">
        <v>58</v>
      </c>
      <c r="GO6" s="15" t="s">
        <v>53</v>
      </c>
    </row>
    <row r="7" spans="1:199" x14ac:dyDescent="0.25">
      <c r="E7">
        <f t="shared" ref="E7:AJ7" si="0">SUM(E9:E30)</f>
        <v>0</v>
      </c>
      <c r="F7">
        <f t="shared" si="0"/>
        <v>0</v>
      </c>
      <c r="G7">
        <f t="shared" si="0"/>
        <v>0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ref="AK7:BP7" si="1">SUM(AK9:AK30)</f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  <c r="AR7">
        <f t="shared" si="1"/>
        <v>0</v>
      </c>
      <c r="AS7">
        <f t="shared" si="1"/>
        <v>0</v>
      </c>
      <c r="AT7">
        <f t="shared" si="1"/>
        <v>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0</v>
      </c>
      <c r="BB7">
        <f t="shared" si="1"/>
        <v>1</v>
      </c>
      <c r="BC7">
        <f t="shared" si="1"/>
        <v>0</v>
      </c>
      <c r="BD7">
        <f t="shared" si="1"/>
        <v>0</v>
      </c>
      <c r="BE7">
        <f t="shared" si="1"/>
        <v>0</v>
      </c>
      <c r="BF7">
        <f t="shared" si="1"/>
        <v>0</v>
      </c>
      <c r="BG7">
        <f t="shared" si="1"/>
        <v>0</v>
      </c>
      <c r="BH7">
        <f t="shared" si="1"/>
        <v>2</v>
      </c>
      <c r="BI7">
        <f t="shared" si="1"/>
        <v>0</v>
      </c>
      <c r="BJ7">
        <f t="shared" si="1"/>
        <v>0</v>
      </c>
      <c r="BK7">
        <f t="shared" si="1"/>
        <v>0</v>
      </c>
      <c r="BL7">
        <f t="shared" si="1"/>
        <v>0</v>
      </c>
      <c r="BM7">
        <f t="shared" si="1"/>
        <v>1</v>
      </c>
      <c r="BN7">
        <f t="shared" si="1"/>
        <v>0</v>
      </c>
      <c r="BO7">
        <f t="shared" si="1"/>
        <v>1</v>
      </c>
      <c r="BP7">
        <f t="shared" si="1"/>
        <v>0</v>
      </c>
      <c r="BQ7">
        <f t="shared" ref="BQ7:CV7" si="2">SUM(BQ9:BQ30)</f>
        <v>0</v>
      </c>
      <c r="BR7">
        <f t="shared" si="2"/>
        <v>0</v>
      </c>
      <c r="BS7">
        <f t="shared" si="2"/>
        <v>0</v>
      </c>
      <c r="BT7">
        <f t="shared" si="2"/>
        <v>1</v>
      </c>
      <c r="BU7">
        <f t="shared" si="2"/>
        <v>0</v>
      </c>
      <c r="BV7">
        <f t="shared" si="2"/>
        <v>0</v>
      </c>
      <c r="BW7">
        <f t="shared" si="2"/>
        <v>0</v>
      </c>
      <c r="BX7">
        <f t="shared" si="2"/>
        <v>0</v>
      </c>
      <c r="BY7">
        <f t="shared" si="2"/>
        <v>0</v>
      </c>
      <c r="BZ7">
        <f t="shared" si="2"/>
        <v>0</v>
      </c>
      <c r="CA7">
        <f t="shared" si="2"/>
        <v>1</v>
      </c>
      <c r="CB7">
        <f t="shared" si="2"/>
        <v>1</v>
      </c>
      <c r="CC7">
        <f t="shared" si="2"/>
        <v>0</v>
      </c>
      <c r="CD7">
        <f t="shared" si="2"/>
        <v>0</v>
      </c>
      <c r="CE7">
        <f t="shared" si="2"/>
        <v>0</v>
      </c>
      <c r="CF7">
        <f t="shared" si="2"/>
        <v>0</v>
      </c>
      <c r="CG7">
        <f t="shared" si="2"/>
        <v>0</v>
      </c>
      <c r="CH7">
        <f t="shared" si="2"/>
        <v>0</v>
      </c>
      <c r="CI7">
        <f t="shared" si="2"/>
        <v>0</v>
      </c>
      <c r="CJ7">
        <f t="shared" si="2"/>
        <v>0</v>
      </c>
      <c r="CK7">
        <f t="shared" si="2"/>
        <v>0</v>
      </c>
      <c r="CL7">
        <f t="shared" si="2"/>
        <v>0</v>
      </c>
      <c r="CM7">
        <f t="shared" si="2"/>
        <v>0</v>
      </c>
      <c r="CN7">
        <f t="shared" si="2"/>
        <v>0</v>
      </c>
      <c r="CO7">
        <f t="shared" si="2"/>
        <v>0</v>
      </c>
      <c r="CP7">
        <f t="shared" si="2"/>
        <v>0</v>
      </c>
      <c r="CQ7">
        <f t="shared" si="2"/>
        <v>0</v>
      </c>
      <c r="CR7">
        <f t="shared" si="2"/>
        <v>0</v>
      </c>
      <c r="CS7">
        <f t="shared" si="2"/>
        <v>3</v>
      </c>
      <c r="CT7">
        <f t="shared" si="2"/>
        <v>0</v>
      </c>
      <c r="CU7">
        <f t="shared" si="2"/>
        <v>0</v>
      </c>
      <c r="CV7">
        <f t="shared" si="2"/>
        <v>0</v>
      </c>
      <c r="CW7">
        <f t="shared" ref="CW7:EB7" si="3">SUM(CW9:CW30)</f>
        <v>0</v>
      </c>
      <c r="CX7">
        <f t="shared" si="3"/>
        <v>0</v>
      </c>
      <c r="CY7">
        <f t="shared" si="3"/>
        <v>0</v>
      </c>
      <c r="CZ7">
        <f t="shared" si="3"/>
        <v>0</v>
      </c>
      <c r="DA7">
        <f t="shared" si="3"/>
        <v>0</v>
      </c>
      <c r="DB7">
        <f t="shared" si="3"/>
        <v>0</v>
      </c>
      <c r="DC7">
        <f t="shared" si="3"/>
        <v>0</v>
      </c>
      <c r="DD7">
        <f t="shared" si="3"/>
        <v>0</v>
      </c>
      <c r="DE7">
        <f t="shared" si="3"/>
        <v>1</v>
      </c>
      <c r="DF7">
        <f t="shared" si="3"/>
        <v>2</v>
      </c>
      <c r="DG7">
        <f t="shared" si="3"/>
        <v>0</v>
      </c>
      <c r="DH7">
        <f t="shared" si="3"/>
        <v>0</v>
      </c>
      <c r="DI7">
        <f t="shared" si="3"/>
        <v>0</v>
      </c>
      <c r="DJ7">
        <f t="shared" si="3"/>
        <v>0</v>
      </c>
      <c r="DK7">
        <f t="shared" si="3"/>
        <v>0</v>
      </c>
      <c r="DL7">
        <f t="shared" si="3"/>
        <v>0</v>
      </c>
      <c r="DM7">
        <f t="shared" si="3"/>
        <v>1</v>
      </c>
      <c r="DN7">
        <f t="shared" si="3"/>
        <v>0</v>
      </c>
      <c r="DO7">
        <f t="shared" si="3"/>
        <v>2</v>
      </c>
      <c r="DP7">
        <f t="shared" si="3"/>
        <v>0</v>
      </c>
      <c r="DQ7">
        <f t="shared" si="3"/>
        <v>0</v>
      </c>
      <c r="DR7">
        <f t="shared" si="3"/>
        <v>0</v>
      </c>
      <c r="DS7">
        <f t="shared" si="3"/>
        <v>2</v>
      </c>
      <c r="DT7">
        <f t="shared" si="3"/>
        <v>1</v>
      </c>
      <c r="DU7">
        <f t="shared" si="3"/>
        <v>0</v>
      </c>
      <c r="DV7">
        <f t="shared" si="3"/>
        <v>0</v>
      </c>
      <c r="DW7">
        <f t="shared" si="3"/>
        <v>2</v>
      </c>
      <c r="DX7">
        <f t="shared" si="3"/>
        <v>0</v>
      </c>
      <c r="DY7">
        <f t="shared" si="3"/>
        <v>0</v>
      </c>
      <c r="DZ7">
        <f t="shared" si="3"/>
        <v>0</v>
      </c>
      <c r="EA7">
        <f t="shared" si="3"/>
        <v>1</v>
      </c>
      <c r="EB7">
        <f t="shared" si="3"/>
        <v>0</v>
      </c>
      <c r="EC7">
        <f t="shared" ref="EC7:FH7" si="4">SUM(EC9:EC30)</f>
        <v>0</v>
      </c>
      <c r="ED7">
        <f t="shared" si="4"/>
        <v>0</v>
      </c>
      <c r="EE7">
        <f t="shared" si="4"/>
        <v>0</v>
      </c>
      <c r="EF7">
        <f t="shared" si="4"/>
        <v>0</v>
      </c>
      <c r="EG7">
        <f t="shared" si="4"/>
        <v>26</v>
      </c>
      <c r="EH7">
        <f t="shared" si="4"/>
        <v>33</v>
      </c>
      <c r="EI7">
        <f t="shared" si="4"/>
        <v>21</v>
      </c>
      <c r="EJ7">
        <f t="shared" si="4"/>
        <v>25</v>
      </c>
      <c r="EK7">
        <f t="shared" si="4"/>
        <v>18</v>
      </c>
      <c r="EL7">
        <f t="shared" si="4"/>
        <v>10</v>
      </c>
      <c r="EM7">
        <f t="shared" si="4"/>
        <v>11</v>
      </c>
      <c r="EN7">
        <f t="shared" si="4"/>
        <v>9</v>
      </c>
      <c r="EO7">
        <f t="shared" si="4"/>
        <v>0</v>
      </c>
      <c r="EP7">
        <f t="shared" si="4"/>
        <v>0</v>
      </c>
      <c r="EQ7">
        <f t="shared" si="4"/>
        <v>53</v>
      </c>
      <c r="ER7">
        <f t="shared" si="4"/>
        <v>50</v>
      </c>
      <c r="ES7">
        <f t="shared" si="4"/>
        <v>52</v>
      </c>
      <c r="ET7">
        <f t="shared" si="4"/>
        <v>38</v>
      </c>
      <c r="EU7">
        <f t="shared" si="4"/>
        <v>23</v>
      </c>
      <c r="EV7">
        <f t="shared" si="4"/>
        <v>16</v>
      </c>
      <c r="EW7">
        <f t="shared" si="4"/>
        <v>15</v>
      </c>
      <c r="EX7">
        <f t="shared" si="4"/>
        <v>11</v>
      </c>
      <c r="EY7">
        <f t="shared" si="4"/>
        <v>0</v>
      </c>
      <c r="EZ7">
        <f t="shared" si="4"/>
        <v>0</v>
      </c>
      <c r="FA7">
        <f t="shared" si="4"/>
        <v>0</v>
      </c>
      <c r="FB7">
        <f t="shared" si="4"/>
        <v>0</v>
      </c>
      <c r="FC7">
        <f t="shared" si="4"/>
        <v>0</v>
      </c>
      <c r="FD7">
        <f t="shared" si="4"/>
        <v>0</v>
      </c>
      <c r="FE7">
        <f t="shared" si="4"/>
        <v>0</v>
      </c>
      <c r="FF7">
        <f t="shared" si="4"/>
        <v>0</v>
      </c>
      <c r="FG7">
        <f t="shared" si="4"/>
        <v>0</v>
      </c>
      <c r="FH7">
        <f t="shared" si="4"/>
        <v>0</v>
      </c>
      <c r="FI7">
        <f t="shared" ref="FI7:GQ7" si="5">SUM(FI9:FI30)</f>
        <v>0</v>
      </c>
      <c r="FJ7">
        <f t="shared" si="5"/>
        <v>0</v>
      </c>
      <c r="FK7">
        <f t="shared" si="5"/>
        <v>1</v>
      </c>
      <c r="FL7">
        <f t="shared" si="5"/>
        <v>0</v>
      </c>
      <c r="FM7">
        <f t="shared" si="5"/>
        <v>2</v>
      </c>
      <c r="FN7">
        <f t="shared" si="5"/>
        <v>1</v>
      </c>
      <c r="FO7">
        <f t="shared" si="5"/>
        <v>0</v>
      </c>
      <c r="FP7">
        <f t="shared" si="5"/>
        <v>0</v>
      </c>
      <c r="FQ7">
        <f t="shared" si="5"/>
        <v>0</v>
      </c>
      <c r="FR7">
        <f t="shared" si="5"/>
        <v>0</v>
      </c>
      <c r="FS7">
        <f t="shared" si="5"/>
        <v>0</v>
      </c>
      <c r="FT7">
        <f t="shared" si="5"/>
        <v>0</v>
      </c>
      <c r="FU7">
        <f t="shared" si="5"/>
        <v>0</v>
      </c>
      <c r="FV7">
        <f t="shared" si="5"/>
        <v>0</v>
      </c>
      <c r="FW7">
        <f t="shared" si="5"/>
        <v>3</v>
      </c>
      <c r="FX7">
        <f t="shared" si="5"/>
        <v>0</v>
      </c>
      <c r="FY7">
        <f t="shared" si="5"/>
        <v>0</v>
      </c>
      <c r="FZ7">
        <f t="shared" si="5"/>
        <v>0</v>
      </c>
      <c r="GA7">
        <f t="shared" si="5"/>
        <v>0</v>
      </c>
      <c r="GB7">
        <f t="shared" si="5"/>
        <v>0</v>
      </c>
      <c r="GC7">
        <f t="shared" si="5"/>
        <v>0</v>
      </c>
      <c r="GD7">
        <f t="shared" si="5"/>
        <v>0</v>
      </c>
      <c r="GE7">
        <f t="shared" si="5"/>
        <v>2</v>
      </c>
      <c r="GF7">
        <f t="shared" si="5"/>
        <v>0</v>
      </c>
      <c r="GG7">
        <f t="shared" si="5"/>
        <v>1</v>
      </c>
      <c r="GH7">
        <f t="shared" si="5"/>
        <v>2</v>
      </c>
      <c r="GI7">
        <f t="shared" si="5"/>
        <v>0</v>
      </c>
      <c r="GJ7">
        <f t="shared" si="5"/>
        <v>0</v>
      </c>
      <c r="GK7">
        <f t="shared" si="5"/>
        <v>2</v>
      </c>
      <c r="GL7">
        <f t="shared" si="5"/>
        <v>0</v>
      </c>
      <c r="GM7">
        <f t="shared" si="5"/>
        <v>245</v>
      </c>
      <c r="GN7">
        <f t="shared" si="5"/>
        <v>204</v>
      </c>
      <c r="GO7">
        <f t="shared" si="5"/>
        <v>449</v>
      </c>
      <c r="GP7">
        <f t="shared" si="5"/>
        <v>449</v>
      </c>
      <c r="GQ7">
        <f t="shared" si="5"/>
        <v>15</v>
      </c>
    </row>
    <row r="8" spans="1:199" x14ac:dyDescent="0.25">
      <c r="A8" s="1" t="s">
        <v>59</v>
      </c>
      <c r="B8" s="1" t="s">
        <v>60</v>
      </c>
      <c r="C8" s="1" t="s">
        <v>61</v>
      </c>
      <c r="D8" s="1" t="s">
        <v>62</v>
      </c>
      <c r="E8" s="1" t="s">
        <v>867</v>
      </c>
      <c r="F8" s="1" t="s">
        <v>868</v>
      </c>
      <c r="G8" s="1" t="s">
        <v>869</v>
      </c>
      <c r="H8" s="1" t="s">
        <v>870</v>
      </c>
      <c r="I8" s="1" t="s">
        <v>871</v>
      </c>
      <c r="J8" s="1" t="s">
        <v>872</v>
      </c>
      <c r="K8" s="1" t="s">
        <v>873</v>
      </c>
      <c r="L8" s="1" t="s">
        <v>874</v>
      </c>
      <c r="M8" s="1" t="s">
        <v>875</v>
      </c>
      <c r="N8" s="1" t="s">
        <v>876</v>
      </c>
      <c r="O8" s="1" t="s">
        <v>877</v>
      </c>
      <c r="P8" s="1" t="s">
        <v>878</v>
      </c>
      <c r="Q8" s="1" t="s">
        <v>879</v>
      </c>
      <c r="R8" s="1" t="s">
        <v>880</v>
      </c>
      <c r="S8" s="1" t="s">
        <v>881</v>
      </c>
      <c r="T8" s="1" t="s">
        <v>882</v>
      </c>
      <c r="U8" s="1" t="s">
        <v>883</v>
      </c>
      <c r="V8" s="1" t="s">
        <v>884</v>
      </c>
      <c r="W8" s="1" t="s">
        <v>885</v>
      </c>
      <c r="X8" s="1" t="s">
        <v>886</v>
      </c>
      <c r="Y8" s="1" t="s">
        <v>887</v>
      </c>
      <c r="Z8" s="1" t="s">
        <v>888</v>
      </c>
      <c r="AA8" s="1" t="s">
        <v>889</v>
      </c>
      <c r="AB8" s="1" t="s">
        <v>890</v>
      </c>
      <c r="AC8" s="1" t="s">
        <v>891</v>
      </c>
      <c r="AD8" s="1" t="s">
        <v>892</v>
      </c>
      <c r="AE8" s="1" t="s">
        <v>893</v>
      </c>
      <c r="AF8" s="1" t="s">
        <v>894</v>
      </c>
      <c r="AG8" s="1" t="s">
        <v>895</v>
      </c>
      <c r="AH8" s="1" t="s">
        <v>896</v>
      </c>
      <c r="AI8" s="1" t="s">
        <v>897</v>
      </c>
      <c r="AJ8" s="1" t="s">
        <v>898</v>
      </c>
      <c r="AK8" s="1" t="s">
        <v>899</v>
      </c>
      <c r="AL8" s="1" t="s">
        <v>900</v>
      </c>
      <c r="AM8" s="1" t="s">
        <v>901</v>
      </c>
      <c r="AN8" s="1" t="s">
        <v>902</v>
      </c>
      <c r="AO8" s="1" t="s">
        <v>903</v>
      </c>
      <c r="AP8" s="1" t="s">
        <v>904</v>
      </c>
      <c r="AQ8" s="1" t="s">
        <v>905</v>
      </c>
      <c r="AR8" s="1" t="s">
        <v>906</v>
      </c>
      <c r="AS8" s="1" t="s">
        <v>907</v>
      </c>
      <c r="AT8" s="1" t="s">
        <v>908</v>
      </c>
      <c r="AU8" s="1" t="s">
        <v>909</v>
      </c>
      <c r="AV8" s="1" t="s">
        <v>910</v>
      </c>
      <c r="AW8" s="1" t="s">
        <v>911</v>
      </c>
      <c r="AX8" s="1" t="s">
        <v>912</v>
      </c>
      <c r="AY8" s="1" t="s">
        <v>913</v>
      </c>
      <c r="AZ8" s="1" t="s">
        <v>914</v>
      </c>
      <c r="BA8" s="1" t="s">
        <v>915</v>
      </c>
      <c r="BB8" s="1" t="s">
        <v>916</v>
      </c>
      <c r="BC8" s="1" t="s">
        <v>917</v>
      </c>
      <c r="BD8" s="1" t="s">
        <v>918</v>
      </c>
      <c r="BE8" s="1" t="s">
        <v>919</v>
      </c>
      <c r="BF8" s="1" t="s">
        <v>920</v>
      </c>
      <c r="BG8" s="1" t="s">
        <v>921</v>
      </c>
      <c r="BH8" s="1" t="s">
        <v>922</v>
      </c>
      <c r="BI8" s="1" t="s">
        <v>923</v>
      </c>
      <c r="BJ8" s="1" t="s">
        <v>924</v>
      </c>
      <c r="BK8" s="1" t="s">
        <v>925</v>
      </c>
      <c r="BL8" s="1" t="s">
        <v>926</v>
      </c>
      <c r="BM8" s="1" t="s">
        <v>927</v>
      </c>
      <c r="BN8" s="1" t="s">
        <v>928</v>
      </c>
      <c r="BO8" s="1" t="s">
        <v>929</v>
      </c>
      <c r="BP8" s="1" t="s">
        <v>930</v>
      </c>
      <c r="BQ8" s="1" t="s">
        <v>931</v>
      </c>
      <c r="BR8" s="1" t="s">
        <v>932</v>
      </c>
      <c r="BS8" s="1" t="s">
        <v>933</v>
      </c>
      <c r="BT8" s="1" t="s">
        <v>934</v>
      </c>
      <c r="BU8" s="1" t="s">
        <v>935</v>
      </c>
      <c r="BV8" s="1" t="s">
        <v>936</v>
      </c>
      <c r="BW8" s="1" t="s">
        <v>937</v>
      </c>
      <c r="BX8" s="1" t="s">
        <v>938</v>
      </c>
      <c r="BY8" s="1" t="s">
        <v>939</v>
      </c>
      <c r="BZ8" s="1" t="s">
        <v>940</v>
      </c>
      <c r="CA8" s="1" t="s">
        <v>941</v>
      </c>
      <c r="CB8" s="1" t="s">
        <v>942</v>
      </c>
      <c r="CC8" s="1" t="s">
        <v>943</v>
      </c>
      <c r="CD8" s="1" t="s">
        <v>944</v>
      </c>
      <c r="CE8" s="1" t="s">
        <v>945</v>
      </c>
      <c r="CF8" s="1" t="s">
        <v>946</v>
      </c>
      <c r="CG8" s="1" t="s">
        <v>947</v>
      </c>
      <c r="CH8" s="1" t="s">
        <v>948</v>
      </c>
      <c r="CI8" s="1" t="s">
        <v>949</v>
      </c>
      <c r="CJ8" s="1" t="s">
        <v>950</v>
      </c>
      <c r="CK8" s="1" t="s">
        <v>951</v>
      </c>
      <c r="CL8" s="1" t="s">
        <v>952</v>
      </c>
      <c r="CM8" s="1" t="s">
        <v>953</v>
      </c>
      <c r="CN8" s="1" t="s">
        <v>954</v>
      </c>
      <c r="CO8" s="1" t="s">
        <v>955</v>
      </c>
      <c r="CP8" s="1" t="s">
        <v>956</v>
      </c>
      <c r="CQ8" s="1" t="s">
        <v>957</v>
      </c>
      <c r="CR8" s="1" t="s">
        <v>958</v>
      </c>
      <c r="CS8" s="1" t="s">
        <v>959</v>
      </c>
      <c r="CT8" s="1" t="s">
        <v>960</v>
      </c>
      <c r="CU8" s="1" t="s">
        <v>961</v>
      </c>
      <c r="CV8" s="1" t="s">
        <v>962</v>
      </c>
      <c r="CW8" s="1" t="s">
        <v>963</v>
      </c>
      <c r="CX8" s="1" t="s">
        <v>964</v>
      </c>
      <c r="CY8" s="1" t="s">
        <v>965</v>
      </c>
      <c r="CZ8" s="1" t="s">
        <v>966</v>
      </c>
      <c r="DA8" s="1" t="s">
        <v>967</v>
      </c>
      <c r="DB8" s="1" t="s">
        <v>968</v>
      </c>
      <c r="DC8" s="1" t="s">
        <v>969</v>
      </c>
      <c r="DD8" s="1" t="s">
        <v>970</v>
      </c>
      <c r="DE8" s="1" t="s">
        <v>971</v>
      </c>
      <c r="DF8" s="1" t="s">
        <v>972</v>
      </c>
      <c r="DG8" s="1" t="s">
        <v>973</v>
      </c>
      <c r="DH8" s="1" t="s">
        <v>974</v>
      </c>
      <c r="DI8" s="1" t="s">
        <v>975</v>
      </c>
      <c r="DJ8" s="1" t="s">
        <v>976</v>
      </c>
      <c r="DK8" s="1" t="s">
        <v>977</v>
      </c>
      <c r="DL8" s="1" t="s">
        <v>978</v>
      </c>
      <c r="DM8" s="1" t="s">
        <v>979</v>
      </c>
      <c r="DN8" s="1" t="s">
        <v>980</v>
      </c>
      <c r="DO8" s="1" t="s">
        <v>981</v>
      </c>
      <c r="DP8" s="1" t="s">
        <v>982</v>
      </c>
      <c r="DQ8" s="1" t="s">
        <v>983</v>
      </c>
      <c r="DR8" s="1" t="s">
        <v>984</v>
      </c>
      <c r="DS8" s="1" t="s">
        <v>985</v>
      </c>
      <c r="DT8" s="1" t="s">
        <v>986</v>
      </c>
      <c r="DU8" s="1" t="s">
        <v>987</v>
      </c>
      <c r="DV8" s="1" t="s">
        <v>988</v>
      </c>
      <c r="DW8" s="1" t="s">
        <v>989</v>
      </c>
      <c r="DX8" s="1" t="s">
        <v>990</v>
      </c>
      <c r="DY8" s="1" t="s">
        <v>991</v>
      </c>
      <c r="DZ8" s="1" t="s">
        <v>992</v>
      </c>
      <c r="EA8" s="1" t="s">
        <v>993</v>
      </c>
      <c r="EB8" s="1" t="s">
        <v>994</v>
      </c>
      <c r="EC8" s="1" t="s">
        <v>995</v>
      </c>
      <c r="ED8" s="1" t="s">
        <v>996</v>
      </c>
      <c r="EE8" s="1" t="s">
        <v>997</v>
      </c>
      <c r="EF8" s="1" t="s">
        <v>998</v>
      </c>
      <c r="EG8" s="1" t="s">
        <v>999</v>
      </c>
      <c r="EH8" s="1" t="s">
        <v>1000</v>
      </c>
      <c r="EI8" s="1" t="s">
        <v>1001</v>
      </c>
      <c r="EJ8" s="1" t="s">
        <v>1002</v>
      </c>
      <c r="EK8" s="1" t="s">
        <v>1003</v>
      </c>
      <c r="EL8" s="1" t="s">
        <v>1004</v>
      </c>
      <c r="EM8" s="1" t="s">
        <v>1005</v>
      </c>
      <c r="EN8" s="1" t="s">
        <v>1006</v>
      </c>
      <c r="EO8" s="1" t="s">
        <v>1007</v>
      </c>
      <c r="EP8" s="1" t="s">
        <v>1008</v>
      </c>
      <c r="EQ8" s="1" t="s">
        <v>1009</v>
      </c>
      <c r="ER8" s="1" t="s">
        <v>1010</v>
      </c>
      <c r="ES8" s="1" t="s">
        <v>1011</v>
      </c>
      <c r="ET8" s="1" t="s">
        <v>1012</v>
      </c>
      <c r="EU8" s="1" t="s">
        <v>1013</v>
      </c>
      <c r="EV8" s="1" t="s">
        <v>1014</v>
      </c>
      <c r="EW8" s="1" t="s">
        <v>1015</v>
      </c>
      <c r="EX8" s="1" t="s">
        <v>1016</v>
      </c>
      <c r="EY8" s="1" t="s">
        <v>1017</v>
      </c>
      <c r="EZ8" s="1" t="s">
        <v>1018</v>
      </c>
      <c r="FA8" s="1" t="s">
        <v>1019</v>
      </c>
      <c r="FB8" s="1" t="s">
        <v>1020</v>
      </c>
      <c r="FC8" s="1" t="s">
        <v>1021</v>
      </c>
      <c r="FD8" s="1" t="s">
        <v>1022</v>
      </c>
      <c r="FE8" s="1" t="s">
        <v>1023</v>
      </c>
      <c r="FF8" s="1" t="s">
        <v>1024</v>
      </c>
      <c r="FG8" s="1" t="s">
        <v>1025</v>
      </c>
      <c r="FH8" s="1" t="s">
        <v>1026</v>
      </c>
      <c r="FI8" s="1" t="s">
        <v>1027</v>
      </c>
      <c r="FJ8" s="1" t="s">
        <v>1028</v>
      </c>
      <c r="FK8" s="1" t="s">
        <v>1029</v>
      </c>
      <c r="FL8" s="1" t="s">
        <v>1030</v>
      </c>
      <c r="FM8" s="1" t="s">
        <v>1031</v>
      </c>
      <c r="FN8" s="1" t="s">
        <v>1032</v>
      </c>
      <c r="FO8" s="1" t="s">
        <v>1033</v>
      </c>
      <c r="FP8" s="1" t="s">
        <v>1034</v>
      </c>
      <c r="FQ8" s="1" t="s">
        <v>1035</v>
      </c>
      <c r="FR8" s="1" t="s">
        <v>1036</v>
      </c>
      <c r="FS8" s="1" t="s">
        <v>1037</v>
      </c>
      <c r="FT8" s="1" t="s">
        <v>1038</v>
      </c>
      <c r="FU8" s="1" t="s">
        <v>1039</v>
      </c>
      <c r="FV8" s="1" t="s">
        <v>1040</v>
      </c>
      <c r="FW8" s="1" t="s">
        <v>1041</v>
      </c>
      <c r="FX8" s="1" t="s">
        <v>1042</v>
      </c>
      <c r="FY8" s="1" t="s">
        <v>1043</v>
      </c>
      <c r="FZ8" s="1" t="s">
        <v>1044</v>
      </c>
      <c r="GA8" s="1" t="s">
        <v>1045</v>
      </c>
      <c r="GB8" s="1" t="s">
        <v>1046</v>
      </c>
      <c r="GC8" s="1" t="s">
        <v>1047</v>
      </c>
      <c r="GD8" s="1" t="s">
        <v>1048</v>
      </c>
      <c r="GE8" s="1" t="s">
        <v>1049</v>
      </c>
      <c r="GF8" s="1" t="s">
        <v>1050</v>
      </c>
      <c r="GG8" s="1" t="s">
        <v>1051</v>
      </c>
      <c r="GH8" s="1" t="s">
        <v>1052</v>
      </c>
      <c r="GI8" s="1" t="s">
        <v>1053</v>
      </c>
      <c r="GJ8" s="1" t="s">
        <v>1054</v>
      </c>
      <c r="GK8" s="1" t="s">
        <v>1055</v>
      </c>
      <c r="GL8" s="1" t="s">
        <v>1056</v>
      </c>
      <c r="GM8" s="1" t="s">
        <v>57</v>
      </c>
      <c r="GN8" s="1" t="s">
        <v>58</v>
      </c>
      <c r="GO8" s="1" t="s">
        <v>53</v>
      </c>
      <c r="GP8" s="1" t="s">
        <v>1057</v>
      </c>
      <c r="GQ8" s="1" t="s">
        <v>1058</v>
      </c>
    </row>
    <row r="9" spans="1:199" x14ac:dyDescent="0.25">
      <c r="A9" t="s">
        <v>799</v>
      </c>
      <c r="B9" t="s">
        <v>800</v>
      </c>
      <c r="C9">
        <v>304303</v>
      </c>
      <c r="D9" t="s">
        <v>1059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22</v>
      </c>
      <c r="EH9">
        <v>20</v>
      </c>
      <c r="EI9">
        <v>16</v>
      </c>
      <c r="EJ9">
        <v>14</v>
      </c>
      <c r="EK9">
        <v>13</v>
      </c>
      <c r="EL9">
        <v>10</v>
      </c>
      <c r="EM9">
        <v>11</v>
      </c>
      <c r="EN9">
        <v>9</v>
      </c>
      <c r="EO9">
        <v>0</v>
      </c>
      <c r="EP9">
        <v>0</v>
      </c>
      <c r="EQ9">
        <v>40</v>
      </c>
      <c r="ER9">
        <v>43</v>
      </c>
      <c r="ES9">
        <v>37</v>
      </c>
      <c r="ET9">
        <v>30</v>
      </c>
      <c r="EU9">
        <v>18</v>
      </c>
      <c r="EV9">
        <v>11</v>
      </c>
      <c r="EW9">
        <v>12</v>
      </c>
      <c r="EX9">
        <v>9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 s="11">
        <f t="shared" ref="GM9:GN30" si="6">E9+G9+I9+K9+M9+O9+Q9+S9+U9+W9+Y9+AA9+AC9+AE9+AG9+AI9+AK9+AM9+AO9+AQ9+AS9+AU9+AW9+AY9+BA9+BC9+BE9+BG9+BI9+BK9+BM9+BO9+BQ9+BS9+BU9+BW9+BY9+CA9+CC9+CE9+CG9+CI9+CK9+CM9+CO9+CQ9+CS9+CU9+CW9+CY9+DA9+DC9+DE9+DG9+DI9+DK9+DM9+DO9+DQ9+DS9+DU9+DW9+DY9+EA9+EC9+EE9+EG9+EI9+EK9+EM9+EO9+EQ9+ES9+EU9+EW9+EY9+FA9+FC9+FE9+FG9+FI9+FK9+FM9+FO9+FQ9+FS9+FU9+FW9+FY9+GA9+GC9+GE9+GG9+GI9+GK9</f>
        <v>169</v>
      </c>
      <c r="GN9" s="11">
        <f t="shared" si="6"/>
        <v>146</v>
      </c>
      <c r="GO9" s="11">
        <f t="shared" ref="GO9:GO30" si="7">SUM(GM9:GN9)</f>
        <v>315</v>
      </c>
      <c r="GP9">
        <f t="shared" ref="GP9:GP30" si="8">SUM(E9:GL9)</f>
        <v>315</v>
      </c>
      <c r="GQ9">
        <f t="shared" ref="GQ9:GQ30" si="9">IF(GP9&gt;=1,1,0)</f>
        <v>1</v>
      </c>
    </row>
    <row r="10" spans="1:199" x14ac:dyDescent="0.25">
      <c r="A10" t="s">
        <v>799</v>
      </c>
      <c r="B10" t="s">
        <v>800</v>
      </c>
      <c r="C10">
        <v>304305</v>
      </c>
      <c r="D10" t="s">
        <v>1060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 s="11">
        <f t="shared" si="6"/>
        <v>0</v>
      </c>
      <c r="GN10" s="11">
        <f t="shared" si="6"/>
        <v>0</v>
      </c>
      <c r="GO10" s="11">
        <f t="shared" si="7"/>
        <v>0</v>
      </c>
      <c r="GP10">
        <f t="shared" si="8"/>
        <v>0</v>
      </c>
      <c r="GQ10">
        <f t="shared" si="9"/>
        <v>0</v>
      </c>
    </row>
    <row r="11" spans="1:199" x14ac:dyDescent="0.25">
      <c r="A11" t="s">
        <v>799</v>
      </c>
      <c r="B11" t="s">
        <v>800</v>
      </c>
      <c r="C11">
        <v>304313</v>
      </c>
      <c r="D11" t="s">
        <v>1061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2</v>
      </c>
      <c r="GF11">
        <v>0</v>
      </c>
      <c r="GG11">
        <v>1</v>
      </c>
      <c r="GH11">
        <v>1</v>
      </c>
      <c r="GI11">
        <v>0</v>
      </c>
      <c r="GJ11">
        <v>0</v>
      </c>
      <c r="GK11">
        <v>1</v>
      </c>
      <c r="GL11">
        <v>0</v>
      </c>
      <c r="GM11" s="11">
        <f t="shared" si="6"/>
        <v>4</v>
      </c>
      <c r="GN11" s="11">
        <f t="shared" si="6"/>
        <v>1</v>
      </c>
      <c r="GO11" s="11">
        <f t="shared" si="7"/>
        <v>5</v>
      </c>
      <c r="GP11">
        <f t="shared" si="8"/>
        <v>5</v>
      </c>
      <c r="GQ11">
        <f t="shared" si="9"/>
        <v>1</v>
      </c>
    </row>
    <row r="12" spans="1:199" x14ac:dyDescent="0.25">
      <c r="A12" t="s">
        <v>799</v>
      </c>
      <c r="B12" t="s">
        <v>800</v>
      </c>
      <c r="C12">
        <v>304314</v>
      </c>
      <c r="D12" t="s">
        <v>1062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 s="11">
        <f t="shared" si="6"/>
        <v>0</v>
      </c>
      <c r="GN12" s="11">
        <f t="shared" si="6"/>
        <v>0</v>
      </c>
      <c r="GO12" s="11">
        <f t="shared" si="7"/>
        <v>0</v>
      </c>
      <c r="GP12">
        <f t="shared" si="8"/>
        <v>0</v>
      </c>
      <c r="GQ12">
        <f t="shared" si="9"/>
        <v>0</v>
      </c>
    </row>
    <row r="13" spans="1:199" x14ac:dyDescent="0.25">
      <c r="A13" t="s">
        <v>799</v>
      </c>
      <c r="B13" t="s">
        <v>800</v>
      </c>
      <c r="C13">
        <v>304318</v>
      </c>
      <c r="D13" t="s">
        <v>1063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6</v>
      </c>
      <c r="ER13">
        <v>4</v>
      </c>
      <c r="ES13">
        <v>5</v>
      </c>
      <c r="ET13">
        <v>3</v>
      </c>
      <c r="EU13">
        <v>4</v>
      </c>
      <c r="EV13">
        <v>5</v>
      </c>
      <c r="EW13">
        <v>3</v>
      </c>
      <c r="EX13">
        <v>2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 s="11">
        <f t="shared" si="6"/>
        <v>20</v>
      </c>
      <c r="GN13" s="11">
        <f t="shared" si="6"/>
        <v>14</v>
      </c>
      <c r="GO13" s="11">
        <f t="shared" si="7"/>
        <v>34</v>
      </c>
      <c r="GP13">
        <f t="shared" si="8"/>
        <v>34</v>
      </c>
      <c r="GQ13">
        <f t="shared" si="9"/>
        <v>1</v>
      </c>
    </row>
    <row r="14" spans="1:199" x14ac:dyDescent="0.25">
      <c r="A14" t="s">
        <v>799</v>
      </c>
      <c r="B14" t="s">
        <v>800</v>
      </c>
      <c r="C14">
        <v>304325</v>
      </c>
      <c r="D14" t="s">
        <v>1064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3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 s="11">
        <f t="shared" si="6"/>
        <v>9</v>
      </c>
      <c r="GN14" s="11">
        <f t="shared" si="6"/>
        <v>2</v>
      </c>
      <c r="GO14" s="11">
        <f t="shared" si="7"/>
        <v>11</v>
      </c>
      <c r="GP14">
        <f t="shared" si="8"/>
        <v>11</v>
      </c>
      <c r="GQ14">
        <f t="shared" si="9"/>
        <v>1</v>
      </c>
    </row>
    <row r="15" spans="1:199" x14ac:dyDescent="0.25">
      <c r="A15" t="s">
        <v>799</v>
      </c>
      <c r="B15" t="s">
        <v>800</v>
      </c>
      <c r="C15">
        <v>304326</v>
      </c>
      <c r="D15" t="s">
        <v>1065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 s="11">
        <f t="shared" si="6"/>
        <v>3</v>
      </c>
      <c r="GN15" s="11">
        <f t="shared" si="6"/>
        <v>1</v>
      </c>
      <c r="GO15" s="11">
        <f t="shared" si="7"/>
        <v>4</v>
      </c>
      <c r="GP15">
        <f t="shared" si="8"/>
        <v>4</v>
      </c>
      <c r="GQ15">
        <f t="shared" si="9"/>
        <v>1</v>
      </c>
    </row>
    <row r="16" spans="1:199" x14ac:dyDescent="0.25">
      <c r="A16" t="s">
        <v>799</v>
      </c>
      <c r="B16" t="s">
        <v>800</v>
      </c>
      <c r="C16">
        <v>304327</v>
      </c>
      <c r="D16" t="s">
        <v>1066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 s="11">
        <f t="shared" si="6"/>
        <v>3</v>
      </c>
      <c r="GN16" s="11">
        <f t="shared" si="6"/>
        <v>0</v>
      </c>
      <c r="GO16" s="11">
        <f t="shared" si="7"/>
        <v>3</v>
      </c>
      <c r="GP16">
        <f t="shared" si="8"/>
        <v>3</v>
      </c>
      <c r="GQ16">
        <f t="shared" si="9"/>
        <v>1</v>
      </c>
    </row>
    <row r="17" spans="1:199" x14ac:dyDescent="0.25">
      <c r="A17" t="s">
        <v>799</v>
      </c>
      <c r="B17" t="s">
        <v>800</v>
      </c>
      <c r="C17">
        <v>304328</v>
      </c>
      <c r="D17" t="s">
        <v>1067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 s="11">
        <f t="shared" si="6"/>
        <v>0</v>
      </c>
      <c r="GN17" s="11">
        <f t="shared" si="6"/>
        <v>1</v>
      </c>
      <c r="GO17" s="11">
        <f t="shared" si="7"/>
        <v>1</v>
      </c>
      <c r="GP17">
        <f t="shared" si="8"/>
        <v>1</v>
      </c>
      <c r="GQ17">
        <f t="shared" si="9"/>
        <v>1</v>
      </c>
    </row>
    <row r="18" spans="1:199" x14ac:dyDescent="0.25">
      <c r="A18" t="s">
        <v>799</v>
      </c>
      <c r="B18" t="s">
        <v>800</v>
      </c>
      <c r="C18">
        <v>304338</v>
      </c>
      <c r="D18" t="s">
        <v>1068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2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 s="11">
        <f t="shared" si="6"/>
        <v>2</v>
      </c>
      <c r="GN18" s="11">
        <f t="shared" si="6"/>
        <v>4</v>
      </c>
      <c r="GO18" s="11">
        <f t="shared" si="7"/>
        <v>6</v>
      </c>
      <c r="GP18">
        <f t="shared" si="8"/>
        <v>6</v>
      </c>
      <c r="GQ18">
        <f t="shared" si="9"/>
        <v>1</v>
      </c>
    </row>
    <row r="19" spans="1:199" x14ac:dyDescent="0.25">
      <c r="A19" t="s">
        <v>799</v>
      </c>
      <c r="B19" t="s">
        <v>800</v>
      </c>
      <c r="C19">
        <v>305680</v>
      </c>
      <c r="D19" t="s">
        <v>1069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 s="11">
        <f t="shared" si="6"/>
        <v>0</v>
      </c>
      <c r="GN19" s="11">
        <f t="shared" si="6"/>
        <v>0</v>
      </c>
      <c r="GO19" s="11">
        <f t="shared" si="7"/>
        <v>0</v>
      </c>
      <c r="GP19">
        <f t="shared" si="8"/>
        <v>0</v>
      </c>
      <c r="GQ19">
        <f t="shared" si="9"/>
        <v>0</v>
      </c>
    </row>
    <row r="20" spans="1:199" x14ac:dyDescent="0.25">
      <c r="A20" t="s">
        <v>799</v>
      </c>
      <c r="B20" t="s">
        <v>800</v>
      </c>
      <c r="C20">
        <v>316104</v>
      </c>
      <c r="D20" t="s">
        <v>1070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 s="11">
        <f t="shared" si="6"/>
        <v>2</v>
      </c>
      <c r="GN20" s="11">
        <f t="shared" si="6"/>
        <v>0</v>
      </c>
      <c r="GO20" s="11">
        <f t="shared" si="7"/>
        <v>2</v>
      </c>
      <c r="GP20">
        <f t="shared" si="8"/>
        <v>2</v>
      </c>
      <c r="GQ20">
        <f t="shared" si="9"/>
        <v>1</v>
      </c>
    </row>
    <row r="21" spans="1:199" x14ac:dyDescent="0.25">
      <c r="A21" t="s">
        <v>799</v>
      </c>
      <c r="B21" t="s">
        <v>800</v>
      </c>
      <c r="C21">
        <v>325101</v>
      </c>
      <c r="D21" t="s">
        <v>1071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 s="11">
        <f t="shared" si="6"/>
        <v>0</v>
      </c>
      <c r="GN21" s="11">
        <f t="shared" si="6"/>
        <v>0</v>
      </c>
      <c r="GO21" s="11">
        <f t="shared" si="7"/>
        <v>0</v>
      </c>
      <c r="GP21">
        <f t="shared" si="8"/>
        <v>0</v>
      </c>
      <c r="GQ21">
        <f t="shared" si="9"/>
        <v>0</v>
      </c>
    </row>
    <row r="22" spans="1:199" x14ac:dyDescent="0.25">
      <c r="A22" t="s">
        <v>799</v>
      </c>
      <c r="B22" t="s">
        <v>800</v>
      </c>
      <c r="C22">
        <v>325102</v>
      </c>
      <c r="D22" t="s">
        <v>1072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 s="11">
        <f t="shared" si="6"/>
        <v>0</v>
      </c>
      <c r="GN22" s="11">
        <f t="shared" si="6"/>
        <v>0</v>
      </c>
      <c r="GO22" s="11">
        <f t="shared" si="7"/>
        <v>0</v>
      </c>
      <c r="GP22">
        <f t="shared" si="8"/>
        <v>0</v>
      </c>
      <c r="GQ22">
        <f t="shared" si="9"/>
        <v>0</v>
      </c>
    </row>
    <row r="23" spans="1:199" x14ac:dyDescent="0.25">
      <c r="A23" t="s">
        <v>799</v>
      </c>
      <c r="B23" t="s">
        <v>800</v>
      </c>
      <c r="C23">
        <v>325104</v>
      </c>
      <c r="D23" t="s">
        <v>1073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 s="11">
        <f t="shared" si="6"/>
        <v>2</v>
      </c>
      <c r="GN23" s="11">
        <f t="shared" si="6"/>
        <v>1</v>
      </c>
      <c r="GO23" s="11">
        <f t="shared" si="7"/>
        <v>3</v>
      </c>
      <c r="GP23">
        <f t="shared" si="8"/>
        <v>3</v>
      </c>
      <c r="GQ23">
        <f t="shared" si="9"/>
        <v>1</v>
      </c>
    </row>
    <row r="24" spans="1:199" x14ac:dyDescent="0.25">
      <c r="A24" t="s">
        <v>799</v>
      </c>
      <c r="B24" t="s">
        <v>800</v>
      </c>
      <c r="C24">
        <v>325105</v>
      </c>
      <c r="D24" t="s">
        <v>1074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 s="11">
        <f t="shared" si="6"/>
        <v>0</v>
      </c>
      <c r="GN24" s="11">
        <f t="shared" si="6"/>
        <v>1</v>
      </c>
      <c r="GO24" s="11">
        <f t="shared" si="7"/>
        <v>1</v>
      </c>
      <c r="GP24">
        <f t="shared" si="8"/>
        <v>1</v>
      </c>
      <c r="GQ24">
        <f t="shared" si="9"/>
        <v>1</v>
      </c>
    </row>
    <row r="25" spans="1:199" x14ac:dyDescent="0.25">
      <c r="A25" t="s">
        <v>799</v>
      </c>
      <c r="B25" t="s">
        <v>800</v>
      </c>
      <c r="C25">
        <v>325106</v>
      </c>
      <c r="D25" t="s">
        <v>1075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 s="11">
        <f t="shared" si="6"/>
        <v>0</v>
      </c>
      <c r="GN25" s="11">
        <f t="shared" si="6"/>
        <v>0</v>
      </c>
      <c r="GO25" s="11">
        <f t="shared" si="7"/>
        <v>0</v>
      </c>
      <c r="GP25">
        <f t="shared" si="8"/>
        <v>0</v>
      </c>
      <c r="GQ25">
        <f t="shared" si="9"/>
        <v>0</v>
      </c>
    </row>
    <row r="26" spans="1:199" x14ac:dyDescent="0.25">
      <c r="A26" t="s">
        <v>799</v>
      </c>
      <c r="B26" t="s">
        <v>800</v>
      </c>
      <c r="C26">
        <v>500454</v>
      </c>
      <c r="D26" t="s">
        <v>850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 s="11">
        <f t="shared" si="6"/>
        <v>0</v>
      </c>
      <c r="GN26" s="11">
        <f t="shared" si="6"/>
        <v>0</v>
      </c>
      <c r="GO26" s="11">
        <f t="shared" si="7"/>
        <v>0</v>
      </c>
      <c r="GP26">
        <f t="shared" si="8"/>
        <v>0</v>
      </c>
      <c r="GQ26">
        <f t="shared" si="9"/>
        <v>0</v>
      </c>
    </row>
    <row r="27" spans="1:199" x14ac:dyDescent="0.25">
      <c r="A27" t="s">
        <v>799</v>
      </c>
      <c r="B27" t="s">
        <v>800</v>
      </c>
      <c r="C27">
        <v>501085</v>
      </c>
      <c r="D27" t="s">
        <v>851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2</v>
      </c>
      <c r="ER27">
        <v>3</v>
      </c>
      <c r="ES27">
        <v>10</v>
      </c>
      <c r="ET27">
        <v>5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 s="11">
        <f t="shared" si="6"/>
        <v>13</v>
      </c>
      <c r="GN27" s="11">
        <f t="shared" si="6"/>
        <v>8</v>
      </c>
      <c r="GO27" s="11">
        <f t="shared" si="7"/>
        <v>21</v>
      </c>
      <c r="GP27">
        <f t="shared" si="8"/>
        <v>21</v>
      </c>
      <c r="GQ27">
        <f t="shared" si="9"/>
        <v>1</v>
      </c>
    </row>
    <row r="28" spans="1:199" x14ac:dyDescent="0.25">
      <c r="A28" t="s">
        <v>799</v>
      </c>
      <c r="B28" t="s">
        <v>800</v>
      </c>
      <c r="C28">
        <v>501086</v>
      </c>
      <c r="D28" t="s">
        <v>852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0</v>
      </c>
      <c r="GM28" s="11">
        <f t="shared" si="6"/>
        <v>2</v>
      </c>
      <c r="GN28" s="11">
        <f t="shared" si="6"/>
        <v>1</v>
      </c>
      <c r="GO28" s="11">
        <f t="shared" si="7"/>
        <v>3</v>
      </c>
      <c r="GP28">
        <f t="shared" si="8"/>
        <v>3</v>
      </c>
      <c r="GQ28">
        <f t="shared" si="9"/>
        <v>1</v>
      </c>
    </row>
    <row r="29" spans="1:199" x14ac:dyDescent="0.25">
      <c r="A29" t="s">
        <v>799</v>
      </c>
      <c r="B29" t="s">
        <v>800</v>
      </c>
      <c r="C29">
        <v>501087</v>
      </c>
      <c r="D29" t="s">
        <v>853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3</v>
      </c>
      <c r="EH29">
        <v>11</v>
      </c>
      <c r="EI29">
        <v>5</v>
      </c>
      <c r="EJ29">
        <v>10</v>
      </c>
      <c r="EK29">
        <v>5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 s="11">
        <f t="shared" si="6"/>
        <v>13</v>
      </c>
      <c r="GN29" s="11">
        <f t="shared" si="6"/>
        <v>21</v>
      </c>
      <c r="GO29" s="11">
        <f t="shared" si="7"/>
        <v>34</v>
      </c>
      <c r="GP29">
        <f t="shared" si="8"/>
        <v>34</v>
      </c>
      <c r="GQ29">
        <f t="shared" si="9"/>
        <v>1</v>
      </c>
    </row>
    <row r="30" spans="1:199" x14ac:dyDescent="0.25">
      <c r="A30" t="s">
        <v>799</v>
      </c>
      <c r="B30" t="s">
        <v>800</v>
      </c>
      <c r="C30">
        <v>501424</v>
      </c>
      <c r="D30" t="s">
        <v>854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2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 s="11">
        <f t="shared" si="6"/>
        <v>3</v>
      </c>
      <c r="GN30" s="11">
        <f t="shared" si="6"/>
        <v>3</v>
      </c>
      <c r="GO30" s="11">
        <f t="shared" si="7"/>
        <v>6</v>
      </c>
      <c r="GP30">
        <f t="shared" si="8"/>
        <v>6</v>
      </c>
      <c r="GQ30">
        <f t="shared" si="9"/>
        <v>1</v>
      </c>
    </row>
  </sheetData>
  <autoFilter ref="A8:GP30" xr:uid="{00000000-0009-0000-0000-000003000000}"/>
  <mergeCells count="118">
    <mergeCell ref="E2:GL2"/>
    <mergeCell ref="E3:DJ3"/>
    <mergeCell ref="DK3:GL3"/>
    <mergeCell ref="GM3:GO5"/>
    <mergeCell ref="E4:N4"/>
    <mergeCell ref="O4:X4"/>
    <mergeCell ref="Y4:AH4"/>
    <mergeCell ref="AI4:AR4"/>
    <mergeCell ref="AS4:BB4"/>
    <mergeCell ref="BC4:BL4"/>
    <mergeCell ref="GC4:GL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DU4:ED4"/>
    <mergeCell ref="EE4:EN4"/>
    <mergeCell ref="EO4:EX4"/>
    <mergeCell ref="EY4:FH4"/>
    <mergeCell ref="FI4:FR4"/>
    <mergeCell ref="FS4:GB4"/>
    <mergeCell ref="BM4:BV4"/>
    <mergeCell ref="BW4:CF4"/>
    <mergeCell ref="CG4:CP4"/>
    <mergeCell ref="CQ4:CZ4"/>
    <mergeCell ref="DA4:DJ4"/>
    <mergeCell ref="DK4:DT4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E5:AF5"/>
    <mergeCell ref="AG5:AH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CE5:CF5"/>
    <mergeCell ref="CG5:CH5"/>
    <mergeCell ref="CI5:CJ5"/>
    <mergeCell ref="CK5:CL5"/>
    <mergeCell ref="CM5:CN5"/>
    <mergeCell ref="CO5:CP5"/>
    <mergeCell ref="BS5:BT5"/>
    <mergeCell ref="BU5:BV5"/>
    <mergeCell ref="BW5:BX5"/>
    <mergeCell ref="BY5:BZ5"/>
    <mergeCell ref="CA5:CB5"/>
    <mergeCell ref="CC5:CD5"/>
    <mergeCell ref="DC5:DD5"/>
    <mergeCell ref="DE5:DF5"/>
    <mergeCell ref="DG5:DH5"/>
    <mergeCell ref="DI5:DJ5"/>
    <mergeCell ref="DK5:DL5"/>
    <mergeCell ref="DM5:DN5"/>
    <mergeCell ref="CQ5:CR5"/>
    <mergeCell ref="CS5:CT5"/>
    <mergeCell ref="CU5:CV5"/>
    <mergeCell ref="CW5:CX5"/>
    <mergeCell ref="CY5:CZ5"/>
    <mergeCell ref="DA5:DB5"/>
    <mergeCell ref="EA5:EB5"/>
    <mergeCell ref="EC5:ED5"/>
    <mergeCell ref="EE5:EF5"/>
    <mergeCell ref="EG5:EH5"/>
    <mergeCell ref="EI5:EJ5"/>
    <mergeCell ref="EK5:EL5"/>
    <mergeCell ref="DO5:DP5"/>
    <mergeCell ref="DQ5:DR5"/>
    <mergeCell ref="DS5:DT5"/>
    <mergeCell ref="DU5:DV5"/>
    <mergeCell ref="DW5:DX5"/>
    <mergeCell ref="DY5:DZ5"/>
    <mergeCell ref="EY5:EZ5"/>
    <mergeCell ref="FA5:FB5"/>
    <mergeCell ref="FC5:FD5"/>
    <mergeCell ref="FE5:FF5"/>
    <mergeCell ref="FG5:FH5"/>
    <mergeCell ref="FI5:FJ5"/>
    <mergeCell ref="EM5:EN5"/>
    <mergeCell ref="EO5:EP5"/>
    <mergeCell ref="EQ5:ER5"/>
    <mergeCell ref="ES5:ET5"/>
    <mergeCell ref="EU5:EV5"/>
    <mergeCell ref="EW5:EX5"/>
    <mergeCell ref="GI5:GJ5"/>
    <mergeCell ref="GK5:GL5"/>
    <mergeCell ref="FW5:FX5"/>
    <mergeCell ref="FY5:FZ5"/>
    <mergeCell ref="GA5:GB5"/>
    <mergeCell ref="GC5:GD5"/>
    <mergeCell ref="GE5:GF5"/>
    <mergeCell ref="GG5:GH5"/>
    <mergeCell ref="FK5:FL5"/>
    <mergeCell ref="FM5:FN5"/>
    <mergeCell ref="FO5:FP5"/>
    <mergeCell ref="FQ5:FR5"/>
    <mergeCell ref="FS5:FT5"/>
    <mergeCell ref="FU5:FV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5E49-FCAF-4471-9F7B-E637F2967146}">
  <dimension ref="A1:LA24"/>
  <sheetViews>
    <sheetView workbookViewId="0">
      <selection activeCell="E34" sqref="E34"/>
    </sheetView>
  </sheetViews>
  <sheetFormatPr defaultRowHeight="15" x14ac:dyDescent="0.25"/>
  <cols>
    <col min="1" max="1" width="12.42578125" customWidth="1"/>
    <col min="2" max="2" width="23.5703125" bestFit="1" customWidth="1"/>
    <col min="4" max="4" width="36.28515625" customWidth="1"/>
  </cols>
  <sheetData>
    <row r="1" spans="1:313" x14ac:dyDescent="0.25">
      <c r="A1" s="1" t="s">
        <v>1076</v>
      </c>
    </row>
    <row r="2" spans="1:313" x14ac:dyDescent="0.25">
      <c r="A2" s="1" t="s">
        <v>1</v>
      </c>
      <c r="E2" s="57" t="s">
        <v>858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 t="s">
        <v>859</v>
      </c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  <c r="IW2" s="57"/>
      <c r="IX2" s="57"/>
      <c r="IY2" s="57"/>
      <c r="IZ2" s="57"/>
      <c r="JA2" s="57"/>
      <c r="JB2" s="57"/>
      <c r="JC2" s="57"/>
      <c r="JD2" s="57"/>
      <c r="JE2" s="57"/>
      <c r="JF2" s="57"/>
      <c r="JG2" s="57"/>
      <c r="JH2" s="57"/>
      <c r="JI2" s="57"/>
      <c r="JJ2" s="57"/>
      <c r="JK2" s="57"/>
      <c r="JL2" s="57"/>
      <c r="JM2" s="57"/>
      <c r="JN2" s="57"/>
      <c r="JO2" s="57"/>
      <c r="JP2" s="57"/>
      <c r="JQ2" s="57"/>
      <c r="JR2" s="57"/>
      <c r="JS2" s="57"/>
      <c r="JT2" s="57"/>
      <c r="JU2" s="57"/>
      <c r="JV2" s="57"/>
      <c r="JW2" s="57"/>
      <c r="JX2" s="57"/>
      <c r="JY2" s="57"/>
      <c r="JZ2" s="57"/>
      <c r="KA2" s="57"/>
      <c r="KB2" s="57"/>
      <c r="KC2" s="57"/>
      <c r="KD2" s="57"/>
      <c r="KE2" s="57"/>
      <c r="KF2" s="57"/>
      <c r="KG2" s="57"/>
      <c r="KH2" s="57"/>
      <c r="KI2" s="57"/>
      <c r="KJ2" s="57"/>
      <c r="KK2" s="57"/>
      <c r="KL2" s="57"/>
      <c r="KM2" s="57"/>
      <c r="KN2" s="57"/>
      <c r="KO2" s="57"/>
      <c r="KP2" s="57"/>
      <c r="KQ2" s="57"/>
      <c r="KR2" s="57"/>
      <c r="KS2" s="57"/>
      <c r="KT2" s="57"/>
      <c r="KU2" s="57"/>
      <c r="KV2" s="57"/>
      <c r="KW2" s="16"/>
      <c r="KX2" s="16"/>
      <c r="KY2" s="16"/>
    </row>
    <row r="3" spans="1:313" x14ac:dyDescent="0.25">
      <c r="A3" s="1" t="s">
        <v>1077</v>
      </c>
      <c r="E3" s="54" t="s">
        <v>19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 t="s">
        <v>20</v>
      </c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 t="s">
        <v>21</v>
      </c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 t="s">
        <v>22</v>
      </c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 t="s">
        <v>23</v>
      </c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 t="s">
        <v>1078</v>
      </c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 t="s">
        <v>25</v>
      </c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 t="s">
        <v>26</v>
      </c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 t="s">
        <v>27</v>
      </c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 t="s">
        <v>1079</v>
      </c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 t="s">
        <v>1080</v>
      </c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 t="s">
        <v>30</v>
      </c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 t="s">
        <v>31</v>
      </c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4"/>
      <c r="HD3" s="54"/>
      <c r="HE3" s="54" t="s">
        <v>1081</v>
      </c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 t="s">
        <v>33</v>
      </c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 t="s">
        <v>37</v>
      </c>
      <c r="IL3" s="54"/>
      <c r="IM3" s="54"/>
      <c r="IN3" s="54"/>
      <c r="IO3" s="54"/>
      <c r="IP3" s="54"/>
      <c r="IQ3" s="54"/>
      <c r="IR3" s="54"/>
      <c r="IS3" s="54"/>
      <c r="IT3" s="54"/>
      <c r="IU3" s="54"/>
      <c r="IV3" s="54"/>
      <c r="IW3" s="54"/>
      <c r="IX3" s="54"/>
      <c r="IY3" s="54"/>
      <c r="IZ3" s="54"/>
      <c r="JA3" s="54" t="s">
        <v>32</v>
      </c>
      <c r="JB3" s="54"/>
      <c r="JC3" s="54"/>
      <c r="JD3" s="54"/>
      <c r="JE3" s="54"/>
      <c r="JF3" s="54"/>
      <c r="JG3" s="54"/>
      <c r="JH3" s="54"/>
      <c r="JI3" s="54"/>
      <c r="JJ3" s="54"/>
      <c r="JK3" s="54"/>
      <c r="JL3" s="54"/>
      <c r="JM3" s="54"/>
      <c r="JN3" s="54"/>
      <c r="JO3" s="54"/>
      <c r="JP3" s="54"/>
      <c r="JQ3" s="54" t="s">
        <v>34</v>
      </c>
      <c r="JR3" s="54"/>
      <c r="JS3" s="54"/>
      <c r="JT3" s="54"/>
      <c r="JU3" s="54"/>
      <c r="JV3" s="54"/>
      <c r="JW3" s="54"/>
      <c r="JX3" s="54"/>
      <c r="JY3" s="54"/>
      <c r="JZ3" s="54"/>
      <c r="KA3" s="54"/>
      <c r="KB3" s="54"/>
      <c r="KC3" s="54"/>
      <c r="KD3" s="54"/>
      <c r="KE3" s="54"/>
      <c r="KF3" s="54"/>
      <c r="KG3" s="54" t="s">
        <v>35</v>
      </c>
      <c r="KH3" s="54"/>
      <c r="KI3" s="54"/>
      <c r="KJ3" s="54"/>
      <c r="KK3" s="54"/>
      <c r="KL3" s="54"/>
      <c r="KM3" s="54"/>
      <c r="KN3" s="54"/>
      <c r="KO3" s="54"/>
      <c r="KP3" s="54"/>
      <c r="KQ3" s="54"/>
      <c r="KR3" s="54"/>
      <c r="KS3" s="54"/>
      <c r="KT3" s="54"/>
      <c r="KU3" s="54"/>
      <c r="KV3" s="54"/>
      <c r="KW3" s="55" t="s">
        <v>1082</v>
      </c>
      <c r="KX3" s="56"/>
      <c r="KY3" s="56"/>
    </row>
    <row r="4" spans="1:313" x14ac:dyDescent="0.25">
      <c r="E4" s="54" t="s">
        <v>1083</v>
      </c>
      <c r="F4" s="54"/>
      <c r="G4" s="54"/>
      <c r="H4" s="54"/>
      <c r="I4" s="54" t="s">
        <v>1084</v>
      </c>
      <c r="J4" s="54"/>
      <c r="K4" s="54"/>
      <c r="L4" s="54"/>
      <c r="M4" s="54" t="s">
        <v>1085</v>
      </c>
      <c r="N4" s="54"/>
      <c r="O4" s="54"/>
      <c r="P4" s="54"/>
      <c r="Q4" s="54" t="s">
        <v>1086</v>
      </c>
      <c r="R4" s="54"/>
      <c r="S4" s="54"/>
      <c r="T4" s="54"/>
      <c r="U4" s="54" t="s">
        <v>1083</v>
      </c>
      <c r="V4" s="54"/>
      <c r="W4" s="54"/>
      <c r="X4" s="54"/>
      <c r="Y4" s="54" t="s">
        <v>1084</v>
      </c>
      <c r="Z4" s="54"/>
      <c r="AA4" s="54"/>
      <c r="AB4" s="54"/>
      <c r="AC4" s="54" t="s">
        <v>1085</v>
      </c>
      <c r="AD4" s="54"/>
      <c r="AE4" s="54"/>
      <c r="AF4" s="54"/>
      <c r="AG4" s="54" t="s">
        <v>1086</v>
      </c>
      <c r="AH4" s="54"/>
      <c r="AI4" s="54"/>
      <c r="AJ4" s="54"/>
      <c r="AK4" s="54" t="s">
        <v>1083</v>
      </c>
      <c r="AL4" s="54"/>
      <c r="AM4" s="54"/>
      <c r="AN4" s="54"/>
      <c r="AO4" s="54" t="s">
        <v>1084</v>
      </c>
      <c r="AP4" s="54"/>
      <c r="AQ4" s="54"/>
      <c r="AR4" s="54"/>
      <c r="AS4" s="54" t="s">
        <v>1085</v>
      </c>
      <c r="AT4" s="54"/>
      <c r="AU4" s="54"/>
      <c r="AV4" s="54"/>
      <c r="AW4" s="54" t="s">
        <v>1086</v>
      </c>
      <c r="AX4" s="54"/>
      <c r="AY4" s="54"/>
      <c r="AZ4" s="54"/>
      <c r="BA4" s="54" t="s">
        <v>1083</v>
      </c>
      <c r="BB4" s="54"/>
      <c r="BC4" s="54"/>
      <c r="BD4" s="54"/>
      <c r="BE4" s="54" t="s">
        <v>1084</v>
      </c>
      <c r="BF4" s="54"/>
      <c r="BG4" s="54"/>
      <c r="BH4" s="54"/>
      <c r="BI4" s="54" t="s">
        <v>1085</v>
      </c>
      <c r="BJ4" s="54"/>
      <c r="BK4" s="54"/>
      <c r="BL4" s="54"/>
      <c r="BM4" s="54" t="s">
        <v>1086</v>
      </c>
      <c r="BN4" s="54"/>
      <c r="BO4" s="54"/>
      <c r="BP4" s="54"/>
      <c r="BQ4" s="54" t="s">
        <v>1083</v>
      </c>
      <c r="BR4" s="54"/>
      <c r="BS4" s="54"/>
      <c r="BT4" s="54"/>
      <c r="BU4" s="54" t="s">
        <v>1084</v>
      </c>
      <c r="BV4" s="54"/>
      <c r="BW4" s="54"/>
      <c r="BX4" s="54"/>
      <c r="BY4" s="54" t="s">
        <v>1085</v>
      </c>
      <c r="BZ4" s="54"/>
      <c r="CA4" s="54"/>
      <c r="CB4" s="54"/>
      <c r="CC4" s="54" t="s">
        <v>1086</v>
      </c>
      <c r="CD4" s="54"/>
      <c r="CE4" s="54"/>
      <c r="CF4" s="54"/>
      <c r="CG4" s="54" t="s">
        <v>1083</v>
      </c>
      <c r="CH4" s="54"/>
      <c r="CI4" s="54"/>
      <c r="CJ4" s="54"/>
      <c r="CK4" s="54" t="s">
        <v>1084</v>
      </c>
      <c r="CL4" s="54"/>
      <c r="CM4" s="54"/>
      <c r="CN4" s="54"/>
      <c r="CO4" s="54" t="s">
        <v>1085</v>
      </c>
      <c r="CP4" s="54"/>
      <c r="CQ4" s="54"/>
      <c r="CR4" s="54"/>
      <c r="CS4" s="54" t="s">
        <v>1086</v>
      </c>
      <c r="CT4" s="54"/>
      <c r="CU4" s="54"/>
      <c r="CV4" s="54"/>
      <c r="CW4" s="54" t="s">
        <v>1083</v>
      </c>
      <c r="CX4" s="54"/>
      <c r="CY4" s="54"/>
      <c r="CZ4" s="54"/>
      <c r="DA4" s="54" t="s">
        <v>1084</v>
      </c>
      <c r="DB4" s="54"/>
      <c r="DC4" s="54"/>
      <c r="DD4" s="54"/>
      <c r="DE4" s="54" t="s">
        <v>1085</v>
      </c>
      <c r="DF4" s="54"/>
      <c r="DG4" s="54"/>
      <c r="DH4" s="54"/>
      <c r="DI4" s="54" t="s">
        <v>1086</v>
      </c>
      <c r="DJ4" s="54"/>
      <c r="DK4" s="54"/>
      <c r="DL4" s="54"/>
      <c r="DM4" s="54" t="s">
        <v>1083</v>
      </c>
      <c r="DN4" s="54"/>
      <c r="DO4" s="54"/>
      <c r="DP4" s="54"/>
      <c r="DQ4" s="54" t="s">
        <v>1084</v>
      </c>
      <c r="DR4" s="54"/>
      <c r="DS4" s="54"/>
      <c r="DT4" s="54"/>
      <c r="DU4" s="54" t="s">
        <v>1085</v>
      </c>
      <c r="DV4" s="54"/>
      <c r="DW4" s="54"/>
      <c r="DX4" s="54"/>
      <c r="DY4" s="54" t="s">
        <v>1086</v>
      </c>
      <c r="DZ4" s="54"/>
      <c r="EA4" s="54"/>
      <c r="EB4" s="54"/>
      <c r="EC4" s="54" t="s">
        <v>1083</v>
      </c>
      <c r="ED4" s="54"/>
      <c r="EE4" s="54"/>
      <c r="EF4" s="54"/>
      <c r="EG4" s="54" t="s">
        <v>1084</v>
      </c>
      <c r="EH4" s="54"/>
      <c r="EI4" s="54"/>
      <c r="EJ4" s="54"/>
      <c r="EK4" s="54" t="s">
        <v>1085</v>
      </c>
      <c r="EL4" s="54"/>
      <c r="EM4" s="54"/>
      <c r="EN4" s="54"/>
      <c r="EO4" s="54" t="s">
        <v>1086</v>
      </c>
      <c r="EP4" s="54"/>
      <c r="EQ4" s="54"/>
      <c r="ER4" s="54"/>
      <c r="ES4" s="54" t="s">
        <v>1083</v>
      </c>
      <c r="ET4" s="54"/>
      <c r="EU4" s="54"/>
      <c r="EV4" s="54"/>
      <c r="EW4" s="54" t="s">
        <v>1084</v>
      </c>
      <c r="EX4" s="54"/>
      <c r="EY4" s="54"/>
      <c r="EZ4" s="54"/>
      <c r="FA4" s="54" t="s">
        <v>1085</v>
      </c>
      <c r="FB4" s="54"/>
      <c r="FC4" s="54"/>
      <c r="FD4" s="54"/>
      <c r="FE4" s="54" t="s">
        <v>1086</v>
      </c>
      <c r="FF4" s="54"/>
      <c r="FG4" s="54"/>
      <c r="FH4" s="54"/>
      <c r="FI4" s="54" t="s">
        <v>1083</v>
      </c>
      <c r="FJ4" s="54"/>
      <c r="FK4" s="54"/>
      <c r="FL4" s="54"/>
      <c r="FM4" s="54" t="s">
        <v>1084</v>
      </c>
      <c r="FN4" s="54"/>
      <c r="FO4" s="54"/>
      <c r="FP4" s="54"/>
      <c r="FQ4" s="54" t="s">
        <v>1085</v>
      </c>
      <c r="FR4" s="54"/>
      <c r="FS4" s="54"/>
      <c r="FT4" s="54"/>
      <c r="FU4" s="54" t="s">
        <v>1086</v>
      </c>
      <c r="FV4" s="54"/>
      <c r="FW4" s="54"/>
      <c r="FX4" s="54"/>
      <c r="FY4" s="54" t="s">
        <v>1083</v>
      </c>
      <c r="FZ4" s="54"/>
      <c r="GA4" s="54"/>
      <c r="GB4" s="54"/>
      <c r="GC4" s="54" t="s">
        <v>1084</v>
      </c>
      <c r="GD4" s="54"/>
      <c r="GE4" s="54"/>
      <c r="GF4" s="54"/>
      <c r="GG4" s="54" t="s">
        <v>1085</v>
      </c>
      <c r="GH4" s="54"/>
      <c r="GI4" s="54"/>
      <c r="GJ4" s="54"/>
      <c r="GK4" s="54" t="s">
        <v>1086</v>
      </c>
      <c r="GL4" s="54"/>
      <c r="GM4" s="54"/>
      <c r="GN4" s="54"/>
      <c r="GO4" s="54" t="s">
        <v>1083</v>
      </c>
      <c r="GP4" s="54"/>
      <c r="GQ4" s="54"/>
      <c r="GR4" s="54"/>
      <c r="GS4" s="54" t="s">
        <v>1084</v>
      </c>
      <c r="GT4" s="54"/>
      <c r="GU4" s="54"/>
      <c r="GV4" s="54"/>
      <c r="GW4" s="54" t="s">
        <v>1085</v>
      </c>
      <c r="GX4" s="54"/>
      <c r="GY4" s="54"/>
      <c r="GZ4" s="54"/>
      <c r="HA4" s="54" t="s">
        <v>1086</v>
      </c>
      <c r="HB4" s="54"/>
      <c r="HC4" s="54"/>
      <c r="HD4" s="54"/>
      <c r="HE4" s="54" t="s">
        <v>1083</v>
      </c>
      <c r="HF4" s="54"/>
      <c r="HG4" s="54"/>
      <c r="HH4" s="54"/>
      <c r="HI4" s="54" t="s">
        <v>1084</v>
      </c>
      <c r="HJ4" s="54"/>
      <c r="HK4" s="54"/>
      <c r="HL4" s="54"/>
      <c r="HM4" s="54" t="s">
        <v>1085</v>
      </c>
      <c r="HN4" s="54"/>
      <c r="HO4" s="54"/>
      <c r="HP4" s="54"/>
      <c r="HQ4" s="54" t="s">
        <v>1086</v>
      </c>
      <c r="HR4" s="54"/>
      <c r="HS4" s="54"/>
      <c r="HT4" s="54"/>
      <c r="HU4" s="54" t="s">
        <v>1083</v>
      </c>
      <c r="HV4" s="54"/>
      <c r="HW4" s="54"/>
      <c r="HX4" s="54"/>
      <c r="HY4" s="54" t="s">
        <v>1084</v>
      </c>
      <c r="HZ4" s="54"/>
      <c r="IA4" s="54"/>
      <c r="IB4" s="54"/>
      <c r="IC4" s="54" t="s">
        <v>1085</v>
      </c>
      <c r="ID4" s="54"/>
      <c r="IE4" s="54"/>
      <c r="IF4" s="54"/>
      <c r="IG4" s="54" t="s">
        <v>1086</v>
      </c>
      <c r="IH4" s="54"/>
      <c r="II4" s="54"/>
      <c r="IJ4" s="54"/>
      <c r="IK4" s="54" t="s">
        <v>1083</v>
      </c>
      <c r="IL4" s="54"/>
      <c r="IM4" s="54"/>
      <c r="IN4" s="54"/>
      <c r="IO4" s="54" t="s">
        <v>1084</v>
      </c>
      <c r="IP4" s="54"/>
      <c r="IQ4" s="54"/>
      <c r="IR4" s="54"/>
      <c r="IS4" s="54" t="s">
        <v>1085</v>
      </c>
      <c r="IT4" s="54"/>
      <c r="IU4" s="54"/>
      <c r="IV4" s="54"/>
      <c r="IW4" s="54" t="s">
        <v>1086</v>
      </c>
      <c r="IX4" s="54"/>
      <c r="IY4" s="54"/>
      <c r="IZ4" s="54"/>
      <c r="JA4" s="54" t="s">
        <v>1083</v>
      </c>
      <c r="JB4" s="54"/>
      <c r="JC4" s="54"/>
      <c r="JD4" s="54"/>
      <c r="JE4" s="54" t="s">
        <v>1084</v>
      </c>
      <c r="JF4" s="54"/>
      <c r="JG4" s="54"/>
      <c r="JH4" s="54"/>
      <c r="JI4" s="54" t="s">
        <v>1085</v>
      </c>
      <c r="JJ4" s="54"/>
      <c r="JK4" s="54"/>
      <c r="JL4" s="54"/>
      <c r="JM4" s="54" t="s">
        <v>1086</v>
      </c>
      <c r="JN4" s="54"/>
      <c r="JO4" s="54"/>
      <c r="JP4" s="54"/>
      <c r="JQ4" s="54" t="s">
        <v>1083</v>
      </c>
      <c r="JR4" s="54"/>
      <c r="JS4" s="54"/>
      <c r="JT4" s="54"/>
      <c r="JU4" s="54" t="s">
        <v>1084</v>
      </c>
      <c r="JV4" s="54"/>
      <c r="JW4" s="54"/>
      <c r="JX4" s="54"/>
      <c r="JY4" s="54" t="s">
        <v>1085</v>
      </c>
      <c r="JZ4" s="54"/>
      <c r="KA4" s="54"/>
      <c r="KB4" s="54"/>
      <c r="KC4" s="54" t="s">
        <v>1086</v>
      </c>
      <c r="KD4" s="54"/>
      <c r="KE4" s="54"/>
      <c r="KF4" s="54"/>
      <c r="KG4" s="54" t="s">
        <v>1083</v>
      </c>
      <c r="KH4" s="54"/>
      <c r="KI4" s="54"/>
      <c r="KJ4" s="54"/>
      <c r="KK4" s="54" t="s">
        <v>1084</v>
      </c>
      <c r="KL4" s="54"/>
      <c r="KM4" s="54"/>
      <c r="KN4" s="54"/>
      <c r="KO4" s="54" t="s">
        <v>1085</v>
      </c>
      <c r="KP4" s="54"/>
      <c r="KQ4" s="54"/>
      <c r="KR4" s="54"/>
      <c r="KS4" s="54" t="s">
        <v>1086</v>
      </c>
      <c r="KT4" s="54"/>
      <c r="KU4" s="54"/>
      <c r="KV4" s="54"/>
      <c r="KW4" s="55"/>
      <c r="KX4" s="56"/>
      <c r="KY4" s="56"/>
    </row>
    <row r="5" spans="1:313" x14ac:dyDescent="0.25">
      <c r="E5" s="54" t="s">
        <v>1087</v>
      </c>
      <c r="F5" s="54"/>
      <c r="G5" s="54" t="s">
        <v>1088</v>
      </c>
      <c r="H5" s="54"/>
      <c r="I5" s="54" t="s">
        <v>1087</v>
      </c>
      <c r="J5" s="54"/>
      <c r="K5" s="54" t="s">
        <v>1088</v>
      </c>
      <c r="L5" s="54"/>
      <c r="M5" s="54" t="s">
        <v>1087</v>
      </c>
      <c r="N5" s="54"/>
      <c r="O5" s="54" t="s">
        <v>1088</v>
      </c>
      <c r="P5" s="54"/>
      <c r="Q5" s="54" t="s">
        <v>1087</v>
      </c>
      <c r="R5" s="54"/>
      <c r="S5" s="54" t="s">
        <v>1088</v>
      </c>
      <c r="T5" s="54"/>
      <c r="U5" s="54" t="s">
        <v>1087</v>
      </c>
      <c r="V5" s="54"/>
      <c r="W5" s="54" t="s">
        <v>1088</v>
      </c>
      <c r="X5" s="54"/>
      <c r="Y5" s="54" t="s">
        <v>1087</v>
      </c>
      <c r="Z5" s="54"/>
      <c r="AA5" s="54" t="s">
        <v>1088</v>
      </c>
      <c r="AB5" s="54"/>
      <c r="AC5" s="54" t="s">
        <v>1087</v>
      </c>
      <c r="AD5" s="54"/>
      <c r="AE5" s="54" t="s">
        <v>1088</v>
      </c>
      <c r="AF5" s="54"/>
      <c r="AG5" s="54" t="s">
        <v>1087</v>
      </c>
      <c r="AH5" s="54"/>
      <c r="AI5" s="54" t="s">
        <v>1088</v>
      </c>
      <c r="AJ5" s="54"/>
      <c r="AK5" s="54" t="s">
        <v>1087</v>
      </c>
      <c r="AL5" s="54"/>
      <c r="AM5" s="54" t="s">
        <v>1088</v>
      </c>
      <c r="AN5" s="54"/>
      <c r="AO5" s="54" t="s">
        <v>1087</v>
      </c>
      <c r="AP5" s="54"/>
      <c r="AQ5" s="54" t="s">
        <v>1088</v>
      </c>
      <c r="AR5" s="54"/>
      <c r="AS5" s="54" t="s">
        <v>1087</v>
      </c>
      <c r="AT5" s="54"/>
      <c r="AU5" s="54" t="s">
        <v>1088</v>
      </c>
      <c r="AV5" s="54"/>
      <c r="AW5" s="54" t="s">
        <v>1087</v>
      </c>
      <c r="AX5" s="54"/>
      <c r="AY5" s="54" t="s">
        <v>1088</v>
      </c>
      <c r="AZ5" s="54"/>
      <c r="BA5" s="54" t="s">
        <v>1087</v>
      </c>
      <c r="BB5" s="54"/>
      <c r="BC5" s="54" t="s">
        <v>1088</v>
      </c>
      <c r="BD5" s="54"/>
      <c r="BE5" s="54" t="s">
        <v>1087</v>
      </c>
      <c r="BF5" s="54"/>
      <c r="BG5" s="54" t="s">
        <v>1088</v>
      </c>
      <c r="BH5" s="54"/>
      <c r="BI5" s="54" t="s">
        <v>1087</v>
      </c>
      <c r="BJ5" s="54"/>
      <c r="BK5" s="54" t="s">
        <v>1088</v>
      </c>
      <c r="BL5" s="54"/>
      <c r="BM5" s="54" t="s">
        <v>1087</v>
      </c>
      <c r="BN5" s="54"/>
      <c r="BO5" s="54" t="s">
        <v>1088</v>
      </c>
      <c r="BP5" s="54"/>
      <c r="BQ5" s="54" t="s">
        <v>1087</v>
      </c>
      <c r="BR5" s="54"/>
      <c r="BS5" s="54" t="s">
        <v>1088</v>
      </c>
      <c r="BT5" s="54"/>
      <c r="BU5" s="54" t="s">
        <v>1087</v>
      </c>
      <c r="BV5" s="54"/>
      <c r="BW5" s="54" t="s">
        <v>1088</v>
      </c>
      <c r="BX5" s="54"/>
      <c r="BY5" s="54" t="s">
        <v>1087</v>
      </c>
      <c r="BZ5" s="54"/>
      <c r="CA5" s="54" t="s">
        <v>1088</v>
      </c>
      <c r="CB5" s="54"/>
      <c r="CC5" s="54" t="s">
        <v>1087</v>
      </c>
      <c r="CD5" s="54"/>
      <c r="CE5" s="54" t="s">
        <v>1088</v>
      </c>
      <c r="CF5" s="54"/>
      <c r="CG5" s="54" t="s">
        <v>1087</v>
      </c>
      <c r="CH5" s="54"/>
      <c r="CI5" s="54" t="s">
        <v>1088</v>
      </c>
      <c r="CJ5" s="54"/>
      <c r="CK5" s="54" t="s">
        <v>1087</v>
      </c>
      <c r="CL5" s="54"/>
      <c r="CM5" s="54" t="s">
        <v>1088</v>
      </c>
      <c r="CN5" s="54"/>
      <c r="CO5" s="54" t="s">
        <v>1087</v>
      </c>
      <c r="CP5" s="54"/>
      <c r="CQ5" s="54" t="s">
        <v>1088</v>
      </c>
      <c r="CR5" s="54"/>
      <c r="CS5" s="54" t="s">
        <v>1087</v>
      </c>
      <c r="CT5" s="54"/>
      <c r="CU5" s="54" t="s">
        <v>1088</v>
      </c>
      <c r="CV5" s="54"/>
      <c r="CW5" s="54" t="s">
        <v>1087</v>
      </c>
      <c r="CX5" s="54"/>
      <c r="CY5" s="54" t="s">
        <v>1088</v>
      </c>
      <c r="CZ5" s="54"/>
      <c r="DA5" s="54" t="s">
        <v>1087</v>
      </c>
      <c r="DB5" s="54"/>
      <c r="DC5" s="54" t="s">
        <v>1088</v>
      </c>
      <c r="DD5" s="54"/>
      <c r="DE5" s="54" t="s">
        <v>1087</v>
      </c>
      <c r="DF5" s="54"/>
      <c r="DG5" s="54" t="s">
        <v>1088</v>
      </c>
      <c r="DH5" s="54"/>
      <c r="DI5" s="54" t="s">
        <v>1087</v>
      </c>
      <c r="DJ5" s="54"/>
      <c r="DK5" s="54" t="s">
        <v>1088</v>
      </c>
      <c r="DL5" s="54"/>
      <c r="DM5" s="54" t="s">
        <v>1087</v>
      </c>
      <c r="DN5" s="54"/>
      <c r="DO5" s="54" t="s">
        <v>1088</v>
      </c>
      <c r="DP5" s="54"/>
      <c r="DQ5" s="54" t="s">
        <v>1087</v>
      </c>
      <c r="DR5" s="54"/>
      <c r="DS5" s="54" t="s">
        <v>1088</v>
      </c>
      <c r="DT5" s="54"/>
      <c r="DU5" s="54" t="s">
        <v>1087</v>
      </c>
      <c r="DV5" s="54"/>
      <c r="DW5" s="54" t="s">
        <v>1088</v>
      </c>
      <c r="DX5" s="54"/>
      <c r="DY5" s="54" t="s">
        <v>1087</v>
      </c>
      <c r="DZ5" s="54"/>
      <c r="EA5" s="54" t="s">
        <v>1088</v>
      </c>
      <c r="EB5" s="54"/>
      <c r="EC5" s="54" t="s">
        <v>1087</v>
      </c>
      <c r="ED5" s="54"/>
      <c r="EE5" s="54" t="s">
        <v>1088</v>
      </c>
      <c r="EF5" s="54"/>
      <c r="EG5" s="54" t="s">
        <v>1087</v>
      </c>
      <c r="EH5" s="54"/>
      <c r="EI5" s="54" t="s">
        <v>1088</v>
      </c>
      <c r="EJ5" s="54"/>
      <c r="EK5" s="54" t="s">
        <v>1087</v>
      </c>
      <c r="EL5" s="54"/>
      <c r="EM5" s="54" t="s">
        <v>1088</v>
      </c>
      <c r="EN5" s="54"/>
      <c r="EO5" s="54" t="s">
        <v>1087</v>
      </c>
      <c r="EP5" s="54"/>
      <c r="EQ5" s="54" t="s">
        <v>1088</v>
      </c>
      <c r="ER5" s="54"/>
      <c r="ES5" s="54" t="s">
        <v>1087</v>
      </c>
      <c r="ET5" s="54"/>
      <c r="EU5" s="54" t="s">
        <v>1088</v>
      </c>
      <c r="EV5" s="54"/>
      <c r="EW5" s="54" t="s">
        <v>1087</v>
      </c>
      <c r="EX5" s="54"/>
      <c r="EY5" s="54" t="s">
        <v>1088</v>
      </c>
      <c r="EZ5" s="54"/>
      <c r="FA5" s="54" t="s">
        <v>1087</v>
      </c>
      <c r="FB5" s="54"/>
      <c r="FC5" s="54" t="s">
        <v>1088</v>
      </c>
      <c r="FD5" s="54"/>
      <c r="FE5" s="54" t="s">
        <v>1087</v>
      </c>
      <c r="FF5" s="54"/>
      <c r="FG5" s="54" t="s">
        <v>1088</v>
      </c>
      <c r="FH5" s="54"/>
      <c r="FI5" s="54" t="s">
        <v>1087</v>
      </c>
      <c r="FJ5" s="54"/>
      <c r="FK5" s="54" t="s">
        <v>1088</v>
      </c>
      <c r="FL5" s="54"/>
      <c r="FM5" s="54" t="s">
        <v>1087</v>
      </c>
      <c r="FN5" s="54"/>
      <c r="FO5" s="54" t="s">
        <v>1088</v>
      </c>
      <c r="FP5" s="54"/>
      <c r="FQ5" s="54" t="s">
        <v>1087</v>
      </c>
      <c r="FR5" s="54"/>
      <c r="FS5" s="54" t="s">
        <v>1088</v>
      </c>
      <c r="FT5" s="54"/>
      <c r="FU5" s="54" t="s">
        <v>1087</v>
      </c>
      <c r="FV5" s="54"/>
      <c r="FW5" s="54" t="s">
        <v>1088</v>
      </c>
      <c r="FX5" s="54"/>
      <c r="FY5" s="54" t="s">
        <v>1087</v>
      </c>
      <c r="FZ5" s="54"/>
      <c r="GA5" s="54" t="s">
        <v>1088</v>
      </c>
      <c r="GB5" s="54"/>
      <c r="GC5" s="54" t="s">
        <v>1087</v>
      </c>
      <c r="GD5" s="54"/>
      <c r="GE5" s="54" t="s">
        <v>1088</v>
      </c>
      <c r="GF5" s="54"/>
      <c r="GG5" s="54" t="s">
        <v>1087</v>
      </c>
      <c r="GH5" s="54"/>
      <c r="GI5" s="54" t="s">
        <v>1088</v>
      </c>
      <c r="GJ5" s="54"/>
      <c r="GK5" s="54" t="s">
        <v>1087</v>
      </c>
      <c r="GL5" s="54"/>
      <c r="GM5" s="54" t="s">
        <v>1088</v>
      </c>
      <c r="GN5" s="54"/>
      <c r="GO5" s="54" t="s">
        <v>1087</v>
      </c>
      <c r="GP5" s="54"/>
      <c r="GQ5" s="54" t="s">
        <v>1088</v>
      </c>
      <c r="GR5" s="54"/>
      <c r="GS5" s="54" t="s">
        <v>1087</v>
      </c>
      <c r="GT5" s="54"/>
      <c r="GU5" s="54" t="s">
        <v>1088</v>
      </c>
      <c r="GV5" s="54"/>
      <c r="GW5" s="54" t="s">
        <v>1087</v>
      </c>
      <c r="GX5" s="54"/>
      <c r="GY5" s="54" t="s">
        <v>1088</v>
      </c>
      <c r="GZ5" s="54"/>
      <c r="HA5" s="54" t="s">
        <v>1087</v>
      </c>
      <c r="HB5" s="54"/>
      <c r="HC5" s="54" t="s">
        <v>1088</v>
      </c>
      <c r="HD5" s="54"/>
      <c r="HE5" s="54" t="s">
        <v>1087</v>
      </c>
      <c r="HF5" s="54"/>
      <c r="HG5" s="54" t="s">
        <v>1088</v>
      </c>
      <c r="HH5" s="54"/>
      <c r="HI5" s="54" t="s">
        <v>1087</v>
      </c>
      <c r="HJ5" s="54"/>
      <c r="HK5" s="54" t="s">
        <v>1088</v>
      </c>
      <c r="HL5" s="54"/>
      <c r="HM5" s="54" t="s">
        <v>1087</v>
      </c>
      <c r="HN5" s="54"/>
      <c r="HO5" s="54" t="s">
        <v>1088</v>
      </c>
      <c r="HP5" s="54"/>
      <c r="HQ5" s="54" t="s">
        <v>1087</v>
      </c>
      <c r="HR5" s="54"/>
      <c r="HS5" s="54" t="s">
        <v>1088</v>
      </c>
      <c r="HT5" s="54"/>
      <c r="HU5" s="54" t="s">
        <v>1087</v>
      </c>
      <c r="HV5" s="54"/>
      <c r="HW5" s="54" t="s">
        <v>1088</v>
      </c>
      <c r="HX5" s="54"/>
      <c r="HY5" s="54" t="s">
        <v>1087</v>
      </c>
      <c r="HZ5" s="54"/>
      <c r="IA5" s="54" t="s">
        <v>1088</v>
      </c>
      <c r="IB5" s="54"/>
      <c r="IC5" s="54" t="s">
        <v>1087</v>
      </c>
      <c r="ID5" s="54"/>
      <c r="IE5" s="54" t="s">
        <v>1088</v>
      </c>
      <c r="IF5" s="54"/>
      <c r="IG5" s="54" t="s">
        <v>1087</v>
      </c>
      <c r="IH5" s="54"/>
      <c r="II5" s="54" t="s">
        <v>1088</v>
      </c>
      <c r="IJ5" s="54"/>
      <c r="IK5" s="54" t="s">
        <v>1087</v>
      </c>
      <c r="IL5" s="54"/>
      <c r="IM5" s="54" t="s">
        <v>1088</v>
      </c>
      <c r="IN5" s="54"/>
      <c r="IO5" s="54" t="s">
        <v>1087</v>
      </c>
      <c r="IP5" s="54"/>
      <c r="IQ5" s="54" t="s">
        <v>1088</v>
      </c>
      <c r="IR5" s="54"/>
      <c r="IS5" s="54" t="s">
        <v>1087</v>
      </c>
      <c r="IT5" s="54"/>
      <c r="IU5" s="54" t="s">
        <v>1088</v>
      </c>
      <c r="IV5" s="54"/>
      <c r="IW5" s="54" t="s">
        <v>1087</v>
      </c>
      <c r="IX5" s="54"/>
      <c r="IY5" s="54" t="s">
        <v>1088</v>
      </c>
      <c r="IZ5" s="54"/>
      <c r="JA5" s="54" t="s">
        <v>1087</v>
      </c>
      <c r="JB5" s="54"/>
      <c r="JC5" s="54" t="s">
        <v>1088</v>
      </c>
      <c r="JD5" s="54"/>
      <c r="JE5" s="54" t="s">
        <v>1087</v>
      </c>
      <c r="JF5" s="54"/>
      <c r="JG5" s="54" t="s">
        <v>1088</v>
      </c>
      <c r="JH5" s="54"/>
      <c r="JI5" s="54" t="s">
        <v>1087</v>
      </c>
      <c r="JJ5" s="54"/>
      <c r="JK5" s="54" t="s">
        <v>1088</v>
      </c>
      <c r="JL5" s="54"/>
      <c r="JM5" s="54" t="s">
        <v>1087</v>
      </c>
      <c r="JN5" s="54"/>
      <c r="JO5" s="54" t="s">
        <v>1088</v>
      </c>
      <c r="JP5" s="54"/>
      <c r="JQ5" s="54" t="s">
        <v>1087</v>
      </c>
      <c r="JR5" s="54"/>
      <c r="JS5" s="54" t="s">
        <v>1088</v>
      </c>
      <c r="JT5" s="54"/>
      <c r="JU5" s="54" t="s">
        <v>1087</v>
      </c>
      <c r="JV5" s="54"/>
      <c r="JW5" s="54" t="s">
        <v>1088</v>
      </c>
      <c r="JX5" s="54"/>
      <c r="JY5" s="54" t="s">
        <v>1087</v>
      </c>
      <c r="JZ5" s="54"/>
      <c r="KA5" s="54" t="s">
        <v>1088</v>
      </c>
      <c r="KB5" s="54"/>
      <c r="KC5" s="54" t="s">
        <v>1087</v>
      </c>
      <c r="KD5" s="54"/>
      <c r="KE5" s="54" t="s">
        <v>1088</v>
      </c>
      <c r="KF5" s="54"/>
      <c r="KG5" s="54" t="s">
        <v>1087</v>
      </c>
      <c r="KH5" s="54"/>
      <c r="KI5" s="54" t="s">
        <v>1088</v>
      </c>
      <c r="KJ5" s="54"/>
      <c r="KK5" s="54" t="s">
        <v>1087</v>
      </c>
      <c r="KL5" s="54"/>
      <c r="KM5" s="54" t="s">
        <v>1088</v>
      </c>
      <c r="KN5" s="54"/>
      <c r="KO5" s="54" t="s">
        <v>1087</v>
      </c>
      <c r="KP5" s="54"/>
      <c r="KQ5" s="54" t="s">
        <v>1088</v>
      </c>
      <c r="KR5" s="54"/>
      <c r="KS5" s="54" t="s">
        <v>1087</v>
      </c>
      <c r="KT5" s="54"/>
      <c r="KU5" s="54" t="s">
        <v>1088</v>
      </c>
      <c r="KV5" s="54"/>
      <c r="KW5" s="55"/>
      <c r="KX5" s="56"/>
      <c r="KY5" s="56"/>
    </row>
    <row r="6" spans="1:313" x14ac:dyDescent="0.25">
      <c r="E6" s="17" t="s">
        <v>57</v>
      </c>
      <c r="F6" s="17" t="s">
        <v>58</v>
      </c>
      <c r="G6" s="17" t="s">
        <v>57</v>
      </c>
      <c r="H6" s="17" t="s">
        <v>58</v>
      </c>
      <c r="I6" s="17" t="s">
        <v>57</v>
      </c>
      <c r="J6" s="17" t="s">
        <v>58</v>
      </c>
      <c r="K6" s="17" t="s">
        <v>57</v>
      </c>
      <c r="L6" s="17" t="s">
        <v>58</v>
      </c>
      <c r="M6" s="17" t="s">
        <v>57</v>
      </c>
      <c r="N6" s="17" t="s">
        <v>58</v>
      </c>
      <c r="O6" s="17" t="s">
        <v>57</v>
      </c>
      <c r="P6" s="17" t="s">
        <v>58</v>
      </c>
      <c r="Q6" s="17" t="s">
        <v>57</v>
      </c>
      <c r="R6" s="17" t="s">
        <v>58</v>
      </c>
      <c r="S6" s="17" t="s">
        <v>57</v>
      </c>
      <c r="T6" s="17" t="s">
        <v>58</v>
      </c>
      <c r="U6" s="17" t="s">
        <v>57</v>
      </c>
      <c r="V6" s="17" t="s">
        <v>58</v>
      </c>
      <c r="W6" s="17" t="s">
        <v>57</v>
      </c>
      <c r="X6" s="17" t="s">
        <v>58</v>
      </c>
      <c r="Y6" s="17" t="s">
        <v>57</v>
      </c>
      <c r="Z6" s="17" t="s">
        <v>58</v>
      </c>
      <c r="AA6" s="17" t="s">
        <v>57</v>
      </c>
      <c r="AB6" s="17" t="s">
        <v>58</v>
      </c>
      <c r="AC6" s="17" t="s">
        <v>57</v>
      </c>
      <c r="AD6" s="17" t="s">
        <v>58</v>
      </c>
      <c r="AE6" s="17" t="s">
        <v>57</v>
      </c>
      <c r="AF6" s="17" t="s">
        <v>58</v>
      </c>
      <c r="AG6" s="17" t="s">
        <v>57</v>
      </c>
      <c r="AH6" s="17" t="s">
        <v>58</v>
      </c>
      <c r="AI6" s="17" t="s">
        <v>57</v>
      </c>
      <c r="AJ6" s="17" t="s">
        <v>58</v>
      </c>
      <c r="AK6" s="17" t="s">
        <v>57</v>
      </c>
      <c r="AL6" s="17" t="s">
        <v>58</v>
      </c>
      <c r="AM6" s="17" t="s">
        <v>57</v>
      </c>
      <c r="AN6" s="17" t="s">
        <v>58</v>
      </c>
      <c r="AO6" s="17" t="s">
        <v>57</v>
      </c>
      <c r="AP6" s="17" t="s">
        <v>58</v>
      </c>
      <c r="AQ6" s="17" t="s">
        <v>57</v>
      </c>
      <c r="AR6" s="17" t="s">
        <v>58</v>
      </c>
      <c r="AS6" s="17" t="s">
        <v>57</v>
      </c>
      <c r="AT6" s="17" t="s">
        <v>58</v>
      </c>
      <c r="AU6" s="17" t="s">
        <v>57</v>
      </c>
      <c r="AV6" s="17" t="s">
        <v>58</v>
      </c>
      <c r="AW6" s="17" t="s">
        <v>57</v>
      </c>
      <c r="AX6" s="17" t="s">
        <v>58</v>
      </c>
      <c r="AY6" s="17" t="s">
        <v>57</v>
      </c>
      <c r="AZ6" s="17" t="s">
        <v>58</v>
      </c>
      <c r="BA6" s="17" t="s">
        <v>57</v>
      </c>
      <c r="BB6" s="17" t="s">
        <v>58</v>
      </c>
      <c r="BC6" s="17" t="s">
        <v>57</v>
      </c>
      <c r="BD6" s="17" t="s">
        <v>58</v>
      </c>
      <c r="BE6" s="17" t="s">
        <v>57</v>
      </c>
      <c r="BF6" s="17" t="s">
        <v>58</v>
      </c>
      <c r="BG6" s="17" t="s">
        <v>57</v>
      </c>
      <c r="BH6" s="17" t="s">
        <v>58</v>
      </c>
      <c r="BI6" s="17" t="s">
        <v>57</v>
      </c>
      <c r="BJ6" s="17" t="s">
        <v>58</v>
      </c>
      <c r="BK6" s="17" t="s">
        <v>57</v>
      </c>
      <c r="BL6" s="17" t="s">
        <v>58</v>
      </c>
      <c r="BM6" s="17" t="s">
        <v>57</v>
      </c>
      <c r="BN6" s="17" t="s">
        <v>58</v>
      </c>
      <c r="BO6" s="17" t="s">
        <v>57</v>
      </c>
      <c r="BP6" s="17" t="s">
        <v>58</v>
      </c>
      <c r="BQ6" s="17" t="s">
        <v>57</v>
      </c>
      <c r="BR6" s="17" t="s">
        <v>58</v>
      </c>
      <c r="BS6" s="17" t="s">
        <v>57</v>
      </c>
      <c r="BT6" s="17" t="s">
        <v>58</v>
      </c>
      <c r="BU6" s="17" t="s">
        <v>57</v>
      </c>
      <c r="BV6" s="17" t="s">
        <v>58</v>
      </c>
      <c r="BW6" s="17" t="s">
        <v>57</v>
      </c>
      <c r="BX6" s="17" t="s">
        <v>58</v>
      </c>
      <c r="BY6" s="17" t="s">
        <v>57</v>
      </c>
      <c r="BZ6" s="17" t="s">
        <v>58</v>
      </c>
      <c r="CA6" s="17" t="s">
        <v>57</v>
      </c>
      <c r="CB6" s="17" t="s">
        <v>58</v>
      </c>
      <c r="CC6" s="17" t="s">
        <v>57</v>
      </c>
      <c r="CD6" s="17" t="s">
        <v>58</v>
      </c>
      <c r="CE6" s="17" t="s">
        <v>57</v>
      </c>
      <c r="CF6" s="17" t="s">
        <v>58</v>
      </c>
      <c r="CG6" s="17" t="s">
        <v>57</v>
      </c>
      <c r="CH6" s="17" t="s">
        <v>58</v>
      </c>
      <c r="CI6" s="17" t="s">
        <v>57</v>
      </c>
      <c r="CJ6" s="17" t="s">
        <v>58</v>
      </c>
      <c r="CK6" s="17" t="s">
        <v>57</v>
      </c>
      <c r="CL6" s="17" t="s">
        <v>58</v>
      </c>
      <c r="CM6" s="17" t="s">
        <v>57</v>
      </c>
      <c r="CN6" s="17" t="s">
        <v>58</v>
      </c>
      <c r="CO6" s="17" t="s">
        <v>57</v>
      </c>
      <c r="CP6" s="17" t="s">
        <v>58</v>
      </c>
      <c r="CQ6" s="17" t="s">
        <v>57</v>
      </c>
      <c r="CR6" s="17" t="s">
        <v>58</v>
      </c>
      <c r="CS6" s="17" t="s">
        <v>57</v>
      </c>
      <c r="CT6" s="17" t="s">
        <v>58</v>
      </c>
      <c r="CU6" s="17" t="s">
        <v>57</v>
      </c>
      <c r="CV6" s="17" t="s">
        <v>58</v>
      </c>
      <c r="CW6" s="17" t="s">
        <v>57</v>
      </c>
      <c r="CX6" s="17" t="s">
        <v>58</v>
      </c>
      <c r="CY6" s="17" t="s">
        <v>57</v>
      </c>
      <c r="CZ6" s="17" t="s">
        <v>58</v>
      </c>
      <c r="DA6" s="17" t="s">
        <v>57</v>
      </c>
      <c r="DB6" s="17" t="s">
        <v>58</v>
      </c>
      <c r="DC6" s="17" t="s">
        <v>57</v>
      </c>
      <c r="DD6" s="17" t="s">
        <v>58</v>
      </c>
      <c r="DE6" s="17" t="s">
        <v>57</v>
      </c>
      <c r="DF6" s="17" t="s">
        <v>58</v>
      </c>
      <c r="DG6" s="17" t="s">
        <v>57</v>
      </c>
      <c r="DH6" s="17" t="s">
        <v>58</v>
      </c>
      <c r="DI6" s="17" t="s">
        <v>57</v>
      </c>
      <c r="DJ6" s="17" t="s">
        <v>58</v>
      </c>
      <c r="DK6" s="17" t="s">
        <v>57</v>
      </c>
      <c r="DL6" s="17" t="s">
        <v>58</v>
      </c>
      <c r="DM6" s="17" t="s">
        <v>57</v>
      </c>
      <c r="DN6" s="17" t="s">
        <v>58</v>
      </c>
      <c r="DO6" s="17" t="s">
        <v>57</v>
      </c>
      <c r="DP6" s="17" t="s">
        <v>58</v>
      </c>
      <c r="DQ6" s="17" t="s">
        <v>57</v>
      </c>
      <c r="DR6" s="17" t="s">
        <v>58</v>
      </c>
      <c r="DS6" s="17" t="s">
        <v>57</v>
      </c>
      <c r="DT6" s="17" t="s">
        <v>58</v>
      </c>
      <c r="DU6" s="17" t="s">
        <v>57</v>
      </c>
      <c r="DV6" s="17" t="s">
        <v>58</v>
      </c>
      <c r="DW6" s="17" t="s">
        <v>57</v>
      </c>
      <c r="DX6" s="17" t="s">
        <v>58</v>
      </c>
      <c r="DY6" s="17" t="s">
        <v>57</v>
      </c>
      <c r="DZ6" s="17" t="s">
        <v>58</v>
      </c>
      <c r="EA6" s="17" t="s">
        <v>57</v>
      </c>
      <c r="EB6" s="17" t="s">
        <v>58</v>
      </c>
      <c r="EC6" s="17" t="s">
        <v>57</v>
      </c>
      <c r="ED6" s="17" t="s">
        <v>58</v>
      </c>
      <c r="EE6" s="17" t="s">
        <v>57</v>
      </c>
      <c r="EF6" s="17" t="s">
        <v>58</v>
      </c>
      <c r="EG6" s="17" t="s">
        <v>57</v>
      </c>
      <c r="EH6" s="17" t="s">
        <v>58</v>
      </c>
      <c r="EI6" s="17" t="s">
        <v>57</v>
      </c>
      <c r="EJ6" s="17" t="s">
        <v>58</v>
      </c>
      <c r="EK6" s="17" t="s">
        <v>57</v>
      </c>
      <c r="EL6" s="17" t="s">
        <v>58</v>
      </c>
      <c r="EM6" s="17" t="s">
        <v>57</v>
      </c>
      <c r="EN6" s="17" t="s">
        <v>58</v>
      </c>
      <c r="EO6" s="17" t="s">
        <v>57</v>
      </c>
      <c r="EP6" s="17" t="s">
        <v>58</v>
      </c>
      <c r="EQ6" s="17" t="s">
        <v>57</v>
      </c>
      <c r="ER6" s="17" t="s">
        <v>58</v>
      </c>
      <c r="ES6" s="17" t="s">
        <v>57</v>
      </c>
      <c r="ET6" s="17" t="s">
        <v>58</v>
      </c>
      <c r="EU6" s="17" t="s">
        <v>57</v>
      </c>
      <c r="EV6" s="17" t="s">
        <v>58</v>
      </c>
      <c r="EW6" s="17" t="s">
        <v>57</v>
      </c>
      <c r="EX6" s="17" t="s">
        <v>58</v>
      </c>
      <c r="EY6" s="17" t="s">
        <v>57</v>
      </c>
      <c r="EZ6" s="17" t="s">
        <v>58</v>
      </c>
      <c r="FA6" s="17" t="s">
        <v>57</v>
      </c>
      <c r="FB6" s="17" t="s">
        <v>58</v>
      </c>
      <c r="FC6" s="17" t="s">
        <v>57</v>
      </c>
      <c r="FD6" s="17" t="s">
        <v>58</v>
      </c>
      <c r="FE6" s="17" t="s">
        <v>57</v>
      </c>
      <c r="FF6" s="17" t="s">
        <v>58</v>
      </c>
      <c r="FG6" s="17" t="s">
        <v>57</v>
      </c>
      <c r="FH6" s="17" t="s">
        <v>58</v>
      </c>
      <c r="FI6" s="17" t="s">
        <v>57</v>
      </c>
      <c r="FJ6" s="17" t="s">
        <v>58</v>
      </c>
      <c r="FK6" s="17" t="s">
        <v>57</v>
      </c>
      <c r="FL6" s="17" t="s">
        <v>58</v>
      </c>
      <c r="FM6" s="17" t="s">
        <v>57</v>
      </c>
      <c r="FN6" s="17" t="s">
        <v>58</v>
      </c>
      <c r="FO6" s="17" t="s">
        <v>57</v>
      </c>
      <c r="FP6" s="17" t="s">
        <v>58</v>
      </c>
      <c r="FQ6" s="17" t="s">
        <v>57</v>
      </c>
      <c r="FR6" s="17" t="s">
        <v>58</v>
      </c>
      <c r="FS6" s="17" t="s">
        <v>57</v>
      </c>
      <c r="FT6" s="17" t="s">
        <v>58</v>
      </c>
      <c r="FU6" s="17" t="s">
        <v>57</v>
      </c>
      <c r="FV6" s="17" t="s">
        <v>58</v>
      </c>
      <c r="FW6" s="17" t="s">
        <v>57</v>
      </c>
      <c r="FX6" s="17" t="s">
        <v>58</v>
      </c>
      <c r="FY6" s="17" t="s">
        <v>57</v>
      </c>
      <c r="FZ6" s="17" t="s">
        <v>58</v>
      </c>
      <c r="GA6" s="17" t="s">
        <v>57</v>
      </c>
      <c r="GB6" s="17" t="s">
        <v>58</v>
      </c>
      <c r="GC6" s="17" t="s">
        <v>57</v>
      </c>
      <c r="GD6" s="17" t="s">
        <v>58</v>
      </c>
      <c r="GE6" s="17" t="s">
        <v>57</v>
      </c>
      <c r="GF6" s="17" t="s">
        <v>58</v>
      </c>
      <c r="GG6" s="17" t="s">
        <v>57</v>
      </c>
      <c r="GH6" s="17" t="s">
        <v>58</v>
      </c>
      <c r="GI6" s="17" t="s">
        <v>57</v>
      </c>
      <c r="GJ6" s="17" t="s">
        <v>58</v>
      </c>
      <c r="GK6" s="17" t="s">
        <v>57</v>
      </c>
      <c r="GL6" s="17" t="s">
        <v>58</v>
      </c>
      <c r="GM6" s="17" t="s">
        <v>57</v>
      </c>
      <c r="GN6" s="17" t="s">
        <v>58</v>
      </c>
      <c r="GO6" s="17" t="s">
        <v>57</v>
      </c>
      <c r="GP6" s="17" t="s">
        <v>58</v>
      </c>
      <c r="GQ6" s="17" t="s">
        <v>57</v>
      </c>
      <c r="GR6" s="17" t="s">
        <v>58</v>
      </c>
      <c r="GS6" s="17" t="s">
        <v>57</v>
      </c>
      <c r="GT6" s="17" t="s">
        <v>58</v>
      </c>
      <c r="GU6" s="17" t="s">
        <v>57</v>
      </c>
      <c r="GV6" s="17" t="s">
        <v>58</v>
      </c>
      <c r="GW6" s="17" t="s">
        <v>57</v>
      </c>
      <c r="GX6" s="17" t="s">
        <v>58</v>
      </c>
      <c r="GY6" s="17" t="s">
        <v>57</v>
      </c>
      <c r="GZ6" s="17" t="s">
        <v>58</v>
      </c>
      <c r="HA6" s="17" t="s">
        <v>57</v>
      </c>
      <c r="HB6" s="17" t="s">
        <v>58</v>
      </c>
      <c r="HC6" s="17" t="s">
        <v>57</v>
      </c>
      <c r="HD6" s="17" t="s">
        <v>58</v>
      </c>
      <c r="HE6" s="17" t="s">
        <v>57</v>
      </c>
      <c r="HF6" s="17" t="s">
        <v>58</v>
      </c>
      <c r="HG6" s="17" t="s">
        <v>57</v>
      </c>
      <c r="HH6" s="17" t="s">
        <v>58</v>
      </c>
      <c r="HI6" s="17" t="s">
        <v>57</v>
      </c>
      <c r="HJ6" s="17" t="s">
        <v>58</v>
      </c>
      <c r="HK6" s="17" t="s">
        <v>57</v>
      </c>
      <c r="HL6" s="17" t="s">
        <v>58</v>
      </c>
      <c r="HM6" s="17" t="s">
        <v>57</v>
      </c>
      <c r="HN6" s="17" t="s">
        <v>58</v>
      </c>
      <c r="HO6" s="17" t="s">
        <v>57</v>
      </c>
      <c r="HP6" s="17" t="s">
        <v>58</v>
      </c>
      <c r="HQ6" s="17" t="s">
        <v>57</v>
      </c>
      <c r="HR6" s="17" t="s">
        <v>58</v>
      </c>
      <c r="HS6" s="17" t="s">
        <v>57</v>
      </c>
      <c r="HT6" s="17" t="s">
        <v>58</v>
      </c>
      <c r="HU6" s="17" t="s">
        <v>57</v>
      </c>
      <c r="HV6" s="17" t="s">
        <v>58</v>
      </c>
      <c r="HW6" s="17" t="s">
        <v>57</v>
      </c>
      <c r="HX6" s="17" t="s">
        <v>58</v>
      </c>
      <c r="HY6" s="17" t="s">
        <v>57</v>
      </c>
      <c r="HZ6" s="17" t="s">
        <v>58</v>
      </c>
      <c r="IA6" s="17" t="s">
        <v>57</v>
      </c>
      <c r="IB6" s="17" t="s">
        <v>58</v>
      </c>
      <c r="IC6" s="17" t="s">
        <v>57</v>
      </c>
      <c r="ID6" s="17" t="s">
        <v>58</v>
      </c>
      <c r="IE6" s="17" t="s">
        <v>57</v>
      </c>
      <c r="IF6" s="17" t="s">
        <v>58</v>
      </c>
      <c r="IG6" s="17" t="s">
        <v>57</v>
      </c>
      <c r="IH6" s="17" t="s">
        <v>58</v>
      </c>
      <c r="II6" s="17" t="s">
        <v>57</v>
      </c>
      <c r="IJ6" s="17" t="s">
        <v>58</v>
      </c>
      <c r="IK6" s="17" t="s">
        <v>57</v>
      </c>
      <c r="IL6" s="17" t="s">
        <v>58</v>
      </c>
      <c r="IM6" s="17" t="s">
        <v>57</v>
      </c>
      <c r="IN6" s="17" t="s">
        <v>58</v>
      </c>
      <c r="IO6" s="17" t="s">
        <v>57</v>
      </c>
      <c r="IP6" s="17" t="s">
        <v>58</v>
      </c>
      <c r="IQ6" s="17" t="s">
        <v>57</v>
      </c>
      <c r="IR6" s="17" t="s">
        <v>58</v>
      </c>
      <c r="IS6" s="17" t="s">
        <v>57</v>
      </c>
      <c r="IT6" s="17" t="s">
        <v>58</v>
      </c>
      <c r="IU6" s="17" t="s">
        <v>57</v>
      </c>
      <c r="IV6" s="17" t="s">
        <v>58</v>
      </c>
      <c r="IW6" s="17" t="s">
        <v>57</v>
      </c>
      <c r="IX6" s="17" t="s">
        <v>58</v>
      </c>
      <c r="IY6" s="17" t="s">
        <v>57</v>
      </c>
      <c r="IZ6" s="17" t="s">
        <v>58</v>
      </c>
      <c r="JA6" s="17" t="s">
        <v>57</v>
      </c>
      <c r="JB6" s="17" t="s">
        <v>58</v>
      </c>
      <c r="JC6" s="17" t="s">
        <v>57</v>
      </c>
      <c r="JD6" s="17" t="s">
        <v>58</v>
      </c>
      <c r="JE6" s="17" t="s">
        <v>57</v>
      </c>
      <c r="JF6" s="17" t="s">
        <v>58</v>
      </c>
      <c r="JG6" s="17" t="s">
        <v>57</v>
      </c>
      <c r="JH6" s="17" t="s">
        <v>58</v>
      </c>
      <c r="JI6" s="17" t="s">
        <v>57</v>
      </c>
      <c r="JJ6" s="17" t="s">
        <v>58</v>
      </c>
      <c r="JK6" s="17" t="s">
        <v>57</v>
      </c>
      <c r="JL6" s="17" t="s">
        <v>58</v>
      </c>
      <c r="JM6" s="17" t="s">
        <v>57</v>
      </c>
      <c r="JN6" s="17" t="s">
        <v>58</v>
      </c>
      <c r="JO6" s="17" t="s">
        <v>57</v>
      </c>
      <c r="JP6" s="17" t="s">
        <v>58</v>
      </c>
      <c r="JQ6" s="17" t="s">
        <v>57</v>
      </c>
      <c r="JR6" s="17" t="s">
        <v>58</v>
      </c>
      <c r="JS6" s="17" t="s">
        <v>57</v>
      </c>
      <c r="JT6" s="17" t="s">
        <v>58</v>
      </c>
      <c r="JU6" s="17" t="s">
        <v>57</v>
      </c>
      <c r="JV6" s="17" t="s">
        <v>58</v>
      </c>
      <c r="JW6" s="17" t="s">
        <v>57</v>
      </c>
      <c r="JX6" s="17" t="s">
        <v>58</v>
      </c>
      <c r="JY6" s="17" t="s">
        <v>57</v>
      </c>
      <c r="JZ6" s="17" t="s">
        <v>58</v>
      </c>
      <c r="KA6" s="17" t="s">
        <v>57</v>
      </c>
      <c r="KB6" s="17" t="s">
        <v>58</v>
      </c>
      <c r="KC6" s="17" t="s">
        <v>57</v>
      </c>
      <c r="KD6" s="17" t="s">
        <v>58</v>
      </c>
      <c r="KE6" s="17" t="s">
        <v>57</v>
      </c>
      <c r="KF6" s="17" t="s">
        <v>58</v>
      </c>
      <c r="KG6" s="17" t="s">
        <v>57</v>
      </c>
      <c r="KH6" s="17" t="s">
        <v>58</v>
      </c>
      <c r="KI6" s="17" t="s">
        <v>57</v>
      </c>
      <c r="KJ6" s="17" t="s">
        <v>58</v>
      </c>
      <c r="KK6" s="17" t="s">
        <v>57</v>
      </c>
      <c r="KL6" s="17" t="s">
        <v>58</v>
      </c>
      <c r="KM6" s="17" t="s">
        <v>57</v>
      </c>
      <c r="KN6" s="17" t="s">
        <v>58</v>
      </c>
      <c r="KO6" s="17" t="s">
        <v>57</v>
      </c>
      <c r="KP6" s="17" t="s">
        <v>58</v>
      </c>
      <c r="KQ6" s="17" t="s">
        <v>57</v>
      </c>
      <c r="KR6" s="17" t="s">
        <v>58</v>
      </c>
      <c r="KS6" s="17" t="s">
        <v>57</v>
      </c>
      <c r="KT6" s="17" t="s">
        <v>58</v>
      </c>
      <c r="KU6" s="17" t="s">
        <v>57</v>
      </c>
      <c r="KV6" s="17" t="s">
        <v>58</v>
      </c>
      <c r="KW6" s="17" t="s">
        <v>57</v>
      </c>
      <c r="KX6" s="17" t="s">
        <v>58</v>
      </c>
      <c r="KY6" s="18" t="s">
        <v>53</v>
      </c>
    </row>
    <row r="7" spans="1:313" x14ac:dyDescent="0.25">
      <c r="E7">
        <f t="shared" ref="E7:BP7" si="0">SUM(E9:E24)</f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  <c r="BN7">
        <f t="shared" si="0"/>
        <v>0</v>
      </c>
      <c r="BO7">
        <f t="shared" si="0"/>
        <v>0</v>
      </c>
      <c r="BP7">
        <f t="shared" si="0"/>
        <v>0</v>
      </c>
      <c r="BQ7">
        <f t="shared" ref="BQ7:EB7" si="1">SUM(BQ9:BQ24)</f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0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0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0</v>
      </c>
      <c r="CJ7">
        <f t="shared" si="1"/>
        <v>0</v>
      </c>
      <c r="CK7">
        <f t="shared" si="1"/>
        <v>0</v>
      </c>
      <c r="CL7">
        <f t="shared" si="1"/>
        <v>0</v>
      </c>
      <c r="CM7">
        <f t="shared" si="1"/>
        <v>0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0</v>
      </c>
      <c r="CU7">
        <f t="shared" si="1"/>
        <v>0</v>
      </c>
      <c r="CV7">
        <f t="shared" si="1"/>
        <v>0</v>
      </c>
      <c r="CW7">
        <f t="shared" si="1"/>
        <v>1</v>
      </c>
      <c r="CX7">
        <f t="shared" si="1"/>
        <v>0</v>
      </c>
      <c r="CY7">
        <f t="shared" si="1"/>
        <v>0</v>
      </c>
      <c r="CZ7">
        <f t="shared" si="1"/>
        <v>0</v>
      </c>
      <c r="DA7">
        <f t="shared" si="1"/>
        <v>0</v>
      </c>
      <c r="DB7">
        <f t="shared" si="1"/>
        <v>0</v>
      </c>
      <c r="DC7">
        <f t="shared" si="1"/>
        <v>1</v>
      </c>
      <c r="DD7">
        <f t="shared" si="1"/>
        <v>0</v>
      </c>
      <c r="DE7">
        <f t="shared" si="1"/>
        <v>0</v>
      </c>
      <c r="DF7">
        <f t="shared" si="1"/>
        <v>0</v>
      </c>
      <c r="DG7">
        <f t="shared" si="1"/>
        <v>0</v>
      </c>
      <c r="DH7">
        <f t="shared" si="1"/>
        <v>0</v>
      </c>
      <c r="DI7">
        <f t="shared" si="1"/>
        <v>0</v>
      </c>
      <c r="DJ7">
        <f t="shared" si="1"/>
        <v>0</v>
      </c>
      <c r="DK7">
        <f t="shared" si="1"/>
        <v>0</v>
      </c>
      <c r="DL7">
        <f t="shared" si="1"/>
        <v>0</v>
      </c>
      <c r="DM7">
        <f t="shared" si="1"/>
        <v>0</v>
      </c>
      <c r="DN7">
        <f t="shared" si="1"/>
        <v>0</v>
      </c>
      <c r="DO7">
        <f t="shared" si="1"/>
        <v>0</v>
      </c>
      <c r="DP7">
        <f t="shared" si="1"/>
        <v>0</v>
      </c>
      <c r="DQ7">
        <f t="shared" si="1"/>
        <v>0</v>
      </c>
      <c r="DR7">
        <f t="shared" si="1"/>
        <v>0</v>
      </c>
      <c r="DS7">
        <f t="shared" si="1"/>
        <v>0</v>
      </c>
      <c r="DT7">
        <f t="shared" si="1"/>
        <v>0</v>
      </c>
      <c r="DU7">
        <f t="shared" si="1"/>
        <v>0</v>
      </c>
      <c r="DV7">
        <f t="shared" si="1"/>
        <v>0</v>
      </c>
      <c r="DW7">
        <f t="shared" si="1"/>
        <v>0</v>
      </c>
      <c r="DX7">
        <f t="shared" si="1"/>
        <v>0</v>
      </c>
      <c r="DY7">
        <f t="shared" si="1"/>
        <v>0</v>
      </c>
      <c r="DZ7">
        <f t="shared" si="1"/>
        <v>0</v>
      </c>
      <c r="EA7">
        <f t="shared" si="1"/>
        <v>0</v>
      </c>
      <c r="EB7">
        <f t="shared" si="1"/>
        <v>0</v>
      </c>
      <c r="EC7">
        <f t="shared" ref="EC7:GN7" si="2">SUM(EC9:EC24)</f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</v>
      </c>
      <c r="EP7">
        <f t="shared" si="2"/>
        <v>0</v>
      </c>
      <c r="EQ7">
        <f t="shared" si="2"/>
        <v>0</v>
      </c>
      <c r="ER7">
        <f t="shared" si="2"/>
        <v>0</v>
      </c>
      <c r="ES7">
        <f t="shared" si="2"/>
        <v>1</v>
      </c>
      <c r="ET7">
        <f t="shared" si="2"/>
        <v>0</v>
      </c>
      <c r="EU7">
        <f t="shared" si="2"/>
        <v>0</v>
      </c>
      <c r="EV7">
        <f t="shared" si="2"/>
        <v>0</v>
      </c>
      <c r="EW7">
        <f t="shared" si="2"/>
        <v>0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0</v>
      </c>
      <c r="FB7">
        <f t="shared" si="2"/>
        <v>0</v>
      </c>
      <c r="FC7">
        <f t="shared" si="2"/>
        <v>0</v>
      </c>
      <c r="FD7">
        <f t="shared" si="2"/>
        <v>0</v>
      </c>
      <c r="FE7">
        <f t="shared" si="2"/>
        <v>0</v>
      </c>
      <c r="FF7">
        <f t="shared" si="2"/>
        <v>0</v>
      </c>
      <c r="FG7">
        <f t="shared" si="2"/>
        <v>0</v>
      </c>
      <c r="FH7">
        <f t="shared" si="2"/>
        <v>0</v>
      </c>
      <c r="FI7">
        <f t="shared" si="2"/>
        <v>0</v>
      </c>
      <c r="FJ7">
        <f t="shared" si="2"/>
        <v>0</v>
      </c>
      <c r="FK7">
        <f t="shared" si="2"/>
        <v>0</v>
      </c>
      <c r="FL7">
        <f t="shared" si="2"/>
        <v>0</v>
      </c>
      <c r="FM7">
        <f t="shared" si="2"/>
        <v>0</v>
      </c>
      <c r="FN7">
        <f t="shared" si="2"/>
        <v>0</v>
      </c>
      <c r="FO7">
        <f t="shared" si="2"/>
        <v>0</v>
      </c>
      <c r="FP7">
        <f t="shared" si="2"/>
        <v>0</v>
      </c>
      <c r="FQ7">
        <f t="shared" si="2"/>
        <v>0</v>
      </c>
      <c r="FR7">
        <f t="shared" si="2"/>
        <v>0</v>
      </c>
      <c r="FS7">
        <f t="shared" si="2"/>
        <v>0</v>
      </c>
      <c r="FT7">
        <f t="shared" si="2"/>
        <v>0</v>
      </c>
      <c r="FU7">
        <f t="shared" si="2"/>
        <v>0</v>
      </c>
      <c r="FV7">
        <f t="shared" si="2"/>
        <v>0</v>
      </c>
      <c r="FW7">
        <f t="shared" si="2"/>
        <v>0</v>
      </c>
      <c r="FX7">
        <f t="shared" si="2"/>
        <v>0</v>
      </c>
      <c r="FY7">
        <f t="shared" si="2"/>
        <v>0</v>
      </c>
      <c r="FZ7">
        <f t="shared" si="2"/>
        <v>1</v>
      </c>
      <c r="GA7">
        <f t="shared" si="2"/>
        <v>0</v>
      </c>
      <c r="GB7">
        <f t="shared" si="2"/>
        <v>1</v>
      </c>
      <c r="GC7">
        <f t="shared" si="2"/>
        <v>0</v>
      </c>
      <c r="GD7">
        <f t="shared" si="2"/>
        <v>0</v>
      </c>
      <c r="GE7">
        <f t="shared" si="2"/>
        <v>1</v>
      </c>
      <c r="GF7">
        <f t="shared" si="2"/>
        <v>0</v>
      </c>
      <c r="GG7">
        <f t="shared" si="2"/>
        <v>0</v>
      </c>
      <c r="GH7">
        <f t="shared" si="2"/>
        <v>0</v>
      </c>
      <c r="GI7">
        <f t="shared" si="2"/>
        <v>0</v>
      </c>
      <c r="GJ7">
        <f t="shared" si="2"/>
        <v>0</v>
      </c>
      <c r="GK7">
        <f t="shared" si="2"/>
        <v>0</v>
      </c>
      <c r="GL7">
        <f t="shared" si="2"/>
        <v>0</v>
      </c>
      <c r="GM7">
        <f t="shared" si="2"/>
        <v>0</v>
      </c>
      <c r="GN7">
        <f t="shared" si="2"/>
        <v>0</v>
      </c>
      <c r="GO7">
        <f t="shared" ref="GO7:IZ7" si="3">SUM(GO9:GO24)</f>
        <v>0</v>
      </c>
      <c r="GP7">
        <f t="shared" si="3"/>
        <v>0</v>
      </c>
      <c r="GQ7">
        <f t="shared" si="3"/>
        <v>0</v>
      </c>
      <c r="GR7">
        <f t="shared" si="3"/>
        <v>0</v>
      </c>
      <c r="GS7">
        <f t="shared" si="3"/>
        <v>0</v>
      </c>
      <c r="GT7">
        <f t="shared" si="3"/>
        <v>0</v>
      </c>
      <c r="GU7">
        <f t="shared" si="3"/>
        <v>0</v>
      </c>
      <c r="GV7">
        <f t="shared" si="3"/>
        <v>0</v>
      </c>
      <c r="GW7">
        <f t="shared" si="3"/>
        <v>0</v>
      </c>
      <c r="GX7">
        <f t="shared" si="3"/>
        <v>0</v>
      </c>
      <c r="GY7">
        <f t="shared" si="3"/>
        <v>0</v>
      </c>
      <c r="GZ7">
        <f t="shared" si="3"/>
        <v>0</v>
      </c>
      <c r="HA7">
        <f t="shared" si="3"/>
        <v>0</v>
      </c>
      <c r="HB7">
        <f t="shared" si="3"/>
        <v>0</v>
      </c>
      <c r="HC7">
        <f t="shared" si="3"/>
        <v>0</v>
      </c>
      <c r="HD7">
        <f t="shared" si="3"/>
        <v>0</v>
      </c>
      <c r="HE7">
        <f t="shared" si="3"/>
        <v>0</v>
      </c>
      <c r="HF7">
        <f t="shared" si="3"/>
        <v>1</v>
      </c>
      <c r="HG7">
        <f t="shared" si="3"/>
        <v>0</v>
      </c>
      <c r="HH7">
        <f t="shared" si="3"/>
        <v>0</v>
      </c>
      <c r="HI7">
        <f t="shared" si="3"/>
        <v>0</v>
      </c>
      <c r="HJ7">
        <f t="shared" si="3"/>
        <v>0</v>
      </c>
      <c r="HK7">
        <f t="shared" si="3"/>
        <v>0</v>
      </c>
      <c r="HL7">
        <f t="shared" si="3"/>
        <v>0</v>
      </c>
      <c r="HM7">
        <f t="shared" si="3"/>
        <v>0</v>
      </c>
      <c r="HN7">
        <f t="shared" si="3"/>
        <v>0</v>
      </c>
      <c r="HO7">
        <f t="shared" si="3"/>
        <v>0</v>
      </c>
      <c r="HP7">
        <f t="shared" si="3"/>
        <v>0</v>
      </c>
      <c r="HQ7">
        <f t="shared" si="3"/>
        <v>0</v>
      </c>
      <c r="HR7">
        <f t="shared" si="3"/>
        <v>0</v>
      </c>
      <c r="HS7">
        <f t="shared" si="3"/>
        <v>0</v>
      </c>
      <c r="HT7">
        <f t="shared" si="3"/>
        <v>0</v>
      </c>
      <c r="HU7">
        <f t="shared" si="3"/>
        <v>6</v>
      </c>
      <c r="HV7">
        <f t="shared" si="3"/>
        <v>3</v>
      </c>
      <c r="HW7">
        <f t="shared" si="3"/>
        <v>1</v>
      </c>
      <c r="HX7">
        <f t="shared" si="3"/>
        <v>2</v>
      </c>
      <c r="HY7">
        <f t="shared" si="3"/>
        <v>0</v>
      </c>
      <c r="HZ7">
        <f t="shared" si="3"/>
        <v>0</v>
      </c>
      <c r="IA7">
        <f t="shared" si="3"/>
        <v>0</v>
      </c>
      <c r="IB7">
        <f t="shared" si="3"/>
        <v>0</v>
      </c>
      <c r="IC7">
        <f t="shared" si="3"/>
        <v>0</v>
      </c>
      <c r="ID7">
        <f t="shared" si="3"/>
        <v>0</v>
      </c>
      <c r="IE7">
        <f t="shared" si="3"/>
        <v>0</v>
      </c>
      <c r="IF7">
        <f t="shared" si="3"/>
        <v>0</v>
      </c>
      <c r="IG7">
        <f t="shared" si="3"/>
        <v>0</v>
      </c>
      <c r="IH7">
        <f t="shared" si="3"/>
        <v>0</v>
      </c>
      <c r="II7">
        <f t="shared" si="3"/>
        <v>0</v>
      </c>
      <c r="IJ7">
        <f t="shared" si="3"/>
        <v>0</v>
      </c>
      <c r="IK7">
        <f t="shared" si="3"/>
        <v>0</v>
      </c>
      <c r="IL7">
        <f t="shared" si="3"/>
        <v>0</v>
      </c>
      <c r="IM7">
        <f t="shared" si="3"/>
        <v>0</v>
      </c>
      <c r="IN7">
        <f t="shared" si="3"/>
        <v>0</v>
      </c>
      <c r="IO7">
        <f t="shared" si="3"/>
        <v>0</v>
      </c>
      <c r="IP7">
        <f t="shared" si="3"/>
        <v>0</v>
      </c>
      <c r="IQ7">
        <f t="shared" si="3"/>
        <v>0</v>
      </c>
      <c r="IR7">
        <f t="shared" si="3"/>
        <v>0</v>
      </c>
      <c r="IS7">
        <f t="shared" si="3"/>
        <v>0</v>
      </c>
      <c r="IT7">
        <f t="shared" si="3"/>
        <v>0</v>
      </c>
      <c r="IU7">
        <f t="shared" si="3"/>
        <v>0</v>
      </c>
      <c r="IV7">
        <f t="shared" si="3"/>
        <v>0</v>
      </c>
      <c r="IW7">
        <f t="shared" si="3"/>
        <v>0</v>
      </c>
      <c r="IX7">
        <f t="shared" si="3"/>
        <v>0</v>
      </c>
      <c r="IY7">
        <f t="shared" si="3"/>
        <v>0</v>
      </c>
      <c r="IZ7">
        <f t="shared" si="3"/>
        <v>0</v>
      </c>
      <c r="JA7">
        <f t="shared" ref="JA7:LA7" si="4">SUM(JA9:JA24)</f>
        <v>0</v>
      </c>
      <c r="JB7">
        <f t="shared" si="4"/>
        <v>0</v>
      </c>
      <c r="JC7">
        <f t="shared" si="4"/>
        <v>0</v>
      </c>
      <c r="JD7">
        <f t="shared" si="4"/>
        <v>0</v>
      </c>
      <c r="JE7">
        <f t="shared" si="4"/>
        <v>0</v>
      </c>
      <c r="JF7">
        <f t="shared" si="4"/>
        <v>0</v>
      </c>
      <c r="JG7">
        <f t="shared" si="4"/>
        <v>0</v>
      </c>
      <c r="JH7">
        <f t="shared" si="4"/>
        <v>0</v>
      </c>
      <c r="JI7">
        <f t="shared" si="4"/>
        <v>0</v>
      </c>
      <c r="JJ7">
        <f t="shared" si="4"/>
        <v>0</v>
      </c>
      <c r="JK7">
        <f t="shared" si="4"/>
        <v>0</v>
      </c>
      <c r="JL7">
        <f t="shared" si="4"/>
        <v>0</v>
      </c>
      <c r="JM7">
        <f t="shared" si="4"/>
        <v>0</v>
      </c>
      <c r="JN7">
        <f t="shared" si="4"/>
        <v>0</v>
      </c>
      <c r="JO7">
        <f t="shared" si="4"/>
        <v>0</v>
      </c>
      <c r="JP7">
        <f t="shared" si="4"/>
        <v>0</v>
      </c>
      <c r="JQ7">
        <f t="shared" si="4"/>
        <v>0</v>
      </c>
      <c r="JR7">
        <f t="shared" si="4"/>
        <v>0</v>
      </c>
      <c r="JS7">
        <f t="shared" si="4"/>
        <v>0</v>
      </c>
      <c r="JT7">
        <f t="shared" si="4"/>
        <v>0</v>
      </c>
      <c r="JU7">
        <f t="shared" si="4"/>
        <v>0</v>
      </c>
      <c r="JV7">
        <f t="shared" si="4"/>
        <v>0</v>
      </c>
      <c r="JW7">
        <f t="shared" si="4"/>
        <v>0</v>
      </c>
      <c r="JX7">
        <f t="shared" si="4"/>
        <v>0</v>
      </c>
      <c r="JY7">
        <f t="shared" si="4"/>
        <v>0</v>
      </c>
      <c r="JZ7">
        <f t="shared" si="4"/>
        <v>0</v>
      </c>
      <c r="KA7">
        <f t="shared" si="4"/>
        <v>0</v>
      </c>
      <c r="KB7">
        <f t="shared" si="4"/>
        <v>0</v>
      </c>
      <c r="KC7">
        <f t="shared" si="4"/>
        <v>0</v>
      </c>
      <c r="KD7">
        <f t="shared" si="4"/>
        <v>0</v>
      </c>
      <c r="KE7">
        <f t="shared" si="4"/>
        <v>0</v>
      </c>
      <c r="KF7">
        <f t="shared" si="4"/>
        <v>0</v>
      </c>
      <c r="KG7">
        <f t="shared" si="4"/>
        <v>0</v>
      </c>
      <c r="KH7">
        <f t="shared" si="4"/>
        <v>0</v>
      </c>
      <c r="KI7">
        <f t="shared" si="4"/>
        <v>0</v>
      </c>
      <c r="KJ7">
        <f t="shared" si="4"/>
        <v>0</v>
      </c>
      <c r="KK7">
        <f t="shared" si="4"/>
        <v>0</v>
      </c>
      <c r="KL7">
        <f t="shared" si="4"/>
        <v>0</v>
      </c>
      <c r="KM7">
        <f t="shared" si="4"/>
        <v>0</v>
      </c>
      <c r="KN7">
        <f t="shared" si="4"/>
        <v>0</v>
      </c>
      <c r="KO7">
        <f t="shared" si="4"/>
        <v>0</v>
      </c>
      <c r="KP7">
        <f t="shared" si="4"/>
        <v>0</v>
      </c>
      <c r="KQ7">
        <f t="shared" si="4"/>
        <v>0</v>
      </c>
      <c r="KR7">
        <f t="shared" si="4"/>
        <v>0</v>
      </c>
      <c r="KS7">
        <f t="shared" si="4"/>
        <v>0</v>
      </c>
      <c r="KT7">
        <f t="shared" si="4"/>
        <v>0</v>
      </c>
      <c r="KU7">
        <f t="shared" si="4"/>
        <v>0</v>
      </c>
      <c r="KV7">
        <f t="shared" si="4"/>
        <v>0</v>
      </c>
      <c r="KW7">
        <f t="shared" si="4"/>
        <v>11</v>
      </c>
      <c r="KX7">
        <f t="shared" si="4"/>
        <v>8</v>
      </c>
      <c r="KY7">
        <f t="shared" si="4"/>
        <v>19</v>
      </c>
      <c r="KZ7">
        <f t="shared" si="4"/>
        <v>19</v>
      </c>
      <c r="LA7">
        <f t="shared" si="4"/>
        <v>6</v>
      </c>
    </row>
    <row r="8" spans="1:313" x14ac:dyDescent="0.25">
      <c r="A8" s="1" t="s">
        <v>59</v>
      </c>
      <c r="B8" s="1" t="s">
        <v>60</v>
      </c>
      <c r="C8" s="1" t="s">
        <v>61</v>
      </c>
      <c r="D8" s="1" t="s">
        <v>62</v>
      </c>
      <c r="E8" s="1" t="s">
        <v>1089</v>
      </c>
      <c r="F8" s="1" t="s">
        <v>1090</v>
      </c>
      <c r="G8" s="1" t="s">
        <v>1091</v>
      </c>
      <c r="H8" s="1" t="s">
        <v>1092</v>
      </c>
      <c r="I8" s="1" t="s">
        <v>1093</v>
      </c>
      <c r="J8" s="1" t="s">
        <v>1094</v>
      </c>
      <c r="K8" s="1" t="s">
        <v>1095</v>
      </c>
      <c r="L8" s="1" t="s">
        <v>1096</v>
      </c>
      <c r="M8" s="1" t="s">
        <v>1097</v>
      </c>
      <c r="N8" s="1" t="s">
        <v>1098</v>
      </c>
      <c r="O8" s="1" t="s">
        <v>1099</v>
      </c>
      <c r="P8" s="1" t="s">
        <v>1100</v>
      </c>
      <c r="Q8" s="1" t="s">
        <v>1101</v>
      </c>
      <c r="R8" s="1" t="s">
        <v>1102</v>
      </c>
      <c r="S8" s="1" t="s">
        <v>1103</v>
      </c>
      <c r="T8" s="1" t="s">
        <v>1104</v>
      </c>
      <c r="U8" s="1" t="s">
        <v>1105</v>
      </c>
      <c r="V8" s="1" t="s">
        <v>1106</v>
      </c>
      <c r="W8" s="1" t="s">
        <v>1107</v>
      </c>
      <c r="X8" s="1" t="s">
        <v>1108</v>
      </c>
      <c r="Y8" s="1" t="s">
        <v>1109</v>
      </c>
      <c r="Z8" s="1" t="s">
        <v>1110</v>
      </c>
      <c r="AA8" s="1" t="s">
        <v>1111</v>
      </c>
      <c r="AB8" s="1" t="s">
        <v>1112</v>
      </c>
      <c r="AC8" s="1" t="s">
        <v>1113</v>
      </c>
      <c r="AD8" s="1" t="s">
        <v>1114</v>
      </c>
      <c r="AE8" s="1" t="s">
        <v>1115</v>
      </c>
      <c r="AF8" s="1" t="s">
        <v>1116</v>
      </c>
      <c r="AG8" s="1" t="s">
        <v>1117</v>
      </c>
      <c r="AH8" s="1" t="s">
        <v>1118</v>
      </c>
      <c r="AI8" s="1" t="s">
        <v>1119</v>
      </c>
      <c r="AJ8" s="1" t="s">
        <v>1120</v>
      </c>
      <c r="AK8" s="1" t="s">
        <v>1121</v>
      </c>
      <c r="AL8" s="1" t="s">
        <v>1122</v>
      </c>
      <c r="AM8" s="1" t="s">
        <v>1123</v>
      </c>
      <c r="AN8" s="1" t="s">
        <v>1124</v>
      </c>
      <c r="AO8" s="1" t="s">
        <v>1125</v>
      </c>
      <c r="AP8" s="1" t="s">
        <v>1126</v>
      </c>
      <c r="AQ8" s="1" t="s">
        <v>1127</v>
      </c>
      <c r="AR8" s="1" t="s">
        <v>1128</v>
      </c>
      <c r="AS8" s="1" t="s">
        <v>1129</v>
      </c>
      <c r="AT8" s="1" t="s">
        <v>1130</v>
      </c>
      <c r="AU8" s="1" t="s">
        <v>1131</v>
      </c>
      <c r="AV8" s="1" t="s">
        <v>1132</v>
      </c>
      <c r="AW8" s="1" t="s">
        <v>1133</v>
      </c>
      <c r="AX8" s="1" t="s">
        <v>1134</v>
      </c>
      <c r="AY8" s="1" t="s">
        <v>1135</v>
      </c>
      <c r="AZ8" s="1" t="s">
        <v>1136</v>
      </c>
      <c r="BA8" s="1" t="s">
        <v>1137</v>
      </c>
      <c r="BB8" s="1" t="s">
        <v>1138</v>
      </c>
      <c r="BC8" s="1" t="s">
        <v>1139</v>
      </c>
      <c r="BD8" s="1" t="s">
        <v>1140</v>
      </c>
      <c r="BE8" s="1" t="s">
        <v>1141</v>
      </c>
      <c r="BF8" s="1" t="s">
        <v>1142</v>
      </c>
      <c r="BG8" s="1" t="s">
        <v>1143</v>
      </c>
      <c r="BH8" s="1" t="s">
        <v>1144</v>
      </c>
      <c r="BI8" s="1" t="s">
        <v>1145</v>
      </c>
      <c r="BJ8" s="1" t="s">
        <v>1146</v>
      </c>
      <c r="BK8" s="1" t="s">
        <v>1147</v>
      </c>
      <c r="BL8" s="1" t="s">
        <v>1148</v>
      </c>
      <c r="BM8" s="1" t="s">
        <v>1149</v>
      </c>
      <c r="BN8" s="1" t="s">
        <v>1150</v>
      </c>
      <c r="BO8" s="1" t="s">
        <v>1151</v>
      </c>
      <c r="BP8" s="1" t="s">
        <v>1152</v>
      </c>
      <c r="BQ8" s="1" t="s">
        <v>1153</v>
      </c>
      <c r="BR8" s="1" t="s">
        <v>1154</v>
      </c>
      <c r="BS8" s="1" t="s">
        <v>1155</v>
      </c>
      <c r="BT8" s="1" t="s">
        <v>1156</v>
      </c>
      <c r="BU8" s="1" t="s">
        <v>1157</v>
      </c>
      <c r="BV8" s="1" t="s">
        <v>1158</v>
      </c>
      <c r="BW8" s="1" t="s">
        <v>1159</v>
      </c>
      <c r="BX8" s="1" t="s">
        <v>1160</v>
      </c>
      <c r="BY8" s="1" t="s">
        <v>1161</v>
      </c>
      <c r="BZ8" s="1" t="s">
        <v>1162</v>
      </c>
      <c r="CA8" s="1" t="s">
        <v>1163</v>
      </c>
      <c r="CB8" s="1" t="s">
        <v>1164</v>
      </c>
      <c r="CC8" s="1" t="s">
        <v>1165</v>
      </c>
      <c r="CD8" s="1" t="s">
        <v>1166</v>
      </c>
      <c r="CE8" s="1" t="s">
        <v>1167</v>
      </c>
      <c r="CF8" s="1" t="s">
        <v>1168</v>
      </c>
      <c r="CG8" s="1" t="s">
        <v>1169</v>
      </c>
      <c r="CH8" s="1" t="s">
        <v>1170</v>
      </c>
      <c r="CI8" s="1" t="s">
        <v>1171</v>
      </c>
      <c r="CJ8" s="1" t="s">
        <v>1172</v>
      </c>
      <c r="CK8" s="1" t="s">
        <v>1173</v>
      </c>
      <c r="CL8" s="1" t="s">
        <v>1174</v>
      </c>
      <c r="CM8" s="1" t="s">
        <v>1175</v>
      </c>
      <c r="CN8" s="1" t="s">
        <v>1176</v>
      </c>
      <c r="CO8" s="1" t="s">
        <v>1177</v>
      </c>
      <c r="CP8" s="1" t="s">
        <v>1178</v>
      </c>
      <c r="CQ8" s="1" t="s">
        <v>1179</v>
      </c>
      <c r="CR8" s="1" t="s">
        <v>1180</v>
      </c>
      <c r="CS8" s="1" t="s">
        <v>1181</v>
      </c>
      <c r="CT8" s="1" t="s">
        <v>1182</v>
      </c>
      <c r="CU8" s="1" t="s">
        <v>1183</v>
      </c>
      <c r="CV8" s="1" t="s">
        <v>1184</v>
      </c>
      <c r="CW8" s="1" t="s">
        <v>1185</v>
      </c>
      <c r="CX8" s="1" t="s">
        <v>1186</v>
      </c>
      <c r="CY8" s="1" t="s">
        <v>1187</v>
      </c>
      <c r="CZ8" s="1" t="s">
        <v>1188</v>
      </c>
      <c r="DA8" s="1" t="s">
        <v>1189</v>
      </c>
      <c r="DB8" s="1" t="s">
        <v>1190</v>
      </c>
      <c r="DC8" s="1" t="s">
        <v>1191</v>
      </c>
      <c r="DD8" s="1" t="s">
        <v>1192</v>
      </c>
      <c r="DE8" s="1" t="s">
        <v>1193</v>
      </c>
      <c r="DF8" s="1" t="s">
        <v>1194</v>
      </c>
      <c r="DG8" s="1" t="s">
        <v>1195</v>
      </c>
      <c r="DH8" s="1" t="s">
        <v>1196</v>
      </c>
      <c r="DI8" s="1" t="s">
        <v>1197</v>
      </c>
      <c r="DJ8" s="1" t="s">
        <v>1198</v>
      </c>
      <c r="DK8" s="1" t="s">
        <v>1199</v>
      </c>
      <c r="DL8" s="1" t="s">
        <v>1200</v>
      </c>
      <c r="DM8" s="1" t="s">
        <v>1201</v>
      </c>
      <c r="DN8" s="1" t="s">
        <v>1202</v>
      </c>
      <c r="DO8" s="1" t="s">
        <v>1203</v>
      </c>
      <c r="DP8" s="1" t="s">
        <v>1204</v>
      </c>
      <c r="DQ8" s="1" t="s">
        <v>1205</v>
      </c>
      <c r="DR8" s="1" t="s">
        <v>1206</v>
      </c>
      <c r="DS8" s="1" t="s">
        <v>1207</v>
      </c>
      <c r="DT8" s="1" t="s">
        <v>1208</v>
      </c>
      <c r="DU8" s="1" t="s">
        <v>1209</v>
      </c>
      <c r="DV8" s="1" t="s">
        <v>1210</v>
      </c>
      <c r="DW8" s="1" t="s">
        <v>1211</v>
      </c>
      <c r="DX8" s="1" t="s">
        <v>1212</v>
      </c>
      <c r="DY8" s="1" t="s">
        <v>1213</v>
      </c>
      <c r="DZ8" s="1" t="s">
        <v>1214</v>
      </c>
      <c r="EA8" s="1" t="s">
        <v>1215</v>
      </c>
      <c r="EB8" s="1" t="s">
        <v>1216</v>
      </c>
      <c r="EC8" s="1" t="s">
        <v>1217</v>
      </c>
      <c r="ED8" s="1" t="s">
        <v>1218</v>
      </c>
      <c r="EE8" s="1" t="s">
        <v>1219</v>
      </c>
      <c r="EF8" s="1" t="s">
        <v>1220</v>
      </c>
      <c r="EG8" s="1" t="s">
        <v>1221</v>
      </c>
      <c r="EH8" s="1" t="s">
        <v>1222</v>
      </c>
      <c r="EI8" s="1" t="s">
        <v>1223</v>
      </c>
      <c r="EJ8" s="1" t="s">
        <v>1224</v>
      </c>
      <c r="EK8" s="1" t="s">
        <v>1225</v>
      </c>
      <c r="EL8" s="1" t="s">
        <v>1226</v>
      </c>
      <c r="EM8" s="1" t="s">
        <v>1227</v>
      </c>
      <c r="EN8" s="1" t="s">
        <v>1228</v>
      </c>
      <c r="EO8" s="1" t="s">
        <v>1229</v>
      </c>
      <c r="EP8" s="1" t="s">
        <v>1230</v>
      </c>
      <c r="EQ8" s="1" t="s">
        <v>1231</v>
      </c>
      <c r="ER8" s="1" t="s">
        <v>1232</v>
      </c>
      <c r="ES8" s="1" t="s">
        <v>1233</v>
      </c>
      <c r="ET8" s="1" t="s">
        <v>1234</v>
      </c>
      <c r="EU8" s="1" t="s">
        <v>1235</v>
      </c>
      <c r="EV8" s="1" t="s">
        <v>1236</v>
      </c>
      <c r="EW8" s="1" t="s">
        <v>1237</v>
      </c>
      <c r="EX8" s="1" t="s">
        <v>1238</v>
      </c>
      <c r="EY8" s="1" t="s">
        <v>1239</v>
      </c>
      <c r="EZ8" s="1" t="s">
        <v>1240</v>
      </c>
      <c r="FA8" s="1" t="s">
        <v>1241</v>
      </c>
      <c r="FB8" s="1" t="s">
        <v>1242</v>
      </c>
      <c r="FC8" s="1" t="s">
        <v>1243</v>
      </c>
      <c r="FD8" s="1" t="s">
        <v>1244</v>
      </c>
      <c r="FE8" s="1" t="s">
        <v>1245</v>
      </c>
      <c r="FF8" s="1" t="s">
        <v>1246</v>
      </c>
      <c r="FG8" s="1" t="s">
        <v>1247</v>
      </c>
      <c r="FH8" s="1" t="s">
        <v>1248</v>
      </c>
      <c r="FI8" s="1" t="s">
        <v>1249</v>
      </c>
      <c r="FJ8" s="1" t="s">
        <v>1250</v>
      </c>
      <c r="FK8" s="1" t="s">
        <v>1251</v>
      </c>
      <c r="FL8" s="1" t="s">
        <v>1252</v>
      </c>
      <c r="FM8" s="1" t="s">
        <v>1253</v>
      </c>
      <c r="FN8" s="1" t="s">
        <v>1254</v>
      </c>
      <c r="FO8" s="1" t="s">
        <v>1255</v>
      </c>
      <c r="FP8" s="1" t="s">
        <v>1256</v>
      </c>
      <c r="FQ8" s="1" t="s">
        <v>1257</v>
      </c>
      <c r="FR8" s="1" t="s">
        <v>1258</v>
      </c>
      <c r="FS8" s="1" t="s">
        <v>1259</v>
      </c>
      <c r="FT8" s="1" t="s">
        <v>1260</v>
      </c>
      <c r="FU8" s="1" t="s">
        <v>1261</v>
      </c>
      <c r="FV8" s="1" t="s">
        <v>1262</v>
      </c>
      <c r="FW8" s="1" t="s">
        <v>1263</v>
      </c>
      <c r="FX8" s="1" t="s">
        <v>1264</v>
      </c>
      <c r="FY8" s="1" t="s">
        <v>1265</v>
      </c>
      <c r="FZ8" s="1" t="s">
        <v>1266</v>
      </c>
      <c r="GA8" s="1" t="s">
        <v>1267</v>
      </c>
      <c r="GB8" s="1" t="s">
        <v>1268</v>
      </c>
      <c r="GC8" s="1" t="s">
        <v>1269</v>
      </c>
      <c r="GD8" s="1" t="s">
        <v>1270</v>
      </c>
      <c r="GE8" s="1" t="s">
        <v>1271</v>
      </c>
      <c r="GF8" s="1" t="s">
        <v>1272</v>
      </c>
      <c r="GG8" s="1" t="s">
        <v>1273</v>
      </c>
      <c r="GH8" s="1" t="s">
        <v>1274</v>
      </c>
      <c r="GI8" s="1" t="s">
        <v>1275</v>
      </c>
      <c r="GJ8" s="1" t="s">
        <v>1276</v>
      </c>
      <c r="GK8" s="1" t="s">
        <v>1277</v>
      </c>
      <c r="GL8" s="1" t="s">
        <v>1278</v>
      </c>
      <c r="GM8" s="1" t="s">
        <v>1279</v>
      </c>
      <c r="GN8" s="1" t="s">
        <v>1280</v>
      </c>
      <c r="GO8" s="1" t="s">
        <v>1281</v>
      </c>
      <c r="GP8" s="1" t="s">
        <v>1282</v>
      </c>
      <c r="GQ8" s="1" t="s">
        <v>1283</v>
      </c>
      <c r="GR8" s="1" t="s">
        <v>1284</v>
      </c>
      <c r="GS8" s="1" t="s">
        <v>1285</v>
      </c>
      <c r="GT8" s="1" t="s">
        <v>1286</v>
      </c>
      <c r="GU8" s="1" t="s">
        <v>1287</v>
      </c>
      <c r="GV8" s="1" t="s">
        <v>1288</v>
      </c>
      <c r="GW8" s="1" t="s">
        <v>1289</v>
      </c>
      <c r="GX8" s="1" t="s">
        <v>1290</v>
      </c>
      <c r="GY8" s="1" t="s">
        <v>1291</v>
      </c>
      <c r="GZ8" s="1" t="s">
        <v>1292</v>
      </c>
      <c r="HA8" s="1" t="s">
        <v>1293</v>
      </c>
      <c r="HB8" s="1" t="s">
        <v>1294</v>
      </c>
      <c r="HC8" s="1" t="s">
        <v>1295</v>
      </c>
      <c r="HD8" s="1" t="s">
        <v>1296</v>
      </c>
      <c r="HE8" s="1" t="s">
        <v>1297</v>
      </c>
      <c r="HF8" s="1" t="s">
        <v>1298</v>
      </c>
      <c r="HG8" s="1" t="s">
        <v>1299</v>
      </c>
      <c r="HH8" s="1" t="s">
        <v>1300</v>
      </c>
      <c r="HI8" s="1" t="s">
        <v>1301</v>
      </c>
      <c r="HJ8" s="1" t="s">
        <v>1302</v>
      </c>
      <c r="HK8" s="1" t="s">
        <v>1303</v>
      </c>
      <c r="HL8" s="1" t="s">
        <v>1304</v>
      </c>
      <c r="HM8" s="1" t="s">
        <v>1305</v>
      </c>
      <c r="HN8" s="1" t="s">
        <v>1306</v>
      </c>
      <c r="HO8" s="1" t="s">
        <v>1307</v>
      </c>
      <c r="HP8" s="1" t="s">
        <v>1308</v>
      </c>
      <c r="HQ8" s="1" t="s">
        <v>1309</v>
      </c>
      <c r="HR8" s="1" t="s">
        <v>1310</v>
      </c>
      <c r="HS8" s="1" t="s">
        <v>1311</v>
      </c>
      <c r="HT8" s="1" t="s">
        <v>1312</v>
      </c>
      <c r="HU8" s="1" t="s">
        <v>1313</v>
      </c>
      <c r="HV8" s="1" t="s">
        <v>1314</v>
      </c>
      <c r="HW8" s="1" t="s">
        <v>1315</v>
      </c>
      <c r="HX8" s="1" t="s">
        <v>1316</v>
      </c>
      <c r="HY8" s="1" t="s">
        <v>1317</v>
      </c>
      <c r="HZ8" s="1" t="s">
        <v>1318</v>
      </c>
      <c r="IA8" s="1" t="s">
        <v>1319</v>
      </c>
      <c r="IB8" s="1" t="s">
        <v>1320</v>
      </c>
      <c r="IC8" s="1" t="s">
        <v>1321</v>
      </c>
      <c r="ID8" s="1" t="s">
        <v>1322</v>
      </c>
      <c r="IE8" s="1" t="s">
        <v>1323</v>
      </c>
      <c r="IF8" s="1" t="s">
        <v>1324</v>
      </c>
      <c r="IG8" s="1" t="s">
        <v>1325</v>
      </c>
      <c r="IH8" s="1" t="s">
        <v>1326</v>
      </c>
      <c r="II8" s="1" t="s">
        <v>1327</v>
      </c>
      <c r="IJ8" s="1" t="s">
        <v>1328</v>
      </c>
      <c r="IK8" s="1" t="s">
        <v>1329</v>
      </c>
      <c r="IL8" s="1" t="s">
        <v>1330</v>
      </c>
      <c r="IM8" s="1" t="s">
        <v>1331</v>
      </c>
      <c r="IN8" s="1" t="s">
        <v>1332</v>
      </c>
      <c r="IO8" s="1" t="s">
        <v>1333</v>
      </c>
      <c r="IP8" s="1" t="s">
        <v>1334</v>
      </c>
      <c r="IQ8" s="1" t="s">
        <v>1335</v>
      </c>
      <c r="IR8" s="1" t="s">
        <v>1336</v>
      </c>
      <c r="IS8" s="1" t="s">
        <v>1337</v>
      </c>
      <c r="IT8" s="1" t="s">
        <v>1338</v>
      </c>
      <c r="IU8" s="1" t="s">
        <v>1339</v>
      </c>
      <c r="IV8" s="1" t="s">
        <v>1340</v>
      </c>
      <c r="IW8" s="1" t="s">
        <v>1341</v>
      </c>
      <c r="IX8" s="1" t="s">
        <v>1342</v>
      </c>
      <c r="IY8" s="1" t="s">
        <v>1343</v>
      </c>
      <c r="IZ8" s="1" t="s">
        <v>1344</v>
      </c>
      <c r="JA8" s="1" t="s">
        <v>1345</v>
      </c>
      <c r="JB8" s="1" t="s">
        <v>1346</v>
      </c>
      <c r="JC8" s="1" t="s">
        <v>1347</v>
      </c>
      <c r="JD8" s="1" t="s">
        <v>1348</v>
      </c>
      <c r="JE8" s="1" t="s">
        <v>1349</v>
      </c>
      <c r="JF8" s="1" t="s">
        <v>1350</v>
      </c>
      <c r="JG8" s="1" t="s">
        <v>1351</v>
      </c>
      <c r="JH8" s="1" t="s">
        <v>1352</v>
      </c>
      <c r="JI8" s="1" t="s">
        <v>1353</v>
      </c>
      <c r="JJ8" s="1" t="s">
        <v>1354</v>
      </c>
      <c r="JK8" s="1" t="s">
        <v>1355</v>
      </c>
      <c r="JL8" s="1" t="s">
        <v>1356</v>
      </c>
      <c r="JM8" s="1" t="s">
        <v>1357</v>
      </c>
      <c r="JN8" s="1" t="s">
        <v>1358</v>
      </c>
      <c r="JO8" s="1" t="s">
        <v>1359</v>
      </c>
      <c r="JP8" s="1" t="s">
        <v>1360</v>
      </c>
      <c r="JQ8" s="1" t="s">
        <v>1361</v>
      </c>
      <c r="JR8" s="1" t="s">
        <v>1362</v>
      </c>
      <c r="JS8" s="1" t="s">
        <v>1363</v>
      </c>
      <c r="JT8" s="1" t="s">
        <v>1364</v>
      </c>
      <c r="JU8" s="1" t="s">
        <v>1365</v>
      </c>
      <c r="JV8" s="1" t="s">
        <v>1366</v>
      </c>
      <c r="JW8" s="1" t="s">
        <v>1367</v>
      </c>
      <c r="JX8" s="1" t="s">
        <v>1368</v>
      </c>
      <c r="JY8" s="1" t="s">
        <v>1369</v>
      </c>
      <c r="JZ8" s="1" t="s">
        <v>1370</v>
      </c>
      <c r="KA8" s="1" t="s">
        <v>1371</v>
      </c>
      <c r="KB8" s="1" t="s">
        <v>1372</v>
      </c>
      <c r="KC8" s="1" t="s">
        <v>1373</v>
      </c>
      <c r="KD8" s="1" t="s">
        <v>1374</v>
      </c>
      <c r="KE8" s="1" t="s">
        <v>1375</v>
      </c>
      <c r="KF8" s="1" t="s">
        <v>1376</v>
      </c>
      <c r="KG8" s="1" t="s">
        <v>1377</v>
      </c>
      <c r="KH8" s="1" t="s">
        <v>1378</v>
      </c>
      <c r="KI8" s="1" t="s">
        <v>1379</v>
      </c>
      <c r="KJ8" s="1" t="s">
        <v>1380</v>
      </c>
      <c r="KK8" s="1" t="s">
        <v>1381</v>
      </c>
      <c r="KL8" s="1" t="s">
        <v>1382</v>
      </c>
      <c r="KM8" s="1" t="s">
        <v>1383</v>
      </c>
      <c r="KN8" s="1" t="s">
        <v>1384</v>
      </c>
      <c r="KO8" s="1" t="s">
        <v>1385</v>
      </c>
      <c r="KP8" s="1" t="s">
        <v>1386</v>
      </c>
      <c r="KQ8" s="1" t="s">
        <v>1387</v>
      </c>
      <c r="KR8" s="1" t="s">
        <v>1388</v>
      </c>
      <c r="KS8" s="1" t="s">
        <v>1389</v>
      </c>
      <c r="KT8" s="1" t="s">
        <v>1390</v>
      </c>
      <c r="KU8" s="1" t="s">
        <v>1391</v>
      </c>
      <c r="KV8" s="1" t="s">
        <v>1392</v>
      </c>
      <c r="KW8" s="1" t="s">
        <v>57</v>
      </c>
      <c r="KX8" s="1" t="s">
        <v>58</v>
      </c>
      <c r="KY8" s="1" t="s">
        <v>53</v>
      </c>
      <c r="KZ8" s="1" t="s">
        <v>10</v>
      </c>
      <c r="LA8" s="1" t="s">
        <v>1393</v>
      </c>
    </row>
    <row r="9" spans="1:313" x14ac:dyDescent="0.25">
      <c r="A9" t="s">
        <v>799</v>
      </c>
      <c r="B9" t="s">
        <v>800</v>
      </c>
      <c r="C9">
        <v>304303</v>
      </c>
      <c r="D9" t="s">
        <v>1059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5</v>
      </c>
      <c r="HV9">
        <v>3</v>
      </c>
      <c r="HW9">
        <v>1</v>
      </c>
      <c r="HX9">
        <v>2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 s="11">
        <f t="shared" ref="KW9:KX24" si="5">DO9+DQ9+DS9+DU9+DW9+DY9+EA9+EC9+EE9+EG9+EI9+EK9+EM9+EO9+EQ9+ES9+EU9+EW9+EY9+FA9+FC9+FE9+FG9+FI9+FK9+FM9+FO9+FQ9+FS9+FU9+FW9+FY9+GA9+GC9+GE9+GG9+GI9+GK9+GM9+GO9+GQ9+GS9+GU9+GW9+GY9+HA9+HC9+HE9+HG9+HI9+HK9+HM9+HO9+HQ9+HS9+HU9+HW9+HY9+IA9+IC9+IE9+IG9+II9+IK9+IM9+IO9+IQ9+IS9+IU9+IW9+IY9+JA9+JC9+JE9+JG9+JI9+JK9+JM9+JO9+JQ9+JS9+JU9+JW9+JY9+KA9+KC9+KE9+KG9+KI9+KK9+KM9+KO9+KQ9+KS9+KU9+E9+G9+I9+K9+M9+O9+Q9+S9+U9+W9+Y9+AA9+AC9+AE9+AG9+AI9+AK9+AM9+AO9+AQ9+AS9+AU9+AW9+AY9+BA9+BC9+BE9+BG9+BI9+BK9+BM9+BO9+BQ9+BS9+BU9+BW9+BY9+CA9+CC9+CE9+CG9+CI9+CK9+CM9+CO9+CQ9+CS9+CU9+CW9+CY9+DA9+DC9+DE9+DG9+DI9+DK9+DM9</f>
        <v>7</v>
      </c>
      <c r="KX9" s="11">
        <f t="shared" si="5"/>
        <v>5</v>
      </c>
      <c r="KY9" s="11">
        <f t="shared" ref="KY9:KY24" si="6">SUM(KW9:KX9)</f>
        <v>12</v>
      </c>
      <c r="KZ9">
        <f t="shared" ref="KZ9:KZ24" si="7">SUM(E9:KV9)</f>
        <v>12</v>
      </c>
      <c r="LA9">
        <f t="shared" ref="LA9:LA24" si="8">IF(KZ9&gt;=1,1,0)</f>
        <v>1</v>
      </c>
    </row>
    <row r="10" spans="1:313" x14ac:dyDescent="0.25">
      <c r="A10" t="s">
        <v>799</v>
      </c>
      <c r="B10" t="s">
        <v>800</v>
      </c>
      <c r="C10">
        <v>304305</v>
      </c>
      <c r="D10" t="s">
        <v>1060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 s="11">
        <f t="shared" si="5"/>
        <v>0</v>
      </c>
      <c r="KX10" s="11">
        <f t="shared" si="5"/>
        <v>0</v>
      </c>
      <c r="KY10" s="11">
        <f t="shared" si="6"/>
        <v>0</v>
      </c>
      <c r="KZ10">
        <f t="shared" si="7"/>
        <v>0</v>
      </c>
      <c r="LA10">
        <f t="shared" si="8"/>
        <v>0</v>
      </c>
    </row>
    <row r="11" spans="1:313" x14ac:dyDescent="0.25">
      <c r="A11" t="s">
        <v>799</v>
      </c>
      <c r="B11" t="s">
        <v>800</v>
      </c>
      <c r="C11">
        <v>304313</v>
      </c>
      <c r="D11" t="s">
        <v>1061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 s="11">
        <f t="shared" si="5"/>
        <v>0</v>
      </c>
      <c r="KX11" s="11">
        <f t="shared" si="5"/>
        <v>0</v>
      </c>
      <c r="KY11" s="11">
        <f t="shared" si="6"/>
        <v>0</v>
      </c>
      <c r="KZ11">
        <f t="shared" si="7"/>
        <v>0</v>
      </c>
      <c r="LA11">
        <f t="shared" si="8"/>
        <v>0</v>
      </c>
    </row>
    <row r="12" spans="1:313" x14ac:dyDescent="0.25">
      <c r="A12" t="s">
        <v>799</v>
      </c>
      <c r="B12" t="s">
        <v>800</v>
      </c>
      <c r="C12">
        <v>304314</v>
      </c>
      <c r="D12" t="s">
        <v>1062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 s="11">
        <f t="shared" si="5"/>
        <v>0</v>
      </c>
      <c r="KX12" s="11">
        <f t="shared" si="5"/>
        <v>0</v>
      </c>
      <c r="KY12" s="11">
        <f t="shared" si="6"/>
        <v>0</v>
      </c>
      <c r="KZ12">
        <f t="shared" si="7"/>
        <v>0</v>
      </c>
      <c r="LA12">
        <f t="shared" si="8"/>
        <v>0</v>
      </c>
    </row>
    <row r="13" spans="1:313" x14ac:dyDescent="0.25">
      <c r="A13" t="s">
        <v>799</v>
      </c>
      <c r="B13" t="s">
        <v>800</v>
      </c>
      <c r="C13">
        <v>304318</v>
      </c>
      <c r="D13" t="s">
        <v>1063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 s="11">
        <f t="shared" si="5"/>
        <v>0</v>
      </c>
      <c r="KX13" s="11">
        <f t="shared" si="5"/>
        <v>0</v>
      </c>
      <c r="KY13" s="11">
        <f t="shared" si="6"/>
        <v>0</v>
      </c>
      <c r="KZ13">
        <f t="shared" si="7"/>
        <v>0</v>
      </c>
      <c r="LA13">
        <f t="shared" si="8"/>
        <v>0</v>
      </c>
    </row>
    <row r="14" spans="1:313" x14ac:dyDescent="0.25">
      <c r="A14" t="s">
        <v>799</v>
      </c>
      <c r="B14" t="s">
        <v>800</v>
      </c>
      <c r="C14">
        <v>304325</v>
      </c>
      <c r="D14" t="s">
        <v>1064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 s="11">
        <f t="shared" si="5"/>
        <v>0</v>
      </c>
      <c r="KX14" s="11">
        <f t="shared" si="5"/>
        <v>0</v>
      </c>
      <c r="KY14" s="11">
        <f t="shared" si="6"/>
        <v>0</v>
      </c>
      <c r="KZ14">
        <f t="shared" si="7"/>
        <v>0</v>
      </c>
      <c r="LA14">
        <f t="shared" si="8"/>
        <v>0</v>
      </c>
    </row>
    <row r="15" spans="1:313" x14ac:dyDescent="0.25">
      <c r="A15" t="s">
        <v>799</v>
      </c>
      <c r="B15" t="s">
        <v>800</v>
      </c>
      <c r="C15">
        <v>304326</v>
      </c>
      <c r="D15" t="s">
        <v>1065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 s="11">
        <f t="shared" si="5"/>
        <v>1</v>
      </c>
      <c r="KX15" s="11">
        <f t="shared" si="5"/>
        <v>0</v>
      </c>
      <c r="KY15" s="11">
        <f t="shared" si="6"/>
        <v>1</v>
      </c>
      <c r="KZ15">
        <f t="shared" si="7"/>
        <v>1</v>
      </c>
      <c r="LA15">
        <f t="shared" si="8"/>
        <v>1</v>
      </c>
    </row>
    <row r="16" spans="1:313" x14ac:dyDescent="0.25">
      <c r="A16" t="s">
        <v>799</v>
      </c>
      <c r="B16" t="s">
        <v>800</v>
      </c>
      <c r="C16">
        <v>304327</v>
      </c>
      <c r="D16" t="s">
        <v>1066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 s="11">
        <f t="shared" si="5"/>
        <v>1</v>
      </c>
      <c r="KX16" s="11">
        <f t="shared" si="5"/>
        <v>1</v>
      </c>
      <c r="KY16" s="11">
        <f t="shared" si="6"/>
        <v>2</v>
      </c>
      <c r="KZ16">
        <f t="shared" si="7"/>
        <v>2</v>
      </c>
      <c r="LA16">
        <f t="shared" si="8"/>
        <v>1</v>
      </c>
    </row>
    <row r="17" spans="1:313" x14ac:dyDescent="0.25">
      <c r="A17" t="s">
        <v>799</v>
      </c>
      <c r="B17" t="s">
        <v>800</v>
      </c>
      <c r="C17">
        <v>304328</v>
      </c>
      <c r="D17" t="s">
        <v>1067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 s="11">
        <f t="shared" si="5"/>
        <v>1</v>
      </c>
      <c r="KX17" s="11">
        <f t="shared" si="5"/>
        <v>0</v>
      </c>
      <c r="KY17" s="11">
        <f t="shared" si="6"/>
        <v>1</v>
      </c>
      <c r="KZ17">
        <f t="shared" si="7"/>
        <v>1</v>
      </c>
      <c r="LA17">
        <f t="shared" si="8"/>
        <v>1</v>
      </c>
    </row>
    <row r="18" spans="1:313" x14ac:dyDescent="0.25">
      <c r="A18" t="s">
        <v>799</v>
      </c>
      <c r="B18" t="s">
        <v>800</v>
      </c>
      <c r="C18">
        <v>304338</v>
      </c>
      <c r="D18" t="s">
        <v>1068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 s="11">
        <f t="shared" si="5"/>
        <v>0</v>
      </c>
      <c r="KX18" s="11">
        <f t="shared" si="5"/>
        <v>0</v>
      </c>
      <c r="KY18" s="11">
        <f t="shared" si="6"/>
        <v>0</v>
      </c>
      <c r="KZ18">
        <f t="shared" si="7"/>
        <v>0</v>
      </c>
      <c r="LA18">
        <f t="shared" si="8"/>
        <v>0</v>
      </c>
    </row>
    <row r="19" spans="1:313" x14ac:dyDescent="0.25">
      <c r="A19" t="s">
        <v>799</v>
      </c>
      <c r="B19" t="s">
        <v>800</v>
      </c>
      <c r="C19">
        <v>316104</v>
      </c>
      <c r="D19" t="s">
        <v>1070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 s="11">
        <f t="shared" si="5"/>
        <v>1</v>
      </c>
      <c r="KX19" s="11">
        <f t="shared" si="5"/>
        <v>0</v>
      </c>
      <c r="KY19" s="11">
        <f t="shared" si="6"/>
        <v>1</v>
      </c>
      <c r="KZ19">
        <f t="shared" si="7"/>
        <v>1</v>
      </c>
      <c r="LA19">
        <f t="shared" si="8"/>
        <v>1</v>
      </c>
    </row>
    <row r="20" spans="1:313" x14ac:dyDescent="0.25">
      <c r="A20" t="s">
        <v>799</v>
      </c>
      <c r="B20" t="s">
        <v>800</v>
      </c>
      <c r="C20">
        <v>325102</v>
      </c>
      <c r="D20" t="s">
        <v>1072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 s="11">
        <f t="shared" si="5"/>
        <v>0</v>
      </c>
      <c r="KX20" s="11">
        <f t="shared" si="5"/>
        <v>0</v>
      </c>
      <c r="KY20" s="11">
        <f t="shared" si="6"/>
        <v>0</v>
      </c>
      <c r="KZ20">
        <f t="shared" si="7"/>
        <v>0</v>
      </c>
      <c r="LA20">
        <f t="shared" si="8"/>
        <v>0</v>
      </c>
    </row>
    <row r="21" spans="1:313" x14ac:dyDescent="0.25">
      <c r="A21" t="s">
        <v>799</v>
      </c>
      <c r="B21" t="s">
        <v>800</v>
      </c>
      <c r="C21">
        <v>325104</v>
      </c>
      <c r="D21" t="s">
        <v>1073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 s="11">
        <f t="shared" si="5"/>
        <v>0</v>
      </c>
      <c r="KX21" s="11">
        <f t="shared" si="5"/>
        <v>2</v>
      </c>
      <c r="KY21" s="11">
        <f t="shared" si="6"/>
        <v>2</v>
      </c>
      <c r="KZ21">
        <f t="shared" si="7"/>
        <v>2</v>
      </c>
      <c r="LA21">
        <f t="shared" si="8"/>
        <v>1</v>
      </c>
    </row>
    <row r="22" spans="1:313" x14ac:dyDescent="0.25">
      <c r="A22" t="s">
        <v>799</v>
      </c>
      <c r="B22" t="s">
        <v>800</v>
      </c>
      <c r="C22">
        <v>325105</v>
      </c>
      <c r="D22" t="s">
        <v>1074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 s="11">
        <f t="shared" si="5"/>
        <v>0</v>
      </c>
      <c r="KX22" s="11">
        <f t="shared" si="5"/>
        <v>0</v>
      </c>
      <c r="KY22" s="11">
        <f t="shared" si="6"/>
        <v>0</v>
      </c>
      <c r="KZ22">
        <f t="shared" si="7"/>
        <v>0</v>
      </c>
      <c r="LA22">
        <f t="shared" si="8"/>
        <v>0</v>
      </c>
    </row>
    <row r="23" spans="1:313" x14ac:dyDescent="0.25">
      <c r="A23" t="s">
        <v>799</v>
      </c>
      <c r="B23" t="s">
        <v>800</v>
      </c>
      <c r="C23">
        <v>325106</v>
      </c>
      <c r="D23" t="s">
        <v>1075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 s="11">
        <f t="shared" si="5"/>
        <v>0</v>
      </c>
      <c r="KX23" s="11">
        <f t="shared" si="5"/>
        <v>0</v>
      </c>
      <c r="KY23" s="11">
        <f t="shared" si="6"/>
        <v>0</v>
      </c>
      <c r="KZ23">
        <f t="shared" si="7"/>
        <v>0</v>
      </c>
      <c r="LA23">
        <f t="shared" si="8"/>
        <v>0</v>
      </c>
    </row>
    <row r="24" spans="1:313" x14ac:dyDescent="0.25">
      <c r="A24" t="s">
        <v>799</v>
      </c>
      <c r="B24" t="s">
        <v>800</v>
      </c>
      <c r="C24">
        <v>500454</v>
      </c>
      <c r="D24" t="s">
        <v>850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 s="11">
        <f t="shared" si="5"/>
        <v>0</v>
      </c>
      <c r="KX24" s="11">
        <f t="shared" si="5"/>
        <v>0</v>
      </c>
      <c r="KY24" s="11">
        <f t="shared" si="6"/>
        <v>0</v>
      </c>
      <c r="KZ24">
        <f t="shared" si="7"/>
        <v>0</v>
      </c>
      <c r="LA24">
        <f t="shared" si="8"/>
        <v>0</v>
      </c>
    </row>
  </sheetData>
  <autoFilter ref="A8:LA8" xr:uid="{00000000-0009-0000-0000-000004000000}"/>
  <mergeCells count="250">
    <mergeCell ref="EC3:ER3"/>
    <mergeCell ref="ES3:FH3"/>
    <mergeCell ref="FI3:FX3"/>
    <mergeCell ref="FY3:GN3"/>
    <mergeCell ref="GO3:HD3"/>
    <mergeCell ref="HE3:HT3"/>
    <mergeCell ref="E2:FX2"/>
    <mergeCell ref="FY2:KV2"/>
    <mergeCell ref="E3:T3"/>
    <mergeCell ref="U3:AJ3"/>
    <mergeCell ref="AK3:AZ3"/>
    <mergeCell ref="BA3:BP3"/>
    <mergeCell ref="BQ3:CF3"/>
    <mergeCell ref="CG3:CV3"/>
    <mergeCell ref="CW3:DL3"/>
    <mergeCell ref="DM3:EB3"/>
    <mergeCell ref="HU3:IJ3"/>
    <mergeCell ref="IK3:IZ3"/>
    <mergeCell ref="JA3:JP3"/>
    <mergeCell ref="JQ3:KF3"/>
    <mergeCell ref="KG3:KV3"/>
    <mergeCell ref="KW3:KY5"/>
    <mergeCell ref="IK4:IN4"/>
    <mergeCell ref="IO4:IR4"/>
    <mergeCell ref="IS4:IV4"/>
    <mergeCell ref="IW4:IZ4"/>
    <mergeCell ref="AC4:AF4"/>
    <mergeCell ref="AG4:AJ4"/>
    <mergeCell ref="AK4:AN4"/>
    <mergeCell ref="AO4:AR4"/>
    <mergeCell ref="AS4:AV4"/>
    <mergeCell ref="AW4:AZ4"/>
    <mergeCell ref="E4:H4"/>
    <mergeCell ref="I4:L4"/>
    <mergeCell ref="M4:P4"/>
    <mergeCell ref="Q4:T4"/>
    <mergeCell ref="U4:X4"/>
    <mergeCell ref="Y4:AB4"/>
    <mergeCell ref="BY4:CB4"/>
    <mergeCell ref="CC4:CF4"/>
    <mergeCell ref="CG4:CJ4"/>
    <mergeCell ref="CK4:CN4"/>
    <mergeCell ref="CO4:CR4"/>
    <mergeCell ref="CS4:CV4"/>
    <mergeCell ref="BA4:BD4"/>
    <mergeCell ref="BE4:BH4"/>
    <mergeCell ref="BI4:BL4"/>
    <mergeCell ref="BM4:BP4"/>
    <mergeCell ref="BQ4:BT4"/>
    <mergeCell ref="BU4:BX4"/>
    <mergeCell ref="DU4:DX4"/>
    <mergeCell ref="DY4:EB4"/>
    <mergeCell ref="EC4:EF4"/>
    <mergeCell ref="EG4:EJ4"/>
    <mergeCell ref="EK4:EN4"/>
    <mergeCell ref="EO4:ER4"/>
    <mergeCell ref="CW4:CZ4"/>
    <mergeCell ref="DA4:DD4"/>
    <mergeCell ref="DE4:DH4"/>
    <mergeCell ref="DI4:DL4"/>
    <mergeCell ref="DM4:DP4"/>
    <mergeCell ref="DQ4:DT4"/>
    <mergeCell ref="GC4:GF4"/>
    <mergeCell ref="GG4:GJ4"/>
    <mergeCell ref="GK4:GN4"/>
    <mergeCell ref="ES4:EV4"/>
    <mergeCell ref="EW4:EZ4"/>
    <mergeCell ref="FA4:FD4"/>
    <mergeCell ref="FE4:FH4"/>
    <mergeCell ref="FI4:FL4"/>
    <mergeCell ref="FM4:FP4"/>
    <mergeCell ref="KK4:KN4"/>
    <mergeCell ref="KO4:KR4"/>
    <mergeCell ref="KS4:KV4"/>
    <mergeCell ref="JA4:JD4"/>
    <mergeCell ref="JE4:JH4"/>
    <mergeCell ref="JI4:JL4"/>
    <mergeCell ref="JM4:JP4"/>
    <mergeCell ref="JQ4:JT4"/>
    <mergeCell ref="JU4:JX4"/>
    <mergeCell ref="E5:F5"/>
    <mergeCell ref="G5:H5"/>
    <mergeCell ref="I5:J5"/>
    <mergeCell ref="K5:L5"/>
    <mergeCell ref="M5:N5"/>
    <mergeCell ref="O5:P5"/>
    <mergeCell ref="JY4:KB4"/>
    <mergeCell ref="KC4:KF4"/>
    <mergeCell ref="KG4:KJ4"/>
    <mergeCell ref="HM4:HP4"/>
    <mergeCell ref="HQ4:HT4"/>
    <mergeCell ref="HU4:HX4"/>
    <mergeCell ref="HY4:IB4"/>
    <mergeCell ref="IC4:IF4"/>
    <mergeCell ref="IG4:IJ4"/>
    <mergeCell ref="GO4:GR4"/>
    <mergeCell ref="GS4:GV4"/>
    <mergeCell ref="GW4:GZ4"/>
    <mergeCell ref="HA4:HD4"/>
    <mergeCell ref="HE4:HH4"/>
    <mergeCell ref="HI4:HL4"/>
    <mergeCell ref="FQ4:FT4"/>
    <mergeCell ref="FU4:FX4"/>
    <mergeCell ref="FY4:GB4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BY5:BZ5"/>
    <mergeCell ref="CA5:CB5"/>
    <mergeCell ref="CC5:CD5"/>
    <mergeCell ref="CE5:CF5"/>
    <mergeCell ref="CG5:CH5"/>
    <mergeCell ref="CI5:CJ5"/>
    <mergeCell ref="BM5:BN5"/>
    <mergeCell ref="BO5:BP5"/>
    <mergeCell ref="BQ5:BR5"/>
    <mergeCell ref="BS5:BT5"/>
    <mergeCell ref="BU5:BV5"/>
    <mergeCell ref="BW5:BX5"/>
    <mergeCell ref="CW5:CX5"/>
    <mergeCell ref="CY5:CZ5"/>
    <mergeCell ref="DA5:DB5"/>
    <mergeCell ref="DC5:DD5"/>
    <mergeCell ref="DE5:DF5"/>
    <mergeCell ref="DG5:DH5"/>
    <mergeCell ref="CK5:CL5"/>
    <mergeCell ref="CM5:CN5"/>
    <mergeCell ref="CO5:CP5"/>
    <mergeCell ref="CQ5:CR5"/>
    <mergeCell ref="CS5:CT5"/>
    <mergeCell ref="CU5:CV5"/>
    <mergeCell ref="DU5:DV5"/>
    <mergeCell ref="DW5:DX5"/>
    <mergeCell ref="DY5:DZ5"/>
    <mergeCell ref="EA5:EB5"/>
    <mergeCell ref="EC5:ED5"/>
    <mergeCell ref="EE5:EF5"/>
    <mergeCell ref="DI5:DJ5"/>
    <mergeCell ref="DK5:DL5"/>
    <mergeCell ref="DM5:DN5"/>
    <mergeCell ref="DO5:DP5"/>
    <mergeCell ref="DQ5:DR5"/>
    <mergeCell ref="DS5:DT5"/>
    <mergeCell ref="ES5:ET5"/>
    <mergeCell ref="EU5:EV5"/>
    <mergeCell ref="EW5:EX5"/>
    <mergeCell ref="EY5:EZ5"/>
    <mergeCell ref="FA5:FB5"/>
    <mergeCell ref="FC5:FD5"/>
    <mergeCell ref="EG5:EH5"/>
    <mergeCell ref="EI5:EJ5"/>
    <mergeCell ref="EK5:EL5"/>
    <mergeCell ref="EM5:EN5"/>
    <mergeCell ref="EO5:EP5"/>
    <mergeCell ref="EQ5:ER5"/>
    <mergeCell ref="FQ5:FR5"/>
    <mergeCell ref="FS5:FT5"/>
    <mergeCell ref="FU5:FV5"/>
    <mergeCell ref="FW5:FX5"/>
    <mergeCell ref="FY5:FZ5"/>
    <mergeCell ref="GA5:GB5"/>
    <mergeCell ref="FE5:FF5"/>
    <mergeCell ref="FG5:FH5"/>
    <mergeCell ref="FI5:FJ5"/>
    <mergeCell ref="FK5:FL5"/>
    <mergeCell ref="FM5:FN5"/>
    <mergeCell ref="FO5:FP5"/>
    <mergeCell ref="GO5:GP5"/>
    <mergeCell ref="GQ5:GR5"/>
    <mergeCell ref="GS5:GT5"/>
    <mergeCell ref="GU5:GV5"/>
    <mergeCell ref="GW5:GX5"/>
    <mergeCell ref="GY5:GZ5"/>
    <mergeCell ref="GC5:GD5"/>
    <mergeCell ref="GE5:GF5"/>
    <mergeCell ref="GG5:GH5"/>
    <mergeCell ref="GI5:GJ5"/>
    <mergeCell ref="GK5:GL5"/>
    <mergeCell ref="GM5:GN5"/>
    <mergeCell ref="HM5:HN5"/>
    <mergeCell ref="HO5:HP5"/>
    <mergeCell ref="HQ5:HR5"/>
    <mergeCell ref="HS5:HT5"/>
    <mergeCell ref="HU5:HV5"/>
    <mergeCell ref="HW5:HX5"/>
    <mergeCell ref="HA5:HB5"/>
    <mergeCell ref="HC5:HD5"/>
    <mergeCell ref="HE5:HF5"/>
    <mergeCell ref="HG5:HH5"/>
    <mergeCell ref="HI5:HJ5"/>
    <mergeCell ref="HK5:HL5"/>
    <mergeCell ref="IK5:IL5"/>
    <mergeCell ref="IM5:IN5"/>
    <mergeCell ref="IO5:IP5"/>
    <mergeCell ref="IQ5:IR5"/>
    <mergeCell ref="IS5:IT5"/>
    <mergeCell ref="IU5:IV5"/>
    <mergeCell ref="HY5:HZ5"/>
    <mergeCell ref="IA5:IB5"/>
    <mergeCell ref="IC5:ID5"/>
    <mergeCell ref="IE5:IF5"/>
    <mergeCell ref="IG5:IH5"/>
    <mergeCell ref="II5:IJ5"/>
    <mergeCell ref="JI5:JJ5"/>
    <mergeCell ref="JK5:JL5"/>
    <mergeCell ref="JM5:JN5"/>
    <mergeCell ref="JO5:JP5"/>
    <mergeCell ref="JQ5:JR5"/>
    <mergeCell ref="JS5:JT5"/>
    <mergeCell ref="IW5:IX5"/>
    <mergeCell ref="IY5:IZ5"/>
    <mergeCell ref="JA5:JB5"/>
    <mergeCell ref="JC5:JD5"/>
    <mergeCell ref="JE5:JF5"/>
    <mergeCell ref="JG5:JH5"/>
    <mergeCell ref="KS5:KT5"/>
    <mergeCell ref="KU5:KV5"/>
    <mergeCell ref="KG5:KH5"/>
    <mergeCell ref="KI5:KJ5"/>
    <mergeCell ref="KK5:KL5"/>
    <mergeCell ref="KM5:KN5"/>
    <mergeCell ref="KO5:KP5"/>
    <mergeCell ref="KQ5:KR5"/>
    <mergeCell ref="JU5:JV5"/>
    <mergeCell ref="JW5:JX5"/>
    <mergeCell ref="JY5:JZ5"/>
    <mergeCell ref="KA5:KB5"/>
    <mergeCell ref="KC5:KD5"/>
    <mergeCell ref="KE5:K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2023-08-07T05:40:41Z</dcterms:created>
  <dcterms:modified xsi:type="dcterms:W3CDTF">2023-08-07T08:05:35Z</dcterms:modified>
</cp:coreProperties>
</file>