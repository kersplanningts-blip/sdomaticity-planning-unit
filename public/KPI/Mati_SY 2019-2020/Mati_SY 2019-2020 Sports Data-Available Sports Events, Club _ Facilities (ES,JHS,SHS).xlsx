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EIS Data/"/>
    </mc:Choice>
  </mc:AlternateContent>
  <xr:revisionPtr revIDLastSave="0" documentId="8_{F9FF887D-CB7F-4B27-A204-5626CB1E33C3}" xr6:coauthVersionLast="47" xr6:coauthVersionMax="47" xr10:uidLastSave="{00000000-0000-0000-0000-000000000000}"/>
  <bookViews>
    <workbookView xWindow="-120" yWindow="-120" windowWidth="29040" windowHeight="15720" activeTab="2" xr2:uid="{A4A71F87-EBA5-4ADD-A145-FB68D669946E}"/>
  </bookViews>
  <sheets>
    <sheet name="ES" sheetId="1" r:id="rId1"/>
    <sheet name="JHS" sheetId="2" r:id="rId2"/>
    <sheet name="SHS" sheetId="3" r:id="rId3"/>
  </sheets>
  <definedNames>
    <definedName name="_xlnm._FilterDatabase" localSheetId="0" hidden="1">ES!$A$8:$CU$62</definedName>
    <definedName name="_xlnm._FilterDatabase" localSheetId="1" hidden="1">JHS!$A$8:$CU$30</definedName>
    <definedName name="_xlnm._FilterDatabase" localSheetId="2" hidden="1">SHS!$A$6:$CU$22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U5" i="3" l="1"/>
  <c r="CT5" i="3"/>
  <c r="CS5" i="3"/>
  <c r="CR5" i="3"/>
  <c r="CQ5" i="3"/>
  <c r="CP5" i="3"/>
  <c r="CO5" i="3"/>
  <c r="CN5" i="3"/>
  <c r="CM5" i="3"/>
  <c r="CL5" i="3"/>
  <c r="CK5" i="3"/>
  <c r="CJ5" i="3"/>
  <c r="CI5" i="3"/>
  <c r="CH5" i="3"/>
  <c r="CG5" i="3"/>
  <c r="CF5" i="3"/>
  <c r="CE5" i="3"/>
  <c r="CD5" i="3"/>
  <c r="CC5" i="3"/>
  <c r="CB5" i="3"/>
  <c r="CA5" i="3"/>
  <c r="BZ5" i="3"/>
  <c r="BY5" i="3"/>
  <c r="BX5" i="3"/>
  <c r="BW5" i="3"/>
  <c r="BV5" i="3"/>
  <c r="BU5" i="3"/>
  <c r="BT5" i="3"/>
  <c r="BS5" i="3"/>
  <c r="BR5" i="3"/>
  <c r="BQ5" i="3"/>
  <c r="BP5" i="3"/>
  <c r="BO5" i="3"/>
  <c r="BN5" i="3"/>
  <c r="BM5" i="3"/>
  <c r="BL5" i="3"/>
  <c r="BK5" i="3"/>
  <c r="BJ5" i="3"/>
  <c r="BI5" i="3"/>
  <c r="BH5" i="3"/>
  <c r="BG5" i="3"/>
  <c r="BF5" i="3"/>
  <c r="BE5" i="3"/>
  <c r="BD5" i="3"/>
  <c r="BC5" i="3"/>
  <c r="BB5" i="3"/>
  <c r="BA5" i="3"/>
  <c r="AZ5" i="3"/>
  <c r="AY5" i="3"/>
  <c r="AX5" i="3"/>
  <c r="AW5" i="3"/>
  <c r="AV5" i="3"/>
  <c r="AU5" i="3"/>
  <c r="AT5" i="3"/>
  <c r="AS5" i="3"/>
  <c r="AR5" i="3"/>
  <c r="AQ5" i="3"/>
  <c r="AP5" i="3"/>
  <c r="AO5" i="3"/>
  <c r="AN5" i="3"/>
  <c r="AM5" i="3"/>
  <c r="AL5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CT7" i="2"/>
  <c r="CS7" i="2"/>
  <c r="CR7" i="2"/>
  <c r="CQ7" i="2"/>
  <c r="CP7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BH7" i="2"/>
  <c r="BG7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CU7" i="1"/>
  <c r="CT7" i="1"/>
  <c r="CS7" i="1"/>
  <c r="CR7" i="1"/>
  <c r="CQ7" i="1"/>
  <c r="CP7" i="1"/>
  <c r="CO7" i="1"/>
  <c r="CN7" i="1"/>
  <c r="CM7" i="1"/>
  <c r="CL7" i="1"/>
  <c r="CK7" i="1"/>
  <c r="CJ7" i="1"/>
  <c r="CI7" i="1"/>
  <c r="CH7" i="1"/>
  <c r="CG7" i="1"/>
  <c r="CF7" i="1"/>
  <c r="CE7" i="1"/>
  <c r="CD7" i="1"/>
  <c r="CC7" i="1"/>
  <c r="CB7" i="1"/>
  <c r="CA7" i="1"/>
  <c r="BZ7" i="1"/>
  <c r="BY7" i="1"/>
  <c r="BX7" i="1"/>
  <c r="BW7" i="1"/>
  <c r="BV7" i="1"/>
  <c r="BU7" i="1"/>
  <c r="BT7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</calcChain>
</file>

<file path=xl/sharedStrings.xml><?xml version="1.0" encoding="utf-8"?>
<sst xmlns="http://schemas.openxmlformats.org/spreadsheetml/2006/main" count="1567" uniqueCount="319">
  <si>
    <t>School Level Data on Available Sports Events, Club &amp; Facilities in Elementary Level</t>
  </si>
  <si>
    <t>SY 2019-2020</t>
  </si>
  <si>
    <t>Based on BEIS, generated as of June 6, 2020</t>
  </si>
  <si>
    <t>Sports Event/s</t>
  </si>
  <si>
    <t>Sports Club/s</t>
  </si>
  <si>
    <t>Sports facilities</t>
  </si>
  <si>
    <t>1. Archery</t>
  </si>
  <si>
    <t>3. Athletics (throwing)</t>
  </si>
  <si>
    <t>4. Athletics (running)</t>
  </si>
  <si>
    <t xml:space="preserve">  5. Badminton</t>
  </si>
  <si>
    <t>6. Basketball</t>
  </si>
  <si>
    <t>7. Baseball</t>
  </si>
  <si>
    <t>8. Billards</t>
  </si>
  <si>
    <t>9. Boxing</t>
  </si>
  <si>
    <t>10. Chess</t>
  </si>
  <si>
    <t>11. Dance Sports</t>
  </si>
  <si>
    <t>12. Football</t>
  </si>
  <si>
    <t>13. Futsal</t>
  </si>
  <si>
    <t>14. Aerobic Gymnastics</t>
  </si>
  <si>
    <t>15. Men Artistic Gymnastics (MAG)</t>
  </si>
  <si>
    <t>16. Women Artistic Gymnastics (WAG)</t>
  </si>
  <si>
    <t>17. Ryhtmic Gymnastics (RG)</t>
  </si>
  <si>
    <t>18. Pencak Silat</t>
  </si>
  <si>
    <t>19. Sepak Takraw</t>
  </si>
  <si>
    <t>20. Softball</t>
  </si>
  <si>
    <t>21. Swimming</t>
  </si>
  <si>
    <t>22. Table Tennis</t>
  </si>
  <si>
    <t>23. Taekwondo</t>
  </si>
  <si>
    <t>24. Tennis</t>
  </si>
  <si>
    <t>25. Volleyball</t>
  </si>
  <si>
    <t>26. Wrestling</t>
  </si>
  <si>
    <t>27. Wushu</t>
  </si>
  <si>
    <t>28. Bocce</t>
  </si>
  <si>
    <t>29. Goal Ball</t>
  </si>
  <si>
    <t>2. Arnis</t>
  </si>
  <si>
    <t>Region</t>
  </si>
  <si>
    <t>Division</t>
  </si>
  <si>
    <t>District</t>
  </si>
  <si>
    <t>School_id</t>
  </si>
  <si>
    <t>School_name</t>
  </si>
  <si>
    <t>street_address</t>
  </si>
  <si>
    <t>Province</t>
  </si>
  <si>
    <t>Municipality</t>
  </si>
  <si>
    <t>Leg_district</t>
  </si>
  <si>
    <t>Barangay</t>
  </si>
  <si>
    <t>Curricular_offering_classification</t>
  </si>
  <si>
    <t>Modified Curricular Offering</t>
  </si>
  <si>
    <t>Sports Events Archery</t>
  </si>
  <si>
    <t>Sports Events Arnis</t>
  </si>
  <si>
    <t>Sports Events Athletics (Throwing)</t>
  </si>
  <si>
    <t>Sports Events Athletics (Running)</t>
  </si>
  <si>
    <t>Sports Events Badminton</t>
  </si>
  <si>
    <t>Sports Events Basketball</t>
  </si>
  <si>
    <t>Sports Events Baseball</t>
  </si>
  <si>
    <t>Sports Events Billiard</t>
  </si>
  <si>
    <t>Sports Events Boxing</t>
  </si>
  <si>
    <t>Sports Events Chess</t>
  </si>
  <si>
    <t>Sports Events Dancesports</t>
  </si>
  <si>
    <t>Sports Events Football</t>
  </si>
  <si>
    <t>Sports Events Futsal</t>
  </si>
  <si>
    <t>Sports Events Aerobic Gymastics</t>
  </si>
  <si>
    <t>Sports Events MAG</t>
  </si>
  <si>
    <t>Sports Events WAG</t>
  </si>
  <si>
    <t>Sports Events RG</t>
  </si>
  <si>
    <t>Sports Events Pencak Silat</t>
  </si>
  <si>
    <t>Sports Events Sepak Takraw</t>
  </si>
  <si>
    <t>Sports Events Softball</t>
  </si>
  <si>
    <t>Sports Events Swimming</t>
  </si>
  <si>
    <t>Sports Events Table Tennis</t>
  </si>
  <si>
    <t>Sports Events Taekwondo</t>
  </si>
  <si>
    <t>Sports Events Tennis</t>
  </si>
  <si>
    <t>Sports Events Volleyball</t>
  </si>
  <si>
    <t>Sports Events Wrestling</t>
  </si>
  <si>
    <t>Sports Events Wushu</t>
  </si>
  <si>
    <t>Sports Events Bocce</t>
  </si>
  <si>
    <t>Sports Events Goal Ball</t>
  </si>
  <si>
    <t>Sports Club Archery</t>
  </si>
  <si>
    <t>Sports Club Arnis</t>
  </si>
  <si>
    <t>Sports Club Athletics (Throwing)</t>
  </si>
  <si>
    <t>Sports Club Athletics (Running)</t>
  </si>
  <si>
    <t>Sports Club Badminton</t>
  </si>
  <si>
    <t>Sports Club Basketball</t>
  </si>
  <si>
    <t>Sports Club Baseball</t>
  </si>
  <si>
    <t>Sports Club Billiard</t>
  </si>
  <si>
    <t>Sports Club Boxing</t>
  </si>
  <si>
    <t>Sports Club Chess</t>
  </si>
  <si>
    <t>Sports Club Dancesports</t>
  </si>
  <si>
    <t>Sports Club Football</t>
  </si>
  <si>
    <t>Sports Club Futsal</t>
  </si>
  <si>
    <t>Sports Club Aerobic Gymastics</t>
  </si>
  <si>
    <t>Sports Club MAG</t>
  </si>
  <si>
    <t>Sports Club WAG</t>
  </si>
  <si>
    <t>Sports Club RG</t>
  </si>
  <si>
    <t>Sports Club Pencak Silat</t>
  </si>
  <si>
    <t>Sports Club Sepak Takraw</t>
  </si>
  <si>
    <t>Sports Club Softball</t>
  </si>
  <si>
    <t>Sports Club Swimming</t>
  </si>
  <si>
    <t>Sports Club Table Tennis</t>
  </si>
  <si>
    <t>Sports Club Taekwondo</t>
  </si>
  <si>
    <t>Sports Club Tennis</t>
  </si>
  <si>
    <t>Sports Club Volleyball</t>
  </si>
  <si>
    <t>Sports Club Wrestling</t>
  </si>
  <si>
    <t>Sports Club Wushu</t>
  </si>
  <si>
    <t>Sports Club Bocce</t>
  </si>
  <si>
    <t>Sports Club Goal Ball</t>
  </si>
  <si>
    <t>Sports Facilities Archery</t>
  </si>
  <si>
    <t>Sports Facilities Arnis</t>
  </si>
  <si>
    <t>Sports Facilities Athletics (Throwing)</t>
  </si>
  <si>
    <t>Sports Facilities Athletics (Running)</t>
  </si>
  <si>
    <t>Sports Facilities Badminton</t>
  </si>
  <si>
    <t>Sports Facilities Basketball</t>
  </si>
  <si>
    <t>Sports Facilities Baseball</t>
  </si>
  <si>
    <t>Sports Facilities Billiard</t>
  </si>
  <si>
    <t>Sports Facilities Boxing</t>
  </si>
  <si>
    <t>Sports Facilities Chess</t>
  </si>
  <si>
    <t>Sports Facilities Dancesports</t>
  </si>
  <si>
    <t>Sports Facilities Football</t>
  </si>
  <si>
    <t>Sports Facilities Futsal</t>
  </si>
  <si>
    <t>Sports Facilities Aerobic Gymastics</t>
  </si>
  <si>
    <t>Sports Facilities MAG</t>
  </si>
  <si>
    <t>Sports Facilities WAG</t>
  </si>
  <si>
    <t>Sports Facilities RG</t>
  </si>
  <si>
    <t>Sports Facilities Pencak Silat</t>
  </si>
  <si>
    <t>Sports Facilities Sepak Takraw</t>
  </si>
  <si>
    <t>Sports Facilities Softball</t>
  </si>
  <si>
    <t>Sports Facilities Swimming</t>
  </si>
  <si>
    <t>Sports Facilities Table Tennis</t>
  </si>
  <si>
    <t>Sports Facilities Taekwondo</t>
  </si>
  <si>
    <t>Sports Facilities Tennis</t>
  </si>
  <si>
    <t>Sports Facilities Volleyball</t>
  </si>
  <si>
    <t>Sports Facilities Wrestling</t>
  </si>
  <si>
    <t>Sports Facilities Wushu</t>
  </si>
  <si>
    <t>Sports Facilities Bocce</t>
  </si>
  <si>
    <t>Sports Facilities Goal Ball</t>
  </si>
  <si>
    <t>Region XI</t>
  </si>
  <si>
    <t>2nd District</t>
  </si>
  <si>
    <t>Kinder &amp; Grade 1-6</t>
  </si>
  <si>
    <t>Purely ES</t>
  </si>
  <si>
    <t>Kinder, Grade 1-6, Grade 7-10</t>
  </si>
  <si>
    <t>ES and JHS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</si>
  <si>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</si>
  <si>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</si>
  <si>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</si>
  <si>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</si>
  <si>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</si>
  <si>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</si>
  <si>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</si>
  <si>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</si>
  <si>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</si>
  <si>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</si>
  <si>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</si>
  <si>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</si>
  <si>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</si>
  <si>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</si>
  <si>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</si>
  <si>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</si>
  <si>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</si>
  <si>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</si>
  <si>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</si>
  <si>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</si>
  <si>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</si>
  <si>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</si>
  <si>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</si>
  <si>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</si>
  <si>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</si>
  <si>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</si>
  <si>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</si>
  <si>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</si>
  <si>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</si>
  <si>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</si>
  <si>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</si>
  <si>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</si>
  <si>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Kinder, Grade 1-6, Grade 7-10 &amp; Grade 11-12</t>
  </si>
  <si>
    <t>All Offering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</si>
  <si>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</si>
  <si>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</si>
  <si>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</si>
  <si>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</si>
  <si>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</si>
  <si>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</si>
  <si>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</si>
  <si>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</si>
  <si>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</si>
  <si>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</si>
  <si>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</si>
  <si>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</si>
  <si>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</si>
  <si>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</si>
  <si>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</si>
  <si>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</si>
  <si>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</si>
  <si>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</si>
  <si>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</si>
  <si>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</si>
  <si>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</si>
  <si>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</si>
  <si>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</si>
  <si>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</si>
  <si>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</si>
  <si>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</si>
  <si>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</si>
  <si>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</si>
  <si>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</si>
  <si>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</si>
  <si>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</si>
  <si>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</si>
  <si>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</si>
  <si>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</si>
  <si>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</si>
  <si>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</si>
  <si>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</si>
  <si>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</si>
  <si>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</si>
  <si>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</si>
  <si>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</si>
  <si>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</si>
  <si>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</si>
  <si>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</si>
  <si>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</si>
  <si>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</si>
  <si>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</si>
  <si>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</si>
  <si>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</si>
  <si>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</si>
  <si>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</si>
  <si>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</si>
  <si>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</si>
  <si>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</si>
  <si>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</si>
  <si>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</si>
  <si>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</si>
  <si>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</si>
  <si>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</si>
  <si>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</si>
  <si>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</si>
  <si>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</si>
  <si>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</si>
  <si>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</si>
  <si>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</si>
  <si>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</si>
  <si>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</si>
  <si>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</si>
  <si>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</si>
  <si>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</si>
  <si>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</si>
  <si>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</si>
  <si>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</si>
  <si>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</si>
  <si>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</si>
  <si>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</si>
  <si>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</si>
  <si>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</si>
  <si>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</si>
  <si>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</si>
  <si>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</si>
  <si>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</si>
  <si>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</si>
  <si>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</si>
  <si>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</si>
  <si>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</si>
  <si>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</si>
  <si>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</si>
  <si>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</si>
  <si>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</si>
  <si>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</si>
  <si>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</si>
  <si>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</si>
  <si>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</si>
  <si>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</si>
  <si>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</si>
  <si>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</si>
  <si>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</si>
  <si>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</si>
  <si>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</si>
  <si>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</si>
  <si>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</si>
  <si>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</si>
  <si>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</si>
  <si>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</si>
  <si>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</si>
  <si>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Centro</t>
  </si>
  <si>
    <t>School Level Data on Available Sports Events, Club &amp; Facilities in Junior High School</t>
  </si>
  <si>
    <t>Remarks</t>
  </si>
  <si>
    <t>JHS with SHS</t>
  </si>
  <si>
    <t>Purely JHS</t>
  </si>
  <si>
    <t>Mati National Comprehensive High School</t>
  </si>
  <si>
    <t>Mangga</t>
  </si>
  <si>
    <t>Mati SAT</t>
  </si>
  <si>
    <t>Garcia Avenue</t>
  </si>
  <si>
    <t>City of Mati National High School</t>
  </si>
  <si>
    <t>Brgy. Dahican, Mati City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</si>
  <si>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</si>
  <si>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</si>
  <si>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</si>
  <si>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</si>
  <si>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</si>
  <si>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</si>
  <si>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</si>
  <si>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</si>
  <si>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</si>
  <si>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</si>
  <si>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</si>
  <si>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</si>
  <si>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</si>
  <si>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Don Salvador Lopez NHS</t>
  </si>
  <si>
    <t>Doña Rosa G. Rabat MHS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</si>
  <si>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</si>
  <si>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</si>
  <si>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</si>
  <si>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</si>
  <si>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</si>
  <si>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</si>
  <si>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</si>
  <si>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</si>
  <si>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</si>
  <si>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School Level Data on Available Sports Events, Club &amp; Facilities in Senior High School</t>
  </si>
  <si>
    <t>Sport Events</t>
  </si>
  <si>
    <t>Sport Facilities</t>
  </si>
  <si>
    <t>Grade 7-10 &amp; Grade 11-12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</si>
</sst>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6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165" fontId="0" fillId="0" borderId="0" xfId="1" applyNumberFormat="1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2" borderId="0" xfId="0" applyFont="1" applyFill="1"/>
    <xf numFmtId="0" fontId="1" fillId="3" borderId="0" xfId="0" applyFont="1" applyFill="1"/>
    <xf numFmtId="0" fontId="5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1DB25-BAF5-4069-9998-750EF546560E}">
  <dimension ref="A1:CU62"/>
  <sheetViews>
    <sheetView zoomScale="85" zoomScaleNormal="85" workbookViewId="0">
      <pane xSplit="4" ySplit="8" topLeftCell="E45" activePane="bottomRight" state="frozen"/>
      <selection activeCell="B7" sqref="A7:XFD25"/>
      <selection pane="topRight" activeCell="B7" sqref="A7:XFD25"/>
      <selection pane="bottomLeft" activeCell="B7" sqref="A7:XFD25"/>
      <selection pane="bottomRight" activeCell="B63" sqref="A63:XFD232"/>
    </sheetView>
  </sheetViews>
  <sheetFormatPr defaultRowHeight="15" x14ac:dyDescent="0.25"/>
  <cols>
    <col min="2" max="2" width="27.140625" bestFit="1" customWidth="1"/>
  </cols>
  <sheetData>
    <row r="1" spans="1:99" x14ac:dyDescent="0.25">
      <c r="A1" s="1" t="s">
        <v>0</v>
      </c>
    </row>
    <row r="2" spans="1:99" x14ac:dyDescent="0.25">
      <c r="A2" s="1" t="s">
        <v>1</v>
      </c>
      <c r="L2" s="2"/>
    </row>
    <row r="3" spans="1:99" x14ac:dyDescent="0.25">
      <c r="A3" s="1" t="s">
        <v>2</v>
      </c>
      <c r="L3" s="2"/>
    </row>
    <row r="4" spans="1:99" x14ac:dyDescent="0.25">
      <c r="A4" s="1"/>
      <c r="L4" s="2"/>
    </row>
    <row r="5" spans="1:99" x14ac:dyDescent="0.25">
      <c r="A5" s="1"/>
      <c r="L5" s="2"/>
      <c r="M5" s="3" t="s">
        <v>3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4" t="s">
        <v>4</v>
      </c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 t="s">
        <v>5</v>
      </c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</row>
    <row r="6" spans="1:99" ht="90" x14ac:dyDescent="0.25">
      <c r="M6" s="5" t="s">
        <v>6</v>
      </c>
      <c r="N6" s="6" t="s">
        <v>3</v>
      </c>
      <c r="O6" s="5" t="s">
        <v>7</v>
      </c>
      <c r="P6" s="5" t="s">
        <v>8</v>
      </c>
      <c r="Q6" s="5" t="s">
        <v>9</v>
      </c>
      <c r="R6" s="5" t="s">
        <v>10</v>
      </c>
      <c r="S6" s="5" t="s">
        <v>11</v>
      </c>
      <c r="T6" s="5" t="s">
        <v>12</v>
      </c>
      <c r="U6" s="5" t="s">
        <v>13</v>
      </c>
      <c r="V6" s="5" t="s">
        <v>14</v>
      </c>
      <c r="W6" s="5" t="s">
        <v>15</v>
      </c>
      <c r="X6" s="5" t="s">
        <v>16</v>
      </c>
      <c r="Y6" s="5" t="s">
        <v>17</v>
      </c>
      <c r="Z6" s="5" t="s">
        <v>18</v>
      </c>
      <c r="AA6" s="5" t="s">
        <v>19</v>
      </c>
      <c r="AB6" s="5" t="s">
        <v>20</v>
      </c>
      <c r="AC6" s="5" t="s">
        <v>21</v>
      </c>
      <c r="AD6" s="5" t="s">
        <v>22</v>
      </c>
      <c r="AE6" s="5" t="s">
        <v>23</v>
      </c>
      <c r="AF6" s="5" t="s">
        <v>24</v>
      </c>
      <c r="AG6" s="5" t="s">
        <v>25</v>
      </c>
      <c r="AH6" s="5" t="s">
        <v>26</v>
      </c>
      <c r="AI6" s="5" t="s">
        <v>27</v>
      </c>
      <c r="AJ6" s="5" t="s">
        <v>28</v>
      </c>
      <c r="AK6" s="5" t="s">
        <v>29</v>
      </c>
      <c r="AL6" s="5" t="s">
        <v>30</v>
      </c>
      <c r="AM6" s="5" t="s">
        <v>31</v>
      </c>
      <c r="AN6" s="5" t="s">
        <v>32</v>
      </c>
      <c r="AO6" s="5" t="s">
        <v>33</v>
      </c>
      <c r="AP6" s="5" t="s">
        <v>6</v>
      </c>
      <c r="AQ6" s="5" t="s">
        <v>34</v>
      </c>
      <c r="AR6" s="5" t="s">
        <v>7</v>
      </c>
      <c r="AS6" s="5" t="s">
        <v>8</v>
      </c>
      <c r="AT6" s="5" t="s">
        <v>9</v>
      </c>
      <c r="AU6" s="5" t="s">
        <v>10</v>
      </c>
      <c r="AV6" s="5" t="s">
        <v>11</v>
      </c>
      <c r="AW6" s="5" t="s">
        <v>12</v>
      </c>
      <c r="AX6" s="5" t="s">
        <v>13</v>
      </c>
      <c r="AY6" s="5" t="s">
        <v>14</v>
      </c>
      <c r="AZ6" s="5" t="s">
        <v>15</v>
      </c>
      <c r="BA6" s="5" t="s">
        <v>16</v>
      </c>
      <c r="BB6" s="5" t="s">
        <v>17</v>
      </c>
      <c r="BC6" s="5" t="s">
        <v>18</v>
      </c>
      <c r="BD6" s="5" t="s">
        <v>19</v>
      </c>
      <c r="BE6" s="5" t="s">
        <v>20</v>
      </c>
      <c r="BF6" s="5" t="s">
        <v>21</v>
      </c>
      <c r="BG6" s="5" t="s">
        <v>22</v>
      </c>
      <c r="BH6" s="5" t="s">
        <v>23</v>
      </c>
      <c r="BI6" s="5" t="s">
        <v>24</v>
      </c>
      <c r="BJ6" s="5" t="s">
        <v>25</v>
      </c>
      <c r="BK6" s="5" t="s">
        <v>26</v>
      </c>
      <c r="BL6" s="5" t="s">
        <v>27</v>
      </c>
      <c r="BM6" s="5" t="s">
        <v>28</v>
      </c>
      <c r="BN6" s="5" t="s">
        <v>29</v>
      </c>
      <c r="BO6" s="5" t="s">
        <v>30</v>
      </c>
      <c r="BP6" s="5" t="s">
        <v>31</v>
      </c>
      <c r="BQ6" s="5" t="s">
        <v>32</v>
      </c>
      <c r="BR6" s="5" t="s">
        <v>33</v>
      </c>
      <c r="BS6" s="5" t="s">
        <v>6</v>
      </c>
      <c r="BT6" s="5" t="s">
        <v>34</v>
      </c>
      <c r="BU6" s="5" t="s">
        <v>7</v>
      </c>
      <c r="BV6" s="5" t="s">
        <v>8</v>
      </c>
      <c r="BW6" s="5" t="s">
        <v>9</v>
      </c>
      <c r="BX6" s="5" t="s">
        <v>10</v>
      </c>
      <c r="BY6" s="5" t="s">
        <v>11</v>
      </c>
      <c r="BZ6" s="5" t="s">
        <v>12</v>
      </c>
      <c r="CA6" s="5" t="s">
        <v>13</v>
      </c>
      <c r="CB6" s="5" t="s">
        <v>14</v>
      </c>
      <c r="CC6" s="5" t="s">
        <v>15</v>
      </c>
      <c r="CD6" s="5" t="s">
        <v>16</v>
      </c>
      <c r="CE6" s="5" t="s">
        <v>17</v>
      </c>
      <c r="CF6" s="5" t="s">
        <v>18</v>
      </c>
      <c r="CG6" s="5" t="s">
        <v>19</v>
      </c>
      <c r="CH6" s="5" t="s">
        <v>20</v>
      </c>
      <c r="CI6" s="5" t="s">
        <v>21</v>
      </c>
      <c r="CJ6" s="5" t="s">
        <v>22</v>
      </c>
      <c r="CK6" s="5" t="s">
        <v>23</v>
      </c>
      <c r="CL6" s="5" t="s">
        <v>24</v>
      </c>
      <c r="CM6" s="5" t="s">
        <v>25</v>
      </c>
      <c r="CN6" s="5" t="s">
        <v>26</v>
      </c>
      <c r="CO6" s="5" t="s">
        <v>27</v>
      </c>
      <c r="CP6" s="5" t="s">
        <v>28</v>
      </c>
      <c r="CQ6" s="5" t="s">
        <v>29</v>
      </c>
      <c r="CR6" s="5" t="s">
        <v>30</v>
      </c>
      <c r="CS6" s="5" t="s">
        <v>31</v>
      </c>
      <c r="CT6" s="5" t="s">
        <v>32</v>
      </c>
      <c r="CU6" s="5" t="s">
        <v>33</v>
      </c>
    </row>
    <row r="7" spans="1:99" x14ac:dyDescent="0.25">
      <c r="M7" s="7">
        <f>SUM(M9:M62)</f>
        <v>0</v>
      </c>
      <c r="N7" s="7">
        <f>SUM(N9:N62)</f>
        <v>1</v>
      </c>
      <c r="O7" s="7">
        <f>SUM(O9:O62)</f>
        <v>15</v>
      </c>
      <c r="P7" s="7">
        <f>SUM(P9:P62)</f>
        <v>35</v>
      </c>
      <c r="Q7" s="7">
        <f>SUM(Q9:Q62)</f>
        <v>31</v>
      </c>
      <c r="R7" s="7">
        <f>SUM(R9:R62)</f>
        <v>26</v>
      </c>
      <c r="S7" s="7">
        <f>SUM(S9:S62)</f>
        <v>1</v>
      </c>
      <c r="T7" s="7">
        <f>SUM(T9:T62)</f>
        <v>0</v>
      </c>
      <c r="U7" s="7">
        <f>SUM(U9:U62)</f>
        <v>0</v>
      </c>
      <c r="V7" s="7">
        <f>SUM(V9:V62)</f>
        <v>18</v>
      </c>
      <c r="W7" s="7">
        <f>SUM(W9:W62)</f>
        <v>3</v>
      </c>
      <c r="X7" s="7">
        <f>SUM(X9:X62)</f>
        <v>2</v>
      </c>
      <c r="Y7" s="7">
        <f>SUM(Y9:Y62)</f>
        <v>0</v>
      </c>
      <c r="Z7" s="7">
        <f>SUM(Z9:Z62)</f>
        <v>1</v>
      </c>
      <c r="AA7" s="7">
        <f>SUM(AA9:AA62)</f>
        <v>1</v>
      </c>
      <c r="AB7" s="7">
        <f>SUM(AB9:AB62)</f>
        <v>1</v>
      </c>
      <c r="AC7" s="7">
        <f>SUM(AC9:AC62)</f>
        <v>1</v>
      </c>
      <c r="AD7" s="7">
        <f>SUM(AD9:AD62)</f>
        <v>0</v>
      </c>
      <c r="AE7" s="7">
        <f>SUM(AE9:AE62)</f>
        <v>10</v>
      </c>
      <c r="AF7" s="7">
        <f>SUM(AF9:AF62)</f>
        <v>1</v>
      </c>
      <c r="AG7" s="7">
        <f>SUM(AG9:AG62)</f>
        <v>9</v>
      </c>
      <c r="AH7" s="7">
        <f>SUM(AH9:AH62)</f>
        <v>6</v>
      </c>
      <c r="AI7" s="7">
        <f>SUM(AI9:AI62)</f>
        <v>2</v>
      </c>
      <c r="AJ7" s="7">
        <f>SUM(AJ9:AJ62)</f>
        <v>1</v>
      </c>
      <c r="AK7" s="7">
        <f>SUM(AK9:AK62)</f>
        <v>27</v>
      </c>
      <c r="AL7" s="7">
        <f>SUM(AL9:AL62)</f>
        <v>0</v>
      </c>
      <c r="AM7" s="7">
        <f>SUM(AM9:AM62)</f>
        <v>0</v>
      </c>
      <c r="AN7" s="7">
        <f>SUM(AN9:AN62)</f>
        <v>1</v>
      </c>
      <c r="AO7" s="7">
        <f>SUM(AO9:AO62)</f>
        <v>1</v>
      </c>
      <c r="AP7" s="7">
        <f>SUM(AP9:AP62)</f>
        <v>0</v>
      </c>
      <c r="AQ7" s="7">
        <f>SUM(AQ9:AQ62)</f>
        <v>0</v>
      </c>
      <c r="AR7" s="7">
        <f>SUM(AR9:AR62)</f>
        <v>0</v>
      </c>
      <c r="AS7" s="7">
        <f>SUM(AS9:AS62)</f>
        <v>1</v>
      </c>
      <c r="AT7" s="7">
        <f>SUM(AT9:AT62)</f>
        <v>1</v>
      </c>
      <c r="AU7" s="7">
        <f>SUM(AU9:AU62)</f>
        <v>1</v>
      </c>
      <c r="AV7" s="7">
        <f>SUM(AV9:AV62)</f>
        <v>0</v>
      </c>
      <c r="AW7" s="7">
        <f>SUM(AW9:AW62)</f>
        <v>0</v>
      </c>
      <c r="AX7" s="7">
        <f>SUM(AX9:AX62)</f>
        <v>0</v>
      </c>
      <c r="AY7" s="7">
        <f>SUM(AY9:AY62)</f>
        <v>1</v>
      </c>
      <c r="AZ7" s="7">
        <f>SUM(AZ9:AZ62)</f>
        <v>1</v>
      </c>
      <c r="BA7" s="7">
        <f>SUM(BA9:BA62)</f>
        <v>0</v>
      </c>
      <c r="BB7" s="7">
        <f>SUM(BB9:BB62)</f>
        <v>0</v>
      </c>
      <c r="BC7" s="7">
        <f>SUM(BC9:BC62)</f>
        <v>0</v>
      </c>
      <c r="BD7" s="7">
        <f>SUM(BD9:BD62)</f>
        <v>0</v>
      </c>
      <c r="BE7" s="7">
        <f>SUM(BE9:BE62)</f>
        <v>0</v>
      </c>
      <c r="BF7" s="7">
        <f>SUM(BF9:BF62)</f>
        <v>0</v>
      </c>
      <c r="BG7" s="7">
        <f>SUM(BG9:BG62)</f>
        <v>0</v>
      </c>
      <c r="BH7" s="7">
        <f>SUM(BH9:BH62)</f>
        <v>0</v>
      </c>
      <c r="BI7" s="7">
        <f>SUM(BI9:BI62)</f>
        <v>0</v>
      </c>
      <c r="BJ7" s="7">
        <f>SUM(BJ9:BJ62)</f>
        <v>0</v>
      </c>
      <c r="BK7" s="7">
        <f>SUM(BK9:BK62)</f>
        <v>1</v>
      </c>
      <c r="BL7" s="7">
        <f>SUM(BL9:BL62)</f>
        <v>1</v>
      </c>
      <c r="BM7" s="7">
        <f>SUM(BM9:BM62)</f>
        <v>0</v>
      </c>
      <c r="BN7" s="7">
        <f>SUM(BN9:BN62)</f>
        <v>3</v>
      </c>
      <c r="BO7" s="7">
        <f>SUM(BO9:BO62)</f>
        <v>0</v>
      </c>
      <c r="BP7" s="7">
        <f>SUM(BP9:BP62)</f>
        <v>0</v>
      </c>
      <c r="BQ7" s="7">
        <f>SUM(BQ9:BQ62)</f>
        <v>0</v>
      </c>
      <c r="BR7" s="7">
        <f>SUM(BR9:BR62)</f>
        <v>0</v>
      </c>
      <c r="BS7" s="7">
        <f>SUM(BS9:BS62)</f>
        <v>0</v>
      </c>
      <c r="BT7" s="7">
        <f>SUM(BT9:BT62)</f>
        <v>0</v>
      </c>
      <c r="BU7" s="7">
        <f>SUM(BU9:BU62)</f>
        <v>3</v>
      </c>
      <c r="BV7" s="7">
        <f>SUM(BV9:BV62)</f>
        <v>2</v>
      </c>
      <c r="BW7" s="7">
        <f>SUM(BW9:BW62)</f>
        <v>7</v>
      </c>
      <c r="BX7" s="7">
        <f>SUM(BX9:BX62)</f>
        <v>6</v>
      </c>
      <c r="BY7" s="7">
        <f>SUM(BY9:BY62)</f>
        <v>0</v>
      </c>
      <c r="BZ7" s="7">
        <f>SUM(BZ9:BZ62)</f>
        <v>0</v>
      </c>
      <c r="CA7" s="7">
        <f>SUM(CA9:CA62)</f>
        <v>0</v>
      </c>
      <c r="CB7" s="7">
        <f>SUM(CB9:CB62)</f>
        <v>7</v>
      </c>
      <c r="CC7" s="7">
        <f>SUM(CC9:CC62)</f>
        <v>0</v>
      </c>
      <c r="CD7" s="7">
        <f>SUM(CD9:CD62)</f>
        <v>1</v>
      </c>
      <c r="CE7" s="7">
        <f>SUM(CE9:CE62)</f>
        <v>0</v>
      </c>
      <c r="CF7" s="7">
        <f>SUM(CF9:CF62)</f>
        <v>1</v>
      </c>
      <c r="CG7" s="7">
        <f>SUM(CG9:CG62)</f>
        <v>1</v>
      </c>
      <c r="CH7" s="7">
        <f>SUM(CH9:CH62)</f>
        <v>1</v>
      </c>
      <c r="CI7" s="7">
        <f>SUM(CI9:CI62)</f>
        <v>1</v>
      </c>
      <c r="CJ7" s="7">
        <f>SUM(CJ9:CJ62)</f>
        <v>0</v>
      </c>
      <c r="CK7" s="7">
        <f>SUM(CK9:CK62)</f>
        <v>3</v>
      </c>
      <c r="CL7" s="7">
        <f>SUM(CL9:CL62)</f>
        <v>0</v>
      </c>
      <c r="CM7" s="7">
        <f>SUM(CM9:CM62)</f>
        <v>0</v>
      </c>
      <c r="CN7" s="7">
        <f>SUM(CN9:CN62)</f>
        <v>4</v>
      </c>
      <c r="CO7" s="7">
        <f>SUM(CO9:CO62)</f>
        <v>0</v>
      </c>
      <c r="CP7" s="7">
        <f>SUM(CP9:CP62)</f>
        <v>1</v>
      </c>
      <c r="CQ7" s="7">
        <f>SUM(CQ9:CQ62)</f>
        <v>15</v>
      </c>
      <c r="CR7" s="7">
        <f>SUM(CR9:CR62)</f>
        <v>0</v>
      </c>
      <c r="CS7" s="7">
        <f>SUM(CS9:CS62)</f>
        <v>0</v>
      </c>
      <c r="CT7" s="7">
        <f>SUM(CT9:CT62)</f>
        <v>1</v>
      </c>
      <c r="CU7" s="7">
        <f>SUM(CU9:CU62)</f>
        <v>1</v>
      </c>
    </row>
    <row r="8" spans="1:99" x14ac:dyDescent="0.25">
      <c r="A8" s="8" t="s">
        <v>35</v>
      </c>
      <c r="B8" s="8" t="s">
        <v>36</v>
      </c>
      <c r="C8" s="8" t="s">
        <v>37</v>
      </c>
      <c r="D8" s="8" t="s">
        <v>38</v>
      </c>
      <c r="E8" s="8" t="s">
        <v>39</v>
      </c>
      <c r="F8" s="8" t="s">
        <v>40</v>
      </c>
      <c r="G8" s="8" t="s">
        <v>41</v>
      </c>
      <c r="H8" s="8" t="s">
        <v>42</v>
      </c>
      <c r="I8" s="8" t="s">
        <v>43</v>
      </c>
      <c r="J8" s="8" t="s">
        <v>44</v>
      </c>
      <c r="K8" s="8" t="s">
        <v>45</v>
      </c>
      <c r="L8" s="9" t="s">
        <v>46</v>
      </c>
      <c r="M8" s="10" t="s">
        <v>47</v>
      </c>
      <c r="N8" s="10" t="s">
        <v>48</v>
      </c>
      <c r="O8" s="10" t="s">
        <v>49</v>
      </c>
      <c r="P8" s="10" t="s">
        <v>50</v>
      </c>
      <c r="Q8" s="10" t="s">
        <v>51</v>
      </c>
      <c r="R8" s="10" t="s">
        <v>52</v>
      </c>
      <c r="S8" s="10" t="s">
        <v>53</v>
      </c>
      <c r="T8" s="10" t="s">
        <v>54</v>
      </c>
      <c r="U8" s="10" t="s">
        <v>55</v>
      </c>
      <c r="V8" s="10" t="s">
        <v>56</v>
      </c>
      <c r="W8" s="10" t="s">
        <v>57</v>
      </c>
      <c r="X8" s="10" t="s">
        <v>58</v>
      </c>
      <c r="Y8" s="10" t="s">
        <v>59</v>
      </c>
      <c r="Z8" s="10" t="s">
        <v>60</v>
      </c>
      <c r="AA8" s="10" t="s">
        <v>61</v>
      </c>
      <c r="AB8" s="10" t="s">
        <v>62</v>
      </c>
      <c r="AC8" s="10" t="s">
        <v>63</v>
      </c>
      <c r="AD8" s="10" t="s">
        <v>64</v>
      </c>
      <c r="AE8" s="10" t="s">
        <v>65</v>
      </c>
      <c r="AF8" s="10" t="s">
        <v>66</v>
      </c>
      <c r="AG8" s="10" t="s">
        <v>67</v>
      </c>
      <c r="AH8" s="10" t="s">
        <v>68</v>
      </c>
      <c r="AI8" s="10" t="s">
        <v>69</v>
      </c>
      <c r="AJ8" s="10" t="s">
        <v>70</v>
      </c>
      <c r="AK8" s="10" t="s">
        <v>71</v>
      </c>
      <c r="AL8" s="10" t="s">
        <v>72</v>
      </c>
      <c r="AM8" s="10" t="s">
        <v>73</v>
      </c>
      <c r="AN8" s="10" t="s">
        <v>74</v>
      </c>
      <c r="AO8" s="10" t="s">
        <v>75</v>
      </c>
      <c r="AP8" s="10" t="s">
        <v>76</v>
      </c>
      <c r="AQ8" s="10" t="s">
        <v>77</v>
      </c>
      <c r="AR8" s="10" t="s">
        <v>78</v>
      </c>
      <c r="AS8" s="10" t="s">
        <v>79</v>
      </c>
      <c r="AT8" s="10" t="s">
        <v>80</v>
      </c>
      <c r="AU8" s="10" t="s">
        <v>81</v>
      </c>
      <c r="AV8" s="10" t="s">
        <v>82</v>
      </c>
      <c r="AW8" s="10" t="s">
        <v>83</v>
      </c>
      <c r="AX8" s="10" t="s">
        <v>84</v>
      </c>
      <c r="AY8" s="10" t="s">
        <v>85</v>
      </c>
      <c r="AZ8" s="10" t="s">
        <v>86</v>
      </c>
      <c r="BA8" s="10" t="s">
        <v>87</v>
      </c>
      <c r="BB8" s="10" t="s">
        <v>88</v>
      </c>
      <c r="BC8" s="10" t="s">
        <v>89</v>
      </c>
      <c r="BD8" s="10" t="s">
        <v>90</v>
      </c>
      <c r="BE8" s="10" t="s">
        <v>91</v>
      </c>
      <c r="BF8" s="10" t="s">
        <v>92</v>
      </c>
      <c r="BG8" s="10" t="s">
        <v>93</v>
      </c>
      <c r="BH8" s="10" t="s">
        <v>94</v>
      </c>
      <c r="BI8" s="10" t="s">
        <v>95</v>
      </c>
      <c r="BJ8" s="10" t="s">
        <v>96</v>
      </c>
      <c r="BK8" s="10" t="s">
        <v>97</v>
      </c>
      <c r="BL8" s="10" t="s">
        <v>98</v>
      </c>
      <c r="BM8" s="10" t="s">
        <v>99</v>
      </c>
      <c r="BN8" s="10" t="s">
        <v>100</v>
      </c>
      <c r="BO8" s="10" t="s">
        <v>101</v>
      </c>
      <c r="BP8" s="10" t="s">
        <v>102</v>
      </c>
      <c r="BQ8" s="10" t="s">
        <v>103</v>
      </c>
      <c r="BR8" s="10" t="s">
        <v>104</v>
      </c>
      <c r="BS8" s="10" t="s">
        <v>105</v>
      </c>
      <c r="BT8" s="10" t="s">
        <v>106</v>
      </c>
      <c r="BU8" s="10" t="s">
        <v>107</v>
      </c>
      <c r="BV8" s="10" t="s">
        <v>108</v>
      </c>
      <c r="BW8" s="10" t="s">
        <v>109</v>
      </c>
      <c r="BX8" s="10" t="s">
        <v>110</v>
      </c>
      <c r="BY8" s="10" t="s">
        <v>111</v>
      </c>
      <c r="BZ8" s="10" t="s">
        <v>112</v>
      </c>
      <c r="CA8" s="10" t="s">
        <v>113</v>
      </c>
      <c r="CB8" s="10" t="s">
        <v>114</v>
      </c>
      <c r="CC8" s="10" t="s">
        <v>115</v>
      </c>
      <c r="CD8" s="10" t="s">
        <v>116</v>
      </c>
      <c r="CE8" s="10" t="s">
        <v>117</v>
      </c>
      <c r="CF8" s="10" t="s">
        <v>118</v>
      </c>
      <c r="CG8" s="10" t="s">
        <v>119</v>
      </c>
      <c r="CH8" s="10" t="s">
        <v>120</v>
      </c>
      <c r="CI8" s="10" t="s">
        <v>121</v>
      </c>
      <c r="CJ8" s="10" t="s">
        <v>122</v>
      </c>
      <c r="CK8" s="10" t="s">
        <v>123</v>
      </c>
      <c r="CL8" s="10" t="s">
        <v>124</v>
      </c>
      <c r="CM8" s="10" t="s">
        <v>125</v>
      </c>
      <c r="CN8" s="10" t="s">
        <v>126</v>
      </c>
      <c r="CO8" s="10" t="s">
        <v>127</v>
      </c>
      <c r="CP8" s="10" t="s">
        <v>128</v>
      </c>
      <c r="CQ8" s="10" t="s">
        <v>129</v>
      </c>
      <c r="CR8" s="10" t="s">
        <v>130</v>
      </c>
      <c r="CS8" s="10" t="s">
        <v>131</v>
      </c>
      <c r="CT8" s="10" t="s">
        <v>132</v>
      </c>
      <c r="CU8" s="10" t="s">
        <v>133</v>
      </c>
    </row>
    <row r="9" spans="1:99" x14ac:dyDescent="0.25">
      <c r="A9" t="s">
        <v>134</v>
      </c>
      <c r="B9" t="s">
        <v>140</v>
      </c>
      <c r="C9" t="s">
        <v>141</v>
      </c>
      <c r="D9">
        <v>129374</v>
      </c>
      <c r="E9" t="s">
        <v>142</v>
      </c>
      <c r="F9" t="s">
        <v>143</v>
      </c>
      <c r="G9" t="s">
        <v>144</v>
      </c>
      <c r="H9" t="s">
        <v>145</v>
      </c>
      <c r="I9" t="s">
        <v>135</v>
      </c>
      <c r="J9" t="s">
        <v>146</v>
      </c>
      <c r="K9" t="s">
        <v>136</v>
      </c>
      <c r="L9" s="11" t="s">
        <v>137</v>
      </c>
      <c r="M9">
        <v>0</v>
      </c>
      <c r="N9">
        <v>0</v>
      </c>
      <c r="O9">
        <v>0</v>
      </c>
      <c r="P9">
        <v>1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</row>
    <row r="10" spans="1:99" x14ac:dyDescent="0.25">
      <c r="A10" t="s">
        <v>134</v>
      </c>
      <c r="B10" t="s">
        <v>140</v>
      </c>
      <c r="C10" t="s">
        <v>141</v>
      </c>
      <c r="D10">
        <v>129375</v>
      </c>
      <c r="E10" t="s">
        <v>147</v>
      </c>
      <c r="F10" t="s">
        <v>148</v>
      </c>
      <c r="G10" t="s">
        <v>144</v>
      </c>
      <c r="H10" t="s">
        <v>145</v>
      </c>
      <c r="I10" t="s">
        <v>135</v>
      </c>
      <c r="J10" t="s">
        <v>146</v>
      </c>
      <c r="K10" t="s">
        <v>136</v>
      </c>
      <c r="L10" s="11" t="s">
        <v>137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</row>
    <row r="11" spans="1:99" x14ac:dyDescent="0.25">
      <c r="A11" t="s">
        <v>134</v>
      </c>
      <c r="B11" t="s">
        <v>140</v>
      </c>
      <c r="C11" t="s">
        <v>141</v>
      </c>
      <c r="D11">
        <v>129376</v>
      </c>
      <c r="E11" t="s">
        <v>149</v>
      </c>
      <c r="F11" t="s">
        <v>150</v>
      </c>
      <c r="G11" t="s">
        <v>144</v>
      </c>
      <c r="H11" t="s">
        <v>145</v>
      </c>
      <c r="I11" t="s">
        <v>135</v>
      </c>
      <c r="J11" t="s">
        <v>151</v>
      </c>
      <c r="K11" t="s">
        <v>136</v>
      </c>
      <c r="L11" s="11" t="s">
        <v>137</v>
      </c>
      <c r="M11">
        <v>0</v>
      </c>
      <c r="N11">
        <v>0</v>
      </c>
      <c r="O11">
        <v>0</v>
      </c>
      <c r="P11">
        <v>1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</row>
    <row r="12" spans="1:99" x14ac:dyDescent="0.25">
      <c r="A12" t="s">
        <v>134</v>
      </c>
      <c r="B12" t="s">
        <v>140</v>
      </c>
      <c r="C12" t="s">
        <v>141</v>
      </c>
      <c r="D12">
        <v>129377</v>
      </c>
      <c r="E12" t="s">
        <v>152</v>
      </c>
      <c r="F12" t="s">
        <v>153</v>
      </c>
      <c r="G12" t="s">
        <v>144</v>
      </c>
      <c r="H12" t="s">
        <v>145</v>
      </c>
      <c r="I12" t="s">
        <v>135</v>
      </c>
      <c r="J12" t="s">
        <v>154</v>
      </c>
      <c r="K12" t="s">
        <v>136</v>
      </c>
      <c r="L12" s="11" t="s">
        <v>137</v>
      </c>
      <c r="M12">
        <v>0</v>
      </c>
      <c r="N12">
        <v>0</v>
      </c>
      <c r="O12">
        <v>0</v>
      </c>
      <c r="P12">
        <v>1</v>
      </c>
      <c r="Q12">
        <v>1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</row>
    <row r="13" spans="1:99" x14ac:dyDescent="0.25">
      <c r="A13" t="s">
        <v>134</v>
      </c>
      <c r="B13" t="s">
        <v>140</v>
      </c>
      <c r="C13" t="s">
        <v>141</v>
      </c>
      <c r="D13">
        <v>129380</v>
      </c>
      <c r="E13" t="s">
        <v>155</v>
      </c>
      <c r="F13" t="s">
        <v>156</v>
      </c>
      <c r="G13" t="s">
        <v>144</v>
      </c>
      <c r="H13" t="s">
        <v>145</v>
      </c>
      <c r="I13" t="s">
        <v>135</v>
      </c>
      <c r="J13" t="s">
        <v>151</v>
      </c>
      <c r="K13" t="s">
        <v>136</v>
      </c>
      <c r="L13" s="11" t="s">
        <v>137</v>
      </c>
      <c r="M13">
        <v>0</v>
      </c>
      <c r="N13">
        <v>0</v>
      </c>
      <c r="O13">
        <v>1</v>
      </c>
      <c r="P13">
        <v>1</v>
      </c>
      <c r="Q13">
        <v>1</v>
      </c>
      <c r="R13">
        <v>1</v>
      </c>
      <c r="S13">
        <v>0</v>
      </c>
      <c r="T13">
        <v>0</v>
      </c>
      <c r="U13">
        <v>0</v>
      </c>
      <c r="V13">
        <v>1</v>
      </c>
      <c r="W13">
        <v>1</v>
      </c>
      <c r="X13">
        <v>1</v>
      </c>
      <c r="Y13">
        <v>0</v>
      </c>
      <c r="Z13">
        <v>1</v>
      </c>
      <c r="AA13">
        <v>1</v>
      </c>
      <c r="AB13">
        <v>1</v>
      </c>
      <c r="AC13">
        <v>1</v>
      </c>
      <c r="AD13">
        <v>0</v>
      </c>
      <c r="AE13">
        <v>0</v>
      </c>
      <c r="AF13">
        <v>0</v>
      </c>
      <c r="AG13">
        <v>1</v>
      </c>
      <c r="AH13">
        <v>1</v>
      </c>
      <c r="AI13">
        <v>1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1</v>
      </c>
      <c r="BV13">
        <v>1</v>
      </c>
      <c r="BW13">
        <v>0</v>
      </c>
      <c r="BX13">
        <v>1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1</v>
      </c>
      <c r="CO13">
        <v>0</v>
      </c>
      <c r="CP13">
        <v>0</v>
      </c>
      <c r="CQ13">
        <v>1</v>
      </c>
      <c r="CR13">
        <v>0</v>
      </c>
      <c r="CS13">
        <v>0</v>
      </c>
      <c r="CT13">
        <v>0</v>
      </c>
      <c r="CU13">
        <v>0</v>
      </c>
    </row>
    <row r="14" spans="1:99" x14ac:dyDescent="0.25">
      <c r="A14" t="s">
        <v>134</v>
      </c>
      <c r="B14" t="s">
        <v>140</v>
      </c>
      <c r="C14" t="s">
        <v>141</v>
      </c>
      <c r="D14">
        <v>129381</v>
      </c>
      <c r="E14" t="s">
        <v>157</v>
      </c>
      <c r="F14" t="s">
        <v>158</v>
      </c>
      <c r="G14" t="s">
        <v>144</v>
      </c>
      <c r="H14" t="s">
        <v>145</v>
      </c>
      <c r="I14" t="s">
        <v>135</v>
      </c>
      <c r="J14" t="s">
        <v>151</v>
      </c>
      <c r="K14" t="s">
        <v>136</v>
      </c>
      <c r="L14" s="11" t="s">
        <v>137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1</v>
      </c>
      <c r="CG14">
        <v>1</v>
      </c>
      <c r="CH14">
        <v>1</v>
      </c>
      <c r="CI14">
        <v>1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</row>
    <row r="15" spans="1:99" x14ac:dyDescent="0.25">
      <c r="A15" t="s">
        <v>134</v>
      </c>
      <c r="B15" t="s">
        <v>140</v>
      </c>
      <c r="C15" t="s">
        <v>141</v>
      </c>
      <c r="D15">
        <v>129382</v>
      </c>
      <c r="E15" t="s">
        <v>159</v>
      </c>
      <c r="F15" t="s">
        <v>160</v>
      </c>
      <c r="G15" t="s">
        <v>144</v>
      </c>
      <c r="H15" t="s">
        <v>145</v>
      </c>
      <c r="I15" t="s">
        <v>135</v>
      </c>
      <c r="J15" t="s">
        <v>151</v>
      </c>
      <c r="K15" t="s">
        <v>136</v>
      </c>
      <c r="L15" s="11" t="s">
        <v>137</v>
      </c>
      <c r="M15">
        <v>0</v>
      </c>
      <c r="N15">
        <v>0</v>
      </c>
      <c r="O15">
        <v>1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1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</row>
    <row r="16" spans="1:99" x14ac:dyDescent="0.25">
      <c r="A16" t="s">
        <v>134</v>
      </c>
      <c r="B16" t="s">
        <v>140</v>
      </c>
      <c r="C16" t="s">
        <v>141</v>
      </c>
      <c r="D16">
        <v>129383</v>
      </c>
      <c r="E16" t="s">
        <v>161</v>
      </c>
      <c r="F16" t="s">
        <v>162</v>
      </c>
      <c r="G16" t="s">
        <v>144</v>
      </c>
      <c r="H16" t="s">
        <v>145</v>
      </c>
      <c r="I16" t="s">
        <v>135</v>
      </c>
      <c r="J16" t="s">
        <v>151</v>
      </c>
      <c r="K16" t="s">
        <v>136</v>
      </c>
      <c r="L16" s="11" t="s">
        <v>137</v>
      </c>
      <c r="M16">
        <v>0</v>
      </c>
      <c r="N16">
        <v>0</v>
      </c>
      <c r="O16">
        <v>0</v>
      </c>
      <c r="P16">
        <v>1</v>
      </c>
      <c r="Q16">
        <v>1</v>
      </c>
      <c r="R16">
        <v>1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</v>
      </c>
      <c r="BL16">
        <v>1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</row>
    <row r="17" spans="1:99" x14ac:dyDescent="0.25">
      <c r="A17" t="s">
        <v>134</v>
      </c>
      <c r="B17" t="s">
        <v>140</v>
      </c>
      <c r="C17" t="s">
        <v>141</v>
      </c>
      <c r="D17">
        <v>129384</v>
      </c>
      <c r="E17" t="s">
        <v>163</v>
      </c>
      <c r="F17" t="s">
        <v>164</v>
      </c>
      <c r="G17" t="s">
        <v>144</v>
      </c>
      <c r="H17" t="s">
        <v>145</v>
      </c>
      <c r="I17" t="s">
        <v>135</v>
      </c>
      <c r="J17" t="s">
        <v>151</v>
      </c>
      <c r="K17" t="s">
        <v>136</v>
      </c>
      <c r="L17" s="11" t="s">
        <v>137</v>
      </c>
      <c r="M17">
        <v>0</v>
      </c>
      <c r="N17">
        <v>0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</row>
    <row r="18" spans="1:99" x14ac:dyDescent="0.25">
      <c r="A18" t="s">
        <v>134</v>
      </c>
      <c r="B18" t="s">
        <v>140</v>
      </c>
      <c r="C18" t="s">
        <v>141</v>
      </c>
      <c r="D18">
        <v>129385</v>
      </c>
      <c r="E18" t="s">
        <v>165</v>
      </c>
      <c r="F18" t="s">
        <v>166</v>
      </c>
      <c r="G18" t="s">
        <v>144</v>
      </c>
      <c r="H18" t="s">
        <v>145</v>
      </c>
      <c r="I18" t="s">
        <v>135</v>
      </c>
      <c r="J18" t="s">
        <v>146</v>
      </c>
      <c r="K18" t="s">
        <v>136</v>
      </c>
      <c r="L18" s="11" t="s">
        <v>137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</row>
    <row r="19" spans="1:99" x14ac:dyDescent="0.25">
      <c r="A19" t="s">
        <v>134</v>
      </c>
      <c r="B19" t="s">
        <v>140</v>
      </c>
      <c r="C19" t="s">
        <v>141</v>
      </c>
      <c r="D19">
        <v>129386</v>
      </c>
      <c r="E19" t="s">
        <v>167</v>
      </c>
      <c r="F19" t="s">
        <v>168</v>
      </c>
      <c r="G19" t="s">
        <v>144</v>
      </c>
      <c r="H19" t="s">
        <v>145</v>
      </c>
      <c r="I19" t="s">
        <v>135</v>
      </c>
      <c r="J19" t="s">
        <v>154</v>
      </c>
      <c r="K19" t="s">
        <v>136</v>
      </c>
      <c r="L19" s="11" t="s">
        <v>137</v>
      </c>
      <c r="M19">
        <v>0</v>
      </c>
      <c r="N19">
        <v>0</v>
      </c>
      <c r="O19">
        <v>0</v>
      </c>
      <c r="P19">
        <v>1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</row>
    <row r="20" spans="1:99" x14ac:dyDescent="0.25">
      <c r="A20" t="s">
        <v>134</v>
      </c>
      <c r="B20" t="s">
        <v>140</v>
      </c>
      <c r="C20" t="s">
        <v>141</v>
      </c>
      <c r="D20">
        <v>205504</v>
      </c>
      <c r="E20" t="s">
        <v>169</v>
      </c>
      <c r="F20" t="s">
        <v>158</v>
      </c>
      <c r="G20" t="s">
        <v>144</v>
      </c>
      <c r="H20" t="s">
        <v>145</v>
      </c>
      <c r="I20" t="s">
        <v>135</v>
      </c>
      <c r="J20" t="s">
        <v>151</v>
      </c>
      <c r="K20" t="s">
        <v>136</v>
      </c>
      <c r="L20" s="11" t="s">
        <v>137</v>
      </c>
      <c r="M20">
        <v>0</v>
      </c>
      <c r="N20">
        <v>0</v>
      </c>
      <c r="O20">
        <v>1</v>
      </c>
      <c r="P20">
        <v>1</v>
      </c>
      <c r="Q20">
        <v>1</v>
      </c>
      <c r="R20">
        <v>1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1</v>
      </c>
      <c r="AH20">
        <v>1</v>
      </c>
      <c r="AI20">
        <v>0</v>
      </c>
      <c r="AJ20">
        <v>1</v>
      </c>
      <c r="AK20">
        <v>1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1</v>
      </c>
      <c r="BV20">
        <v>1</v>
      </c>
      <c r="BW20">
        <v>1</v>
      </c>
      <c r="BX20">
        <v>1</v>
      </c>
      <c r="BY20">
        <v>0</v>
      </c>
      <c r="BZ20">
        <v>0</v>
      </c>
      <c r="CA20">
        <v>0</v>
      </c>
      <c r="CB20">
        <v>1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1</v>
      </c>
      <c r="CL20">
        <v>0</v>
      </c>
      <c r="CM20">
        <v>0</v>
      </c>
      <c r="CN20">
        <v>1</v>
      </c>
      <c r="CO20">
        <v>0</v>
      </c>
      <c r="CP20">
        <v>1</v>
      </c>
      <c r="CQ20">
        <v>1</v>
      </c>
      <c r="CR20">
        <v>0</v>
      </c>
      <c r="CS20">
        <v>0</v>
      </c>
      <c r="CT20">
        <v>1</v>
      </c>
      <c r="CU20">
        <v>1</v>
      </c>
    </row>
    <row r="21" spans="1:99" x14ac:dyDescent="0.25">
      <c r="A21" t="s">
        <v>134</v>
      </c>
      <c r="B21" t="s">
        <v>140</v>
      </c>
      <c r="C21" t="s">
        <v>141</v>
      </c>
      <c r="D21">
        <v>500454</v>
      </c>
      <c r="E21" t="s">
        <v>170</v>
      </c>
      <c r="F21" t="s">
        <v>171</v>
      </c>
      <c r="G21" t="s">
        <v>144</v>
      </c>
      <c r="H21" t="s">
        <v>145</v>
      </c>
      <c r="I21" t="s">
        <v>135</v>
      </c>
      <c r="J21" t="s">
        <v>154</v>
      </c>
      <c r="K21" t="s">
        <v>172</v>
      </c>
      <c r="L21" s="11" t="s">
        <v>173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1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1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1</v>
      </c>
      <c r="CR21">
        <v>0</v>
      </c>
      <c r="CS21">
        <v>0</v>
      </c>
      <c r="CT21">
        <v>0</v>
      </c>
      <c r="CU21">
        <v>0</v>
      </c>
    </row>
    <row r="22" spans="1:99" x14ac:dyDescent="0.25">
      <c r="A22" t="s">
        <v>134</v>
      </c>
      <c r="B22" t="s">
        <v>140</v>
      </c>
      <c r="C22" t="s">
        <v>141</v>
      </c>
      <c r="D22">
        <v>501424</v>
      </c>
      <c r="E22" t="s">
        <v>174</v>
      </c>
      <c r="F22" t="s">
        <v>175</v>
      </c>
      <c r="G22" t="s">
        <v>144</v>
      </c>
      <c r="H22" t="s">
        <v>145</v>
      </c>
      <c r="I22" t="s">
        <v>135</v>
      </c>
      <c r="J22" t="s">
        <v>176</v>
      </c>
      <c r="K22" t="s">
        <v>138</v>
      </c>
      <c r="L22" s="11" t="s">
        <v>139</v>
      </c>
      <c r="M22">
        <v>0</v>
      </c>
      <c r="N22">
        <v>0</v>
      </c>
      <c r="O22">
        <v>0</v>
      </c>
      <c r="P22">
        <v>1</v>
      </c>
      <c r="Q22">
        <v>1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1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1</v>
      </c>
      <c r="CR22">
        <v>0</v>
      </c>
      <c r="CS22">
        <v>0</v>
      </c>
      <c r="CT22">
        <v>0</v>
      </c>
      <c r="CU22">
        <v>0</v>
      </c>
    </row>
    <row r="23" spans="1:99" x14ac:dyDescent="0.25">
      <c r="A23" t="s">
        <v>134</v>
      </c>
      <c r="B23" t="s">
        <v>140</v>
      </c>
      <c r="C23" t="s">
        <v>177</v>
      </c>
      <c r="D23">
        <v>101813</v>
      </c>
      <c r="E23" t="s">
        <v>178</v>
      </c>
      <c r="F23" t="s">
        <v>179</v>
      </c>
      <c r="G23" t="s">
        <v>144</v>
      </c>
      <c r="H23" t="s">
        <v>145</v>
      </c>
      <c r="I23" t="s">
        <v>135</v>
      </c>
      <c r="J23" t="s">
        <v>180</v>
      </c>
      <c r="K23" t="s">
        <v>136</v>
      </c>
      <c r="L23" s="11" t="s">
        <v>137</v>
      </c>
      <c r="M23">
        <v>0</v>
      </c>
      <c r="N23">
        <v>0</v>
      </c>
      <c r="O23">
        <v>0</v>
      </c>
      <c r="P23">
        <v>1</v>
      </c>
      <c r="Q23">
        <v>1</v>
      </c>
      <c r="R23">
        <v>1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</row>
    <row r="24" spans="1:99" x14ac:dyDescent="0.25">
      <c r="A24" t="s">
        <v>134</v>
      </c>
      <c r="B24" t="s">
        <v>140</v>
      </c>
      <c r="C24" t="s">
        <v>177</v>
      </c>
      <c r="D24">
        <v>129387</v>
      </c>
      <c r="E24" t="s">
        <v>181</v>
      </c>
      <c r="F24" t="s">
        <v>182</v>
      </c>
      <c r="G24" t="s">
        <v>144</v>
      </c>
      <c r="H24" t="s">
        <v>145</v>
      </c>
      <c r="I24" t="s">
        <v>135</v>
      </c>
      <c r="J24" t="s">
        <v>183</v>
      </c>
      <c r="K24" t="s">
        <v>136</v>
      </c>
      <c r="L24" s="11" t="s">
        <v>137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</row>
    <row r="25" spans="1:99" x14ac:dyDescent="0.25">
      <c r="A25" t="s">
        <v>134</v>
      </c>
      <c r="B25" t="s">
        <v>140</v>
      </c>
      <c r="C25" t="s">
        <v>177</v>
      </c>
      <c r="D25">
        <v>129388</v>
      </c>
      <c r="E25" t="s">
        <v>184</v>
      </c>
      <c r="F25" t="s">
        <v>185</v>
      </c>
      <c r="G25" t="s">
        <v>144</v>
      </c>
      <c r="H25" t="s">
        <v>145</v>
      </c>
      <c r="I25" t="s">
        <v>135</v>
      </c>
      <c r="J25" t="s">
        <v>186</v>
      </c>
      <c r="K25" t="s">
        <v>136</v>
      </c>
      <c r="L25" s="11" t="s">
        <v>137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</row>
    <row r="26" spans="1:99" x14ac:dyDescent="0.25">
      <c r="A26" t="s">
        <v>134</v>
      </c>
      <c r="B26" t="s">
        <v>140</v>
      </c>
      <c r="C26" t="s">
        <v>177</v>
      </c>
      <c r="D26">
        <v>129389</v>
      </c>
      <c r="E26" t="s">
        <v>187</v>
      </c>
      <c r="F26" t="s">
        <v>188</v>
      </c>
      <c r="G26" t="s">
        <v>144</v>
      </c>
      <c r="H26" t="s">
        <v>145</v>
      </c>
      <c r="I26" t="s">
        <v>135</v>
      </c>
      <c r="J26" t="s">
        <v>189</v>
      </c>
      <c r="K26" t="s">
        <v>136</v>
      </c>
      <c r="L26" s="11" t="s">
        <v>137</v>
      </c>
      <c r="M26">
        <v>0</v>
      </c>
      <c r="N26">
        <v>0</v>
      </c>
      <c r="O26">
        <v>0</v>
      </c>
      <c r="P26">
        <v>1</v>
      </c>
      <c r="Q26">
        <v>1</v>
      </c>
      <c r="R26">
        <v>1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1</v>
      </c>
      <c r="BX26">
        <v>0</v>
      </c>
      <c r="BY26">
        <v>0</v>
      </c>
      <c r="BZ26">
        <v>0</v>
      </c>
      <c r="CA26">
        <v>0</v>
      </c>
      <c r="CB26">
        <v>1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1</v>
      </c>
      <c r="CR26">
        <v>0</v>
      </c>
      <c r="CS26">
        <v>0</v>
      </c>
      <c r="CT26">
        <v>0</v>
      </c>
      <c r="CU26">
        <v>0</v>
      </c>
    </row>
    <row r="27" spans="1:99" x14ac:dyDescent="0.25">
      <c r="A27" t="s">
        <v>134</v>
      </c>
      <c r="B27" t="s">
        <v>140</v>
      </c>
      <c r="C27" t="s">
        <v>177</v>
      </c>
      <c r="D27">
        <v>129390</v>
      </c>
      <c r="E27" t="s">
        <v>190</v>
      </c>
      <c r="F27" t="s">
        <v>191</v>
      </c>
      <c r="G27" t="s">
        <v>144</v>
      </c>
      <c r="H27" t="s">
        <v>145</v>
      </c>
      <c r="I27" t="s">
        <v>135</v>
      </c>
      <c r="J27" t="s">
        <v>183</v>
      </c>
      <c r="K27" t="s">
        <v>136</v>
      </c>
      <c r="L27" s="11" t="s">
        <v>137</v>
      </c>
      <c r="M27">
        <v>0</v>
      </c>
      <c r="N27">
        <v>0</v>
      </c>
      <c r="O27">
        <v>0</v>
      </c>
      <c r="P27">
        <v>1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</row>
    <row r="28" spans="1:99" x14ac:dyDescent="0.25">
      <c r="A28" t="s">
        <v>134</v>
      </c>
      <c r="B28" t="s">
        <v>140</v>
      </c>
      <c r="C28" t="s">
        <v>177</v>
      </c>
      <c r="D28">
        <v>129391</v>
      </c>
      <c r="E28" t="s">
        <v>192</v>
      </c>
      <c r="F28" t="s">
        <v>193</v>
      </c>
      <c r="G28" t="s">
        <v>144</v>
      </c>
      <c r="H28" t="s">
        <v>145</v>
      </c>
      <c r="I28" t="s">
        <v>135</v>
      </c>
      <c r="J28" t="s">
        <v>194</v>
      </c>
      <c r="K28" t="s">
        <v>136</v>
      </c>
      <c r="L28" s="11" t="s">
        <v>137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</row>
    <row r="29" spans="1:99" x14ac:dyDescent="0.25">
      <c r="A29" t="s">
        <v>134</v>
      </c>
      <c r="B29" t="s">
        <v>140</v>
      </c>
      <c r="C29" t="s">
        <v>177</v>
      </c>
      <c r="D29">
        <v>129392</v>
      </c>
      <c r="E29" t="s">
        <v>195</v>
      </c>
      <c r="F29" t="s">
        <v>196</v>
      </c>
      <c r="G29" t="s">
        <v>144</v>
      </c>
      <c r="H29" t="s">
        <v>145</v>
      </c>
      <c r="I29" t="s">
        <v>135</v>
      </c>
      <c r="J29" t="s">
        <v>197</v>
      </c>
      <c r="K29" t="s">
        <v>136</v>
      </c>
      <c r="L29" s="11" t="s">
        <v>137</v>
      </c>
      <c r="M29">
        <v>0</v>
      </c>
      <c r="N29">
        <v>0</v>
      </c>
      <c r="O29">
        <v>0</v>
      </c>
      <c r="P29">
        <v>0</v>
      </c>
      <c r="Q29">
        <v>1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</row>
    <row r="30" spans="1:99" x14ac:dyDescent="0.25">
      <c r="A30" t="s">
        <v>134</v>
      </c>
      <c r="B30" t="s">
        <v>140</v>
      </c>
      <c r="C30" t="s">
        <v>177</v>
      </c>
      <c r="D30">
        <v>129393</v>
      </c>
      <c r="E30" t="s">
        <v>198</v>
      </c>
      <c r="F30" t="s">
        <v>199</v>
      </c>
      <c r="G30" t="s">
        <v>144</v>
      </c>
      <c r="H30" t="s">
        <v>145</v>
      </c>
      <c r="I30" t="s">
        <v>135</v>
      </c>
      <c r="J30" t="s">
        <v>200</v>
      </c>
      <c r="K30" t="s">
        <v>136</v>
      </c>
      <c r="L30" s="11" t="s">
        <v>137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</row>
    <row r="31" spans="1:99" x14ac:dyDescent="0.25">
      <c r="A31" t="s">
        <v>134</v>
      </c>
      <c r="B31" t="s">
        <v>140</v>
      </c>
      <c r="C31" t="s">
        <v>177</v>
      </c>
      <c r="D31">
        <v>129394</v>
      </c>
      <c r="E31" t="s">
        <v>201</v>
      </c>
      <c r="F31" t="s">
        <v>202</v>
      </c>
      <c r="G31" t="s">
        <v>144</v>
      </c>
      <c r="H31" t="s">
        <v>145</v>
      </c>
      <c r="I31" t="s">
        <v>135</v>
      </c>
      <c r="J31" t="s">
        <v>194</v>
      </c>
      <c r="K31" t="s">
        <v>136</v>
      </c>
      <c r="L31" s="11" t="s">
        <v>137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1</v>
      </c>
      <c r="CR31">
        <v>0</v>
      </c>
      <c r="CS31">
        <v>0</v>
      </c>
      <c r="CT31">
        <v>0</v>
      </c>
      <c r="CU31">
        <v>0</v>
      </c>
    </row>
    <row r="32" spans="1:99" x14ac:dyDescent="0.25">
      <c r="A32" t="s">
        <v>134</v>
      </c>
      <c r="B32" t="s">
        <v>140</v>
      </c>
      <c r="C32" t="s">
        <v>177</v>
      </c>
      <c r="D32">
        <v>129395</v>
      </c>
      <c r="E32" t="s">
        <v>203</v>
      </c>
      <c r="F32" t="s">
        <v>204</v>
      </c>
      <c r="G32" t="s">
        <v>144</v>
      </c>
      <c r="H32" t="s">
        <v>145</v>
      </c>
      <c r="I32" t="s">
        <v>135</v>
      </c>
      <c r="J32" t="s">
        <v>189</v>
      </c>
      <c r="K32" t="s">
        <v>136</v>
      </c>
      <c r="L32" s="11" t="s">
        <v>137</v>
      </c>
      <c r="M32">
        <v>0</v>
      </c>
      <c r="N32">
        <v>0</v>
      </c>
      <c r="O32">
        <v>0</v>
      </c>
      <c r="P32">
        <v>1</v>
      </c>
      <c r="Q32">
        <v>1</v>
      </c>
      <c r="R32">
        <v>1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</row>
    <row r="33" spans="1:99" x14ac:dyDescent="0.25">
      <c r="A33" t="s">
        <v>134</v>
      </c>
      <c r="B33" t="s">
        <v>140</v>
      </c>
      <c r="C33" t="s">
        <v>177</v>
      </c>
      <c r="D33">
        <v>129396</v>
      </c>
      <c r="E33" t="s">
        <v>205</v>
      </c>
      <c r="F33" t="s">
        <v>206</v>
      </c>
      <c r="G33" t="s">
        <v>144</v>
      </c>
      <c r="H33" t="s">
        <v>145</v>
      </c>
      <c r="I33" t="s">
        <v>135</v>
      </c>
      <c r="J33" t="s">
        <v>200</v>
      </c>
      <c r="K33" t="s">
        <v>136</v>
      </c>
      <c r="L33" s="11" t="s">
        <v>137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</row>
    <row r="34" spans="1:99" x14ac:dyDescent="0.25">
      <c r="A34" t="s">
        <v>134</v>
      </c>
      <c r="B34" t="s">
        <v>140</v>
      </c>
      <c r="C34" t="s">
        <v>177</v>
      </c>
      <c r="D34">
        <v>129397</v>
      </c>
      <c r="E34" t="s">
        <v>207</v>
      </c>
      <c r="F34" t="s">
        <v>208</v>
      </c>
      <c r="G34" t="s">
        <v>144</v>
      </c>
      <c r="H34" t="s">
        <v>145</v>
      </c>
      <c r="I34" t="s">
        <v>135</v>
      </c>
      <c r="J34" t="s">
        <v>209</v>
      </c>
      <c r="K34" t="s">
        <v>136</v>
      </c>
      <c r="L34" s="11" t="s">
        <v>137</v>
      </c>
      <c r="M34">
        <v>0</v>
      </c>
      <c r="N34">
        <v>0</v>
      </c>
      <c r="O34">
        <v>1</v>
      </c>
      <c r="P34">
        <v>1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</row>
    <row r="35" spans="1:99" x14ac:dyDescent="0.25">
      <c r="A35" t="s">
        <v>134</v>
      </c>
      <c r="B35" t="s">
        <v>140</v>
      </c>
      <c r="C35" t="s">
        <v>177</v>
      </c>
      <c r="D35">
        <v>129398</v>
      </c>
      <c r="E35" t="s">
        <v>210</v>
      </c>
      <c r="F35" t="s">
        <v>211</v>
      </c>
      <c r="G35" t="s">
        <v>144</v>
      </c>
      <c r="H35" t="s">
        <v>145</v>
      </c>
      <c r="I35" t="s">
        <v>135</v>
      </c>
      <c r="J35" t="s">
        <v>212</v>
      </c>
      <c r="K35" t="s">
        <v>136</v>
      </c>
      <c r="L35" s="11" t="s">
        <v>137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</row>
    <row r="36" spans="1:99" x14ac:dyDescent="0.25">
      <c r="A36" t="s">
        <v>134</v>
      </c>
      <c r="B36" t="s">
        <v>140</v>
      </c>
      <c r="C36" t="s">
        <v>177</v>
      </c>
      <c r="D36">
        <v>129399</v>
      </c>
      <c r="E36" t="s">
        <v>213</v>
      </c>
      <c r="F36" t="s">
        <v>214</v>
      </c>
      <c r="G36" t="s">
        <v>144</v>
      </c>
      <c r="H36" t="s">
        <v>145</v>
      </c>
      <c r="I36" t="s">
        <v>135</v>
      </c>
      <c r="J36" t="s">
        <v>215</v>
      </c>
      <c r="K36" t="s">
        <v>136</v>
      </c>
      <c r="L36" s="11" t="s">
        <v>137</v>
      </c>
      <c r="M36">
        <v>0</v>
      </c>
      <c r="N36">
        <v>0</v>
      </c>
      <c r="O36">
        <v>0</v>
      </c>
      <c r="P36">
        <v>0</v>
      </c>
      <c r="Q36">
        <v>1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1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</row>
    <row r="37" spans="1:99" x14ac:dyDescent="0.25">
      <c r="A37" t="s">
        <v>134</v>
      </c>
      <c r="B37" t="s">
        <v>140</v>
      </c>
      <c r="C37" t="s">
        <v>177</v>
      </c>
      <c r="D37">
        <v>129400</v>
      </c>
      <c r="E37" t="s">
        <v>216</v>
      </c>
      <c r="F37" t="s">
        <v>217</v>
      </c>
      <c r="G37" t="s">
        <v>144</v>
      </c>
      <c r="H37" t="s">
        <v>145</v>
      </c>
      <c r="I37" t="s">
        <v>135</v>
      </c>
      <c r="J37" t="s">
        <v>212</v>
      </c>
      <c r="K37" t="s">
        <v>136</v>
      </c>
      <c r="L37" s="11" t="s">
        <v>137</v>
      </c>
      <c r="M37">
        <v>0</v>
      </c>
      <c r="N37">
        <v>0</v>
      </c>
      <c r="O37">
        <v>0</v>
      </c>
      <c r="P37">
        <v>1</v>
      </c>
      <c r="Q37">
        <v>1</v>
      </c>
      <c r="R37">
        <v>1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1</v>
      </c>
      <c r="BX37">
        <v>1</v>
      </c>
      <c r="BY37">
        <v>0</v>
      </c>
      <c r="BZ37">
        <v>0</v>
      </c>
      <c r="CA37">
        <v>0</v>
      </c>
      <c r="CB37">
        <v>1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1</v>
      </c>
      <c r="CR37">
        <v>0</v>
      </c>
      <c r="CS37">
        <v>0</v>
      </c>
      <c r="CT37">
        <v>0</v>
      </c>
      <c r="CU37">
        <v>0</v>
      </c>
    </row>
    <row r="38" spans="1:99" x14ac:dyDescent="0.25">
      <c r="A38" t="s">
        <v>134</v>
      </c>
      <c r="B38" t="s">
        <v>140</v>
      </c>
      <c r="C38" t="s">
        <v>177</v>
      </c>
      <c r="D38">
        <v>129401</v>
      </c>
      <c r="E38" t="s">
        <v>218</v>
      </c>
      <c r="F38" t="s">
        <v>219</v>
      </c>
      <c r="G38" t="s">
        <v>144</v>
      </c>
      <c r="H38" t="s">
        <v>145</v>
      </c>
      <c r="I38" t="s">
        <v>135</v>
      </c>
      <c r="J38" t="s">
        <v>186</v>
      </c>
      <c r="K38" t="s">
        <v>136</v>
      </c>
      <c r="L38" s="11" t="s">
        <v>137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1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</row>
    <row r="39" spans="1:99" x14ac:dyDescent="0.25">
      <c r="A39" t="s">
        <v>134</v>
      </c>
      <c r="B39" t="s">
        <v>140</v>
      </c>
      <c r="C39" t="s">
        <v>177</v>
      </c>
      <c r="D39">
        <v>129402</v>
      </c>
      <c r="E39" t="s">
        <v>220</v>
      </c>
      <c r="F39" t="s">
        <v>221</v>
      </c>
      <c r="G39" t="s">
        <v>144</v>
      </c>
      <c r="H39" t="s">
        <v>145</v>
      </c>
      <c r="I39" t="s">
        <v>135</v>
      </c>
      <c r="J39" t="s">
        <v>200</v>
      </c>
      <c r="K39" t="s">
        <v>136</v>
      </c>
      <c r="L39" s="11" t="s">
        <v>137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1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1</v>
      </c>
      <c r="CR39">
        <v>0</v>
      </c>
      <c r="CS39">
        <v>0</v>
      </c>
      <c r="CT39">
        <v>0</v>
      </c>
      <c r="CU39">
        <v>0</v>
      </c>
    </row>
    <row r="40" spans="1:99" x14ac:dyDescent="0.25">
      <c r="A40" t="s">
        <v>134</v>
      </c>
      <c r="B40" t="s">
        <v>140</v>
      </c>
      <c r="C40" t="s">
        <v>177</v>
      </c>
      <c r="D40">
        <v>129403</v>
      </c>
      <c r="E40" t="s">
        <v>222</v>
      </c>
      <c r="F40" t="s">
        <v>223</v>
      </c>
      <c r="G40" t="s">
        <v>144</v>
      </c>
      <c r="H40" t="s">
        <v>145</v>
      </c>
      <c r="I40" t="s">
        <v>135</v>
      </c>
      <c r="J40" t="s">
        <v>180</v>
      </c>
      <c r="K40" t="s">
        <v>136</v>
      </c>
      <c r="L40" s="11" t="s">
        <v>137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</row>
    <row r="41" spans="1:99" x14ac:dyDescent="0.25">
      <c r="A41" t="s">
        <v>134</v>
      </c>
      <c r="B41" t="s">
        <v>140</v>
      </c>
      <c r="C41" t="s">
        <v>177</v>
      </c>
      <c r="D41">
        <v>129404</v>
      </c>
      <c r="E41" t="s">
        <v>224</v>
      </c>
      <c r="F41" t="s">
        <v>225</v>
      </c>
      <c r="G41" t="s">
        <v>144</v>
      </c>
      <c r="H41" t="s">
        <v>145</v>
      </c>
      <c r="I41" t="s">
        <v>135</v>
      </c>
      <c r="J41" t="s">
        <v>226</v>
      </c>
      <c r="K41" t="s">
        <v>136</v>
      </c>
      <c r="L41" s="11" t="s">
        <v>137</v>
      </c>
      <c r="M41">
        <v>0</v>
      </c>
      <c r="N41">
        <v>0</v>
      </c>
      <c r="O41">
        <v>0</v>
      </c>
      <c r="P41">
        <v>1</v>
      </c>
      <c r="Q41">
        <v>1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</row>
    <row r="42" spans="1:99" x14ac:dyDescent="0.25">
      <c r="A42" t="s">
        <v>134</v>
      </c>
      <c r="B42" t="s">
        <v>140</v>
      </c>
      <c r="C42" t="s">
        <v>177</v>
      </c>
      <c r="D42">
        <v>129405</v>
      </c>
      <c r="E42" t="s">
        <v>227</v>
      </c>
      <c r="F42" t="s">
        <v>228</v>
      </c>
      <c r="G42" t="s">
        <v>144</v>
      </c>
      <c r="H42" t="s">
        <v>145</v>
      </c>
      <c r="I42" t="s">
        <v>135</v>
      </c>
      <c r="J42" t="s">
        <v>229</v>
      </c>
      <c r="K42" t="s">
        <v>136</v>
      </c>
      <c r="L42" s="11" t="s">
        <v>137</v>
      </c>
      <c r="M42">
        <v>0</v>
      </c>
      <c r="N42">
        <v>1</v>
      </c>
      <c r="O42">
        <v>0</v>
      </c>
      <c r="P42">
        <v>1</v>
      </c>
      <c r="Q42">
        <v>1</v>
      </c>
      <c r="R42">
        <v>1</v>
      </c>
      <c r="S42">
        <v>0</v>
      </c>
      <c r="T42">
        <v>0</v>
      </c>
      <c r="U42">
        <v>0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</row>
    <row r="43" spans="1:99" x14ac:dyDescent="0.25">
      <c r="A43" t="s">
        <v>134</v>
      </c>
      <c r="B43" t="s">
        <v>140</v>
      </c>
      <c r="C43" t="s">
        <v>177</v>
      </c>
      <c r="D43">
        <v>129406</v>
      </c>
      <c r="E43" t="s">
        <v>230</v>
      </c>
      <c r="F43" t="s">
        <v>231</v>
      </c>
      <c r="G43" t="s">
        <v>144</v>
      </c>
      <c r="H43" t="s">
        <v>145</v>
      </c>
      <c r="I43" t="s">
        <v>135</v>
      </c>
      <c r="J43" t="s">
        <v>197</v>
      </c>
      <c r="K43" t="s">
        <v>136</v>
      </c>
      <c r="L43" s="11" t="s">
        <v>137</v>
      </c>
      <c r="M43">
        <v>0</v>
      </c>
      <c r="N43">
        <v>0</v>
      </c>
      <c r="O43">
        <v>0</v>
      </c>
      <c r="P43">
        <v>1</v>
      </c>
      <c r="Q43">
        <v>1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</row>
    <row r="44" spans="1:99" x14ac:dyDescent="0.25">
      <c r="A44" t="s">
        <v>134</v>
      </c>
      <c r="B44" t="s">
        <v>140</v>
      </c>
      <c r="C44" t="s">
        <v>177</v>
      </c>
      <c r="D44">
        <v>129407</v>
      </c>
      <c r="E44" t="s">
        <v>232</v>
      </c>
      <c r="F44" t="s">
        <v>233</v>
      </c>
      <c r="G44" t="s">
        <v>144</v>
      </c>
      <c r="H44" t="s">
        <v>145</v>
      </c>
      <c r="I44" t="s">
        <v>135</v>
      </c>
      <c r="J44" t="s">
        <v>209</v>
      </c>
      <c r="K44" t="s">
        <v>136</v>
      </c>
      <c r="L44" s="11" t="s">
        <v>137</v>
      </c>
      <c r="M44">
        <v>0</v>
      </c>
      <c r="N44">
        <v>0</v>
      </c>
      <c r="O44">
        <v>0</v>
      </c>
      <c r="P44">
        <v>1</v>
      </c>
      <c r="Q44">
        <v>1</v>
      </c>
      <c r="R44">
        <v>1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1</v>
      </c>
      <c r="BY44">
        <v>0</v>
      </c>
      <c r="BZ44">
        <v>0</v>
      </c>
      <c r="CA44">
        <v>0</v>
      </c>
      <c r="CB44">
        <v>1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1</v>
      </c>
      <c r="CO44">
        <v>0</v>
      </c>
      <c r="CP44">
        <v>0</v>
      </c>
      <c r="CQ44">
        <v>1</v>
      </c>
      <c r="CR44">
        <v>0</v>
      </c>
      <c r="CS44">
        <v>0</v>
      </c>
      <c r="CT44">
        <v>0</v>
      </c>
      <c r="CU44">
        <v>0</v>
      </c>
    </row>
    <row r="45" spans="1:99" x14ac:dyDescent="0.25">
      <c r="A45" t="s">
        <v>134</v>
      </c>
      <c r="B45" t="s">
        <v>140</v>
      </c>
      <c r="C45" t="s">
        <v>177</v>
      </c>
      <c r="D45">
        <v>129408</v>
      </c>
      <c r="E45" t="s">
        <v>234</v>
      </c>
      <c r="F45" t="s">
        <v>235</v>
      </c>
      <c r="G45" t="s">
        <v>144</v>
      </c>
      <c r="H45" t="s">
        <v>145</v>
      </c>
      <c r="I45" t="s">
        <v>135</v>
      </c>
      <c r="J45" t="s">
        <v>212</v>
      </c>
      <c r="K45" t="s">
        <v>136</v>
      </c>
      <c r="L45" s="11" t="s">
        <v>137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</row>
    <row r="46" spans="1:99" x14ac:dyDescent="0.25">
      <c r="A46" t="s">
        <v>134</v>
      </c>
      <c r="B46" t="s">
        <v>140</v>
      </c>
      <c r="C46" t="s">
        <v>177</v>
      </c>
      <c r="D46">
        <v>129409</v>
      </c>
      <c r="E46" t="s">
        <v>236</v>
      </c>
      <c r="F46" t="s">
        <v>237</v>
      </c>
      <c r="G46" t="s">
        <v>144</v>
      </c>
      <c r="H46" t="s">
        <v>145</v>
      </c>
      <c r="I46" t="s">
        <v>135</v>
      </c>
      <c r="J46" t="s">
        <v>238</v>
      </c>
      <c r="K46" t="s">
        <v>136</v>
      </c>
      <c r="L46" s="11" t="s">
        <v>137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1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1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1</v>
      </c>
      <c r="CR46">
        <v>0</v>
      </c>
      <c r="CS46">
        <v>0</v>
      </c>
      <c r="CT46">
        <v>0</v>
      </c>
      <c r="CU46">
        <v>0</v>
      </c>
    </row>
    <row r="47" spans="1:99" x14ac:dyDescent="0.25">
      <c r="A47" t="s">
        <v>134</v>
      </c>
      <c r="B47" t="s">
        <v>140</v>
      </c>
      <c r="C47" t="s">
        <v>177</v>
      </c>
      <c r="D47">
        <v>257001</v>
      </c>
      <c r="E47" t="s">
        <v>239</v>
      </c>
      <c r="F47" t="s">
        <v>240</v>
      </c>
      <c r="G47" t="s">
        <v>144</v>
      </c>
      <c r="H47" t="s">
        <v>145</v>
      </c>
      <c r="I47" t="s">
        <v>135</v>
      </c>
      <c r="J47" t="s">
        <v>189</v>
      </c>
      <c r="K47" t="s">
        <v>136</v>
      </c>
      <c r="L47" s="11" t="s">
        <v>137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</v>
      </c>
      <c r="AT47">
        <v>1</v>
      </c>
      <c r="AU47">
        <v>1</v>
      </c>
      <c r="AV47">
        <v>0</v>
      </c>
      <c r="AW47">
        <v>0</v>
      </c>
      <c r="AX47">
        <v>0</v>
      </c>
      <c r="AY47">
        <v>1</v>
      </c>
      <c r="AZ47">
        <v>1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1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</row>
    <row r="48" spans="1:99" x14ac:dyDescent="0.25">
      <c r="A48" t="s">
        <v>134</v>
      </c>
      <c r="B48" t="s">
        <v>140</v>
      </c>
      <c r="C48" t="s">
        <v>241</v>
      </c>
      <c r="D48">
        <v>102157</v>
      </c>
      <c r="E48" t="s">
        <v>242</v>
      </c>
      <c r="F48" t="s">
        <v>243</v>
      </c>
      <c r="G48" t="s">
        <v>144</v>
      </c>
      <c r="H48" t="s">
        <v>145</v>
      </c>
      <c r="I48" t="s">
        <v>135</v>
      </c>
      <c r="J48" t="s">
        <v>244</v>
      </c>
      <c r="K48" t="s">
        <v>136</v>
      </c>
      <c r="L48" s="11" t="s">
        <v>137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</row>
    <row r="49" spans="1:99" x14ac:dyDescent="0.25">
      <c r="A49" t="s">
        <v>134</v>
      </c>
      <c r="B49" t="s">
        <v>140</v>
      </c>
      <c r="C49" t="s">
        <v>241</v>
      </c>
      <c r="D49">
        <v>102164</v>
      </c>
      <c r="E49" t="s">
        <v>245</v>
      </c>
      <c r="F49" t="s">
        <v>246</v>
      </c>
      <c r="G49" t="s">
        <v>144</v>
      </c>
      <c r="H49" t="s">
        <v>145</v>
      </c>
      <c r="I49" t="s">
        <v>135</v>
      </c>
      <c r="J49" t="s">
        <v>247</v>
      </c>
      <c r="K49" t="s">
        <v>136</v>
      </c>
      <c r="L49" s="11" t="s">
        <v>137</v>
      </c>
      <c r="M49">
        <v>0</v>
      </c>
      <c r="N49">
        <v>0</v>
      </c>
      <c r="O49">
        <v>0</v>
      </c>
      <c r="P49">
        <v>1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</row>
    <row r="50" spans="1:99" x14ac:dyDescent="0.25">
      <c r="A50" t="s">
        <v>134</v>
      </c>
      <c r="B50" t="s">
        <v>140</v>
      </c>
      <c r="C50" t="s">
        <v>241</v>
      </c>
      <c r="D50">
        <v>129410</v>
      </c>
      <c r="E50" t="s">
        <v>248</v>
      </c>
      <c r="F50" t="s">
        <v>249</v>
      </c>
      <c r="G50" t="s">
        <v>144</v>
      </c>
      <c r="H50" t="s">
        <v>145</v>
      </c>
      <c r="I50" t="s">
        <v>135</v>
      </c>
      <c r="J50" t="s">
        <v>250</v>
      </c>
      <c r="K50" t="s">
        <v>136</v>
      </c>
      <c r="L50" s="11" t="s">
        <v>137</v>
      </c>
      <c r="M50">
        <v>0</v>
      </c>
      <c r="N50">
        <v>0</v>
      </c>
      <c r="O50">
        <v>1</v>
      </c>
      <c r="P50">
        <v>1</v>
      </c>
      <c r="Q50">
        <v>1</v>
      </c>
      <c r="R50">
        <v>0</v>
      </c>
      <c r="S50">
        <v>0</v>
      </c>
      <c r="T50">
        <v>0</v>
      </c>
      <c r="U50">
        <v>0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</row>
    <row r="51" spans="1:99" x14ac:dyDescent="0.25">
      <c r="A51" t="s">
        <v>134</v>
      </c>
      <c r="B51" t="s">
        <v>140</v>
      </c>
      <c r="C51" t="s">
        <v>241</v>
      </c>
      <c r="D51">
        <v>129412</v>
      </c>
      <c r="E51" t="s">
        <v>251</v>
      </c>
      <c r="F51" t="s">
        <v>252</v>
      </c>
      <c r="G51" t="s">
        <v>144</v>
      </c>
      <c r="H51" t="s">
        <v>145</v>
      </c>
      <c r="I51" t="s">
        <v>135</v>
      </c>
      <c r="J51" t="s">
        <v>253</v>
      </c>
      <c r="K51" t="s">
        <v>136</v>
      </c>
      <c r="L51" s="11" t="s">
        <v>137</v>
      </c>
      <c r="M51">
        <v>0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1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1</v>
      </c>
      <c r="CR51">
        <v>0</v>
      </c>
      <c r="CS51">
        <v>0</v>
      </c>
      <c r="CT51">
        <v>0</v>
      </c>
      <c r="CU51">
        <v>0</v>
      </c>
    </row>
    <row r="52" spans="1:99" x14ac:dyDescent="0.25">
      <c r="A52" t="s">
        <v>134</v>
      </c>
      <c r="B52" t="s">
        <v>140</v>
      </c>
      <c r="C52" t="s">
        <v>241</v>
      </c>
      <c r="D52">
        <v>129413</v>
      </c>
      <c r="E52" t="s">
        <v>254</v>
      </c>
      <c r="F52" t="s">
        <v>255</v>
      </c>
      <c r="G52" t="s">
        <v>144</v>
      </c>
      <c r="H52" t="s">
        <v>145</v>
      </c>
      <c r="I52" t="s">
        <v>135</v>
      </c>
      <c r="J52" t="s">
        <v>250</v>
      </c>
      <c r="K52" t="s">
        <v>136</v>
      </c>
      <c r="L52" s="11" t="s">
        <v>137</v>
      </c>
      <c r="M52">
        <v>0</v>
      </c>
      <c r="N52">
        <v>0</v>
      </c>
      <c r="O52">
        <v>1</v>
      </c>
      <c r="P52">
        <v>1</v>
      </c>
      <c r="Q52">
        <v>1</v>
      </c>
      <c r="R52">
        <v>0</v>
      </c>
      <c r="S52">
        <v>0</v>
      </c>
      <c r="T52">
        <v>0</v>
      </c>
      <c r="U52">
        <v>0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1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1</v>
      </c>
      <c r="CO52">
        <v>0</v>
      </c>
      <c r="CP52">
        <v>0</v>
      </c>
      <c r="CQ52">
        <v>1</v>
      </c>
      <c r="CR52">
        <v>0</v>
      </c>
      <c r="CS52">
        <v>0</v>
      </c>
      <c r="CT52">
        <v>0</v>
      </c>
      <c r="CU52">
        <v>0</v>
      </c>
    </row>
    <row r="53" spans="1:99" x14ac:dyDescent="0.25">
      <c r="A53" t="s">
        <v>134</v>
      </c>
      <c r="B53" t="s">
        <v>140</v>
      </c>
      <c r="C53" t="s">
        <v>241</v>
      </c>
      <c r="D53">
        <v>129414</v>
      </c>
      <c r="E53" t="s">
        <v>256</v>
      </c>
      <c r="F53" t="s">
        <v>257</v>
      </c>
      <c r="G53" t="s">
        <v>144</v>
      </c>
      <c r="H53" t="s">
        <v>145</v>
      </c>
      <c r="I53" t="s">
        <v>135</v>
      </c>
      <c r="J53" t="s">
        <v>258</v>
      </c>
      <c r="K53" t="s">
        <v>136</v>
      </c>
      <c r="L53" s="11" t="s">
        <v>137</v>
      </c>
      <c r="M53">
        <v>0</v>
      </c>
      <c r="N53">
        <v>0</v>
      </c>
      <c r="O53">
        <v>1</v>
      </c>
      <c r="P53">
        <v>1</v>
      </c>
      <c r="Q53">
        <v>1</v>
      </c>
      <c r="R53">
        <v>1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</row>
    <row r="54" spans="1:99" x14ac:dyDescent="0.25">
      <c r="A54" t="s">
        <v>134</v>
      </c>
      <c r="B54" t="s">
        <v>140</v>
      </c>
      <c r="C54" t="s">
        <v>241</v>
      </c>
      <c r="D54">
        <v>129417</v>
      </c>
      <c r="E54" t="s">
        <v>259</v>
      </c>
      <c r="F54" t="s">
        <v>260</v>
      </c>
      <c r="G54" t="s">
        <v>144</v>
      </c>
      <c r="H54" t="s">
        <v>145</v>
      </c>
      <c r="I54" t="s">
        <v>135</v>
      </c>
      <c r="J54" t="s">
        <v>244</v>
      </c>
      <c r="K54" t="s">
        <v>136</v>
      </c>
      <c r="L54" s="11" t="s">
        <v>137</v>
      </c>
      <c r="M54">
        <v>0</v>
      </c>
      <c r="N54">
        <v>0</v>
      </c>
      <c r="O54">
        <v>1</v>
      </c>
      <c r="P54">
        <v>1</v>
      </c>
      <c r="Q54">
        <v>1</v>
      </c>
      <c r="R54">
        <v>1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1</v>
      </c>
      <c r="BV54">
        <v>0</v>
      </c>
      <c r="BW54">
        <v>0</v>
      </c>
      <c r="BX54">
        <v>1</v>
      </c>
      <c r="BY54">
        <v>0</v>
      </c>
      <c r="BZ54">
        <v>0</v>
      </c>
      <c r="CA54">
        <v>0</v>
      </c>
      <c r="CB54">
        <v>1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1</v>
      </c>
      <c r="CR54">
        <v>0</v>
      </c>
      <c r="CS54">
        <v>0</v>
      </c>
      <c r="CT54">
        <v>0</v>
      </c>
      <c r="CU54">
        <v>0</v>
      </c>
    </row>
    <row r="55" spans="1:99" x14ac:dyDescent="0.25">
      <c r="A55" t="s">
        <v>134</v>
      </c>
      <c r="B55" t="s">
        <v>140</v>
      </c>
      <c r="C55" t="s">
        <v>241</v>
      </c>
      <c r="D55">
        <v>129418</v>
      </c>
      <c r="E55" t="s">
        <v>261</v>
      </c>
      <c r="F55" t="s">
        <v>262</v>
      </c>
      <c r="G55" t="s">
        <v>144</v>
      </c>
      <c r="H55" t="s">
        <v>145</v>
      </c>
      <c r="I55" t="s">
        <v>135</v>
      </c>
      <c r="J55" t="s">
        <v>244</v>
      </c>
      <c r="K55" t="s">
        <v>136</v>
      </c>
      <c r="L55" s="11" t="s">
        <v>137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</row>
    <row r="56" spans="1:99" x14ac:dyDescent="0.25">
      <c r="A56" t="s">
        <v>134</v>
      </c>
      <c r="B56" t="s">
        <v>140</v>
      </c>
      <c r="C56" t="s">
        <v>241</v>
      </c>
      <c r="D56">
        <v>129419</v>
      </c>
      <c r="E56" t="s">
        <v>263</v>
      </c>
      <c r="F56" t="s">
        <v>264</v>
      </c>
      <c r="G56" t="s">
        <v>144</v>
      </c>
      <c r="H56" t="s">
        <v>145</v>
      </c>
      <c r="I56" t="s">
        <v>135</v>
      </c>
      <c r="J56" t="s">
        <v>265</v>
      </c>
      <c r="K56" t="s">
        <v>136</v>
      </c>
      <c r="L56" s="11" t="s">
        <v>137</v>
      </c>
      <c r="M56">
        <v>0</v>
      </c>
      <c r="N56">
        <v>0</v>
      </c>
      <c r="O56">
        <v>1</v>
      </c>
      <c r="P56">
        <v>1</v>
      </c>
      <c r="Q56">
        <v>1</v>
      </c>
      <c r="R56">
        <v>1</v>
      </c>
      <c r="S56">
        <v>0</v>
      </c>
      <c r="T56">
        <v>0</v>
      </c>
      <c r="U56">
        <v>0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</v>
      </c>
      <c r="AH56">
        <v>0</v>
      </c>
      <c r="AI56">
        <v>0</v>
      </c>
      <c r="AJ56">
        <v>0</v>
      </c>
      <c r="AK56">
        <v>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1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1</v>
      </c>
      <c r="CR56">
        <v>0</v>
      </c>
      <c r="CS56">
        <v>0</v>
      </c>
      <c r="CT56">
        <v>0</v>
      </c>
      <c r="CU56">
        <v>0</v>
      </c>
    </row>
    <row r="57" spans="1:99" x14ac:dyDescent="0.25">
      <c r="A57" t="s">
        <v>134</v>
      </c>
      <c r="B57" t="s">
        <v>140</v>
      </c>
      <c r="C57" t="s">
        <v>241</v>
      </c>
      <c r="D57">
        <v>129420</v>
      </c>
      <c r="E57" t="s">
        <v>266</v>
      </c>
      <c r="F57" t="s">
        <v>267</v>
      </c>
      <c r="G57" t="s">
        <v>144</v>
      </c>
      <c r="H57" t="s">
        <v>145</v>
      </c>
      <c r="I57" t="s">
        <v>135</v>
      </c>
      <c r="J57" t="s">
        <v>267</v>
      </c>
      <c r="K57" t="s">
        <v>136</v>
      </c>
      <c r="L57" s="11" t="s">
        <v>137</v>
      </c>
      <c r="M57">
        <v>0</v>
      </c>
      <c r="N57">
        <v>0</v>
      </c>
      <c r="O57">
        <v>1</v>
      </c>
      <c r="P57">
        <v>1</v>
      </c>
      <c r="Q57">
        <v>1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</row>
    <row r="58" spans="1:99" x14ac:dyDescent="0.25">
      <c r="A58" t="s">
        <v>134</v>
      </c>
      <c r="B58" t="s">
        <v>140</v>
      </c>
      <c r="C58" t="s">
        <v>241</v>
      </c>
      <c r="D58">
        <v>129421</v>
      </c>
      <c r="E58" t="s">
        <v>268</v>
      </c>
      <c r="F58" t="s">
        <v>269</v>
      </c>
      <c r="G58" t="s">
        <v>144</v>
      </c>
      <c r="H58" t="s">
        <v>145</v>
      </c>
      <c r="I58" t="s">
        <v>135</v>
      </c>
      <c r="J58" t="s">
        <v>250</v>
      </c>
      <c r="K58" t="s">
        <v>136</v>
      </c>
      <c r="L58" s="11" t="s">
        <v>137</v>
      </c>
      <c r="M58">
        <v>0</v>
      </c>
      <c r="N58">
        <v>0</v>
      </c>
      <c r="O58">
        <v>0</v>
      </c>
      <c r="P58">
        <v>1</v>
      </c>
      <c r="Q58">
        <v>1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1</v>
      </c>
      <c r="CR58">
        <v>0</v>
      </c>
      <c r="CS58">
        <v>0</v>
      </c>
      <c r="CT58">
        <v>0</v>
      </c>
      <c r="CU58">
        <v>0</v>
      </c>
    </row>
    <row r="59" spans="1:99" x14ac:dyDescent="0.25">
      <c r="A59" t="s">
        <v>134</v>
      </c>
      <c r="B59" t="s">
        <v>140</v>
      </c>
      <c r="C59" t="s">
        <v>241</v>
      </c>
      <c r="D59">
        <v>129422</v>
      </c>
      <c r="E59" t="s">
        <v>270</v>
      </c>
      <c r="F59" t="s">
        <v>271</v>
      </c>
      <c r="G59" t="s">
        <v>144</v>
      </c>
      <c r="H59" t="s">
        <v>145</v>
      </c>
      <c r="I59" t="s">
        <v>135</v>
      </c>
      <c r="J59" t="s">
        <v>244</v>
      </c>
      <c r="K59" t="s">
        <v>136</v>
      </c>
      <c r="L59" s="11" t="s">
        <v>137</v>
      </c>
      <c r="M59">
        <v>0</v>
      </c>
      <c r="N59">
        <v>0</v>
      </c>
      <c r="O59">
        <v>1</v>
      </c>
      <c r="P59">
        <v>1</v>
      </c>
      <c r="Q59">
        <v>1</v>
      </c>
      <c r="R59">
        <v>0</v>
      </c>
      <c r="S59">
        <v>0</v>
      </c>
      <c r="T59">
        <v>0</v>
      </c>
      <c r="U59">
        <v>0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1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</row>
    <row r="60" spans="1:99" x14ac:dyDescent="0.25">
      <c r="A60" t="s">
        <v>134</v>
      </c>
      <c r="B60" t="s">
        <v>140</v>
      </c>
      <c r="C60" t="s">
        <v>241</v>
      </c>
      <c r="D60">
        <v>501085</v>
      </c>
      <c r="E60" t="s">
        <v>272</v>
      </c>
      <c r="F60" t="s">
        <v>273</v>
      </c>
      <c r="G60" t="s">
        <v>144</v>
      </c>
      <c r="H60" t="s">
        <v>145</v>
      </c>
      <c r="I60" t="s">
        <v>135</v>
      </c>
      <c r="J60" t="s">
        <v>274</v>
      </c>
      <c r="K60" t="s">
        <v>138</v>
      </c>
      <c r="L60" s="11" t="s">
        <v>139</v>
      </c>
      <c r="M60">
        <v>0</v>
      </c>
      <c r="N60">
        <v>0</v>
      </c>
      <c r="O60">
        <v>1</v>
      </c>
      <c r="P60">
        <v>1</v>
      </c>
      <c r="Q60">
        <v>1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</row>
    <row r="61" spans="1:99" x14ac:dyDescent="0.25">
      <c r="A61" t="s">
        <v>134</v>
      </c>
      <c r="B61" t="s">
        <v>140</v>
      </c>
      <c r="C61" t="s">
        <v>241</v>
      </c>
      <c r="D61">
        <v>501086</v>
      </c>
      <c r="E61" t="s">
        <v>275</v>
      </c>
      <c r="F61" t="s">
        <v>276</v>
      </c>
      <c r="G61" t="s">
        <v>144</v>
      </c>
      <c r="H61" t="s">
        <v>145</v>
      </c>
      <c r="I61" t="s">
        <v>135</v>
      </c>
      <c r="J61" t="s">
        <v>277</v>
      </c>
      <c r="K61" t="s">
        <v>138</v>
      </c>
      <c r="L61" s="11" t="s">
        <v>139</v>
      </c>
      <c r="M61">
        <v>0</v>
      </c>
      <c r="N61">
        <v>0</v>
      </c>
      <c r="O61">
        <v>1</v>
      </c>
      <c r="P61">
        <v>1</v>
      </c>
      <c r="Q61">
        <v>1</v>
      </c>
      <c r="R61">
        <v>1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</row>
    <row r="62" spans="1:99" x14ac:dyDescent="0.25">
      <c r="A62" t="s">
        <v>134</v>
      </c>
      <c r="B62" t="s">
        <v>140</v>
      </c>
      <c r="C62" t="s">
        <v>241</v>
      </c>
      <c r="D62">
        <v>501087</v>
      </c>
      <c r="E62" t="s">
        <v>278</v>
      </c>
      <c r="F62" t="s">
        <v>279</v>
      </c>
      <c r="G62" t="s">
        <v>144</v>
      </c>
      <c r="H62" t="s">
        <v>145</v>
      </c>
      <c r="I62" t="s">
        <v>135</v>
      </c>
      <c r="J62" t="s">
        <v>247</v>
      </c>
      <c r="K62" t="s">
        <v>138</v>
      </c>
      <c r="L62" s="11" t="s">
        <v>139</v>
      </c>
      <c r="M62">
        <v>0</v>
      </c>
      <c r="N62">
        <v>0</v>
      </c>
      <c r="O62">
        <v>1</v>
      </c>
      <c r="P62">
        <v>1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</row>
  </sheetData>
  <autoFilter ref="A8:CU62" xr:uid="{00000000-0009-0000-0000-000000000000}"/>
  <mergeCells count="3">
    <mergeCell ref="M5:AO5"/>
    <mergeCell ref="AP5:BR5"/>
    <mergeCell ref="BS5:CU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F73B5-DDD4-4475-9A9D-3AFE7B289D22}">
  <dimension ref="A1:CU30"/>
  <sheetViews>
    <sheetView zoomScale="85" zoomScaleNormal="85" workbookViewId="0">
      <pane xSplit="4" ySplit="8" topLeftCell="E13" activePane="bottomRight" state="frozen"/>
      <selection activeCell="B7" sqref="A7:XFD25"/>
      <selection pane="topRight" activeCell="B7" sqref="A7:XFD25"/>
      <selection pane="bottomLeft" activeCell="B7" sqref="A7:XFD25"/>
      <selection pane="bottomRight" activeCell="B31" sqref="A31:XFD76"/>
    </sheetView>
  </sheetViews>
  <sheetFormatPr defaultRowHeight="15" x14ac:dyDescent="0.25"/>
  <cols>
    <col min="2" max="2" width="27.140625" bestFit="1" customWidth="1"/>
  </cols>
  <sheetData>
    <row r="1" spans="1:99" x14ac:dyDescent="0.25">
      <c r="A1" s="1" t="s">
        <v>281</v>
      </c>
    </row>
    <row r="2" spans="1:99" x14ac:dyDescent="0.25">
      <c r="A2" s="1" t="s">
        <v>1</v>
      </c>
      <c r="K2" s="2"/>
    </row>
    <row r="3" spans="1:99" x14ac:dyDescent="0.25">
      <c r="A3" s="1" t="s">
        <v>2</v>
      </c>
      <c r="K3" s="2"/>
    </row>
    <row r="5" spans="1:99" x14ac:dyDescent="0.25">
      <c r="L5" s="3" t="s">
        <v>3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12" t="s">
        <v>4</v>
      </c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 t="s">
        <v>5</v>
      </c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</row>
    <row r="6" spans="1:99" ht="90" x14ac:dyDescent="0.25">
      <c r="L6" s="5" t="s">
        <v>6</v>
      </c>
      <c r="M6" s="5" t="s">
        <v>34</v>
      </c>
      <c r="N6" s="5" t="s">
        <v>7</v>
      </c>
      <c r="O6" s="5" t="s">
        <v>8</v>
      </c>
      <c r="P6" s="5" t="s">
        <v>9</v>
      </c>
      <c r="Q6" s="5" t="s">
        <v>10</v>
      </c>
      <c r="R6" s="5" t="s">
        <v>11</v>
      </c>
      <c r="S6" s="5" t="s">
        <v>12</v>
      </c>
      <c r="T6" s="5" t="s">
        <v>13</v>
      </c>
      <c r="U6" s="5" t="s">
        <v>14</v>
      </c>
      <c r="V6" s="5" t="s">
        <v>15</v>
      </c>
      <c r="W6" s="5" t="s">
        <v>16</v>
      </c>
      <c r="X6" s="5" t="s">
        <v>17</v>
      </c>
      <c r="Y6" s="5" t="s">
        <v>18</v>
      </c>
      <c r="Z6" s="5" t="s">
        <v>19</v>
      </c>
      <c r="AA6" s="5" t="s">
        <v>20</v>
      </c>
      <c r="AB6" s="5" t="s">
        <v>21</v>
      </c>
      <c r="AC6" s="5" t="s">
        <v>22</v>
      </c>
      <c r="AD6" s="5" t="s">
        <v>23</v>
      </c>
      <c r="AE6" s="5" t="s">
        <v>24</v>
      </c>
      <c r="AF6" s="5" t="s">
        <v>25</v>
      </c>
      <c r="AG6" s="5" t="s">
        <v>26</v>
      </c>
      <c r="AH6" s="5" t="s">
        <v>27</v>
      </c>
      <c r="AI6" s="5" t="s">
        <v>28</v>
      </c>
      <c r="AJ6" s="5" t="s">
        <v>29</v>
      </c>
      <c r="AK6" s="5" t="s">
        <v>30</v>
      </c>
      <c r="AL6" s="5" t="s">
        <v>31</v>
      </c>
      <c r="AM6" s="5" t="s">
        <v>32</v>
      </c>
      <c r="AN6" s="5" t="s">
        <v>33</v>
      </c>
      <c r="AO6" s="5" t="s">
        <v>6</v>
      </c>
      <c r="AP6" s="5" t="s">
        <v>34</v>
      </c>
      <c r="AQ6" s="5" t="s">
        <v>7</v>
      </c>
      <c r="AR6" s="5" t="s">
        <v>8</v>
      </c>
      <c r="AS6" s="5" t="s">
        <v>9</v>
      </c>
      <c r="AT6" s="5" t="s">
        <v>10</v>
      </c>
      <c r="AU6" s="5" t="s">
        <v>11</v>
      </c>
      <c r="AV6" s="5" t="s">
        <v>12</v>
      </c>
      <c r="AW6" s="5" t="s">
        <v>13</v>
      </c>
      <c r="AX6" s="5" t="s">
        <v>14</v>
      </c>
      <c r="AY6" s="5" t="s">
        <v>15</v>
      </c>
      <c r="AZ6" s="5" t="s">
        <v>16</v>
      </c>
      <c r="BA6" s="5" t="s">
        <v>17</v>
      </c>
      <c r="BB6" s="5" t="s">
        <v>18</v>
      </c>
      <c r="BC6" s="5" t="s">
        <v>19</v>
      </c>
      <c r="BD6" s="5" t="s">
        <v>20</v>
      </c>
      <c r="BE6" s="5" t="s">
        <v>21</v>
      </c>
      <c r="BF6" s="5" t="s">
        <v>22</v>
      </c>
      <c r="BG6" s="5" t="s">
        <v>23</v>
      </c>
      <c r="BH6" s="5" t="s">
        <v>24</v>
      </c>
      <c r="BI6" s="5" t="s">
        <v>25</v>
      </c>
      <c r="BJ6" s="5" t="s">
        <v>26</v>
      </c>
      <c r="BK6" s="5" t="s">
        <v>27</v>
      </c>
      <c r="BL6" s="5" t="s">
        <v>28</v>
      </c>
      <c r="BM6" s="5" t="s">
        <v>29</v>
      </c>
      <c r="BN6" s="5" t="s">
        <v>30</v>
      </c>
      <c r="BO6" s="5" t="s">
        <v>31</v>
      </c>
      <c r="BP6" s="5" t="s">
        <v>32</v>
      </c>
      <c r="BQ6" s="5" t="s">
        <v>33</v>
      </c>
      <c r="BR6" s="5" t="s">
        <v>6</v>
      </c>
      <c r="BS6" s="5" t="s">
        <v>34</v>
      </c>
      <c r="BT6" s="5" t="s">
        <v>7</v>
      </c>
      <c r="BU6" s="5" t="s">
        <v>8</v>
      </c>
      <c r="BV6" s="5" t="s">
        <v>9</v>
      </c>
      <c r="BW6" s="5" t="s">
        <v>10</v>
      </c>
      <c r="BX6" s="5" t="s">
        <v>11</v>
      </c>
      <c r="BY6" s="5" t="s">
        <v>12</v>
      </c>
      <c r="BZ6" s="5" t="s">
        <v>13</v>
      </c>
      <c r="CA6" s="5" t="s">
        <v>14</v>
      </c>
      <c r="CB6" s="5" t="s">
        <v>15</v>
      </c>
      <c r="CC6" s="5" t="s">
        <v>16</v>
      </c>
      <c r="CD6" s="5" t="s">
        <v>17</v>
      </c>
      <c r="CE6" s="5" t="s">
        <v>18</v>
      </c>
      <c r="CF6" s="5" t="s">
        <v>19</v>
      </c>
      <c r="CG6" s="5" t="s">
        <v>20</v>
      </c>
      <c r="CH6" s="5" t="s">
        <v>21</v>
      </c>
      <c r="CI6" s="5" t="s">
        <v>22</v>
      </c>
      <c r="CJ6" s="5" t="s">
        <v>23</v>
      </c>
      <c r="CK6" s="5" t="s">
        <v>24</v>
      </c>
      <c r="CL6" s="5" t="s">
        <v>25</v>
      </c>
      <c r="CM6" s="5" t="s">
        <v>26</v>
      </c>
      <c r="CN6" s="5" t="s">
        <v>27</v>
      </c>
      <c r="CO6" s="5" t="s">
        <v>28</v>
      </c>
      <c r="CP6" s="5" t="s">
        <v>29</v>
      </c>
      <c r="CQ6" s="5" t="s">
        <v>30</v>
      </c>
      <c r="CR6" s="5" t="s">
        <v>31</v>
      </c>
      <c r="CS6" s="5" t="s">
        <v>32</v>
      </c>
      <c r="CT6" s="5" t="s">
        <v>33</v>
      </c>
    </row>
    <row r="7" spans="1:99" x14ac:dyDescent="0.25">
      <c r="L7" s="7">
        <f>SUM(L9:L30)</f>
        <v>2</v>
      </c>
      <c r="M7" s="7">
        <f>SUM(M9:M30)</f>
        <v>4</v>
      </c>
      <c r="N7" s="7">
        <f>SUM(N9:N30)</f>
        <v>10</v>
      </c>
      <c r="O7" s="7">
        <f>SUM(O9:O30)</f>
        <v>15</v>
      </c>
      <c r="P7" s="7">
        <f>SUM(P9:P30)</f>
        <v>13</v>
      </c>
      <c r="Q7" s="7">
        <f>SUM(Q9:Q30)</f>
        <v>19</v>
      </c>
      <c r="R7" s="7">
        <f>SUM(R9:R30)</f>
        <v>3</v>
      </c>
      <c r="S7" s="7">
        <f>SUM(S9:S30)</f>
        <v>6</v>
      </c>
      <c r="T7" s="7">
        <f>SUM(T9:T30)</f>
        <v>2</v>
      </c>
      <c r="U7" s="7">
        <f>SUM(U9:U30)</f>
        <v>16</v>
      </c>
      <c r="V7" s="7">
        <f>SUM(V9:V30)</f>
        <v>3</v>
      </c>
      <c r="W7" s="7">
        <f>SUM(W9:W30)</f>
        <v>4</v>
      </c>
      <c r="X7" s="7">
        <f>SUM(X9:X30)</f>
        <v>5</v>
      </c>
      <c r="Y7" s="7">
        <f>SUM(Y9:Y30)</f>
        <v>1</v>
      </c>
      <c r="Z7" s="7">
        <f>SUM(Z9:Z30)</f>
        <v>0</v>
      </c>
      <c r="AA7" s="7">
        <f>SUM(AA9:AA30)</f>
        <v>1</v>
      </c>
      <c r="AB7" s="7">
        <f>SUM(AB9:AB30)</f>
        <v>1</v>
      </c>
      <c r="AC7" s="7">
        <f>SUM(AC9:AC30)</f>
        <v>0</v>
      </c>
      <c r="AD7" s="7">
        <f>SUM(AD9:AD30)</f>
        <v>14</v>
      </c>
      <c r="AE7" s="7">
        <f>SUM(AE9:AE30)</f>
        <v>2</v>
      </c>
      <c r="AF7" s="7">
        <f>SUM(AF9:AF30)</f>
        <v>5</v>
      </c>
      <c r="AG7" s="7">
        <f>SUM(AG9:AG30)</f>
        <v>7</v>
      </c>
      <c r="AH7" s="7">
        <f>SUM(AH9:AH30)</f>
        <v>3</v>
      </c>
      <c r="AI7" s="7">
        <f>SUM(AI9:AI30)</f>
        <v>2</v>
      </c>
      <c r="AJ7" s="7">
        <f>SUM(AJ9:AJ30)</f>
        <v>16</v>
      </c>
      <c r="AK7" s="7">
        <f>SUM(AK9:AK30)</f>
        <v>0</v>
      </c>
      <c r="AL7" s="7">
        <f>SUM(AL9:AL30)</f>
        <v>1</v>
      </c>
      <c r="AM7" s="7">
        <f>SUM(AM9:AM30)</f>
        <v>1</v>
      </c>
      <c r="AN7" s="7">
        <f>SUM(AN9:AN30)</f>
        <v>1</v>
      </c>
      <c r="AO7" s="7">
        <f>SUM(AO9:AO30)</f>
        <v>0</v>
      </c>
      <c r="AP7" s="7">
        <f>SUM(AP9:AP30)</f>
        <v>0</v>
      </c>
      <c r="AQ7" s="7">
        <f>SUM(AQ9:AQ30)</f>
        <v>0</v>
      </c>
      <c r="AR7" s="7">
        <f>SUM(AR9:AR30)</f>
        <v>0</v>
      </c>
      <c r="AS7" s="7">
        <f>SUM(AS9:AS30)</f>
        <v>0</v>
      </c>
      <c r="AT7" s="7">
        <f>SUM(AT9:AT30)</f>
        <v>0</v>
      </c>
      <c r="AU7" s="7">
        <f>SUM(AU9:AU30)</f>
        <v>0</v>
      </c>
      <c r="AV7" s="7">
        <f>SUM(AV9:AV30)</f>
        <v>0</v>
      </c>
      <c r="AW7" s="7">
        <f>SUM(AW9:AW30)</f>
        <v>0</v>
      </c>
      <c r="AX7" s="7">
        <f>SUM(AX9:AX30)</f>
        <v>1</v>
      </c>
      <c r="AY7" s="7">
        <f>SUM(AY9:AY30)</f>
        <v>0</v>
      </c>
      <c r="AZ7" s="7">
        <f>SUM(AZ9:AZ30)</f>
        <v>1</v>
      </c>
      <c r="BA7" s="7">
        <f>SUM(BA9:BA30)</f>
        <v>0</v>
      </c>
      <c r="BB7" s="7">
        <f>SUM(BB9:BB30)</f>
        <v>0</v>
      </c>
      <c r="BC7" s="7">
        <f>SUM(BC9:BC30)</f>
        <v>0</v>
      </c>
      <c r="BD7" s="7">
        <f>SUM(BD9:BD30)</f>
        <v>0</v>
      </c>
      <c r="BE7" s="7">
        <f>SUM(BE9:BE30)</f>
        <v>0</v>
      </c>
      <c r="BF7" s="7">
        <f>SUM(BF9:BF30)</f>
        <v>0</v>
      </c>
      <c r="BG7" s="7">
        <f>SUM(BG9:BG30)</f>
        <v>1</v>
      </c>
      <c r="BH7" s="7">
        <f>SUM(BH9:BH30)</f>
        <v>0</v>
      </c>
      <c r="BI7" s="7">
        <f>SUM(BI9:BI30)</f>
        <v>0</v>
      </c>
      <c r="BJ7" s="7">
        <f>SUM(BJ9:BJ30)</f>
        <v>0</v>
      </c>
      <c r="BK7" s="7">
        <f>SUM(BK9:BK30)</f>
        <v>0</v>
      </c>
      <c r="BL7" s="7">
        <f>SUM(BL9:BL30)</f>
        <v>0</v>
      </c>
      <c r="BM7" s="7">
        <f>SUM(BM9:BM30)</f>
        <v>2</v>
      </c>
      <c r="BN7" s="7">
        <f>SUM(BN9:BN30)</f>
        <v>0</v>
      </c>
      <c r="BO7" s="7">
        <f>SUM(BO9:BO30)</f>
        <v>0</v>
      </c>
      <c r="BP7" s="7">
        <f>SUM(BP9:BP30)</f>
        <v>0</v>
      </c>
      <c r="BQ7" s="7">
        <f>SUM(BQ9:BQ30)</f>
        <v>0</v>
      </c>
      <c r="BR7" s="7">
        <f>SUM(BR9:BR30)</f>
        <v>0</v>
      </c>
      <c r="BS7" s="7">
        <f>SUM(BS9:BS30)</f>
        <v>2</v>
      </c>
      <c r="BT7" s="7">
        <f>SUM(BT9:BT30)</f>
        <v>1</v>
      </c>
      <c r="BU7" s="7">
        <f>SUM(BU9:BU30)</f>
        <v>2</v>
      </c>
      <c r="BV7" s="7">
        <f>SUM(BV9:BV30)</f>
        <v>4</v>
      </c>
      <c r="BW7" s="7">
        <f>SUM(BW9:BW30)</f>
        <v>4</v>
      </c>
      <c r="BX7" s="7">
        <f>SUM(BX9:BX30)</f>
        <v>2</v>
      </c>
      <c r="BY7" s="7">
        <f>SUM(BY9:BY30)</f>
        <v>0</v>
      </c>
      <c r="BZ7" s="7">
        <f>SUM(BZ9:BZ30)</f>
        <v>0</v>
      </c>
      <c r="CA7" s="7">
        <f>SUM(CA9:CA30)</f>
        <v>8</v>
      </c>
      <c r="CB7" s="7">
        <f>SUM(CB9:CB30)</f>
        <v>2</v>
      </c>
      <c r="CC7" s="7">
        <f>SUM(CC9:CC30)</f>
        <v>1</v>
      </c>
      <c r="CD7" s="7">
        <f>SUM(CD9:CD30)</f>
        <v>0</v>
      </c>
      <c r="CE7" s="7">
        <f>SUM(CE9:CE30)</f>
        <v>1</v>
      </c>
      <c r="CF7" s="7">
        <f>SUM(CF9:CF30)</f>
        <v>0</v>
      </c>
      <c r="CG7" s="7">
        <f>SUM(CG9:CG30)</f>
        <v>1</v>
      </c>
      <c r="CH7" s="7">
        <f>SUM(CH9:CH30)</f>
        <v>0</v>
      </c>
      <c r="CI7" s="7">
        <f>SUM(CI9:CI30)</f>
        <v>0</v>
      </c>
      <c r="CJ7" s="7">
        <f>SUM(CJ9:CJ30)</f>
        <v>4</v>
      </c>
      <c r="CK7" s="7">
        <f>SUM(CK9:CK30)</f>
        <v>1</v>
      </c>
      <c r="CL7" s="7">
        <f>SUM(CL9:CL30)</f>
        <v>1</v>
      </c>
      <c r="CM7" s="7">
        <f>SUM(CM9:CM30)</f>
        <v>3</v>
      </c>
      <c r="CN7" s="7">
        <f>SUM(CN9:CN30)</f>
        <v>1</v>
      </c>
      <c r="CO7" s="7">
        <f>SUM(CO9:CO30)</f>
        <v>0</v>
      </c>
      <c r="CP7" s="7">
        <f>SUM(CP9:CP30)</f>
        <v>7</v>
      </c>
      <c r="CQ7" s="7">
        <f>SUM(CQ9:CQ30)</f>
        <v>0</v>
      </c>
      <c r="CR7" s="7">
        <f>SUM(CR9:CR30)</f>
        <v>1</v>
      </c>
      <c r="CS7" s="7">
        <f>SUM(CS9:CS30)</f>
        <v>0</v>
      </c>
      <c r="CT7" s="7">
        <f>SUM(CT9:CT30)</f>
        <v>0</v>
      </c>
    </row>
    <row r="8" spans="1:99" x14ac:dyDescent="0.25">
      <c r="A8" s="8" t="s">
        <v>35</v>
      </c>
      <c r="B8" s="8" t="s">
        <v>36</v>
      </c>
      <c r="C8" s="8" t="s">
        <v>37</v>
      </c>
      <c r="D8" s="8" t="s">
        <v>38</v>
      </c>
      <c r="E8" s="8" t="s">
        <v>39</v>
      </c>
      <c r="F8" s="8" t="s">
        <v>40</v>
      </c>
      <c r="G8" s="8" t="s">
        <v>41</v>
      </c>
      <c r="H8" s="8" t="s">
        <v>42</v>
      </c>
      <c r="I8" s="8" t="s">
        <v>43</v>
      </c>
      <c r="J8" s="8" t="s">
        <v>44</v>
      </c>
      <c r="K8" s="9" t="s">
        <v>46</v>
      </c>
      <c r="L8" s="10" t="s">
        <v>47</v>
      </c>
      <c r="M8" s="10" t="s">
        <v>48</v>
      </c>
      <c r="N8" s="10" t="s">
        <v>49</v>
      </c>
      <c r="O8" s="10" t="s">
        <v>50</v>
      </c>
      <c r="P8" s="10" t="s">
        <v>51</v>
      </c>
      <c r="Q8" s="10" t="s">
        <v>52</v>
      </c>
      <c r="R8" s="10" t="s">
        <v>53</v>
      </c>
      <c r="S8" s="10" t="s">
        <v>54</v>
      </c>
      <c r="T8" s="10" t="s">
        <v>55</v>
      </c>
      <c r="U8" s="10" t="s">
        <v>56</v>
      </c>
      <c r="V8" s="10" t="s">
        <v>57</v>
      </c>
      <c r="W8" s="10" t="s">
        <v>58</v>
      </c>
      <c r="X8" s="10" t="s">
        <v>59</v>
      </c>
      <c r="Y8" s="10" t="s">
        <v>60</v>
      </c>
      <c r="Z8" s="10" t="s">
        <v>61</v>
      </c>
      <c r="AA8" s="10" t="s">
        <v>62</v>
      </c>
      <c r="AB8" s="10" t="s">
        <v>63</v>
      </c>
      <c r="AC8" s="10" t="s">
        <v>64</v>
      </c>
      <c r="AD8" s="10" t="s">
        <v>65</v>
      </c>
      <c r="AE8" s="10" t="s">
        <v>66</v>
      </c>
      <c r="AF8" s="10" t="s">
        <v>67</v>
      </c>
      <c r="AG8" s="10" t="s">
        <v>68</v>
      </c>
      <c r="AH8" s="10" t="s">
        <v>69</v>
      </c>
      <c r="AI8" s="10" t="s">
        <v>70</v>
      </c>
      <c r="AJ8" s="10" t="s">
        <v>71</v>
      </c>
      <c r="AK8" s="10" t="s">
        <v>72</v>
      </c>
      <c r="AL8" s="10" t="s">
        <v>73</v>
      </c>
      <c r="AM8" s="10" t="s">
        <v>74</v>
      </c>
      <c r="AN8" s="10" t="s">
        <v>75</v>
      </c>
      <c r="AO8" s="10" t="s">
        <v>76</v>
      </c>
      <c r="AP8" s="10" t="s">
        <v>77</v>
      </c>
      <c r="AQ8" s="10" t="s">
        <v>78</v>
      </c>
      <c r="AR8" s="10" t="s">
        <v>79</v>
      </c>
      <c r="AS8" s="10" t="s">
        <v>80</v>
      </c>
      <c r="AT8" s="10" t="s">
        <v>81</v>
      </c>
      <c r="AU8" s="10" t="s">
        <v>82</v>
      </c>
      <c r="AV8" s="10" t="s">
        <v>83</v>
      </c>
      <c r="AW8" s="10" t="s">
        <v>84</v>
      </c>
      <c r="AX8" s="10" t="s">
        <v>85</v>
      </c>
      <c r="AY8" s="10" t="s">
        <v>86</v>
      </c>
      <c r="AZ8" s="10" t="s">
        <v>87</v>
      </c>
      <c r="BA8" s="10" t="s">
        <v>88</v>
      </c>
      <c r="BB8" s="10" t="s">
        <v>89</v>
      </c>
      <c r="BC8" s="10" t="s">
        <v>90</v>
      </c>
      <c r="BD8" s="10" t="s">
        <v>91</v>
      </c>
      <c r="BE8" s="10" t="s">
        <v>92</v>
      </c>
      <c r="BF8" s="10" t="s">
        <v>93</v>
      </c>
      <c r="BG8" s="10" t="s">
        <v>94</v>
      </c>
      <c r="BH8" s="10" t="s">
        <v>95</v>
      </c>
      <c r="BI8" s="10" t="s">
        <v>96</v>
      </c>
      <c r="BJ8" s="10" t="s">
        <v>97</v>
      </c>
      <c r="BK8" s="10" t="s">
        <v>98</v>
      </c>
      <c r="BL8" s="10" t="s">
        <v>99</v>
      </c>
      <c r="BM8" s="10" t="s">
        <v>100</v>
      </c>
      <c r="BN8" s="10" t="s">
        <v>101</v>
      </c>
      <c r="BO8" s="10" t="s">
        <v>102</v>
      </c>
      <c r="BP8" s="10" t="s">
        <v>103</v>
      </c>
      <c r="BQ8" s="10" t="s">
        <v>104</v>
      </c>
      <c r="BR8" s="10" t="s">
        <v>105</v>
      </c>
      <c r="BS8" s="10" t="s">
        <v>106</v>
      </c>
      <c r="BT8" s="10" t="s">
        <v>107</v>
      </c>
      <c r="BU8" s="10" t="s">
        <v>108</v>
      </c>
      <c r="BV8" s="10" t="s">
        <v>109</v>
      </c>
      <c r="BW8" s="10" t="s">
        <v>110</v>
      </c>
      <c r="BX8" s="10" t="s">
        <v>111</v>
      </c>
      <c r="BY8" s="10" t="s">
        <v>112</v>
      </c>
      <c r="BZ8" s="10" t="s">
        <v>113</v>
      </c>
      <c r="CA8" s="10" t="s">
        <v>114</v>
      </c>
      <c r="CB8" s="10" t="s">
        <v>115</v>
      </c>
      <c r="CC8" s="10" t="s">
        <v>116</v>
      </c>
      <c r="CD8" s="10" t="s">
        <v>117</v>
      </c>
      <c r="CE8" s="10" t="s">
        <v>118</v>
      </c>
      <c r="CF8" s="10" t="s">
        <v>119</v>
      </c>
      <c r="CG8" s="10" t="s">
        <v>120</v>
      </c>
      <c r="CH8" s="10" t="s">
        <v>121</v>
      </c>
      <c r="CI8" s="10" t="s">
        <v>122</v>
      </c>
      <c r="CJ8" s="10" t="s">
        <v>123</v>
      </c>
      <c r="CK8" s="10" t="s">
        <v>124</v>
      </c>
      <c r="CL8" s="10" t="s">
        <v>125</v>
      </c>
      <c r="CM8" s="10" t="s">
        <v>126</v>
      </c>
      <c r="CN8" s="10" t="s">
        <v>127</v>
      </c>
      <c r="CO8" s="10" t="s">
        <v>128</v>
      </c>
      <c r="CP8" s="10" t="s">
        <v>129</v>
      </c>
      <c r="CQ8" s="10" t="s">
        <v>130</v>
      </c>
      <c r="CR8" s="10" t="s">
        <v>131</v>
      </c>
      <c r="CS8" s="10" t="s">
        <v>132</v>
      </c>
      <c r="CT8" s="10" t="s">
        <v>133</v>
      </c>
      <c r="CU8" s="10" t="s">
        <v>282</v>
      </c>
    </row>
    <row r="9" spans="1:99" x14ac:dyDescent="0.25">
      <c r="A9" t="s">
        <v>134</v>
      </c>
      <c r="B9" t="s">
        <v>140</v>
      </c>
      <c r="C9" t="s">
        <v>141</v>
      </c>
      <c r="D9">
        <v>304325</v>
      </c>
      <c r="E9" t="s">
        <v>285</v>
      </c>
      <c r="F9" t="s">
        <v>286</v>
      </c>
      <c r="G9" t="s">
        <v>144</v>
      </c>
      <c r="H9" t="s">
        <v>145</v>
      </c>
      <c r="I9" t="s">
        <v>135</v>
      </c>
      <c r="J9" t="s">
        <v>154</v>
      </c>
      <c r="K9" s="11" t="s">
        <v>283</v>
      </c>
      <c r="L9">
        <v>0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1</v>
      </c>
      <c r="AF9">
        <v>0</v>
      </c>
      <c r="AG9">
        <v>1</v>
      </c>
      <c r="AH9">
        <v>1</v>
      </c>
      <c r="AI9">
        <v>1</v>
      </c>
      <c r="AJ9">
        <v>1</v>
      </c>
      <c r="AK9">
        <v>0</v>
      </c>
      <c r="AL9">
        <v>1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1</v>
      </c>
      <c r="BT9">
        <v>0</v>
      </c>
      <c r="BU9">
        <v>0</v>
      </c>
      <c r="BV9">
        <v>1</v>
      </c>
      <c r="BW9">
        <v>0</v>
      </c>
      <c r="BX9">
        <v>1</v>
      </c>
      <c r="BY9">
        <v>0</v>
      </c>
      <c r="BZ9">
        <v>0</v>
      </c>
      <c r="CA9">
        <v>1</v>
      </c>
      <c r="CB9">
        <v>1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1</v>
      </c>
      <c r="CN9">
        <v>1</v>
      </c>
      <c r="CO9">
        <v>0</v>
      </c>
      <c r="CP9">
        <v>1</v>
      </c>
      <c r="CQ9">
        <v>0</v>
      </c>
      <c r="CR9">
        <v>1</v>
      </c>
      <c r="CS9">
        <v>0</v>
      </c>
      <c r="CT9">
        <v>0</v>
      </c>
    </row>
    <row r="10" spans="1:99" x14ac:dyDescent="0.25">
      <c r="A10" t="s">
        <v>134</v>
      </c>
      <c r="B10" t="s">
        <v>140</v>
      </c>
      <c r="C10" t="s">
        <v>141</v>
      </c>
      <c r="D10">
        <v>304326</v>
      </c>
      <c r="E10" t="s">
        <v>287</v>
      </c>
      <c r="F10" t="s">
        <v>288</v>
      </c>
      <c r="G10" t="s">
        <v>144</v>
      </c>
      <c r="H10" t="s">
        <v>145</v>
      </c>
      <c r="I10" t="s">
        <v>135</v>
      </c>
      <c r="J10" t="s">
        <v>154</v>
      </c>
      <c r="K10" s="11" t="s">
        <v>283</v>
      </c>
      <c r="L10">
        <v>0</v>
      </c>
      <c r="M10">
        <v>0</v>
      </c>
      <c r="N10">
        <v>0</v>
      </c>
      <c r="O10">
        <v>1</v>
      </c>
      <c r="P10">
        <v>1</v>
      </c>
      <c r="Q10">
        <v>1</v>
      </c>
      <c r="R10">
        <v>0</v>
      </c>
      <c r="S10">
        <v>0</v>
      </c>
      <c r="T10">
        <v>0</v>
      </c>
      <c r="U10">
        <v>1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1</v>
      </c>
      <c r="BX10">
        <v>0</v>
      </c>
      <c r="BY10">
        <v>0</v>
      </c>
      <c r="BZ10">
        <v>0</v>
      </c>
      <c r="CA10">
        <v>1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1</v>
      </c>
      <c r="CN10">
        <v>0</v>
      </c>
      <c r="CO10">
        <v>0</v>
      </c>
      <c r="CP10">
        <v>1</v>
      </c>
      <c r="CQ10">
        <v>0</v>
      </c>
      <c r="CR10">
        <v>0</v>
      </c>
      <c r="CS10">
        <v>0</v>
      </c>
      <c r="CT10">
        <v>0</v>
      </c>
    </row>
    <row r="11" spans="1:99" x14ac:dyDescent="0.25">
      <c r="A11" t="s">
        <v>134</v>
      </c>
      <c r="B11" t="s">
        <v>140</v>
      </c>
      <c r="C11" t="s">
        <v>141</v>
      </c>
      <c r="D11">
        <v>305680</v>
      </c>
      <c r="E11" t="s">
        <v>289</v>
      </c>
      <c r="F11" t="s">
        <v>290</v>
      </c>
      <c r="G11" t="s">
        <v>144</v>
      </c>
      <c r="H11" t="s">
        <v>145</v>
      </c>
      <c r="I11" t="s">
        <v>135</v>
      </c>
      <c r="J11" t="s">
        <v>189</v>
      </c>
      <c r="K11" s="11" t="s">
        <v>284</v>
      </c>
      <c r="L11">
        <v>0</v>
      </c>
      <c r="M11">
        <v>1</v>
      </c>
      <c r="N11">
        <v>0</v>
      </c>
      <c r="O11">
        <v>0</v>
      </c>
      <c r="P11">
        <v>1</v>
      </c>
      <c r="Q11">
        <v>1</v>
      </c>
      <c r="R11">
        <v>0</v>
      </c>
      <c r="S11">
        <v>0</v>
      </c>
      <c r="T11">
        <v>0</v>
      </c>
      <c r="U11">
        <v>1</v>
      </c>
      <c r="V11">
        <v>1</v>
      </c>
      <c r="W11">
        <v>0</v>
      </c>
      <c r="X11">
        <v>0</v>
      </c>
      <c r="Y11">
        <v>1</v>
      </c>
      <c r="Z11">
        <v>0</v>
      </c>
      <c r="AA11">
        <v>1</v>
      </c>
      <c r="AB11">
        <v>1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1</v>
      </c>
      <c r="BT11">
        <v>0</v>
      </c>
      <c r="BU11">
        <v>0</v>
      </c>
      <c r="BV11">
        <v>0</v>
      </c>
      <c r="BW11">
        <v>1</v>
      </c>
      <c r="BX11">
        <v>0</v>
      </c>
      <c r="BY11">
        <v>0</v>
      </c>
      <c r="BZ11">
        <v>0</v>
      </c>
      <c r="CA11">
        <v>1</v>
      </c>
      <c r="CB11">
        <v>1</v>
      </c>
      <c r="CC11">
        <v>0</v>
      </c>
      <c r="CD11">
        <v>0</v>
      </c>
      <c r="CE11">
        <v>1</v>
      </c>
      <c r="CF11">
        <v>0</v>
      </c>
      <c r="CG11">
        <v>1</v>
      </c>
      <c r="CH11">
        <v>0</v>
      </c>
      <c r="CI11">
        <v>0</v>
      </c>
      <c r="CJ11">
        <v>1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1</v>
      </c>
      <c r="CQ11">
        <v>0</v>
      </c>
      <c r="CR11">
        <v>0</v>
      </c>
      <c r="CS11">
        <v>0</v>
      </c>
      <c r="CT11">
        <v>0</v>
      </c>
    </row>
    <row r="12" spans="1:99" x14ac:dyDescent="0.25">
      <c r="A12" t="s">
        <v>134</v>
      </c>
      <c r="B12" t="s">
        <v>140</v>
      </c>
      <c r="C12" t="s">
        <v>141</v>
      </c>
      <c r="D12">
        <v>325104</v>
      </c>
      <c r="E12" t="s">
        <v>291</v>
      </c>
      <c r="F12" t="s">
        <v>292</v>
      </c>
      <c r="G12" t="s">
        <v>144</v>
      </c>
      <c r="H12" t="s">
        <v>145</v>
      </c>
      <c r="I12" t="s">
        <v>135</v>
      </c>
      <c r="J12" t="s">
        <v>146</v>
      </c>
      <c r="K12" s="11" t="s">
        <v>283</v>
      </c>
      <c r="L12">
        <v>0</v>
      </c>
      <c r="M12">
        <v>0</v>
      </c>
      <c r="N12">
        <v>0</v>
      </c>
      <c r="O12">
        <v>1</v>
      </c>
      <c r="P12">
        <v>1</v>
      </c>
      <c r="Q12">
        <v>1</v>
      </c>
      <c r="R12">
        <v>0</v>
      </c>
      <c r="S12">
        <v>1</v>
      </c>
      <c r="T12">
        <v>0</v>
      </c>
      <c r="U12">
        <v>1</v>
      </c>
      <c r="V12">
        <v>0</v>
      </c>
      <c r="W12">
        <v>1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1</v>
      </c>
      <c r="AG12">
        <v>1</v>
      </c>
      <c r="AH12">
        <v>0</v>
      </c>
      <c r="AI12">
        <v>0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1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</v>
      </c>
      <c r="BW12">
        <v>1</v>
      </c>
      <c r="BX12">
        <v>0</v>
      </c>
      <c r="BY12">
        <v>0</v>
      </c>
      <c r="BZ12">
        <v>0</v>
      </c>
      <c r="CA12">
        <v>1</v>
      </c>
      <c r="CB12">
        <v>0</v>
      </c>
      <c r="CC12">
        <v>1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1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1</v>
      </c>
      <c r="CQ12">
        <v>0</v>
      </c>
      <c r="CR12">
        <v>0</v>
      </c>
      <c r="CS12">
        <v>0</v>
      </c>
      <c r="CT12">
        <v>0</v>
      </c>
    </row>
    <row r="13" spans="1:99" x14ac:dyDescent="0.25">
      <c r="A13" t="s">
        <v>134</v>
      </c>
      <c r="B13" t="s">
        <v>140</v>
      </c>
      <c r="C13" t="s">
        <v>141</v>
      </c>
      <c r="D13">
        <v>500454</v>
      </c>
      <c r="E13" t="s">
        <v>170</v>
      </c>
      <c r="F13" t="s">
        <v>171</v>
      </c>
      <c r="G13" t="s">
        <v>144</v>
      </c>
      <c r="H13" t="s">
        <v>145</v>
      </c>
      <c r="I13" t="s">
        <v>135</v>
      </c>
      <c r="J13" t="s">
        <v>154</v>
      </c>
      <c r="K13" s="11" t="s">
        <v>173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1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1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1</v>
      </c>
      <c r="CQ13">
        <v>0</v>
      </c>
      <c r="CR13">
        <v>0</v>
      </c>
      <c r="CS13">
        <v>0</v>
      </c>
      <c r="CT13">
        <v>0</v>
      </c>
    </row>
    <row r="14" spans="1:99" x14ac:dyDescent="0.25">
      <c r="A14" t="s">
        <v>134</v>
      </c>
      <c r="B14" t="s">
        <v>140</v>
      </c>
      <c r="C14" t="s">
        <v>141</v>
      </c>
      <c r="D14">
        <v>501424</v>
      </c>
      <c r="E14" t="s">
        <v>174</v>
      </c>
      <c r="F14" t="s">
        <v>175</v>
      </c>
      <c r="G14" t="s">
        <v>144</v>
      </c>
      <c r="H14" t="s">
        <v>145</v>
      </c>
      <c r="I14" t="s">
        <v>135</v>
      </c>
      <c r="J14" t="s">
        <v>176</v>
      </c>
      <c r="K14" s="11" t="s">
        <v>139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</row>
    <row r="15" spans="1:99" x14ac:dyDescent="0.25">
      <c r="A15" t="s">
        <v>134</v>
      </c>
      <c r="B15" t="s">
        <v>140</v>
      </c>
      <c r="C15" t="s">
        <v>177</v>
      </c>
      <c r="D15">
        <v>304303</v>
      </c>
      <c r="E15" t="s">
        <v>293</v>
      </c>
      <c r="F15" t="s">
        <v>294</v>
      </c>
      <c r="G15" t="s">
        <v>144</v>
      </c>
      <c r="H15" t="s">
        <v>145</v>
      </c>
      <c r="I15" t="s">
        <v>135</v>
      </c>
      <c r="J15" t="s">
        <v>183</v>
      </c>
      <c r="K15" s="11" t="s">
        <v>283</v>
      </c>
      <c r="L15">
        <v>0</v>
      </c>
      <c r="M15">
        <v>0</v>
      </c>
      <c r="N15">
        <v>1</v>
      </c>
      <c r="O15">
        <v>1</v>
      </c>
      <c r="P15">
        <v>1</v>
      </c>
      <c r="Q15">
        <v>1</v>
      </c>
      <c r="R15">
        <v>0</v>
      </c>
      <c r="S15">
        <v>1</v>
      </c>
      <c r="T15">
        <v>1</v>
      </c>
      <c r="U15">
        <v>1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1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</row>
    <row r="16" spans="1:99" x14ac:dyDescent="0.25">
      <c r="A16" t="s">
        <v>134</v>
      </c>
      <c r="B16" t="s">
        <v>140</v>
      </c>
      <c r="C16" t="s">
        <v>177</v>
      </c>
      <c r="D16">
        <v>304305</v>
      </c>
      <c r="E16" t="s">
        <v>295</v>
      </c>
      <c r="F16" t="s">
        <v>296</v>
      </c>
      <c r="G16" t="s">
        <v>144</v>
      </c>
      <c r="H16" t="s">
        <v>145</v>
      </c>
      <c r="I16" t="s">
        <v>135</v>
      </c>
      <c r="J16" t="s">
        <v>194</v>
      </c>
      <c r="K16" s="11" t="s">
        <v>283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</row>
    <row r="17" spans="1:98" x14ac:dyDescent="0.25">
      <c r="A17" t="s">
        <v>134</v>
      </c>
      <c r="B17" t="s">
        <v>140</v>
      </c>
      <c r="C17" t="s">
        <v>177</v>
      </c>
      <c r="D17">
        <v>304314</v>
      </c>
      <c r="E17" t="s">
        <v>297</v>
      </c>
      <c r="F17" t="s">
        <v>214</v>
      </c>
      <c r="G17" t="s">
        <v>144</v>
      </c>
      <c r="H17" t="s">
        <v>145</v>
      </c>
      <c r="I17" t="s">
        <v>135</v>
      </c>
      <c r="J17" t="s">
        <v>215</v>
      </c>
      <c r="K17" s="11" t="s">
        <v>283</v>
      </c>
      <c r="L17">
        <v>0</v>
      </c>
      <c r="M17">
        <v>0</v>
      </c>
      <c r="N17">
        <v>0</v>
      </c>
      <c r="O17">
        <v>1</v>
      </c>
      <c r="P17">
        <v>1</v>
      </c>
      <c r="Q17">
        <v>1</v>
      </c>
      <c r="R17">
        <v>0</v>
      </c>
      <c r="S17">
        <v>0</v>
      </c>
      <c r="T17">
        <v>0</v>
      </c>
      <c r="U17">
        <v>1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</row>
    <row r="18" spans="1:98" x14ac:dyDescent="0.25">
      <c r="A18" t="s">
        <v>134</v>
      </c>
      <c r="B18" t="s">
        <v>140</v>
      </c>
      <c r="C18" t="s">
        <v>177</v>
      </c>
      <c r="D18">
        <v>304327</v>
      </c>
      <c r="E18" t="s">
        <v>298</v>
      </c>
      <c r="F18" t="s">
        <v>299</v>
      </c>
      <c r="G18" t="s">
        <v>144</v>
      </c>
      <c r="H18" t="s">
        <v>145</v>
      </c>
      <c r="I18" t="s">
        <v>135</v>
      </c>
      <c r="J18" t="s">
        <v>212</v>
      </c>
      <c r="K18" s="11" t="s">
        <v>283</v>
      </c>
      <c r="L18">
        <v>0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0</v>
      </c>
      <c r="U18">
        <v>1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1</v>
      </c>
      <c r="AH18">
        <v>1</v>
      </c>
      <c r="AI18">
        <v>1</v>
      </c>
      <c r="AJ18">
        <v>1</v>
      </c>
      <c r="AK18">
        <v>0</v>
      </c>
      <c r="AL18">
        <v>0</v>
      </c>
      <c r="AM18">
        <v>1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</row>
    <row r="19" spans="1:98" x14ac:dyDescent="0.25">
      <c r="A19" t="s">
        <v>134</v>
      </c>
      <c r="B19" t="s">
        <v>140</v>
      </c>
      <c r="C19" t="s">
        <v>177</v>
      </c>
      <c r="D19">
        <v>304328</v>
      </c>
      <c r="E19" t="s">
        <v>300</v>
      </c>
      <c r="F19" t="s">
        <v>301</v>
      </c>
      <c r="G19" t="s">
        <v>144</v>
      </c>
      <c r="H19" t="s">
        <v>145</v>
      </c>
      <c r="I19" t="s">
        <v>135</v>
      </c>
      <c r="J19" t="s">
        <v>189</v>
      </c>
      <c r="K19" s="11" t="s">
        <v>283</v>
      </c>
      <c r="L19">
        <v>1</v>
      </c>
      <c r="M19">
        <v>1</v>
      </c>
      <c r="N19">
        <v>0</v>
      </c>
      <c r="O19">
        <v>1</v>
      </c>
      <c r="P19">
        <v>1</v>
      </c>
      <c r="Q19">
        <v>1</v>
      </c>
      <c r="R19">
        <v>0</v>
      </c>
      <c r="S19">
        <v>1</v>
      </c>
      <c r="T19">
        <v>0</v>
      </c>
      <c r="U19">
        <v>1</v>
      </c>
      <c r="V19">
        <v>1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1</v>
      </c>
      <c r="AG19">
        <v>1</v>
      </c>
      <c r="AH19">
        <v>1</v>
      </c>
      <c r="AI19">
        <v>0</v>
      </c>
      <c r="AJ19">
        <v>1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1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</row>
    <row r="20" spans="1:98" x14ac:dyDescent="0.25">
      <c r="A20" t="s">
        <v>134</v>
      </c>
      <c r="B20" t="s">
        <v>140</v>
      </c>
      <c r="C20" t="s">
        <v>177</v>
      </c>
      <c r="D20">
        <v>304338</v>
      </c>
      <c r="E20" t="s">
        <v>302</v>
      </c>
      <c r="F20" t="s">
        <v>303</v>
      </c>
      <c r="G20" t="s">
        <v>144</v>
      </c>
      <c r="H20" t="s">
        <v>145</v>
      </c>
      <c r="I20" t="s">
        <v>135</v>
      </c>
      <c r="J20" t="s">
        <v>229</v>
      </c>
      <c r="K20" s="11" t="s">
        <v>283</v>
      </c>
      <c r="L20">
        <v>0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</row>
    <row r="21" spans="1:98" x14ac:dyDescent="0.25">
      <c r="A21" t="s">
        <v>134</v>
      </c>
      <c r="B21" t="s">
        <v>140</v>
      </c>
      <c r="C21" t="s">
        <v>177</v>
      </c>
      <c r="D21">
        <v>316104</v>
      </c>
      <c r="E21" t="s">
        <v>304</v>
      </c>
      <c r="F21" t="s">
        <v>280</v>
      </c>
      <c r="G21" t="s">
        <v>144</v>
      </c>
      <c r="H21" t="s">
        <v>145</v>
      </c>
      <c r="I21" t="s">
        <v>135</v>
      </c>
      <c r="J21" t="s">
        <v>200</v>
      </c>
      <c r="K21" s="11" t="s">
        <v>283</v>
      </c>
      <c r="L21">
        <v>0</v>
      </c>
      <c r="M21">
        <v>0</v>
      </c>
      <c r="N21">
        <v>0</v>
      </c>
      <c r="O21">
        <v>1</v>
      </c>
      <c r="P21">
        <v>1</v>
      </c>
      <c r="Q21">
        <v>1</v>
      </c>
      <c r="R21">
        <v>1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</v>
      </c>
      <c r="BW21">
        <v>1</v>
      </c>
      <c r="BX21">
        <v>1</v>
      </c>
      <c r="BY21">
        <v>0</v>
      </c>
      <c r="BZ21">
        <v>0</v>
      </c>
      <c r="CA21">
        <v>1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1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</row>
    <row r="22" spans="1:98" x14ac:dyDescent="0.25">
      <c r="A22" t="s">
        <v>134</v>
      </c>
      <c r="B22" t="s">
        <v>140</v>
      </c>
      <c r="C22" t="s">
        <v>177</v>
      </c>
      <c r="D22">
        <v>325101</v>
      </c>
      <c r="E22" t="s">
        <v>305</v>
      </c>
      <c r="F22" t="s">
        <v>306</v>
      </c>
      <c r="G22" t="s">
        <v>144</v>
      </c>
      <c r="H22" t="s">
        <v>145</v>
      </c>
      <c r="I22" t="s">
        <v>135</v>
      </c>
      <c r="J22" t="s">
        <v>189</v>
      </c>
      <c r="K22" s="11" t="s">
        <v>284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1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1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1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1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1</v>
      </c>
      <c r="CQ22">
        <v>0</v>
      </c>
      <c r="CR22">
        <v>0</v>
      </c>
      <c r="CS22">
        <v>0</v>
      </c>
      <c r="CT22">
        <v>0</v>
      </c>
    </row>
    <row r="23" spans="1:98" x14ac:dyDescent="0.25">
      <c r="A23" t="s">
        <v>134</v>
      </c>
      <c r="B23" t="s">
        <v>140</v>
      </c>
      <c r="C23" t="s">
        <v>177</v>
      </c>
      <c r="D23">
        <v>325102</v>
      </c>
      <c r="E23" t="s">
        <v>307</v>
      </c>
      <c r="F23" t="s">
        <v>308</v>
      </c>
      <c r="G23" t="s">
        <v>144</v>
      </c>
      <c r="H23" t="s">
        <v>145</v>
      </c>
      <c r="I23" t="s">
        <v>135</v>
      </c>
      <c r="J23" t="s">
        <v>186</v>
      </c>
      <c r="K23" s="11" t="s">
        <v>283</v>
      </c>
      <c r="L23">
        <v>0</v>
      </c>
      <c r="M23">
        <v>0</v>
      </c>
      <c r="N23">
        <v>1</v>
      </c>
      <c r="O23">
        <v>1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</row>
    <row r="24" spans="1:98" x14ac:dyDescent="0.25">
      <c r="A24" t="s">
        <v>134</v>
      </c>
      <c r="B24" t="s">
        <v>140</v>
      </c>
      <c r="C24" t="s">
        <v>177</v>
      </c>
      <c r="D24">
        <v>325106</v>
      </c>
      <c r="E24" t="s">
        <v>309</v>
      </c>
      <c r="F24" t="s">
        <v>264</v>
      </c>
      <c r="G24" t="s">
        <v>144</v>
      </c>
      <c r="H24" t="s">
        <v>145</v>
      </c>
      <c r="I24" t="s">
        <v>135</v>
      </c>
      <c r="J24" t="s">
        <v>238</v>
      </c>
      <c r="K24" s="11" t="s">
        <v>283</v>
      </c>
      <c r="L24">
        <v>1</v>
      </c>
      <c r="M24">
        <v>0</v>
      </c>
      <c r="N24">
        <v>0</v>
      </c>
      <c r="O24">
        <v>1</v>
      </c>
      <c r="P24">
        <v>1</v>
      </c>
      <c r="Q24">
        <v>1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1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1</v>
      </c>
      <c r="BV24">
        <v>1</v>
      </c>
      <c r="BW24">
        <v>0</v>
      </c>
      <c r="BX24">
        <v>0</v>
      </c>
      <c r="BY24">
        <v>0</v>
      </c>
      <c r="BZ24">
        <v>0</v>
      </c>
      <c r="CA24">
        <v>1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1</v>
      </c>
      <c r="CK24">
        <v>0</v>
      </c>
      <c r="CL24">
        <v>1</v>
      </c>
      <c r="CM24">
        <v>0</v>
      </c>
      <c r="CN24">
        <v>0</v>
      </c>
      <c r="CO24">
        <v>0</v>
      </c>
      <c r="CP24">
        <v>1</v>
      </c>
      <c r="CQ24">
        <v>0</v>
      </c>
      <c r="CR24">
        <v>0</v>
      </c>
      <c r="CS24">
        <v>0</v>
      </c>
      <c r="CT24">
        <v>0</v>
      </c>
    </row>
    <row r="25" spans="1:98" x14ac:dyDescent="0.25">
      <c r="A25" t="s">
        <v>134</v>
      </c>
      <c r="B25" t="s">
        <v>140</v>
      </c>
      <c r="C25" t="s">
        <v>241</v>
      </c>
      <c r="D25">
        <v>304313</v>
      </c>
      <c r="E25" t="s">
        <v>310</v>
      </c>
      <c r="F25" t="s">
        <v>311</v>
      </c>
      <c r="G25" t="s">
        <v>144</v>
      </c>
      <c r="H25" t="s">
        <v>145</v>
      </c>
      <c r="I25" t="s">
        <v>135</v>
      </c>
      <c r="J25" t="s">
        <v>250</v>
      </c>
      <c r="K25" s="11" t="s">
        <v>283</v>
      </c>
      <c r="L25">
        <v>0</v>
      </c>
      <c r="M25">
        <v>0</v>
      </c>
      <c r="N25">
        <v>0</v>
      </c>
      <c r="O25">
        <v>1</v>
      </c>
      <c r="P25">
        <v>1</v>
      </c>
      <c r="Q25">
        <v>1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</row>
    <row r="26" spans="1:98" x14ac:dyDescent="0.25">
      <c r="A26" t="s">
        <v>134</v>
      </c>
      <c r="B26" t="s">
        <v>140</v>
      </c>
      <c r="C26" t="s">
        <v>241</v>
      </c>
      <c r="D26">
        <v>304318</v>
      </c>
      <c r="E26" t="s">
        <v>312</v>
      </c>
      <c r="F26" t="s">
        <v>313</v>
      </c>
      <c r="G26" t="s">
        <v>144</v>
      </c>
      <c r="H26" t="s">
        <v>145</v>
      </c>
      <c r="I26" t="s">
        <v>135</v>
      </c>
      <c r="J26" t="s">
        <v>258</v>
      </c>
      <c r="K26" s="11" t="s">
        <v>283</v>
      </c>
      <c r="L26">
        <v>0</v>
      </c>
      <c r="M26">
        <v>0</v>
      </c>
      <c r="N26">
        <v>1</v>
      </c>
      <c r="O26">
        <v>1</v>
      </c>
      <c r="P26">
        <v>1</v>
      </c>
      <c r="Q26">
        <v>1</v>
      </c>
      <c r="R26">
        <v>0</v>
      </c>
      <c r="S26">
        <v>0</v>
      </c>
      <c r="T26">
        <v>0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1</v>
      </c>
      <c r="BU26">
        <v>1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</row>
    <row r="27" spans="1:98" x14ac:dyDescent="0.25">
      <c r="A27" t="s">
        <v>134</v>
      </c>
      <c r="B27" t="s">
        <v>140</v>
      </c>
      <c r="C27" t="s">
        <v>241</v>
      </c>
      <c r="D27">
        <v>325105</v>
      </c>
      <c r="E27" t="s">
        <v>314</v>
      </c>
      <c r="F27" t="s">
        <v>260</v>
      </c>
      <c r="G27" t="s">
        <v>144</v>
      </c>
      <c r="H27" t="s">
        <v>145</v>
      </c>
      <c r="I27" t="s">
        <v>135</v>
      </c>
      <c r="J27" t="s">
        <v>244</v>
      </c>
      <c r="K27" s="11" t="s">
        <v>283</v>
      </c>
      <c r="L27">
        <v>0</v>
      </c>
      <c r="M27">
        <v>0</v>
      </c>
      <c r="N27">
        <v>1</v>
      </c>
      <c r="O27">
        <v>0</v>
      </c>
      <c r="P27">
        <v>0</v>
      </c>
      <c r="Q27">
        <v>1</v>
      </c>
      <c r="R27">
        <v>0</v>
      </c>
      <c r="S27">
        <v>1</v>
      </c>
      <c r="T27">
        <v>0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</row>
    <row r="28" spans="1:98" x14ac:dyDescent="0.25">
      <c r="A28" t="s">
        <v>134</v>
      </c>
      <c r="B28" t="s">
        <v>140</v>
      </c>
      <c r="C28" t="s">
        <v>241</v>
      </c>
      <c r="D28">
        <v>501085</v>
      </c>
      <c r="E28" t="s">
        <v>272</v>
      </c>
      <c r="F28" t="s">
        <v>273</v>
      </c>
      <c r="G28" t="s">
        <v>144</v>
      </c>
      <c r="H28" t="s">
        <v>145</v>
      </c>
      <c r="I28" t="s">
        <v>135</v>
      </c>
      <c r="J28" t="s">
        <v>274</v>
      </c>
      <c r="K28" s="11" t="s">
        <v>139</v>
      </c>
      <c r="L28">
        <v>0</v>
      </c>
      <c r="M28">
        <v>0</v>
      </c>
      <c r="N28">
        <v>1</v>
      </c>
      <c r="O28">
        <v>1</v>
      </c>
      <c r="P28">
        <v>1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</row>
    <row r="29" spans="1:98" x14ac:dyDescent="0.25">
      <c r="A29" t="s">
        <v>134</v>
      </c>
      <c r="B29" t="s">
        <v>140</v>
      </c>
      <c r="C29" t="s">
        <v>241</v>
      </c>
      <c r="D29">
        <v>501086</v>
      </c>
      <c r="E29" t="s">
        <v>275</v>
      </c>
      <c r="F29" t="s">
        <v>276</v>
      </c>
      <c r="G29" t="s">
        <v>144</v>
      </c>
      <c r="H29" t="s">
        <v>145</v>
      </c>
      <c r="I29" t="s">
        <v>135</v>
      </c>
      <c r="J29" t="s">
        <v>277</v>
      </c>
      <c r="K29" s="11" t="s">
        <v>139</v>
      </c>
      <c r="L29">
        <v>0</v>
      </c>
      <c r="M29">
        <v>0</v>
      </c>
      <c r="N29">
        <v>1</v>
      </c>
      <c r="O29">
        <v>1</v>
      </c>
      <c r="P29">
        <v>0</v>
      </c>
      <c r="Q29">
        <v>1</v>
      </c>
      <c r="R29">
        <v>0</v>
      </c>
      <c r="S29">
        <v>0</v>
      </c>
      <c r="T29">
        <v>0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</row>
    <row r="30" spans="1:98" x14ac:dyDescent="0.25">
      <c r="A30" t="s">
        <v>134</v>
      </c>
      <c r="B30" t="s">
        <v>140</v>
      </c>
      <c r="C30" t="s">
        <v>241</v>
      </c>
      <c r="D30">
        <v>501087</v>
      </c>
      <c r="E30" t="s">
        <v>278</v>
      </c>
      <c r="F30" t="s">
        <v>279</v>
      </c>
      <c r="G30" t="s">
        <v>144</v>
      </c>
      <c r="H30" t="s">
        <v>145</v>
      </c>
      <c r="I30" t="s">
        <v>135</v>
      </c>
      <c r="J30" t="s">
        <v>247</v>
      </c>
      <c r="K30" s="11" t="s">
        <v>139</v>
      </c>
      <c r="L30">
        <v>0</v>
      </c>
      <c r="M30">
        <v>0</v>
      </c>
      <c r="N30">
        <v>1</v>
      </c>
      <c r="O30">
        <v>1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</row>
  </sheetData>
  <autoFilter ref="A8:CU30" xr:uid="{00000000-0009-0000-0000-000001000000}"/>
  <mergeCells count="3">
    <mergeCell ref="L5:AN5"/>
    <mergeCell ref="AO5:BQ5"/>
    <mergeCell ref="BR5:CT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23B06-D698-40F7-BB2F-836345397AEE}">
  <dimension ref="A1:CV22"/>
  <sheetViews>
    <sheetView tabSelected="1" zoomScale="85" zoomScaleNormal="85" workbookViewId="0">
      <pane xSplit="4" ySplit="6" topLeftCell="E9" activePane="bottomRight" state="frozen"/>
      <selection activeCell="B7" sqref="A7:XFD25"/>
      <selection pane="topRight" activeCell="B7" sqref="A7:XFD25"/>
      <selection pane="bottomLeft" activeCell="B7" sqref="A7:XFD25"/>
      <selection pane="bottomRight" activeCell="D31" sqref="D31"/>
    </sheetView>
  </sheetViews>
  <sheetFormatPr defaultRowHeight="15" x14ac:dyDescent="0.25"/>
  <cols>
    <col min="2" max="2" width="25.5703125" bestFit="1" customWidth="1"/>
  </cols>
  <sheetData>
    <row r="1" spans="1:100" x14ac:dyDescent="0.25">
      <c r="A1" s="1" t="s">
        <v>315</v>
      </c>
    </row>
    <row r="2" spans="1:100" x14ac:dyDescent="0.25">
      <c r="A2" s="1" t="s">
        <v>1</v>
      </c>
      <c r="L2" s="2"/>
    </row>
    <row r="3" spans="1:100" ht="14.45" customHeight="1" x14ac:dyDescent="0.25">
      <c r="A3" s="1" t="s">
        <v>2</v>
      </c>
      <c r="L3" s="2"/>
      <c r="M3" s="13" t="s">
        <v>316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 t="s">
        <v>4</v>
      </c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 t="s">
        <v>317</v>
      </c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</row>
    <row r="4" spans="1:100" ht="90" x14ac:dyDescent="0.25">
      <c r="M4" s="5" t="s">
        <v>6</v>
      </c>
      <c r="N4" s="5" t="s">
        <v>34</v>
      </c>
      <c r="O4" s="5" t="s">
        <v>7</v>
      </c>
      <c r="P4" s="5" t="s">
        <v>8</v>
      </c>
      <c r="Q4" s="5" t="s">
        <v>9</v>
      </c>
      <c r="R4" s="5" t="s">
        <v>10</v>
      </c>
      <c r="S4" s="5" t="s">
        <v>11</v>
      </c>
      <c r="T4" s="5" t="s">
        <v>12</v>
      </c>
      <c r="U4" s="5" t="s">
        <v>13</v>
      </c>
      <c r="V4" s="5" t="s">
        <v>14</v>
      </c>
      <c r="W4" s="5" t="s">
        <v>15</v>
      </c>
      <c r="X4" s="5" t="s">
        <v>16</v>
      </c>
      <c r="Y4" s="5" t="s">
        <v>17</v>
      </c>
      <c r="Z4" s="5" t="s">
        <v>18</v>
      </c>
      <c r="AA4" s="5" t="s">
        <v>19</v>
      </c>
      <c r="AB4" s="5" t="s">
        <v>20</v>
      </c>
      <c r="AC4" s="5" t="s">
        <v>21</v>
      </c>
      <c r="AD4" s="5" t="s">
        <v>22</v>
      </c>
      <c r="AE4" s="5" t="s">
        <v>23</v>
      </c>
      <c r="AF4" s="5" t="s">
        <v>24</v>
      </c>
      <c r="AG4" s="5" t="s">
        <v>25</v>
      </c>
      <c r="AH4" s="5" t="s">
        <v>26</v>
      </c>
      <c r="AI4" s="5" t="s">
        <v>27</v>
      </c>
      <c r="AJ4" s="5" t="s">
        <v>28</v>
      </c>
      <c r="AK4" s="5" t="s">
        <v>29</v>
      </c>
      <c r="AL4" s="5" t="s">
        <v>30</v>
      </c>
      <c r="AM4" s="5" t="s">
        <v>31</v>
      </c>
      <c r="AN4" s="5" t="s">
        <v>32</v>
      </c>
      <c r="AO4" s="5" t="s">
        <v>33</v>
      </c>
      <c r="AP4" s="5" t="s">
        <v>6</v>
      </c>
      <c r="AQ4" s="5" t="s">
        <v>34</v>
      </c>
      <c r="AR4" s="5" t="s">
        <v>7</v>
      </c>
      <c r="AS4" s="5" t="s">
        <v>8</v>
      </c>
      <c r="AT4" s="5" t="s">
        <v>9</v>
      </c>
      <c r="AU4" s="5" t="s">
        <v>10</v>
      </c>
      <c r="AV4" s="5" t="s">
        <v>11</v>
      </c>
      <c r="AW4" s="5" t="s">
        <v>12</v>
      </c>
      <c r="AX4" s="5" t="s">
        <v>13</v>
      </c>
      <c r="AY4" s="5" t="s">
        <v>14</v>
      </c>
      <c r="AZ4" s="5" t="s">
        <v>15</v>
      </c>
      <c r="BA4" s="5" t="s">
        <v>16</v>
      </c>
      <c r="BB4" s="5" t="s">
        <v>17</v>
      </c>
      <c r="BC4" s="5" t="s">
        <v>18</v>
      </c>
      <c r="BD4" s="5" t="s">
        <v>19</v>
      </c>
      <c r="BE4" s="5" t="s">
        <v>20</v>
      </c>
      <c r="BF4" s="5" t="s">
        <v>21</v>
      </c>
      <c r="BG4" s="5" t="s">
        <v>22</v>
      </c>
      <c r="BH4" s="5" t="s">
        <v>23</v>
      </c>
      <c r="BI4" s="5" t="s">
        <v>24</v>
      </c>
      <c r="BJ4" s="5" t="s">
        <v>25</v>
      </c>
      <c r="BK4" s="5" t="s">
        <v>26</v>
      </c>
      <c r="BL4" s="5" t="s">
        <v>27</v>
      </c>
      <c r="BM4" s="5" t="s">
        <v>28</v>
      </c>
      <c r="BN4" s="5" t="s">
        <v>29</v>
      </c>
      <c r="BO4" s="5" t="s">
        <v>30</v>
      </c>
      <c r="BP4" s="5" t="s">
        <v>31</v>
      </c>
      <c r="BQ4" s="5" t="s">
        <v>32</v>
      </c>
      <c r="BR4" s="5" t="s">
        <v>33</v>
      </c>
      <c r="BS4" s="5" t="s">
        <v>6</v>
      </c>
      <c r="BT4" s="5" t="s">
        <v>34</v>
      </c>
      <c r="BU4" s="5" t="s">
        <v>7</v>
      </c>
      <c r="BV4" s="5" t="s">
        <v>8</v>
      </c>
      <c r="BW4" s="5" t="s">
        <v>9</v>
      </c>
      <c r="BX4" s="5" t="s">
        <v>10</v>
      </c>
      <c r="BY4" s="5" t="s">
        <v>11</v>
      </c>
      <c r="BZ4" s="5" t="s">
        <v>12</v>
      </c>
      <c r="CA4" s="5" t="s">
        <v>13</v>
      </c>
      <c r="CB4" s="5" t="s">
        <v>14</v>
      </c>
      <c r="CC4" s="5" t="s">
        <v>15</v>
      </c>
      <c r="CD4" s="5" t="s">
        <v>16</v>
      </c>
      <c r="CE4" s="5" t="s">
        <v>17</v>
      </c>
      <c r="CF4" s="5" t="s">
        <v>18</v>
      </c>
      <c r="CG4" s="5" t="s">
        <v>19</v>
      </c>
      <c r="CH4" s="5" t="s">
        <v>20</v>
      </c>
      <c r="CI4" s="5" t="s">
        <v>21</v>
      </c>
      <c r="CJ4" s="5" t="s">
        <v>22</v>
      </c>
      <c r="CK4" s="5" t="s">
        <v>23</v>
      </c>
      <c r="CL4" s="5" t="s">
        <v>24</v>
      </c>
      <c r="CM4" s="5" t="s">
        <v>25</v>
      </c>
      <c r="CN4" s="5" t="s">
        <v>26</v>
      </c>
      <c r="CO4" s="5" t="s">
        <v>27</v>
      </c>
      <c r="CP4" s="5" t="s">
        <v>28</v>
      </c>
      <c r="CQ4" s="5" t="s">
        <v>29</v>
      </c>
      <c r="CR4" s="5" t="s">
        <v>30</v>
      </c>
      <c r="CS4" s="5" t="s">
        <v>31</v>
      </c>
      <c r="CT4" s="5" t="s">
        <v>32</v>
      </c>
      <c r="CU4" s="5" t="s">
        <v>33</v>
      </c>
    </row>
    <row r="5" spans="1:100" x14ac:dyDescent="0.25">
      <c r="M5" s="7">
        <f>SUM(M7:M22)</f>
        <v>2</v>
      </c>
      <c r="N5" s="7">
        <f>SUM(N7:N22)</f>
        <v>1</v>
      </c>
      <c r="O5" s="7">
        <f>SUM(O7:O22)</f>
        <v>7</v>
      </c>
      <c r="P5" s="7">
        <f>SUM(P7:P22)</f>
        <v>10</v>
      </c>
      <c r="Q5" s="7">
        <f>SUM(Q7:Q22)</f>
        <v>8</v>
      </c>
      <c r="R5" s="7">
        <f>SUM(R7:R22)</f>
        <v>13</v>
      </c>
      <c r="S5" s="7">
        <f>SUM(S7:S22)</f>
        <v>3</v>
      </c>
      <c r="T5" s="7">
        <f>SUM(T7:T22)</f>
        <v>6</v>
      </c>
      <c r="U5" s="7">
        <f>SUM(U7:U22)</f>
        <v>2</v>
      </c>
      <c r="V5" s="7">
        <f>SUM(V7:V22)</f>
        <v>9</v>
      </c>
      <c r="W5" s="7">
        <f>SUM(W7:W22)</f>
        <v>2</v>
      </c>
      <c r="X5" s="7">
        <f>SUM(X7:X22)</f>
        <v>2</v>
      </c>
      <c r="Y5" s="7">
        <f>SUM(Y7:Y22)</f>
        <v>2</v>
      </c>
      <c r="Z5" s="7">
        <f>SUM(Z7:Z22)</f>
        <v>0</v>
      </c>
      <c r="AA5" s="7">
        <f>SUM(AA7:AA22)</f>
        <v>0</v>
      </c>
      <c r="AB5" s="7">
        <f>SUM(AB7:AB22)</f>
        <v>0</v>
      </c>
      <c r="AC5" s="7">
        <f>SUM(AC7:AC22)</f>
        <v>0</v>
      </c>
      <c r="AD5" s="7">
        <f>SUM(AD7:AD22)</f>
        <v>0</v>
      </c>
      <c r="AE5" s="7">
        <f>SUM(AE7:AE22)</f>
        <v>7</v>
      </c>
      <c r="AF5" s="7">
        <f>SUM(AF7:AF22)</f>
        <v>2</v>
      </c>
      <c r="AG5" s="7">
        <f>SUM(AG7:AG22)</f>
        <v>4</v>
      </c>
      <c r="AH5" s="7">
        <f>SUM(AH7:AH22)</f>
        <v>5</v>
      </c>
      <c r="AI5" s="7">
        <f>SUM(AI7:AI22)</f>
        <v>0</v>
      </c>
      <c r="AJ5" s="7">
        <f>SUM(AJ7:AJ22)</f>
        <v>1</v>
      </c>
      <c r="AK5" s="7">
        <f>SUM(AK7:AK22)</f>
        <v>12</v>
      </c>
      <c r="AL5" s="7">
        <f>SUM(AL7:AL22)</f>
        <v>0</v>
      </c>
      <c r="AM5" s="7">
        <f>SUM(AM7:AM22)</f>
        <v>1</v>
      </c>
      <c r="AN5" s="7">
        <f>SUM(AN7:AN22)</f>
        <v>0</v>
      </c>
      <c r="AO5" s="7">
        <f>SUM(AO7:AO22)</f>
        <v>0</v>
      </c>
      <c r="AP5" s="7">
        <f>SUM(AP7:AP22)</f>
        <v>0</v>
      </c>
      <c r="AQ5" s="7">
        <f>SUM(AQ7:AQ22)</f>
        <v>0</v>
      </c>
      <c r="AR5" s="7">
        <f>SUM(AR7:AR22)</f>
        <v>0</v>
      </c>
      <c r="AS5" s="7">
        <f>SUM(AS7:AS22)</f>
        <v>0</v>
      </c>
      <c r="AT5" s="7">
        <f>SUM(AT7:AT22)</f>
        <v>0</v>
      </c>
      <c r="AU5" s="7">
        <f>SUM(AU7:AU22)</f>
        <v>1</v>
      </c>
      <c r="AV5" s="7">
        <f>SUM(AV7:AV22)</f>
        <v>0</v>
      </c>
      <c r="AW5" s="7">
        <f>SUM(AW7:AW22)</f>
        <v>0</v>
      </c>
      <c r="AX5" s="7">
        <f>SUM(AX7:AX22)</f>
        <v>0</v>
      </c>
      <c r="AY5" s="7">
        <f>SUM(AY7:AY22)</f>
        <v>1</v>
      </c>
      <c r="AZ5" s="7">
        <f>SUM(AZ7:AZ22)</f>
        <v>0</v>
      </c>
      <c r="BA5" s="7">
        <f>SUM(BA7:BA22)</f>
        <v>0</v>
      </c>
      <c r="BB5" s="7">
        <f>SUM(BB7:BB22)</f>
        <v>0</v>
      </c>
      <c r="BC5" s="7">
        <f>SUM(BC7:BC22)</f>
        <v>0</v>
      </c>
      <c r="BD5" s="7">
        <f>SUM(BD7:BD22)</f>
        <v>0</v>
      </c>
      <c r="BE5" s="7">
        <f>SUM(BE7:BE22)</f>
        <v>0</v>
      </c>
      <c r="BF5" s="7">
        <f>SUM(BF7:BF22)</f>
        <v>0</v>
      </c>
      <c r="BG5" s="7">
        <f>SUM(BG7:BG22)</f>
        <v>0</v>
      </c>
      <c r="BH5" s="7">
        <f>SUM(BH7:BH22)</f>
        <v>0</v>
      </c>
      <c r="BI5" s="7">
        <f>SUM(BI7:BI22)</f>
        <v>0</v>
      </c>
      <c r="BJ5" s="7">
        <f>SUM(BJ7:BJ22)</f>
        <v>0</v>
      </c>
      <c r="BK5" s="7">
        <f>SUM(BK7:BK22)</f>
        <v>1</v>
      </c>
      <c r="BL5" s="7">
        <f>SUM(BL7:BL22)</f>
        <v>0</v>
      </c>
      <c r="BM5" s="7">
        <f>SUM(BM7:BM22)</f>
        <v>0</v>
      </c>
      <c r="BN5" s="7">
        <f>SUM(BN7:BN22)</f>
        <v>2</v>
      </c>
      <c r="BO5" s="7">
        <f>SUM(BO7:BO22)</f>
        <v>0</v>
      </c>
      <c r="BP5" s="7">
        <f>SUM(BP7:BP22)</f>
        <v>0</v>
      </c>
      <c r="BQ5" s="7">
        <f>SUM(BQ7:BQ22)</f>
        <v>0</v>
      </c>
      <c r="BR5" s="7">
        <f>SUM(BR7:BR22)</f>
        <v>0</v>
      </c>
      <c r="BS5" s="7">
        <f>SUM(BS7:BS22)</f>
        <v>0</v>
      </c>
      <c r="BT5" s="7">
        <f>SUM(BT7:BT22)</f>
        <v>0</v>
      </c>
      <c r="BU5" s="7">
        <f>SUM(BU7:BU22)</f>
        <v>1</v>
      </c>
      <c r="BV5" s="7">
        <f>SUM(BV7:BV22)</f>
        <v>1</v>
      </c>
      <c r="BW5" s="7">
        <f>SUM(BW7:BW22)</f>
        <v>2</v>
      </c>
      <c r="BX5" s="7">
        <f>SUM(BX7:BX22)</f>
        <v>3</v>
      </c>
      <c r="BY5" s="7">
        <f>SUM(BY7:BY22)</f>
        <v>1</v>
      </c>
      <c r="BZ5" s="7">
        <f>SUM(BZ7:BZ22)</f>
        <v>0</v>
      </c>
      <c r="CA5" s="7">
        <f>SUM(CA7:CA22)</f>
        <v>0</v>
      </c>
      <c r="CB5" s="7">
        <f>SUM(CB7:CB22)</f>
        <v>3</v>
      </c>
      <c r="CC5" s="7">
        <f>SUM(CC7:CC22)</f>
        <v>0</v>
      </c>
      <c r="CD5" s="7">
        <f>SUM(CD7:CD22)</f>
        <v>0</v>
      </c>
      <c r="CE5" s="7">
        <f>SUM(CE7:CE22)</f>
        <v>0</v>
      </c>
      <c r="CF5" s="7">
        <f>SUM(CF7:CF22)</f>
        <v>0</v>
      </c>
      <c r="CG5" s="7">
        <f>SUM(CG7:CG22)</f>
        <v>0</v>
      </c>
      <c r="CH5" s="7">
        <f>SUM(CH7:CH22)</f>
        <v>0</v>
      </c>
      <c r="CI5" s="7">
        <f>SUM(CI7:CI22)</f>
        <v>0</v>
      </c>
      <c r="CJ5" s="7">
        <f>SUM(CJ7:CJ22)</f>
        <v>0</v>
      </c>
      <c r="CK5" s="7">
        <f>SUM(CK7:CK22)</f>
        <v>1</v>
      </c>
      <c r="CL5" s="7">
        <f>SUM(CL7:CL22)</f>
        <v>1</v>
      </c>
      <c r="CM5" s="7">
        <f>SUM(CM7:CM22)</f>
        <v>1</v>
      </c>
      <c r="CN5" s="7">
        <f>SUM(CN7:CN22)</f>
        <v>1</v>
      </c>
      <c r="CO5" s="7">
        <f>SUM(CO7:CO22)</f>
        <v>0</v>
      </c>
      <c r="CP5" s="7">
        <f>SUM(CP7:CP22)</f>
        <v>0</v>
      </c>
      <c r="CQ5" s="7">
        <f>SUM(CQ7:CQ22)</f>
        <v>4</v>
      </c>
      <c r="CR5" s="7">
        <f>SUM(CR7:CR22)</f>
        <v>0</v>
      </c>
      <c r="CS5" s="7">
        <f>SUM(CS7:CS22)</f>
        <v>0</v>
      </c>
      <c r="CT5" s="7">
        <f>SUM(CT7:CT22)</f>
        <v>0</v>
      </c>
      <c r="CU5" s="7">
        <f>SUM(CU7:CU22)</f>
        <v>0</v>
      </c>
    </row>
    <row r="6" spans="1:100" x14ac:dyDescent="0.25">
      <c r="A6" s="8" t="s">
        <v>35</v>
      </c>
      <c r="B6" s="8" t="s">
        <v>36</v>
      </c>
      <c r="C6" s="8" t="s">
        <v>37</v>
      </c>
      <c r="D6" s="8" t="s">
        <v>38</v>
      </c>
      <c r="E6" s="8" t="s">
        <v>39</v>
      </c>
      <c r="F6" s="8" t="s">
        <v>40</v>
      </c>
      <c r="G6" s="8" t="s">
        <v>41</v>
      </c>
      <c r="H6" s="8" t="s">
        <v>42</v>
      </c>
      <c r="I6" s="8" t="s">
        <v>43</v>
      </c>
      <c r="J6" s="8" t="s">
        <v>44</v>
      </c>
      <c r="K6" s="8" t="s">
        <v>45</v>
      </c>
      <c r="L6" s="9" t="s">
        <v>46</v>
      </c>
      <c r="M6" s="10" t="s">
        <v>47</v>
      </c>
      <c r="N6" s="10" t="s">
        <v>48</v>
      </c>
      <c r="O6" s="10" t="s">
        <v>49</v>
      </c>
      <c r="P6" s="10" t="s">
        <v>50</v>
      </c>
      <c r="Q6" s="10" t="s">
        <v>51</v>
      </c>
      <c r="R6" s="10" t="s">
        <v>52</v>
      </c>
      <c r="S6" s="10" t="s">
        <v>53</v>
      </c>
      <c r="T6" s="10" t="s">
        <v>54</v>
      </c>
      <c r="U6" s="10" t="s">
        <v>55</v>
      </c>
      <c r="V6" s="10" t="s">
        <v>56</v>
      </c>
      <c r="W6" s="10" t="s">
        <v>57</v>
      </c>
      <c r="X6" s="10" t="s">
        <v>58</v>
      </c>
      <c r="Y6" s="10" t="s">
        <v>59</v>
      </c>
      <c r="Z6" s="10" t="s">
        <v>60</v>
      </c>
      <c r="AA6" s="10" t="s">
        <v>61</v>
      </c>
      <c r="AB6" s="10" t="s">
        <v>62</v>
      </c>
      <c r="AC6" s="10" t="s">
        <v>63</v>
      </c>
      <c r="AD6" s="10" t="s">
        <v>64</v>
      </c>
      <c r="AE6" s="10" t="s">
        <v>65</v>
      </c>
      <c r="AF6" s="10" t="s">
        <v>66</v>
      </c>
      <c r="AG6" s="10" t="s">
        <v>67</v>
      </c>
      <c r="AH6" s="10" t="s">
        <v>68</v>
      </c>
      <c r="AI6" s="10" t="s">
        <v>69</v>
      </c>
      <c r="AJ6" s="10" t="s">
        <v>70</v>
      </c>
      <c r="AK6" s="10" t="s">
        <v>71</v>
      </c>
      <c r="AL6" s="10" t="s">
        <v>72</v>
      </c>
      <c r="AM6" s="10" t="s">
        <v>73</v>
      </c>
      <c r="AN6" s="10" t="s">
        <v>74</v>
      </c>
      <c r="AO6" s="10" t="s">
        <v>75</v>
      </c>
      <c r="AP6" s="10" t="s">
        <v>76</v>
      </c>
      <c r="AQ6" s="10" t="s">
        <v>77</v>
      </c>
      <c r="AR6" s="10" t="s">
        <v>78</v>
      </c>
      <c r="AS6" s="10" t="s">
        <v>79</v>
      </c>
      <c r="AT6" s="10" t="s">
        <v>80</v>
      </c>
      <c r="AU6" s="10" t="s">
        <v>81</v>
      </c>
      <c r="AV6" s="10" t="s">
        <v>82</v>
      </c>
      <c r="AW6" s="10" t="s">
        <v>83</v>
      </c>
      <c r="AX6" s="10" t="s">
        <v>84</v>
      </c>
      <c r="AY6" s="10" t="s">
        <v>85</v>
      </c>
      <c r="AZ6" s="10" t="s">
        <v>86</v>
      </c>
      <c r="BA6" s="10" t="s">
        <v>87</v>
      </c>
      <c r="BB6" s="10" t="s">
        <v>88</v>
      </c>
      <c r="BC6" s="10" t="s">
        <v>89</v>
      </c>
      <c r="BD6" s="10" t="s">
        <v>90</v>
      </c>
      <c r="BE6" s="10" t="s">
        <v>91</v>
      </c>
      <c r="BF6" s="10" t="s">
        <v>92</v>
      </c>
      <c r="BG6" s="10" t="s">
        <v>93</v>
      </c>
      <c r="BH6" s="10" t="s">
        <v>94</v>
      </c>
      <c r="BI6" s="10" t="s">
        <v>95</v>
      </c>
      <c r="BJ6" s="10" t="s">
        <v>96</v>
      </c>
      <c r="BK6" s="10" t="s">
        <v>97</v>
      </c>
      <c r="BL6" s="10" t="s">
        <v>98</v>
      </c>
      <c r="BM6" s="10" t="s">
        <v>99</v>
      </c>
      <c r="BN6" s="10" t="s">
        <v>100</v>
      </c>
      <c r="BO6" s="10" t="s">
        <v>101</v>
      </c>
      <c r="BP6" s="10" t="s">
        <v>102</v>
      </c>
      <c r="BQ6" s="10" t="s">
        <v>103</v>
      </c>
      <c r="BR6" s="10" t="s">
        <v>104</v>
      </c>
      <c r="BS6" s="10" t="s">
        <v>105</v>
      </c>
      <c r="BT6" s="10" t="s">
        <v>106</v>
      </c>
      <c r="BU6" s="10" t="s">
        <v>107</v>
      </c>
      <c r="BV6" s="10" t="s">
        <v>108</v>
      </c>
      <c r="BW6" s="10" t="s">
        <v>109</v>
      </c>
      <c r="BX6" s="10" t="s">
        <v>110</v>
      </c>
      <c r="BY6" s="10" t="s">
        <v>111</v>
      </c>
      <c r="BZ6" s="10" t="s">
        <v>112</v>
      </c>
      <c r="CA6" s="10" t="s">
        <v>113</v>
      </c>
      <c r="CB6" s="10" t="s">
        <v>114</v>
      </c>
      <c r="CC6" s="10" t="s">
        <v>115</v>
      </c>
      <c r="CD6" s="10" t="s">
        <v>116</v>
      </c>
      <c r="CE6" s="10" t="s">
        <v>117</v>
      </c>
      <c r="CF6" s="10" t="s">
        <v>118</v>
      </c>
      <c r="CG6" s="10" t="s">
        <v>119</v>
      </c>
      <c r="CH6" s="10" t="s">
        <v>120</v>
      </c>
      <c r="CI6" s="10" t="s">
        <v>121</v>
      </c>
      <c r="CJ6" s="10" t="s">
        <v>122</v>
      </c>
      <c r="CK6" s="10" t="s">
        <v>123</v>
      </c>
      <c r="CL6" s="10" t="s">
        <v>124</v>
      </c>
      <c r="CM6" s="10" t="s">
        <v>125</v>
      </c>
      <c r="CN6" s="10" t="s">
        <v>126</v>
      </c>
      <c r="CO6" s="10" t="s">
        <v>127</v>
      </c>
      <c r="CP6" s="10" t="s">
        <v>128</v>
      </c>
      <c r="CQ6" s="10" t="s">
        <v>129</v>
      </c>
      <c r="CR6" s="10" t="s">
        <v>130</v>
      </c>
      <c r="CS6" s="10" t="s">
        <v>131</v>
      </c>
      <c r="CT6" s="10" t="s">
        <v>132</v>
      </c>
      <c r="CU6" s="10" t="s">
        <v>133</v>
      </c>
      <c r="CV6" s="10" t="s">
        <v>282</v>
      </c>
    </row>
    <row r="7" spans="1:100" x14ac:dyDescent="0.25">
      <c r="A7" t="s">
        <v>134</v>
      </c>
      <c r="B7" t="s">
        <v>140</v>
      </c>
      <c r="C7" t="s">
        <v>141</v>
      </c>
      <c r="D7">
        <v>304325</v>
      </c>
      <c r="E7" t="s">
        <v>285</v>
      </c>
      <c r="F7" t="s">
        <v>286</v>
      </c>
      <c r="G7" t="s">
        <v>144</v>
      </c>
      <c r="H7" t="s">
        <v>145</v>
      </c>
      <c r="I7" t="s">
        <v>135</v>
      </c>
      <c r="J7" t="s">
        <v>154</v>
      </c>
      <c r="K7" t="s">
        <v>318</v>
      </c>
      <c r="L7" s="11" t="s">
        <v>283</v>
      </c>
      <c r="M7">
        <v>0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1</v>
      </c>
      <c r="AG7">
        <v>0</v>
      </c>
      <c r="AH7">
        <v>1</v>
      </c>
      <c r="AI7">
        <v>0</v>
      </c>
      <c r="AJ7">
        <v>1</v>
      </c>
      <c r="AK7">
        <v>1</v>
      </c>
      <c r="AL7">
        <v>0</v>
      </c>
      <c r="AM7">
        <v>1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</row>
    <row r="8" spans="1:100" x14ac:dyDescent="0.25">
      <c r="A8" t="s">
        <v>134</v>
      </c>
      <c r="B8" t="s">
        <v>140</v>
      </c>
      <c r="C8" t="s">
        <v>141</v>
      </c>
      <c r="D8">
        <v>304326</v>
      </c>
      <c r="E8" t="s">
        <v>287</v>
      </c>
      <c r="F8" t="s">
        <v>288</v>
      </c>
      <c r="G8" t="s">
        <v>144</v>
      </c>
      <c r="H8" t="s">
        <v>145</v>
      </c>
      <c r="I8" t="s">
        <v>135</v>
      </c>
      <c r="J8" t="s">
        <v>154</v>
      </c>
      <c r="K8" t="s">
        <v>318</v>
      </c>
      <c r="L8" s="11" t="s">
        <v>283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0</v>
      </c>
      <c r="AX8">
        <v>0</v>
      </c>
      <c r="AY8">
        <v>1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</v>
      </c>
      <c r="BL8">
        <v>0</v>
      </c>
      <c r="BM8">
        <v>0</v>
      </c>
      <c r="BN8">
        <v>1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1</v>
      </c>
      <c r="BY8">
        <v>0</v>
      </c>
      <c r="BZ8">
        <v>0</v>
      </c>
      <c r="CA8">
        <v>0</v>
      </c>
      <c r="CB8">
        <v>1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1</v>
      </c>
      <c r="CO8">
        <v>0</v>
      </c>
      <c r="CP8">
        <v>0</v>
      </c>
      <c r="CQ8">
        <v>1</v>
      </c>
      <c r="CR8">
        <v>0</v>
      </c>
      <c r="CS8">
        <v>0</v>
      </c>
      <c r="CT8">
        <v>0</v>
      </c>
      <c r="CU8">
        <v>0</v>
      </c>
    </row>
    <row r="9" spans="1:100" x14ac:dyDescent="0.25">
      <c r="A9" t="s">
        <v>134</v>
      </c>
      <c r="B9" t="s">
        <v>140</v>
      </c>
      <c r="C9" t="s">
        <v>141</v>
      </c>
      <c r="D9">
        <v>325104</v>
      </c>
      <c r="E9" t="s">
        <v>291</v>
      </c>
      <c r="F9" t="s">
        <v>292</v>
      </c>
      <c r="G9" t="s">
        <v>144</v>
      </c>
      <c r="H9" t="s">
        <v>145</v>
      </c>
      <c r="I9" t="s">
        <v>135</v>
      </c>
      <c r="J9" t="s">
        <v>146</v>
      </c>
      <c r="K9" t="s">
        <v>318</v>
      </c>
      <c r="L9" s="11" t="s">
        <v>283</v>
      </c>
      <c r="M9">
        <v>0</v>
      </c>
      <c r="N9">
        <v>0</v>
      </c>
      <c r="O9">
        <v>0</v>
      </c>
      <c r="P9">
        <v>1</v>
      </c>
      <c r="Q9">
        <v>1</v>
      </c>
      <c r="R9">
        <v>1</v>
      </c>
      <c r="S9">
        <v>0</v>
      </c>
      <c r="T9">
        <v>1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1</v>
      </c>
      <c r="AH9">
        <v>1</v>
      </c>
      <c r="AI9">
        <v>0</v>
      </c>
      <c r="AJ9">
        <v>0</v>
      </c>
      <c r="AK9">
        <v>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1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1</v>
      </c>
      <c r="CL9">
        <v>0</v>
      </c>
      <c r="CM9">
        <v>0</v>
      </c>
      <c r="CN9">
        <v>0</v>
      </c>
      <c r="CO9">
        <v>0</v>
      </c>
      <c r="CP9">
        <v>0</v>
      </c>
      <c r="CQ9">
        <v>1</v>
      </c>
      <c r="CR9">
        <v>0</v>
      </c>
      <c r="CS9">
        <v>0</v>
      </c>
      <c r="CT9">
        <v>0</v>
      </c>
      <c r="CU9">
        <v>0</v>
      </c>
    </row>
    <row r="10" spans="1:100" x14ac:dyDescent="0.25">
      <c r="A10" t="s">
        <v>134</v>
      </c>
      <c r="B10" t="s">
        <v>140</v>
      </c>
      <c r="C10" t="s">
        <v>141</v>
      </c>
      <c r="D10">
        <v>500454</v>
      </c>
      <c r="E10" t="s">
        <v>170</v>
      </c>
      <c r="F10" t="s">
        <v>171</v>
      </c>
      <c r="G10" t="s">
        <v>144</v>
      </c>
      <c r="H10" t="s">
        <v>145</v>
      </c>
      <c r="I10" t="s">
        <v>135</v>
      </c>
      <c r="J10" t="s">
        <v>154</v>
      </c>
      <c r="K10" t="s">
        <v>172</v>
      </c>
      <c r="L10" s="11" t="s">
        <v>173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1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1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1</v>
      </c>
      <c r="CR10">
        <v>0</v>
      </c>
      <c r="CS10">
        <v>0</v>
      </c>
      <c r="CT10">
        <v>0</v>
      </c>
      <c r="CU10">
        <v>0</v>
      </c>
    </row>
    <row r="11" spans="1:100" x14ac:dyDescent="0.25">
      <c r="A11" t="s">
        <v>134</v>
      </c>
      <c r="B11" t="s">
        <v>140</v>
      </c>
      <c r="C11" t="s">
        <v>177</v>
      </c>
      <c r="D11">
        <v>304303</v>
      </c>
      <c r="E11" t="s">
        <v>293</v>
      </c>
      <c r="F11" t="s">
        <v>294</v>
      </c>
      <c r="G11" t="s">
        <v>144</v>
      </c>
      <c r="H11" t="s">
        <v>145</v>
      </c>
      <c r="I11" t="s">
        <v>135</v>
      </c>
      <c r="J11" t="s">
        <v>183</v>
      </c>
      <c r="K11" t="s">
        <v>318</v>
      </c>
      <c r="L11" s="11" t="s">
        <v>283</v>
      </c>
      <c r="M11">
        <v>0</v>
      </c>
      <c r="N11">
        <v>0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</row>
    <row r="12" spans="1:100" x14ac:dyDescent="0.25">
      <c r="A12" t="s">
        <v>134</v>
      </c>
      <c r="B12" t="s">
        <v>140</v>
      </c>
      <c r="C12" t="s">
        <v>177</v>
      </c>
      <c r="D12">
        <v>304305</v>
      </c>
      <c r="E12" t="s">
        <v>295</v>
      </c>
      <c r="F12" t="s">
        <v>296</v>
      </c>
      <c r="G12" t="s">
        <v>144</v>
      </c>
      <c r="H12" t="s">
        <v>145</v>
      </c>
      <c r="I12" t="s">
        <v>135</v>
      </c>
      <c r="J12" t="s">
        <v>194</v>
      </c>
      <c r="K12" t="s">
        <v>318</v>
      </c>
      <c r="L12" s="11" t="s">
        <v>283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</row>
    <row r="13" spans="1:100" x14ac:dyDescent="0.25">
      <c r="A13" t="s">
        <v>134</v>
      </c>
      <c r="B13" t="s">
        <v>140</v>
      </c>
      <c r="C13" t="s">
        <v>177</v>
      </c>
      <c r="D13">
        <v>304314</v>
      </c>
      <c r="E13" t="s">
        <v>297</v>
      </c>
      <c r="F13" t="s">
        <v>214</v>
      </c>
      <c r="G13" t="s">
        <v>144</v>
      </c>
      <c r="H13" t="s">
        <v>145</v>
      </c>
      <c r="I13" t="s">
        <v>135</v>
      </c>
      <c r="J13" t="s">
        <v>215</v>
      </c>
      <c r="K13" t="s">
        <v>318</v>
      </c>
      <c r="L13" s="11" t="s">
        <v>283</v>
      </c>
      <c r="M13">
        <v>0</v>
      </c>
      <c r="N13">
        <v>0</v>
      </c>
      <c r="O13">
        <v>0</v>
      </c>
      <c r="P13">
        <v>1</v>
      </c>
      <c r="Q13">
        <v>1</v>
      </c>
      <c r="R13">
        <v>1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</row>
    <row r="14" spans="1:100" x14ac:dyDescent="0.25">
      <c r="A14" t="s">
        <v>134</v>
      </c>
      <c r="B14" t="s">
        <v>140</v>
      </c>
      <c r="C14" t="s">
        <v>177</v>
      </c>
      <c r="D14">
        <v>304327</v>
      </c>
      <c r="E14" t="s">
        <v>298</v>
      </c>
      <c r="F14" t="s">
        <v>299</v>
      </c>
      <c r="G14" t="s">
        <v>144</v>
      </c>
      <c r="H14" t="s">
        <v>145</v>
      </c>
      <c r="I14" t="s">
        <v>135</v>
      </c>
      <c r="J14" t="s">
        <v>212</v>
      </c>
      <c r="K14" t="s">
        <v>318</v>
      </c>
      <c r="L14" s="11" t="s">
        <v>283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</row>
    <row r="15" spans="1:100" x14ac:dyDescent="0.25">
      <c r="A15" t="s">
        <v>134</v>
      </c>
      <c r="B15" t="s">
        <v>140</v>
      </c>
      <c r="C15" t="s">
        <v>177</v>
      </c>
      <c r="D15">
        <v>304328</v>
      </c>
      <c r="E15" t="s">
        <v>300</v>
      </c>
      <c r="F15" t="s">
        <v>301</v>
      </c>
      <c r="G15" t="s">
        <v>144</v>
      </c>
      <c r="H15" t="s">
        <v>145</v>
      </c>
      <c r="I15" t="s">
        <v>135</v>
      </c>
      <c r="J15" t="s">
        <v>189</v>
      </c>
      <c r="K15" t="s">
        <v>318</v>
      </c>
      <c r="L15" s="11" t="s">
        <v>283</v>
      </c>
      <c r="M15">
        <v>1</v>
      </c>
      <c r="N15">
        <v>0</v>
      </c>
      <c r="O15">
        <v>0</v>
      </c>
      <c r="P15">
        <v>1</v>
      </c>
      <c r="Q15">
        <v>0</v>
      </c>
      <c r="R15">
        <v>1</v>
      </c>
      <c r="S15">
        <v>0</v>
      </c>
      <c r="T15">
        <v>1</v>
      </c>
      <c r="U15">
        <v>0</v>
      </c>
      <c r="V15">
        <v>0</v>
      </c>
      <c r="W15">
        <v>1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</row>
    <row r="16" spans="1:100" x14ac:dyDescent="0.25">
      <c r="A16" t="s">
        <v>134</v>
      </c>
      <c r="B16" t="s">
        <v>140</v>
      </c>
      <c r="C16" t="s">
        <v>177</v>
      </c>
      <c r="D16">
        <v>304338</v>
      </c>
      <c r="E16" t="s">
        <v>302</v>
      </c>
      <c r="F16" t="s">
        <v>303</v>
      </c>
      <c r="G16" t="s">
        <v>144</v>
      </c>
      <c r="H16" t="s">
        <v>145</v>
      </c>
      <c r="I16" t="s">
        <v>135</v>
      </c>
      <c r="J16" t="s">
        <v>229</v>
      </c>
      <c r="K16" t="s">
        <v>318</v>
      </c>
      <c r="L16" s="11" t="s">
        <v>283</v>
      </c>
      <c r="M16">
        <v>0</v>
      </c>
      <c r="N16">
        <v>0</v>
      </c>
      <c r="O16">
        <v>1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</row>
    <row r="17" spans="1:99" x14ac:dyDescent="0.25">
      <c r="A17" t="s">
        <v>134</v>
      </c>
      <c r="B17" t="s">
        <v>140</v>
      </c>
      <c r="C17" t="s">
        <v>177</v>
      </c>
      <c r="D17">
        <v>316104</v>
      </c>
      <c r="E17" t="s">
        <v>304</v>
      </c>
      <c r="F17" t="s">
        <v>280</v>
      </c>
      <c r="G17" t="s">
        <v>144</v>
      </c>
      <c r="H17" t="s">
        <v>145</v>
      </c>
      <c r="I17" t="s">
        <v>135</v>
      </c>
      <c r="J17" t="s">
        <v>200</v>
      </c>
      <c r="K17" t="s">
        <v>318</v>
      </c>
      <c r="L17" s="11" t="s">
        <v>283</v>
      </c>
      <c r="M17">
        <v>0</v>
      </c>
      <c r="N17">
        <v>0</v>
      </c>
      <c r="O17">
        <v>0</v>
      </c>
      <c r="P17">
        <v>1</v>
      </c>
      <c r="Q17">
        <v>1</v>
      </c>
      <c r="R17">
        <v>1</v>
      </c>
      <c r="S17">
        <v>1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1</v>
      </c>
      <c r="BX17">
        <v>1</v>
      </c>
      <c r="BY17">
        <v>1</v>
      </c>
      <c r="BZ17">
        <v>0</v>
      </c>
      <c r="CA17">
        <v>0</v>
      </c>
      <c r="CB17">
        <v>1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1</v>
      </c>
      <c r="CM17">
        <v>0</v>
      </c>
      <c r="CN17">
        <v>0</v>
      </c>
      <c r="CO17">
        <v>0</v>
      </c>
      <c r="CP17">
        <v>0</v>
      </c>
      <c r="CQ17">
        <v>1</v>
      </c>
      <c r="CR17">
        <v>0</v>
      </c>
      <c r="CS17">
        <v>0</v>
      </c>
      <c r="CT17">
        <v>0</v>
      </c>
      <c r="CU17">
        <v>0</v>
      </c>
    </row>
    <row r="18" spans="1:99" x14ac:dyDescent="0.25">
      <c r="A18" t="s">
        <v>134</v>
      </c>
      <c r="B18" t="s">
        <v>140</v>
      </c>
      <c r="C18" t="s">
        <v>177</v>
      </c>
      <c r="D18">
        <v>325102</v>
      </c>
      <c r="E18" t="s">
        <v>307</v>
      </c>
      <c r="F18" t="s">
        <v>308</v>
      </c>
      <c r="G18" t="s">
        <v>144</v>
      </c>
      <c r="H18" t="s">
        <v>145</v>
      </c>
      <c r="I18" t="s">
        <v>135</v>
      </c>
      <c r="J18" t="s">
        <v>186</v>
      </c>
      <c r="K18" t="s">
        <v>318</v>
      </c>
      <c r="L18" s="11" t="s">
        <v>283</v>
      </c>
      <c r="M18">
        <v>0</v>
      </c>
      <c r="N18">
        <v>0</v>
      </c>
      <c r="O18">
        <v>1</v>
      </c>
      <c r="P18">
        <v>1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</row>
    <row r="19" spans="1:99" x14ac:dyDescent="0.25">
      <c r="A19" t="s">
        <v>134</v>
      </c>
      <c r="B19" t="s">
        <v>140</v>
      </c>
      <c r="C19" t="s">
        <v>177</v>
      </c>
      <c r="D19">
        <v>325106</v>
      </c>
      <c r="E19" t="s">
        <v>309</v>
      </c>
      <c r="F19" t="s">
        <v>264</v>
      </c>
      <c r="G19" t="s">
        <v>144</v>
      </c>
      <c r="H19" t="s">
        <v>145</v>
      </c>
      <c r="I19" t="s">
        <v>135</v>
      </c>
      <c r="J19" t="s">
        <v>238</v>
      </c>
      <c r="K19" t="s">
        <v>318</v>
      </c>
      <c r="L19" s="11" t="s">
        <v>283</v>
      </c>
      <c r="M19">
        <v>1</v>
      </c>
      <c r="N19">
        <v>0</v>
      </c>
      <c r="O19">
        <v>0</v>
      </c>
      <c r="P19">
        <v>0</v>
      </c>
      <c r="Q19">
        <v>1</v>
      </c>
      <c r="R19">
        <v>1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1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1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</row>
    <row r="20" spans="1:99" x14ac:dyDescent="0.25">
      <c r="A20" t="s">
        <v>134</v>
      </c>
      <c r="B20" t="s">
        <v>140</v>
      </c>
      <c r="C20" t="s">
        <v>241</v>
      </c>
      <c r="D20">
        <v>304313</v>
      </c>
      <c r="E20" t="s">
        <v>310</v>
      </c>
      <c r="F20" t="s">
        <v>311</v>
      </c>
      <c r="G20" t="s">
        <v>144</v>
      </c>
      <c r="H20" t="s">
        <v>145</v>
      </c>
      <c r="I20" t="s">
        <v>135</v>
      </c>
      <c r="J20" t="s">
        <v>250</v>
      </c>
      <c r="K20" t="s">
        <v>318</v>
      </c>
      <c r="L20" s="11" t="s">
        <v>283</v>
      </c>
      <c r="M20">
        <v>0</v>
      </c>
      <c r="N20">
        <v>0</v>
      </c>
      <c r="O20">
        <v>1</v>
      </c>
      <c r="P20">
        <v>1</v>
      </c>
      <c r="Q20">
        <v>1</v>
      </c>
      <c r="R20">
        <v>1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</row>
    <row r="21" spans="1:99" x14ac:dyDescent="0.25">
      <c r="A21" t="s">
        <v>134</v>
      </c>
      <c r="B21" t="s">
        <v>140</v>
      </c>
      <c r="C21" t="s">
        <v>241</v>
      </c>
      <c r="D21">
        <v>304318</v>
      </c>
      <c r="E21" t="s">
        <v>312</v>
      </c>
      <c r="F21" t="s">
        <v>313</v>
      </c>
      <c r="G21" t="s">
        <v>144</v>
      </c>
      <c r="H21" t="s">
        <v>145</v>
      </c>
      <c r="I21" t="s">
        <v>135</v>
      </c>
      <c r="J21" t="s">
        <v>258</v>
      </c>
      <c r="K21" t="s">
        <v>318</v>
      </c>
      <c r="L21" s="11" t="s">
        <v>283</v>
      </c>
      <c r="M21">
        <v>0</v>
      </c>
      <c r="N21">
        <v>0</v>
      </c>
      <c r="O21">
        <v>1</v>
      </c>
      <c r="P21">
        <v>1</v>
      </c>
      <c r="Q21">
        <v>1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1</v>
      </c>
      <c r="BV21">
        <v>1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</row>
    <row r="22" spans="1:99" x14ac:dyDescent="0.25">
      <c r="A22" t="s">
        <v>134</v>
      </c>
      <c r="B22" t="s">
        <v>140</v>
      </c>
      <c r="C22" t="s">
        <v>241</v>
      </c>
      <c r="D22">
        <v>325105</v>
      </c>
      <c r="E22" t="s">
        <v>314</v>
      </c>
      <c r="F22" t="s">
        <v>260</v>
      </c>
      <c r="G22" t="s">
        <v>144</v>
      </c>
      <c r="H22" t="s">
        <v>145</v>
      </c>
      <c r="I22" t="s">
        <v>135</v>
      </c>
      <c r="J22" t="s">
        <v>244</v>
      </c>
      <c r="K22" t="s">
        <v>318</v>
      </c>
      <c r="L22" s="11" t="s">
        <v>283</v>
      </c>
      <c r="M22">
        <v>0</v>
      </c>
      <c r="N22">
        <v>0</v>
      </c>
      <c r="O22">
        <v>1</v>
      </c>
      <c r="P22">
        <v>0</v>
      </c>
      <c r="Q22">
        <v>0</v>
      </c>
      <c r="R22">
        <v>1</v>
      </c>
      <c r="S22">
        <v>0</v>
      </c>
      <c r="T22">
        <v>1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</row>
  </sheetData>
  <autoFilter ref="A6:CU22" xr:uid="{00000000-0009-0000-0000-000002000000}"/>
  <mergeCells count="3">
    <mergeCell ref="M3:AO3"/>
    <mergeCell ref="AP3:BR3"/>
    <mergeCell ref="BS3:CU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2023-08-04T07:21:43Z</dcterms:created>
  <dcterms:modified xsi:type="dcterms:W3CDTF">2023-08-04T07:23:05Z</dcterms:modified>
</cp:coreProperties>
</file>