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19-2020/NSBI Database/"/>
    </mc:Choice>
  </mc:AlternateContent>
  <xr:revisionPtr revIDLastSave="0" documentId="8_{656C2871-A59D-4ADA-BB0D-1BB3D1A7928A}" xr6:coauthVersionLast="47" xr6:coauthVersionMax="47" xr10:uidLastSave="{00000000-0000-0000-0000-000000000000}"/>
  <bookViews>
    <workbookView xWindow="-120" yWindow="-120" windowWidth="29040" windowHeight="15720" xr2:uid="{97AEB079-E97E-4BE9-9E0B-6BAED63DFB87}"/>
  </bookViews>
  <sheets>
    <sheet name="DB" sheetId="1" r:id="rId1"/>
  </sheets>
  <definedNames>
    <definedName name="_xlnm._FilterDatabase" localSheetId="0" hidden="1">DB!$A$9:$AD$80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80" i="1" l="1"/>
  <c r="R80" i="1"/>
  <c r="S79" i="1"/>
  <c r="R79" i="1"/>
  <c r="S78" i="1"/>
  <c r="R78" i="1"/>
  <c r="S77" i="1"/>
  <c r="R77" i="1"/>
  <c r="S76" i="1"/>
  <c r="R76" i="1"/>
  <c r="S75" i="1"/>
  <c r="R75" i="1"/>
  <c r="S74" i="1"/>
  <c r="R74" i="1"/>
  <c r="S73" i="1"/>
  <c r="R73" i="1"/>
  <c r="S72" i="1"/>
  <c r="R72" i="1"/>
  <c r="S71" i="1"/>
  <c r="R71" i="1"/>
  <c r="S70" i="1"/>
  <c r="R70" i="1"/>
  <c r="S69" i="1"/>
  <c r="R69" i="1"/>
  <c r="S68" i="1"/>
  <c r="R68" i="1"/>
  <c r="S67" i="1"/>
  <c r="R67" i="1"/>
  <c r="S66" i="1"/>
  <c r="R66" i="1"/>
  <c r="S65" i="1"/>
  <c r="R65" i="1"/>
  <c r="S64" i="1"/>
  <c r="R64" i="1"/>
  <c r="S63" i="1"/>
  <c r="R63" i="1"/>
  <c r="S62" i="1"/>
  <c r="R62" i="1"/>
  <c r="S61" i="1"/>
  <c r="R61" i="1"/>
  <c r="S60" i="1"/>
  <c r="R60" i="1"/>
  <c r="S59" i="1"/>
  <c r="R59" i="1"/>
  <c r="S58" i="1"/>
  <c r="R58" i="1"/>
  <c r="S57" i="1"/>
  <c r="R57" i="1"/>
  <c r="S56" i="1"/>
  <c r="R56" i="1"/>
  <c r="S55" i="1"/>
  <c r="R55" i="1"/>
  <c r="S54" i="1"/>
  <c r="R54" i="1"/>
  <c r="S53" i="1"/>
  <c r="R53" i="1"/>
  <c r="S52" i="1"/>
  <c r="R52" i="1"/>
  <c r="S51" i="1"/>
  <c r="R51" i="1"/>
  <c r="S50" i="1"/>
  <c r="R50" i="1"/>
  <c r="S49" i="1"/>
  <c r="R49" i="1"/>
  <c r="S48" i="1"/>
  <c r="R48" i="1"/>
  <c r="S47" i="1"/>
  <c r="R47" i="1"/>
  <c r="S46" i="1"/>
  <c r="R46" i="1"/>
  <c r="S45" i="1"/>
  <c r="R45" i="1"/>
  <c r="S44" i="1"/>
  <c r="R44" i="1"/>
  <c r="S43" i="1"/>
  <c r="R43" i="1"/>
  <c r="S42" i="1"/>
  <c r="R42" i="1"/>
  <c r="S41" i="1"/>
  <c r="R41" i="1"/>
  <c r="S40" i="1"/>
  <c r="R40" i="1"/>
  <c r="S39" i="1"/>
  <c r="R39" i="1"/>
  <c r="S38" i="1"/>
  <c r="R38" i="1"/>
  <c r="S37" i="1"/>
  <c r="R37" i="1"/>
  <c r="S36" i="1"/>
  <c r="R36" i="1"/>
  <c r="S35" i="1"/>
  <c r="R35" i="1"/>
  <c r="S34" i="1"/>
  <c r="R34" i="1"/>
  <c r="S33" i="1"/>
  <c r="R33" i="1"/>
  <c r="S32" i="1"/>
  <c r="R32" i="1"/>
  <c r="S31" i="1"/>
  <c r="R31" i="1"/>
  <c r="S30" i="1"/>
  <c r="R30" i="1"/>
  <c r="S29" i="1"/>
  <c r="R29" i="1"/>
  <c r="S28" i="1"/>
  <c r="R28" i="1"/>
  <c r="S27" i="1"/>
  <c r="R27" i="1"/>
  <c r="S26" i="1"/>
  <c r="R26" i="1"/>
  <c r="S25" i="1"/>
  <c r="R25" i="1"/>
  <c r="S24" i="1"/>
  <c r="R24" i="1"/>
  <c r="S23" i="1"/>
  <c r="R23" i="1"/>
  <c r="S22" i="1"/>
  <c r="R22" i="1"/>
  <c r="S21" i="1"/>
  <c r="R21" i="1"/>
  <c r="S20" i="1"/>
  <c r="R20" i="1"/>
  <c r="S19" i="1"/>
  <c r="R19" i="1"/>
  <c r="S18" i="1"/>
  <c r="R18" i="1"/>
  <c r="S17" i="1"/>
  <c r="R17" i="1"/>
  <c r="S16" i="1"/>
  <c r="R16" i="1"/>
  <c r="S15" i="1"/>
  <c r="R15" i="1"/>
  <c r="S14" i="1"/>
  <c r="R14" i="1"/>
  <c r="S13" i="1"/>
  <c r="R13" i="1"/>
  <c r="S12" i="1"/>
  <c r="R12" i="1"/>
  <c r="S11" i="1"/>
  <c r="R11" i="1"/>
  <c r="S10" i="1"/>
  <c r="R10" i="1"/>
  <c r="Q8" i="1"/>
  <c r="P8" i="1"/>
  <c r="O8" i="1"/>
  <c r="N8" i="1"/>
  <c r="R8" i="1" l="1"/>
  <c r="S8" i="1"/>
</calcChain>
</file>

<file path=xl/sharedStrings.xml><?xml version="1.0" encoding="utf-8"?>
<sst xmlns="http://schemas.openxmlformats.org/spreadsheetml/2006/main" count="808" uniqueCount="200">
  <si>
    <t>School Level Data on Number of School Building with PWD Access</t>
  </si>
  <si>
    <t>SY 2019-2020</t>
  </si>
  <si>
    <t>Based on NSBI, generated as of May 6, 2020</t>
  </si>
  <si>
    <t>Is PWD accessible?</t>
  </si>
  <si>
    <t>Elementary</t>
  </si>
  <si>
    <t>Secondary</t>
  </si>
  <si>
    <t>Total</t>
  </si>
  <si>
    <t>Region</t>
  </si>
  <si>
    <t>Division</t>
  </si>
  <si>
    <t>District</t>
  </si>
  <si>
    <t>School_id (LIS)</t>
  </si>
  <si>
    <t>School_name</t>
  </si>
  <si>
    <t>street_address</t>
  </si>
  <si>
    <t>mother_school_id</t>
  </si>
  <si>
    <t>Province</t>
  </si>
  <si>
    <t>Municipality</t>
  </si>
  <si>
    <t>Legislative District</t>
  </si>
  <si>
    <t>Barangay</t>
  </si>
  <si>
    <t>School_subclassification</t>
  </si>
  <si>
    <t>Modified Curricular Offering</t>
  </si>
  <si>
    <t xml:space="preserve">YES </t>
  </si>
  <si>
    <t>NO</t>
  </si>
  <si>
    <t>Remarks</t>
  </si>
  <si>
    <t>Region XI</t>
  </si>
  <si>
    <t>2nd District</t>
  </si>
  <si>
    <t>DepED Managed</t>
  </si>
  <si>
    <t>Purely ES</t>
  </si>
  <si>
    <t>JHS with SHS</t>
  </si>
  <si>
    <t>Purely JHS</t>
  </si>
  <si>
    <t>ES and JHS</t>
  </si>
  <si>
    <t>Mati City</t>
  </si>
  <si>
    <t>Mati Central</t>
  </si>
  <si>
    <t>Badas ES</t>
  </si>
  <si>
    <t>Badas</t>
  </si>
  <si>
    <t>DAVAO ORIENTAL</t>
  </si>
  <si>
    <t>CITY OF MATI (Capital)</t>
  </si>
  <si>
    <t>BADAS</t>
  </si>
  <si>
    <t>Baso ES</t>
  </si>
  <si>
    <t>Pulang Pantad</t>
  </si>
  <si>
    <t>Belsonda ES</t>
  </si>
  <si>
    <t>Lower Madang</t>
  </si>
  <si>
    <t>CENTRAL (POB.)</t>
  </si>
  <si>
    <t>Bagong Lipunan Improvement Site and Services Elementary School</t>
  </si>
  <si>
    <t>BLISS Site</t>
  </si>
  <si>
    <t>SAINZ</t>
  </si>
  <si>
    <t>Rabat-Rocamora Mati CES I</t>
  </si>
  <si>
    <t>DMMA, Brgy. Sainz</t>
  </si>
  <si>
    <t>Rabat-Rocamora Mati CES II</t>
  </si>
  <si>
    <t>Don Mariano Marcos Avenue</t>
  </si>
  <si>
    <t>Mayor Luisito G. Rabat MS</t>
  </si>
  <si>
    <t>Madang</t>
  </si>
  <si>
    <t>Mayor Santiago Garcia MS</t>
  </si>
  <si>
    <t>Magsaysay</t>
  </si>
  <si>
    <t>Sudlon Elementary School</t>
  </si>
  <si>
    <t>Banahaw</t>
  </si>
  <si>
    <t>Tagawisan ES</t>
  </si>
  <si>
    <t>Tagawisan</t>
  </si>
  <si>
    <t>Onotan Daganio Tagbobolo ES</t>
  </si>
  <si>
    <t>Tagbobolo</t>
  </si>
  <si>
    <t>Rabat Rocamora Mati Central School SPED Center</t>
  </si>
  <si>
    <t>Mati National Comprehensive High School</t>
  </si>
  <si>
    <t>Mangga</t>
  </si>
  <si>
    <t>Mati SAT</t>
  </si>
  <si>
    <t>Garcia Avenue</t>
  </si>
  <si>
    <t>City of Mati National High School</t>
  </si>
  <si>
    <t>Brgy. Dahican, Mati City</t>
  </si>
  <si>
    <t>DAHICAN</t>
  </si>
  <si>
    <t>Badas NHS</t>
  </si>
  <si>
    <t>Camansi</t>
  </si>
  <si>
    <t>Licop Integrated School</t>
  </si>
  <si>
    <t>Sitio Licop</t>
  </si>
  <si>
    <t>All Offering</t>
  </si>
  <si>
    <t>Culian Integrated School</t>
  </si>
  <si>
    <t>Brgy. Culian, Mati City</t>
  </si>
  <si>
    <t>CULIAN</t>
  </si>
  <si>
    <t>Mati North</t>
  </si>
  <si>
    <t>Bugakan Elementary School</t>
  </si>
  <si>
    <t>Brgy. Taga-bakid, Mati City</t>
  </si>
  <si>
    <t>TAGABAKID</t>
  </si>
  <si>
    <t>Alberto  V. Ravelo ES</t>
  </si>
  <si>
    <t>Lower Cogon</t>
  </si>
  <si>
    <t>BOBON</t>
  </si>
  <si>
    <t>Antonino Vicentino ES</t>
  </si>
  <si>
    <t>Purok Dama de Noche</t>
  </si>
  <si>
    <t>LAWIGAN</t>
  </si>
  <si>
    <t>Benito G. Rabat Exec. ES</t>
  </si>
  <si>
    <t>Kalmado Heights, Menzi</t>
  </si>
  <si>
    <t>Bobon ES</t>
  </si>
  <si>
    <t>Don Mariano</t>
  </si>
  <si>
    <t>Buso ES</t>
  </si>
  <si>
    <t>Centro Buso</t>
  </si>
  <si>
    <t>BUSO</t>
  </si>
  <si>
    <t>Cabubuanan Elementary School</t>
  </si>
  <si>
    <t>Don Martin Marundan, City of Mati</t>
  </si>
  <si>
    <t>DON MARTIN MARUNDAN</t>
  </si>
  <si>
    <t>Cangusan ES</t>
  </si>
  <si>
    <t>Cangusan</t>
  </si>
  <si>
    <t>DON SALVADOR LOPEZ, SR.</t>
  </si>
  <si>
    <t>Serafin Vizconde Sr. Elementary School</t>
  </si>
  <si>
    <t>Casunogan</t>
  </si>
  <si>
    <t>Don Luis Rabat Sr. MS</t>
  </si>
  <si>
    <t>PUROK BANGANGA</t>
  </si>
  <si>
    <t>Don Salvador Lopez ES</t>
  </si>
  <si>
    <t>-</t>
  </si>
  <si>
    <t>Gavino Dawang ES</t>
  </si>
  <si>
    <t>Sitio Taganilao</t>
  </si>
  <si>
    <t>TAMISAN</t>
  </si>
  <si>
    <t>Gov. Leopoldo Lopez Sr. MS</t>
  </si>
  <si>
    <t>Pahamotang</t>
  </si>
  <si>
    <t>MATIAO</t>
  </si>
  <si>
    <t>Don Enrique Lopez ES</t>
  </si>
  <si>
    <t>Don Enrique Lopez</t>
  </si>
  <si>
    <t>DON ENRIQUE LOPEZ</t>
  </si>
  <si>
    <t>Matiao Central ES</t>
  </si>
  <si>
    <t>-MATIAO</t>
  </si>
  <si>
    <t>Pedro Malintad Elementary School</t>
  </si>
  <si>
    <t>Sitio Batiano</t>
  </si>
  <si>
    <t>Sta. Cruz ES</t>
  </si>
  <si>
    <t>Sta. Cruz</t>
  </si>
  <si>
    <t>Tagabakid ES</t>
  </si>
  <si>
    <t>Sitio Centro</t>
  </si>
  <si>
    <t>Tagbinonga ES</t>
  </si>
  <si>
    <t>No. 3, Purok Casubucan</t>
  </si>
  <si>
    <t>TAGBINONGA</t>
  </si>
  <si>
    <t>Taguibo ES</t>
  </si>
  <si>
    <t>Taguibo</t>
  </si>
  <si>
    <t>TAGUIBO</t>
  </si>
  <si>
    <t>Tamia ES</t>
  </si>
  <si>
    <t>Sitio Tamia</t>
  </si>
  <si>
    <t>Tamisan Elementary School</t>
  </si>
  <si>
    <t>Capitol Hillside</t>
  </si>
  <si>
    <t>Fausta Salazar Como MS</t>
  </si>
  <si>
    <t>Tua-Tua</t>
  </si>
  <si>
    <t>Vicente Almario Sr. MS</t>
  </si>
  <si>
    <t>Mayo</t>
  </si>
  <si>
    <t>MAYO</t>
  </si>
  <si>
    <t>Jose C. Martinez Jr. Elementary School</t>
  </si>
  <si>
    <t>Sitio Maitum</t>
  </si>
  <si>
    <t>Bobon NHS</t>
  </si>
  <si>
    <t>Purok Madasigon</t>
  </si>
  <si>
    <t>Buso National High School</t>
  </si>
  <si>
    <t>Buso</t>
  </si>
  <si>
    <t>Don Enrique Lopez NHS</t>
  </si>
  <si>
    <t>Matiao NHS</t>
  </si>
  <si>
    <t>Archie Heights</t>
  </si>
  <si>
    <t>Davao Oriental Regional Science High School</t>
  </si>
  <si>
    <t>Gov't Center</t>
  </si>
  <si>
    <t>Taguibo Agri. Voc. High School</t>
  </si>
  <si>
    <t>Purok Mahayahay</t>
  </si>
  <si>
    <t>Don Salvador Lopez NHS</t>
  </si>
  <si>
    <t>Centro</t>
  </si>
  <si>
    <t>Doña Rosa G. Rabat MHS</t>
  </si>
  <si>
    <t>Purok 30</t>
  </si>
  <si>
    <t>Lawigan National High School</t>
  </si>
  <si>
    <t>Batiano, Lawigan</t>
  </si>
  <si>
    <t>Mayo NHS</t>
  </si>
  <si>
    <t>Purok II</t>
  </si>
  <si>
    <t>Mati South</t>
  </si>
  <si>
    <t>Catmonan Elementary School</t>
  </si>
  <si>
    <t>Brgy. Macambol, Mati City</t>
  </si>
  <si>
    <t>MACAMBOL</t>
  </si>
  <si>
    <t>Talucanga Elementary School</t>
  </si>
  <si>
    <t>678 ANDRAVEL ST.</t>
  </si>
  <si>
    <t>LUBAN</t>
  </si>
  <si>
    <t>Brigido Rodriguez Sr. ES</t>
  </si>
  <si>
    <t>Bigue</t>
  </si>
  <si>
    <t>DAWAN</t>
  </si>
  <si>
    <t>Asuncion Rondina Perez MS</t>
  </si>
  <si>
    <t>Danao</t>
  </si>
  <si>
    <t>DANAO</t>
  </si>
  <si>
    <t>Dawan Central ES</t>
  </si>
  <si>
    <t>Purok Mangga</t>
  </si>
  <si>
    <t>Francisco Hinayon ES</t>
  </si>
  <si>
    <t>Purok 5</t>
  </si>
  <si>
    <t>LIBUDON</t>
  </si>
  <si>
    <t>Macambol ES</t>
  </si>
  <si>
    <t>Macambol</t>
  </si>
  <si>
    <t>Magum ES</t>
  </si>
  <si>
    <t>Purok 1</t>
  </si>
  <si>
    <t>Gelacio  G. Ytac ES</t>
  </si>
  <si>
    <t>MAMALI</t>
  </si>
  <si>
    <t>Sanghay ES</t>
  </si>
  <si>
    <t>SANGHAY</t>
  </si>
  <si>
    <t>Paciano A. Genon EMS</t>
  </si>
  <si>
    <t>Tagamot</t>
  </si>
  <si>
    <t>Wagon ES</t>
  </si>
  <si>
    <t>Wagon</t>
  </si>
  <si>
    <t>Dawan NHS</t>
  </si>
  <si>
    <t>Purok Santan</t>
  </si>
  <si>
    <t>Libudon NHS</t>
  </si>
  <si>
    <t>Purok 5- San Francisco</t>
  </si>
  <si>
    <t>Macambol NHS</t>
  </si>
  <si>
    <t>Cabuaya Integrated School</t>
  </si>
  <si>
    <t>Purok  Proper, Cabuaya, Mati City, Davao Oriental</t>
  </si>
  <si>
    <t>CABUAYA</t>
  </si>
  <si>
    <t>Lanca Integrated School</t>
  </si>
  <si>
    <t>Purok I, Lanca, Mati City, Davao Oriental</t>
  </si>
  <si>
    <t>LANGKA</t>
  </si>
  <si>
    <t>Luban Integrated School</t>
  </si>
  <si>
    <t>Prk. 5, Luban, Mati City, Davao Oriental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</si>
</sst>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3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165" fontId="0" fillId="0" borderId="0" xfId="1" applyNumberFormat="1" applyFont="1"/>
    <xf numFmtId="0" fontId="1" fillId="0" borderId="0" xfId="0" applyFont="1" applyAlignment="1">
      <alignment horizontal="center" vertical="center"/>
    </xf>
    <xf numFmtId="165" fontId="1" fillId="0" borderId="0" xfId="1" applyNumberFormat="1" applyFont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1370A-ECCC-49E7-A98E-67A35C5AF486}">
  <dimension ref="A1:T80"/>
  <sheetViews>
    <sheetView tabSelected="1" zoomScale="85" zoomScaleNormal="85" workbookViewId="0">
      <pane xSplit="4" ySplit="9" topLeftCell="E62" activePane="bottomRight" state="frozen"/>
      <selection pane="topRight" activeCell="E1" sqref="E1"/>
      <selection pane="bottomLeft" activeCell="A6" sqref="A6"/>
      <selection pane="bottomRight" activeCell="B81" sqref="A81:XFD286"/>
    </sheetView>
  </sheetViews>
  <sheetFormatPr defaultRowHeight="15" x14ac:dyDescent="0.25"/>
  <cols>
    <col min="2" max="2" width="27.140625" bestFit="1" customWidth="1"/>
    <col min="4" max="4" width="18" bestFit="1" customWidth="1"/>
    <col min="14" max="19" width="14.7109375" customWidth="1"/>
  </cols>
  <sheetData>
    <row r="1" spans="1:20" x14ac:dyDescent="0.25">
      <c r="A1" s="1" t="s">
        <v>0</v>
      </c>
    </row>
    <row r="2" spans="1:20" x14ac:dyDescent="0.25">
      <c r="A2" s="1" t="s">
        <v>1</v>
      </c>
      <c r="M2" s="2"/>
    </row>
    <row r="3" spans="1:20" x14ac:dyDescent="0.25">
      <c r="A3" s="1" t="s">
        <v>2</v>
      </c>
      <c r="M3" s="2"/>
    </row>
    <row r="4" spans="1:20" ht="14.45" customHeight="1" x14ac:dyDescent="0.25"/>
    <row r="5" spans="1:20" ht="43.15" customHeight="1" x14ac:dyDescent="0.25"/>
    <row r="6" spans="1:20" ht="14.45" customHeight="1" x14ac:dyDescent="0.25">
      <c r="N6" s="3" t="s">
        <v>3</v>
      </c>
      <c r="O6" s="3"/>
      <c r="P6" s="3"/>
      <c r="Q6" s="3"/>
      <c r="R6" s="3"/>
      <c r="S6" s="3"/>
    </row>
    <row r="7" spans="1:20" x14ac:dyDescent="0.25">
      <c r="N7" s="3" t="s">
        <v>4</v>
      </c>
      <c r="O7" s="3"/>
      <c r="P7" s="3" t="s">
        <v>5</v>
      </c>
      <c r="Q7" s="3"/>
      <c r="R7" s="3" t="s">
        <v>6</v>
      </c>
      <c r="S7" s="3"/>
    </row>
    <row r="8" spans="1:20" x14ac:dyDescent="0.25">
      <c r="N8" s="4">
        <f>SUM(N10:N80)</f>
        <v>181</v>
      </c>
      <c r="O8" s="4">
        <f>SUM(O10:O80)</f>
        <v>240</v>
      </c>
      <c r="P8" s="4">
        <f>SUM(P10:P80)</f>
        <v>132</v>
      </c>
      <c r="Q8" s="4">
        <f>SUM(Q10:Q80)</f>
        <v>123</v>
      </c>
      <c r="R8" s="4">
        <f>SUM(R10:R80)</f>
        <v>313</v>
      </c>
      <c r="S8" s="4">
        <f>SUM(S10:S80)</f>
        <v>363</v>
      </c>
    </row>
    <row r="9" spans="1:20" s="9" customFormat="1" x14ac:dyDescent="0.25">
      <c r="A9" s="5" t="s">
        <v>7</v>
      </c>
      <c r="B9" s="5" t="s">
        <v>8</v>
      </c>
      <c r="C9" s="5" t="s">
        <v>9</v>
      </c>
      <c r="D9" s="5" t="s">
        <v>10</v>
      </c>
      <c r="E9" s="5" t="s">
        <v>11</v>
      </c>
      <c r="F9" s="5" t="s">
        <v>12</v>
      </c>
      <c r="G9" s="5" t="s">
        <v>13</v>
      </c>
      <c r="H9" s="5" t="s">
        <v>14</v>
      </c>
      <c r="I9" s="5" t="s">
        <v>15</v>
      </c>
      <c r="J9" s="5" t="s">
        <v>16</v>
      </c>
      <c r="K9" s="5" t="s">
        <v>17</v>
      </c>
      <c r="L9" s="5" t="s">
        <v>18</v>
      </c>
      <c r="M9" s="6" t="s">
        <v>19</v>
      </c>
      <c r="N9" s="7" t="s">
        <v>20</v>
      </c>
      <c r="O9" s="7" t="s">
        <v>21</v>
      </c>
      <c r="P9" s="7" t="s">
        <v>20</v>
      </c>
      <c r="Q9" s="7" t="s">
        <v>21</v>
      </c>
      <c r="R9" s="7" t="s">
        <v>20</v>
      </c>
      <c r="S9" s="7" t="s">
        <v>21</v>
      </c>
      <c r="T9" s="8" t="s">
        <v>22</v>
      </c>
    </row>
    <row r="10" spans="1:20" x14ac:dyDescent="0.25">
      <c r="A10" t="s">
        <v>23</v>
      </c>
      <c r="B10" t="s">
        <v>30</v>
      </c>
      <c r="C10" t="s">
        <v>31</v>
      </c>
      <c r="D10">
        <v>129374</v>
      </c>
      <c r="E10" t="s">
        <v>32</v>
      </c>
      <c r="F10" t="s">
        <v>33</v>
      </c>
      <c r="H10" t="s">
        <v>34</v>
      </c>
      <c r="I10" t="s">
        <v>35</v>
      </c>
      <c r="J10" t="s">
        <v>24</v>
      </c>
      <c r="K10" t="s">
        <v>36</v>
      </c>
      <c r="L10" t="s">
        <v>25</v>
      </c>
      <c r="M10" s="10" t="s">
        <v>26</v>
      </c>
      <c r="N10">
        <v>2</v>
      </c>
      <c r="O10">
        <v>10</v>
      </c>
      <c r="P10">
        <v>0</v>
      </c>
      <c r="Q10">
        <v>0</v>
      </c>
      <c r="R10">
        <f t="shared" ref="R10:S47" si="0">N10+P10</f>
        <v>2</v>
      </c>
      <c r="S10">
        <f t="shared" si="0"/>
        <v>10</v>
      </c>
    </row>
    <row r="11" spans="1:20" x14ac:dyDescent="0.25">
      <c r="A11" t="s">
        <v>23</v>
      </c>
      <c r="B11" t="s">
        <v>30</v>
      </c>
      <c r="C11" t="s">
        <v>31</v>
      </c>
      <c r="D11">
        <v>129375</v>
      </c>
      <c r="E11" t="s">
        <v>37</v>
      </c>
      <c r="F11" t="s">
        <v>38</v>
      </c>
      <c r="H11" t="s">
        <v>34</v>
      </c>
      <c r="I11" t="s">
        <v>35</v>
      </c>
      <c r="J11" t="s">
        <v>24</v>
      </c>
      <c r="K11" t="s">
        <v>36</v>
      </c>
      <c r="L11" t="s">
        <v>25</v>
      </c>
      <c r="M11" s="10" t="s">
        <v>26</v>
      </c>
      <c r="N11">
        <v>0</v>
      </c>
      <c r="O11">
        <v>4</v>
      </c>
      <c r="P11">
        <v>0</v>
      </c>
      <c r="Q11">
        <v>0</v>
      </c>
      <c r="R11">
        <f t="shared" si="0"/>
        <v>0</v>
      </c>
      <c r="S11">
        <f t="shared" si="0"/>
        <v>4</v>
      </c>
    </row>
    <row r="12" spans="1:20" x14ac:dyDescent="0.25">
      <c r="A12" t="s">
        <v>23</v>
      </c>
      <c r="B12" t="s">
        <v>30</v>
      </c>
      <c r="C12" t="s">
        <v>31</v>
      </c>
      <c r="D12">
        <v>129376</v>
      </c>
      <c r="E12" t="s">
        <v>39</v>
      </c>
      <c r="F12" t="s">
        <v>40</v>
      </c>
      <c r="H12" t="s">
        <v>34</v>
      </c>
      <c r="I12" t="s">
        <v>35</v>
      </c>
      <c r="J12" t="s">
        <v>24</v>
      </c>
      <c r="K12" t="s">
        <v>41</v>
      </c>
      <c r="L12" t="s">
        <v>25</v>
      </c>
      <c r="M12" s="10" t="s">
        <v>26</v>
      </c>
      <c r="N12">
        <v>1</v>
      </c>
      <c r="O12">
        <v>4</v>
      </c>
      <c r="P12">
        <v>0</v>
      </c>
      <c r="Q12">
        <v>0</v>
      </c>
      <c r="R12">
        <f t="shared" si="0"/>
        <v>1</v>
      </c>
      <c r="S12">
        <f t="shared" si="0"/>
        <v>4</v>
      </c>
    </row>
    <row r="13" spans="1:20" x14ac:dyDescent="0.25">
      <c r="A13" t="s">
        <v>23</v>
      </c>
      <c r="B13" t="s">
        <v>30</v>
      </c>
      <c r="C13" t="s">
        <v>31</v>
      </c>
      <c r="D13">
        <v>129377</v>
      </c>
      <c r="E13" t="s">
        <v>42</v>
      </c>
      <c r="F13" t="s">
        <v>43</v>
      </c>
      <c r="H13" t="s">
        <v>34</v>
      </c>
      <c r="I13" t="s">
        <v>35</v>
      </c>
      <c r="J13" t="s">
        <v>24</v>
      </c>
      <c r="K13" t="s">
        <v>44</v>
      </c>
      <c r="L13" t="s">
        <v>25</v>
      </c>
      <c r="M13" s="10" t="s">
        <v>26</v>
      </c>
      <c r="N13">
        <v>0</v>
      </c>
      <c r="O13">
        <v>7</v>
      </c>
      <c r="P13">
        <v>0</v>
      </c>
      <c r="Q13">
        <v>0</v>
      </c>
      <c r="R13">
        <f t="shared" si="0"/>
        <v>0</v>
      </c>
      <c r="S13">
        <f t="shared" si="0"/>
        <v>7</v>
      </c>
    </row>
    <row r="14" spans="1:20" x14ac:dyDescent="0.25">
      <c r="A14" t="s">
        <v>23</v>
      </c>
      <c r="B14" t="s">
        <v>30</v>
      </c>
      <c r="C14" t="s">
        <v>31</v>
      </c>
      <c r="D14">
        <v>129380</v>
      </c>
      <c r="E14" t="s">
        <v>45</v>
      </c>
      <c r="F14" t="s">
        <v>46</v>
      </c>
      <c r="H14" t="s">
        <v>34</v>
      </c>
      <c r="I14" t="s">
        <v>35</v>
      </c>
      <c r="J14" t="s">
        <v>24</v>
      </c>
      <c r="K14" t="s">
        <v>41</v>
      </c>
      <c r="L14" t="s">
        <v>25</v>
      </c>
      <c r="M14" s="10" t="s">
        <v>26</v>
      </c>
      <c r="N14">
        <v>12</v>
      </c>
      <c r="O14">
        <v>2</v>
      </c>
      <c r="P14">
        <v>0</v>
      </c>
      <c r="Q14">
        <v>0</v>
      </c>
      <c r="R14">
        <f t="shared" si="0"/>
        <v>12</v>
      </c>
      <c r="S14">
        <f t="shared" si="0"/>
        <v>2</v>
      </c>
    </row>
    <row r="15" spans="1:20" x14ac:dyDescent="0.25">
      <c r="A15" t="s">
        <v>23</v>
      </c>
      <c r="B15" t="s">
        <v>30</v>
      </c>
      <c r="C15" t="s">
        <v>31</v>
      </c>
      <c r="D15">
        <v>129381</v>
      </c>
      <c r="E15" t="s">
        <v>47</v>
      </c>
      <c r="F15" t="s">
        <v>48</v>
      </c>
      <c r="H15" t="s">
        <v>34</v>
      </c>
      <c r="I15" t="s">
        <v>35</v>
      </c>
      <c r="J15" t="s">
        <v>24</v>
      </c>
      <c r="K15" t="s">
        <v>41</v>
      </c>
      <c r="L15" t="s">
        <v>25</v>
      </c>
      <c r="M15" s="10" t="s">
        <v>26</v>
      </c>
      <c r="N15">
        <v>16</v>
      </c>
      <c r="O15">
        <v>4</v>
      </c>
      <c r="P15">
        <v>0</v>
      </c>
      <c r="Q15">
        <v>0</v>
      </c>
      <c r="R15">
        <f t="shared" si="0"/>
        <v>16</v>
      </c>
      <c r="S15">
        <f t="shared" si="0"/>
        <v>4</v>
      </c>
    </row>
    <row r="16" spans="1:20" x14ac:dyDescent="0.25">
      <c r="A16" t="s">
        <v>23</v>
      </c>
      <c r="B16" t="s">
        <v>30</v>
      </c>
      <c r="C16" t="s">
        <v>31</v>
      </c>
      <c r="D16">
        <v>129382</v>
      </c>
      <c r="E16" t="s">
        <v>49</v>
      </c>
      <c r="F16" t="s">
        <v>50</v>
      </c>
      <c r="H16" t="s">
        <v>34</v>
      </c>
      <c r="I16" t="s">
        <v>35</v>
      </c>
      <c r="J16" t="s">
        <v>24</v>
      </c>
      <c r="K16" t="s">
        <v>41</v>
      </c>
      <c r="L16" t="s">
        <v>25</v>
      </c>
      <c r="M16" s="10" t="s">
        <v>26</v>
      </c>
      <c r="N16">
        <v>7</v>
      </c>
      <c r="O16">
        <v>10</v>
      </c>
      <c r="P16">
        <v>0</v>
      </c>
      <c r="Q16">
        <v>0</v>
      </c>
      <c r="R16">
        <f t="shared" si="0"/>
        <v>7</v>
      </c>
      <c r="S16">
        <f t="shared" si="0"/>
        <v>10</v>
      </c>
    </row>
    <row r="17" spans="1:19" x14ac:dyDescent="0.25">
      <c r="A17" t="s">
        <v>23</v>
      </c>
      <c r="B17" t="s">
        <v>30</v>
      </c>
      <c r="C17" t="s">
        <v>31</v>
      </c>
      <c r="D17">
        <v>129383</v>
      </c>
      <c r="E17" t="s">
        <v>51</v>
      </c>
      <c r="F17" t="s">
        <v>52</v>
      </c>
      <c r="H17" t="s">
        <v>34</v>
      </c>
      <c r="I17" t="s">
        <v>35</v>
      </c>
      <c r="J17" t="s">
        <v>24</v>
      </c>
      <c r="K17" t="s">
        <v>41</v>
      </c>
      <c r="L17" t="s">
        <v>25</v>
      </c>
      <c r="M17" s="10" t="s">
        <v>26</v>
      </c>
      <c r="N17">
        <v>1</v>
      </c>
      <c r="O17">
        <v>18</v>
      </c>
      <c r="P17">
        <v>0</v>
      </c>
      <c r="Q17">
        <v>0</v>
      </c>
      <c r="R17">
        <f t="shared" si="0"/>
        <v>1</v>
      </c>
      <c r="S17">
        <f t="shared" si="0"/>
        <v>18</v>
      </c>
    </row>
    <row r="18" spans="1:19" x14ac:dyDescent="0.25">
      <c r="A18" t="s">
        <v>23</v>
      </c>
      <c r="B18" t="s">
        <v>30</v>
      </c>
      <c r="C18" t="s">
        <v>31</v>
      </c>
      <c r="D18">
        <v>129384</v>
      </c>
      <c r="E18" t="s">
        <v>53</v>
      </c>
      <c r="F18" t="s">
        <v>54</v>
      </c>
      <c r="H18" t="s">
        <v>34</v>
      </c>
      <c r="I18" t="s">
        <v>35</v>
      </c>
      <c r="J18" t="s">
        <v>24</v>
      </c>
      <c r="K18" t="s">
        <v>41</v>
      </c>
      <c r="L18" t="s">
        <v>25</v>
      </c>
      <c r="M18" s="10" t="s">
        <v>26</v>
      </c>
      <c r="N18">
        <v>2</v>
      </c>
      <c r="O18">
        <v>3</v>
      </c>
      <c r="P18">
        <v>0</v>
      </c>
      <c r="Q18">
        <v>0</v>
      </c>
      <c r="R18">
        <f t="shared" si="0"/>
        <v>2</v>
      </c>
      <c r="S18">
        <f t="shared" si="0"/>
        <v>3</v>
      </c>
    </row>
    <row r="19" spans="1:19" x14ac:dyDescent="0.25">
      <c r="A19" t="s">
        <v>23</v>
      </c>
      <c r="B19" t="s">
        <v>30</v>
      </c>
      <c r="C19" t="s">
        <v>31</v>
      </c>
      <c r="D19">
        <v>129385</v>
      </c>
      <c r="E19" t="s">
        <v>55</v>
      </c>
      <c r="F19" t="s">
        <v>56</v>
      </c>
      <c r="H19" t="s">
        <v>34</v>
      </c>
      <c r="I19" t="s">
        <v>35</v>
      </c>
      <c r="J19" t="s">
        <v>24</v>
      </c>
      <c r="K19" t="s">
        <v>36</v>
      </c>
      <c r="L19" t="s">
        <v>25</v>
      </c>
      <c r="M19" s="10" t="s">
        <v>26</v>
      </c>
      <c r="N19">
        <v>8</v>
      </c>
      <c r="O19">
        <v>1</v>
      </c>
      <c r="P19">
        <v>0</v>
      </c>
      <c r="Q19">
        <v>0</v>
      </c>
      <c r="R19">
        <f t="shared" si="0"/>
        <v>8</v>
      </c>
      <c r="S19">
        <f t="shared" si="0"/>
        <v>1</v>
      </c>
    </row>
    <row r="20" spans="1:19" x14ac:dyDescent="0.25">
      <c r="A20" t="s">
        <v>23</v>
      </c>
      <c r="B20" t="s">
        <v>30</v>
      </c>
      <c r="C20" t="s">
        <v>31</v>
      </c>
      <c r="D20">
        <v>129386</v>
      </c>
      <c r="E20" t="s">
        <v>57</v>
      </c>
      <c r="F20" t="s">
        <v>58</v>
      </c>
      <c r="H20" t="s">
        <v>34</v>
      </c>
      <c r="I20" t="s">
        <v>35</v>
      </c>
      <c r="J20" t="s">
        <v>24</v>
      </c>
      <c r="K20" t="s">
        <v>44</v>
      </c>
      <c r="L20" t="s">
        <v>25</v>
      </c>
      <c r="M20" s="10" t="s">
        <v>26</v>
      </c>
      <c r="N20">
        <v>3</v>
      </c>
      <c r="O20">
        <v>1</v>
      </c>
      <c r="P20">
        <v>0</v>
      </c>
      <c r="Q20">
        <v>0</v>
      </c>
      <c r="R20">
        <f t="shared" si="0"/>
        <v>3</v>
      </c>
      <c r="S20">
        <f t="shared" si="0"/>
        <v>1</v>
      </c>
    </row>
    <row r="21" spans="1:19" x14ac:dyDescent="0.25">
      <c r="A21" t="s">
        <v>23</v>
      </c>
      <c r="B21" t="s">
        <v>30</v>
      </c>
      <c r="C21" t="s">
        <v>31</v>
      </c>
      <c r="D21">
        <v>205504</v>
      </c>
      <c r="E21" t="s">
        <v>59</v>
      </c>
      <c r="F21" t="s">
        <v>48</v>
      </c>
      <c r="H21" t="s">
        <v>34</v>
      </c>
      <c r="I21" t="s">
        <v>35</v>
      </c>
      <c r="J21" t="s">
        <v>24</v>
      </c>
      <c r="K21" t="s">
        <v>41</v>
      </c>
      <c r="L21" t="s">
        <v>25</v>
      </c>
      <c r="M21" s="10" t="s">
        <v>26</v>
      </c>
      <c r="N21">
        <v>10</v>
      </c>
      <c r="O21">
        <v>1</v>
      </c>
      <c r="P21">
        <v>0</v>
      </c>
      <c r="Q21">
        <v>0</v>
      </c>
      <c r="R21">
        <f t="shared" si="0"/>
        <v>10</v>
      </c>
      <c r="S21">
        <f t="shared" si="0"/>
        <v>1</v>
      </c>
    </row>
    <row r="22" spans="1:19" x14ac:dyDescent="0.25">
      <c r="A22" t="s">
        <v>23</v>
      </c>
      <c r="B22" t="s">
        <v>30</v>
      </c>
      <c r="C22" t="s">
        <v>31</v>
      </c>
      <c r="D22">
        <v>304325</v>
      </c>
      <c r="E22" t="s">
        <v>60</v>
      </c>
      <c r="F22" t="s">
        <v>61</v>
      </c>
      <c r="H22" t="s">
        <v>34</v>
      </c>
      <c r="I22" t="s">
        <v>35</v>
      </c>
      <c r="J22" t="s">
        <v>24</v>
      </c>
      <c r="K22" t="s">
        <v>44</v>
      </c>
      <c r="L22" t="s">
        <v>25</v>
      </c>
      <c r="M22" s="10" t="s">
        <v>27</v>
      </c>
      <c r="N22">
        <v>0</v>
      </c>
      <c r="O22">
        <v>0</v>
      </c>
      <c r="P22">
        <v>10</v>
      </c>
      <c r="Q22">
        <v>30</v>
      </c>
      <c r="R22">
        <f t="shared" si="0"/>
        <v>10</v>
      </c>
      <c r="S22">
        <f t="shared" si="0"/>
        <v>30</v>
      </c>
    </row>
    <row r="23" spans="1:19" x14ac:dyDescent="0.25">
      <c r="A23" t="s">
        <v>23</v>
      </c>
      <c r="B23" t="s">
        <v>30</v>
      </c>
      <c r="C23" t="s">
        <v>31</v>
      </c>
      <c r="D23">
        <v>304326</v>
      </c>
      <c r="E23" t="s">
        <v>62</v>
      </c>
      <c r="F23" t="s">
        <v>63</v>
      </c>
      <c r="H23" t="s">
        <v>34</v>
      </c>
      <c r="I23" t="s">
        <v>35</v>
      </c>
      <c r="J23" t="s">
        <v>24</v>
      </c>
      <c r="K23" t="s">
        <v>44</v>
      </c>
      <c r="L23" t="s">
        <v>25</v>
      </c>
      <c r="M23" s="10" t="s">
        <v>27</v>
      </c>
      <c r="N23">
        <v>0</v>
      </c>
      <c r="O23">
        <v>0</v>
      </c>
      <c r="P23">
        <v>22</v>
      </c>
      <c r="Q23">
        <v>1</v>
      </c>
      <c r="R23">
        <f t="shared" si="0"/>
        <v>22</v>
      </c>
      <c r="S23">
        <f t="shared" si="0"/>
        <v>1</v>
      </c>
    </row>
    <row r="24" spans="1:19" x14ac:dyDescent="0.25">
      <c r="A24" t="s">
        <v>23</v>
      </c>
      <c r="B24" t="s">
        <v>30</v>
      </c>
      <c r="C24" t="s">
        <v>31</v>
      </c>
      <c r="D24">
        <v>305680</v>
      </c>
      <c r="E24" t="s">
        <v>64</v>
      </c>
      <c r="F24" t="s">
        <v>65</v>
      </c>
      <c r="H24" t="s">
        <v>34</v>
      </c>
      <c r="I24" t="s">
        <v>35</v>
      </c>
      <c r="J24" t="s">
        <v>24</v>
      </c>
      <c r="K24" t="s">
        <v>66</v>
      </c>
      <c r="L24" t="s">
        <v>25</v>
      </c>
      <c r="M24" s="10" t="s">
        <v>28</v>
      </c>
      <c r="N24">
        <v>0</v>
      </c>
      <c r="O24">
        <v>0</v>
      </c>
      <c r="P24">
        <v>5</v>
      </c>
      <c r="Q24">
        <v>2</v>
      </c>
      <c r="R24">
        <f t="shared" si="0"/>
        <v>5</v>
      </c>
      <c r="S24">
        <f t="shared" si="0"/>
        <v>2</v>
      </c>
    </row>
    <row r="25" spans="1:19" x14ac:dyDescent="0.25">
      <c r="A25" t="s">
        <v>23</v>
      </c>
      <c r="B25" t="s">
        <v>30</v>
      </c>
      <c r="C25" t="s">
        <v>31</v>
      </c>
      <c r="D25">
        <v>325104</v>
      </c>
      <c r="E25" t="s">
        <v>67</v>
      </c>
      <c r="F25" t="s">
        <v>68</v>
      </c>
      <c r="H25" t="s">
        <v>34</v>
      </c>
      <c r="I25" t="s">
        <v>35</v>
      </c>
      <c r="J25" t="s">
        <v>24</v>
      </c>
      <c r="K25" t="s">
        <v>36</v>
      </c>
      <c r="L25" t="s">
        <v>25</v>
      </c>
      <c r="M25" s="10" t="s">
        <v>27</v>
      </c>
      <c r="N25">
        <v>0</v>
      </c>
      <c r="O25">
        <v>0</v>
      </c>
      <c r="P25">
        <v>9</v>
      </c>
      <c r="Q25">
        <v>0</v>
      </c>
      <c r="R25">
        <f t="shared" si="0"/>
        <v>9</v>
      </c>
      <c r="S25">
        <f t="shared" si="0"/>
        <v>0</v>
      </c>
    </row>
    <row r="26" spans="1:19" x14ac:dyDescent="0.25">
      <c r="A26" t="s">
        <v>23</v>
      </c>
      <c r="B26" t="s">
        <v>30</v>
      </c>
      <c r="C26" t="s">
        <v>31</v>
      </c>
      <c r="D26">
        <v>500454</v>
      </c>
      <c r="E26" t="s">
        <v>69</v>
      </c>
      <c r="F26" t="s">
        <v>70</v>
      </c>
      <c r="H26" t="s">
        <v>34</v>
      </c>
      <c r="I26" t="s">
        <v>35</v>
      </c>
      <c r="J26" t="s">
        <v>24</v>
      </c>
      <c r="K26" t="s">
        <v>44</v>
      </c>
      <c r="L26" t="s">
        <v>25</v>
      </c>
      <c r="M26" s="10" t="s">
        <v>71</v>
      </c>
      <c r="N26">
        <v>2</v>
      </c>
      <c r="O26">
        <v>2</v>
      </c>
      <c r="P26">
        <v>1</v>
      </c>
      <c r="Q26">
        <v>3</v>
      </c>
      <c r="R26">
        <f t="shared" si="0"/>
        <v>3</v>
      </c>
      <c r="S26">
        <f t="shared" si="0"/>
        <v>5</v>
      </c>
    </row>
    <row r="27" spans="1:19" x14ac:dyDescent="0.25">
      <c r="A27" t="s">
        <v>23</v>
      </c>
      <c r="B27" t="s">
        <v>30</v>
      </c>
      <c r="C27" t="s">
        <v>31</v>
      </c>
      <c r="D27">
        <v>501424</v>
      </c>
      <c r="E27" t="s">
        <v>72</v>
      </c>
      <c r="F27" t="s">
        <v>73</v>
      </c>
      <c r="H27" t="s">
        <v>34</v>
      </c>
      <c r="I27" t="s">
        <v>35</v>
      </c>
      <c r="J27" t="s">
        <v>24</v>
      </c>
      <c r="K27" t="s">
        <v>74</v>
      </c>
      <c r="L27" t="s">
        <v>25</v>
      </c>
      <c r="M27" s="10" t="s">
        <v>29</v>
      </c>
      <c r="N27">
        <v>1</v>
      </c>
      <c r="O27">
        <v>5</v>
      </c>
      <c r="P27">
        <v>0</v>
      </c>
      <c r="Q27">
        <v>1</v>
      </c>
      <c r="R27">
        <f t="shared" si="0"/>
        <v>1</v>
      </c>
      <c r="S27">
        <f t="shared" si="0"/>
        <v>6</v>
      </c>
    </row>
    <row r="28" spans="1:19" x14ac:dyDescent="0.25">
      <c r="A28" t="s">
        <v>23</v>
      </c>
      <c r="B28" t="s">
        <v>30</v>
      </c>
      <c r="C28" t="s">
        <v>75</v>
      </c>
      <c r="D28">
        <v>101813</v>
      </c>
      <c r="E28" t="s">
        <v>76</v>
      </c>
      <c r="F28" t="s">
        <v>77</v>
      </c>
      <c r="H28" t="s">
        <v>34</v>
      </c>
      <c r="I28" t="s">
        <v>35</v>
      </c>
      <c r="J28" t="s">
        <v>24</v>
      </c>
      <c r="K28" t="s">
        <v>78</v>
      </c>
      <c r="L28" t="s">
        <v>25</v>
      </c>
      <c r="M28" s="10" t="s">
        <v>26</v>
      </c>
      <c r="N28">
        <v>0</v>
      </c>
      <c r="O28">
        <v>1</v>
      </c>
      <c r="P28">
        <v>0</v>
      </c>
      <c r="Q28">
        <v>0</v>
      </c>
      <c r="R28">
        <f t="shared" si="0"/>
        <v>0</v>
      </c>
      <c r="S28">
        <f t="shared" si="0"/>
        <v>1</v>
      </c>
    </row>
    <row r="29" spans="1:19" x14ac:dyDescent="0.25">
      <c r="A29" t="s">
        <v>23</v>
      </c>
      <c r="B29" t="s">
        <v>30</v>
      </c>
      <c r="C29" t="s">
        <v>75</v>
      </c>
      <c r="D29">
        <v>129387</v>
      </c>
      <c r="E29" t="s">
        <v>79</v>
      </c>
      <c r="F29" t="s">
        <v>80</v>
      </c>
      <c r="H29" t="s">
        <v>34</v>
      </c>
      <c r="I29" t="s">
        <v>35</v>
      </c>
      <c r="J29" t="s">
        <v>24</v>
      </c>
      <c r="K29" t="s">
        <v>81</v>
      </c>
      <c r="L29" t="s">
        <v>25</v>
      </c>
      <c r="M29" s="10" t="s">
        <v>26</v>
      </c>
      <c r="N29">
        <v>4</v>
      </c>
      <c r="O29">
        <v>2</v>
      </c>
      <c r="P29">
        <v>0</v>
      </c>
      <c r="Q29">
        <v>0</v>
      </c>
      <c r="R29">
        <f t="shared" si="0"/>
        <v>4</v>
      </c>
      <c r="S29">
        <f t="shared" si="0"/>
        <v>2</v>
      </c>
    </row>
    <row r="30" spans="1:19" x14ac:dyDescent="0.25">
      <c r="A30" t="s">
        <v>23</v>
      </c>
      <c r="B30" t="s">
        <v>30</v>
      </c>
      <c r="C30" t="s">
        <v>75</v>
      </c>
      <c r="D30">
        <v>129388</v>
      </c>
      <c r="E30" t="s">
        <v>82</v>
      </c>
      <c r="F30" t="s">
        <v>83</v>
      </c>
      <c r="H30" t="s">
        <v>34</v>
      </c>
      <c r="I30" t="s">
        <v>35</v>
      </c>
      <c r="J30" t="s">
        <v>24</v>
      </c>
      <c r="K30" t="s">
        <v>84</v>
      </c>
      <c r="L30" t="s">
        <v>25</v>
      </c>
      <c r="M30" s="10" t="s">
        <v>26</v>
      </c>
      <c r="N30">
        <v>2</v>
      </c>
      <c r="O30">
        <v>6</v>
      </c>
      <c r="P30">
        <v>0</v>
      </c>
      <c r="Q30">
        <v>0</v>
      </c>
      <c r="R30">
        <f t="shared" si="0"/>
        <v>2</v>
      </c>
      <c r="S30">
        <f t="shared" si="0"/>
        <v>6</v>
      </c>
    </row>
    <row r="31" spans="1:19" x14ac:dyDescent="0.25">
      <c r="A31" t="s">
        <v>23</v>
      </c>
      <c r="B31" t="s">
        <v>30</v>
      </c>
      <c r="C31" t="s">
        <v>75</v>
      </c>
      <c r="D31">
        <v>129389</v>
      </c>
      <c r="E31" t="s">
        <v>85</v>
      </c>
      <c r="F31" t="s">
        <v>86</v>
      </c>
      <c r="H31" t="s">
        <v>34</v>
      </c>
      <c r="I31" t="s">
        <v>35</v>
      </c>
      <c r="J31" t="s">
        <v>24</v>
      </c>
      <c r="K31" t="s">
        <v>66</v>
      </c>
      <c r="L31" t="s">
        <v>25</v>
      </c>
      <c r="M31" s="10" t="s">
        <v>26</v>
      </c>
      <c r="N31">
        <v>10</v>
      </c>
      <c r="O31">
        <v>0</v>
      </c>
      <c r="P31">
        <v>0</v>
      </c>
      <c r="Q31">
        <v>0</v>
      </c>
      <c r="R31">
        <f t="shared" si="0"/>
        <v>10</v>
      </c>
      <c r="S31">
        <f t="shared" si="0"/>
        <v>0</v>
      </c>
    </row>
    <row r="32" spans="1:19" x14ac:dyDescent="0.25">
      <c r="A32" t="s">
        <v>23</v>
      </c>
      <c r="B32" t="s">
        <v>30</v>
      </c>
      <c r="C32" t="s">
        <v>75</v>
      </c>
      <c r="D32">
        <v>129390</v>
      </c>
      <c r="E32" t="s">
        <v>87</v>
      </c>
      <c r="F32" t="s">
        <v>88</v>
      </c>
      <c r="H32" t="s">
        <v>34</v>
      </c>
      <c r="I32" t="s">
        <v>35</v>
      </c>
      <c r="J32" t="s">
        <v>24</v>
      </c>
      <c r="K32" t="s">
        <v>81</v>
      </c>
      <c r="L32" t="s">
        <v>25</v>
      </c>
      <c r="M32" s="10" t="s">
        <v>26</v>
      </c>
      <c r="N32">
        <v>12</v>
      </c>
      <c r="O32">
        <v>1</v>
      </c>
      <c r="P32">
        <v>0</v>
      </c>
      <c r="Q32">
        <v>0</v>
      </c>
      <c r="R32">
        <f t="shared" si="0"/>
        <v>12</v>
      </c>
      <c r="S32">
        <f t="shared" si="0"/>
        <v>1</v>
      </c>
    </row>
    <row r="33" spans="1:19" x14ac:dyDescent="0.25">
      <c r="A33" t="s">
        <v>23</v>
      </c>
      <c r="B33" t="s">
        <v>30</v>
      </c>
      <c r="C33" t="s">
        <v>75</v>
      </c>
      <c r="D33">
        <v>129391</v>
      </c>
      <c r="E33" t="s">
        <v>89</v>
      </c>
      <c r="F33" t="s">
        <v>90</v>
      </c>
      <c r="H33" t="s">
        <v>34</v>
      </c>
      <c r="I33" t="s">
        <v>35</v>
      </c>
      <c r="J33" t="s">
        <v>24</v>
      </c>
      <c r="K33" t="s">
        <v>91</v>
      </c>
      <c r="L33" t="s">
        <v>25</v>
      </c>
      <c r="M33" s="10" t="s">
        <v>26</v>
      </c>
      <c r="N33">
        <v>1</v>
      </c>
      <c r="O33">
        <v>7</v>
      </c>
      <c r="P33">
        <v>0</v>
      </c>
      <c r="Q33">
        <v>0</v>
      </c>
      <c r="R33">
        <f t="shared" si="0"/>
        <v>1</v>
      </c>
      <c r="S33">
        <f t="shared" si="0"/>
        <v>7</v>
      </c>
    </row>
    <row r="34" spans="1:19" x14ac:dyDescent="0.25">
      <c r="A34" t="s">
        <v>23</v>
      </c>
      <c r="B34" t="s">
        <v>30</v>
      </c>
      <c r="C34" t="s">
        <v>75</v>
      </c>
      <c r="D34">
        <v>129392</v>
      </c>
      <c r="E34" t="s">
        <v>92</v>
      </c>
      <c r="F34" t="s">
        <v>93</v>
      </c>
      <c r="H34" t="s">
        <v>34</v>
      </c>
      <c r="I34" t="s">
        <v>35</v>
      </c>
      <c r="J34" t="s">
        <v>24</v>
      </c>
      <c r="K34" t="s">
        <v>94</v>
      </c>
      <c r="L34" t="s">
        <v>25</v>
      </c>
      <c r="M34" s="10" t="s">
        <v>26</v>
      </c>
      <c r="N34">
        <v>3</v>
      </c>
      <c r="O34">
        <v>4</v>
      </c>
      <c r="P34">
        <v>0</v>
      </c>
      <c r="Q34">
        <v>0</v>
      </c>
      <c r="R34">
        <f t="shared" si="0"/>
        <v>3</v>
      </c>
      <c r="S34">
        <f t="shared" si="0"/>
        <v>4</v>
      </c>
    </row>
    <row r="35" spans="1:19" x14ac:dyDescent="0.25">
      <c r="A35" t="s">
        <v>23</v>
      </c>
      <c r="B35" t="s">
        <v>30</v>
      </c>
      <c r="C35" t="s">
        <v>75</v>
      </c>
      <c r="D35">
        <v>129393</v>
      </c>
      <c r="E35" t="s">
        <v>95</v>
      </c>
      <c r="F35" t="s">
        <v>96</v>
      </c>
      <c r="H35" t="s">
        <v>34</v>
      </c>
      <c r="I35" t="s">
        <v>35</v>
      </c>
      <c r="J35" t="s">
        <v>24</v>
      </c>
      <c r="K35" t="s">
        <v>97</v>
      </c>
      <c r="L35" t="s">
        <v>25</v>
      </c>
      <c r="M35" s="10" t="s">
        <v>26</v>
      </c>
      <c r="N35">
        <v>0</v>
      </c>
      <c r="O35">
        <v>2</v>
      </c>
      <c r="P35">
        <v>0</v>
      </c>
      <c r="Q35">
        <v>0</v>
      </c>
      <c r="R35">
        <f t="shared" si="0"/>
        <v>0</v>
      </c>
      <c r="S35">
        <f t="shared" si="0"/>
        <v>2</v>
      </c>
    </row>
    <row r="36" spans="1:19" x14ac:dyDescent="0.25">
      <c r="A36" t="s">
        <v>23</v>
      </c>
      <c r="B36" t="s">
        <v>30</v>
      </c>
      <c r="C36" t="s">
        <v>75</v>
      </c>
      <c r="D36">
        <v>129394</v>
      </c>
      <c r="E36" t="s">
        <v>98</v>
      </c>
      <c r="F36" t="s">
        <v>99</v>
      </c>
      <c r="H36" t="s">
        <v>34</v>
      </c>
      <c r="I36" t="s">
        <v>35</v>
      </c>
      <c r="J36" t="s">
        <v>24</v>
      </c>
      <c r="K36" t="s">
        <v>91</v>
      </c>
      <c r="L36" t="s">
        <v>25</v>
      </c>
      <c r="M36" s="10" t="s">
        <v>26</v>
      </c>
      <c r="N36">
        <v>0</v>
      </c>
      <c r="O36">
        <v>3</v>
      </c>
      <c r="P36">
        <v>0</v>
      </c>
      <c r="Q36">
        <v>0</v>
      </c>
      <c r="R36">
        <f t="shared" si="0"/>
        <v>0</v>
      </c>
      <c r="S36">
        <f t="shared" si="0"/>
        <v>3</v>
      </c>
    </row>
    <row r="37" spans="1:19" x14ac:dyDescent="0.25">
      <c r="A37" t="s">
        <v>23</v>
      </c>
      <c r="B37" t="s">
        <v>30</v>
      </c>
      <c r="C37" t="s">
        <v>75</v>
      </c>
      <c r="D37">
        <v>129395</v>
      </c>
      <c r="E37" t="s">
        <v>100</v>
      </c>
      <c r="F37" t="s">
        <v>101</v>
      </c>
      <c r="H37" t="s">
        <v>34</v>
      </c>
      <c r="I37" t="s">
        <v>35</v>
      </c>
      <c r="J37" t="s">
        <v>24</v>
      </c>
      <c r="K37" t="s">
        <v>66</v>
      </c>
      <c r="L37" t="s">
        <v>25</v>
      </c>
      <c r="M37" s="10" t="s">
        <v>26</v>
      </c>
      <c r="N37">
        <v>1</v>
      </c>
      <c r="O37">
        <v>11</v>
      </c>
      <c r="P37">
        <v>0</v>
      </c>
      <c r="Q37">
        <v>0</v>
      </c>
      <c r="R37">
        <f t="shared" si="0"/>
        <v>1</v>
      </c>
      <c r="S37">
        <f t="shared" si="0"/>
        <v>11</v>
      </c>
    </row>
    <row r="38" spans="1:19" x14ac:dyDescent="0.25">
      <c r="A38" t="s">
        <v>23</v>
      </c>
      <c r="B38" t="s">
        <v>30</v>
      </c>
      <c r="C38" t="s">
        <v>75</v>
      </c>
      <c r="D38">
        <v>129396</v>
      </c>
      <c r="E38" t="s">
        <v>102</v>
      </c>
      <c r="F38" t="s">
        <v>103</v>
      </c>
      <c r="H38" t="s">
        <v>34</v>
      </c>
      <c r="I38" t="s">
        <v>35</v>
      </c>
      <c r="J38" t="s">
        <v>24</v>
      </c>
      <c r="K38" t="s">
        <v>97</v>
      </c>
      <c r="L38" t="s">
        <v>25</v>
      </c>
      <c r="M38" s="10" t="s">
        <v>26</v>
      </c>
      <c r="N38">
        <v>7</v>
      </c>
      <c r="O38">
        <v>0</v>
      </c>
      <c r="P38">
        <v>0</v>
      </c>
      <c r="Q38">
        <v>0</v>
      </c>
      <c r="R38">
        <f t="shared" si="0"/>
        <v>7</v>
      </c>
      <c r="S38">
        <f t="shared" si="0"/>
        <v>0</v>
      </c>
    </row>
    <row r="39" spans="1:19" x14ac:dyDescent="0.25">
      <c r="A39" t="s">
        <v>23</v>
      </c>
      <c r="B39" t="s">
        <v>30</v>
      </c>
      <c r="C39" t="s">
        <v>75</v>
      </c>
      <c r="D39">
        <v>129397</v>
      </c>
      <c r="E39" t="s">
        <v>104</v>
      </c>
      <c r="F39" t="s">
        <v>105</v>
      </c>
      <c r="H39" t="s">
        <v>34</v>
      </c>
      <c r="I39" t="s">
        <v>35</v>
      </c>
      <c r="J39" t="s">
        <v>24</v>
      </c>
      <c r="K39" t="s">
        <v>106</v>
      </c>
      <c r="L39" t="s">
        <v>25</v>
      </c>
      <c r="M39" s="10" t="s">
        <v>26</v>
      </c>
      <c r="N39">
        <v>5</v>
      </c>
      <c r="O39">
        <v>2</v>
      </c>
      <c r="P39">
        <v>0</v>
      </c>
      <c r="Q39">
        <v>0</v>
      </c>
      <c r="R39">
        <f t="shared" si="0"/>
        <v>5</v>
      </c>
      <c r="S39">
        <f t="shared" si="0"/>
        <v>2</v>
      </c>
    </row>
    <row r="40" spans="1:19" x14ac:dyDescent="0.25">
      <c r="A40" t="s">
        <v>23</v>
      </c>
      <c r="B40" t="s">
        <v>30</v>
      </c>
      <c r="C40" t="s">
        <v>75</v>
      </c>
      <c r="D40">
        <v>129398</v>
      </c>
      <c r="E40" t="s">
        <v>107</v>
      </c>
      <c r="F40" t="s">
        <v>108</v>
      </c>
      <c r="H40" t="s">
        <v>34</v>
      </c>
      <c r="I40" t="s">
        <v>35</v>
      </c>
      <c r="J40" t="s">
        <v>24</v>
      </c>
      <c r="K40" t="s">
        <v>109</v>
      </c>
      <c r="L40" t="s">
        <v>25</v>
      </c>
      <c r="M40" s="10" t="s">
        <v>26</v>
      </c>
      <c r="N40">
        <v>2</v>
      </c>
      <c r="O40">
        <v>7</v>
      </c>
      <c r="P40">
        <v>0</v>
      </c>
      <c r="Q40">
        <v>0</v>
      </c>
      <c r="R40">
        <f t="shared" si="0"/>
        <v>2</v>
      </c>
      <c r="S40">
        <f t="shared" si="0"/>
        <v>7</v>
      </c>
    </row>
    <row r="41" spans="1:19" x14ac:dyDescent="0.25">
      <c r="A41" t="s">
        <v>23</v>
      </c>
      <c r="B41" t="s">
        <v>30</v>
      </c>
      <c r="C41" t="s">
        <v>75</v>
      </c>
      <c r="D41">
        <v>129399</v>
      </c>
      <c r="E41" t="s">
        <v>110</v>
      </c>
      <c r="F41" t="s">
        <v>111</v>
      </c>
      <c r="H41" t="s">
        <v>34</v>
      </c>
      <c r="I41" t="s">
        <v>35</v>
      </c>
      <c r="J41" t="s">
        <v>24</v>
      </c>
      <c r="K41" t="s">
        <v>112</v>
      </c>
      <c r="L41" t="s">
        <v>25</v>
      </c>
      <c r="M41" s="10" t="s">
        <v>26</v>
      </c>
      <c r="N41">
        <v>1</v>
      </c>
      <c r="O41">
        <v>8</v>
      </c>
      <c r="P41">
        <v>0</v>
      </c>
      <c r="Q41">
        <v>0</v>
      </c>
      <c r="R41">
        <f t="shared" si="0"/>
        <v>1</v>
      </c>
      <c r="S41">
        <f t="shared" si="0"/>
        <v>8</v>
      </c>
    </row>
    <row r="42" spans="1:19" x14ac:dyDescent="0.25">
      <c r="A42" t="s">
        <v>23</v>
      </c>
      <c r="B42" t="s">
        <v>30</v>
      </c>
      <c r="C42" t="s">
        <v>75</v>
      </c>
      <c r="D42">
        <v>129400</v>
      </c>
      <c r="E42" t="s">
        <v>113</v>
      </c>
      <c r="F42" t="s">
        <v>114</v>
      </c>
      <c r="H42" t="s">
        <v>34</v>
      </c>
      <c r="I42" t="s">
        <v>35</v>
      </c>
      <c r="J42" t="s">
        <v>24</v>
      </c>
      <c r="K42" t="s">
        <v>109</v>
      </c>
      <c r="L42" t="s">
        <v>25</v>
      </c>
      <c r="M42" s="10" t="s">
        <v>26</v>
      </c>
      <c r="N42">
        <v>3</v>
      </c>
      <c r="O42">
        <v>17</v>
      </c>
      <c r="P42">
        <v>0</v>
      </c>
      <c r="Q42">
        <v>0</v>
      </c>
      <c r="R42">
        <f t="shared" si="0"/>
        <v>3</v>
      </c>
      <c r="S42">
        <f t="shared" si="0"/>
        <v>17</v>
      </c>
    </row>
    <row r="43" spans="1:19" x14ac:dyDescent="0.25">
      <c r="A43" t="s">
        <v>23</v>
      </c>
      <c r="B43" t="s">
        <v>30</v>
      </c>
      <c r="C43" t="s">
        <v>75</v>
      </c>
      <c r="D43">
        <v>129401</v>
      </c>
      <c r="E43" t="s">
        <v>115</v>
      </c>
      <c r="F43" t="s">
        <v>116</v>
      </c>
      <c r="H43" t="s">
        <v>34</v>
      </c>
      <c r="I43" t="s">
        <v>35</v>
      </c>
      <c r="J43" t="s">
        <v>24</v>
      </c>
      <c r="K43" t="s">
        <v>84</v>
      </c>
      <c r="L43" t="s">
        <v>25</v>
      </c>
      <c r="M43" s="10" t="s">
        <v>26</v>
      </c>
      <c r="N43">
        <v>5</v>
      </c>
      <c r="O43">
        <v>1</v>
      </c>
      <c r="P43">
        <v>0</v>
      </c>
      <c r="Q43">
        <v>0</v>
      </c>
      <c r="R43">
        <f t="shared" si="0"/>
        <v>5</v>
      </c>
      <c r="S43">
        <f t="shared" si="0"/>
        <v>1</v>
      </c>
    </row>
    <row r="44" spans="1:19" x14ac:dyDescent="0.25">
      <c r="A44" t="s">
        <v>23</v>
      </c>
      <c r="B44" t="s">
        <v>30</v>
      </c>
      <c r="C44" t="s">
        <v>75</v>
      </c>
      <c r="D44">
        <v>129402</v>
      </c>
      <c r="E44" t="s">
        <v>117</v>
      </c>
      <c r="F44" t="s">
        <v>118</v>
      </c>
      <c r="H44" t="s">
        <v>34</v>
      </c>
      <c r="I44" t="s">
        <v>35</v>
      </c>
      <c r="J44" t="s">
        <v>24</v>
      </c>
      <c r="K44" t="s">
        <v>97</v>
      </c>
      <c r="L44" t="s">
        <v>25</v>
      </c>
      <c r="M44" s="10" t="s">
        <v>26</v>
      </c>
      <c r="N44">
        <v>4</v>
      </c>
      <c r="O44">
        <v>1</v>
      </c>
      <c r="P44">
        <v>0</v>
      </c>
      <c r="Q44">
        <v>0</v>
      </c>
      <c r="R44">
        <f t="shared" si="0"/>
        <v>4</v>
      </c>
      <c r="S44">
        <f t="shared" si="0"/>
        <v>1</v>
      </c>
    </row>
    <row r="45" spans="1:19" x14ac:dyDescent="0.25">
      <c r="A45" t="s">
        <v>23</v>
      </c>
      <c r="B45" t="s">
        <v>30</v>
      </c>
      <c r="C45" t="s">
        <v>75</v>
      </c>
      <c r="D45">
        <v>129403</v>
      </c>
      <c r="E45" t="s">
        <v>119</v>
      </c>
      <c r="F45" t="s">
        <v>120</v>
      </c>
      <c r="H45" t="s">
        <v>34</v>
      </c>
      <c r="I45" t="s">
        <v>35</v>
      </c>
      <c r="J45" t="s">
        <v>24</v>
      </c>
      <c r="K45" t="s">
        <v>78</v>
      </c>
      <c r="L45" t="s">
        <v>25</v>
      </c>
      <c r="M45" s="10" t="s">
        <v>26</v>
      </c>
      <c r="N45">
        <v>0</v>
      </c>
      <c r="O45">
        <v>6</v>
      </c>
      <c r="P45">
        <v>0</v>
      </c>
      <c r="Q45">
        <v>0</v>
      </c>
      <c r="R45">
        <f t="shared" si="0"/>
        <v>0</v>
      </c>
      <c r="S45">
        <f t="shared" si="0"/>
        <v>6</v>
      </c>
    </row>
    <row r="46" spans="1:19" x14ac:dyDescent="0.25">
      <c r="A46" t="s">
        <v>23</v>
      </c>
      <c r="B46" t="s">
        <v>30</v>
      </c>
      <c r="C46" t="s">
        <v>75</v>
      </c>
      <c r="D46">
        <v>129404</v>
      </c>
      <c r="E46" t="s">
        <v>121</v>
      </c>
      <c r="F46" t="s">
        <v>122</v>
      </c>
      <c r="H46" t="s">
        <v>34</v>
      </c>
      <c r="I46" t="s">
        <v>35</v>
      </c>
      <c r="J46" t="s">
        <v>24</v>
      </c>
      <c r="K46" t="s">
        <v>123</v>
      </c>
      <c r="L46" t="s">
        <v>25</v>
      </c>
      <c r="M46" s="10" t="s">
        <v>26</v>
      </c>
      <c r="N46">
        <v>6</v>
      </c>
      <c r="O46">
        <v>0</v>
      </c>
      <c r="P46">
        <v>0</v>
      </c>
      <c r="Q46">
        <v>0</v>
      </c>
      <c r="R46">
        <f t="shared" si="0"/>
        <v>6</v>
      </c>
      <c r="S46">
        <f t="shared" si="0"/>
        <v>0</v>
      </c>
    </row>
    <row r="47" spans="1:19" x14ac:dyDescent="0.25">
      <c r="A47" t="s">
        <v>23</v>
      </c>
      <c r="B47" t="s">
        <v>30</v>
      </c>
      <c r="C47" t="s">
        <v>75</v>
      </c>
      <c r="D47">
        <v>129405</v>
      </c>
      <c r="E47" t="s">
        <v>124</v>
      </c>
      <c r="F47" t="s">
        <v>125</v>
      </c>
      <c r="H47" t="s">
        <v>34</v>
      </c>
      <c r="I47" t="s">
        <v>35</v>
      </c>
      <c r="J47" t="s">
        <v>24</v>
      </c>
      <c r="K47" t="s">
        <v>126</v>
      </c>
      <c r="L47" t="s">
        <v>25</v>
      </c>
      <c r="M47" s="10" t="s">
        <v>26</v>
      </c>
      <c r="N47">
        <v>8</v>
      </c>
      <c r="O47">
        <v>1</v>
      </c>
      <c r="P47">
        <v>0</v>
      </c>
      <c r="Q47">
        <v>0</v>
      </c>
      <c r="R47">
        <f t="shared" si="0"/>
        <v>8</v>
      </c>
      <c r="S47">
        <f t="shared" si="0"/>
        <v>1</v>
      </c>
    </row>
    <row r="48" spans="1:19" x14ac:dyDescent="0.25">
      <c r="A48" t="s">
        <v>23</v>
      </c>
      <c r="B48" t="s">
        <v>30</v>
      </c>
      <c r="C48" t="s">
        <v>75</v>
      </c>
      <c r="D48">
        <v>129406</v>
      </c>
      <c r="E48" t="s">
        <v>127</v>
      </c>
      <c r="F48" t="s">
        <v>128</v>
      </c>
      <c r="H48" t="s">
        <v>34</v>
      </c>
      <c r="I48" t="s">
        <v>35</v>
      </c>
      <c r="J48" t="s">
        <v>24</v>
      </c>
      <c r="K48" t="s">
        <v>94</v>
      </c>
      <c r="L48" t="s">
        <v>25</v>
      </c>
      <c r="M48" s="10" t="s">
        <v>26</v>
      </c>
      <c r="N48">
        <v>1</v>
      </c>
      <c r="O48">
        <v>3</v>
      </c>
      <c r="P48">
        <v>0</v>
      </c>
      <c r="Q48">
        <v>0</v>
      </c>
      <c r="R48">
        <f t="shared" ref="R48:S80" si="1">N48+P48</f>
        <v>1</v>
      </c>
      <c r="S48">
        <f t="shared" si="1"/>
        <v>3</v>
      </c>
    </row>
    <row r="49" spans="1:19" x14ac:dyDescent="0.25">
      <c r="A49" t="s">
        <v>23</v>
      </c>
      <c r="B49" t="s">
        <v>30</v>
      </c>
      <c r="C49" t="s">
        <v>75</v>
      </c>
      <c r="D49">
        <v>129407</v>
      </c>
      <c r="E49" t="s">
        <v>129</v>
      </c>
      <c r="F49" t="s">
        <v>130</v>
      </c>
      <c r="H49" t="s">
        <v>34</v>
      </c>
      <c r="I49" t="s">
        <v>35</v>
      </c>
      <c r="J49" t="s">
        <v>24</v>
      </c>
      <c r="K49" t="s">
        <v>106</v>
      </c>
      <c r="L49" t="s">
        <v>25</v>
      </c>
      <c r="M49" s="10" t="s">
        <v>26</v>
      </c>
      <c r="N49">
        <v>4</v>
      </c>
      <c r="O49">
        <v>6</v>
      </c>
      <c r="P49">
        <v>0</v>
      </c>
      <c r="Q49">
        <v>0</v>
      </c>
      <c r="R49">
        <f t="shared" si="1"/>
        <v>4</v>
      </c>
      <c r="S49">
        <f t="shared" si="1"/>
        <v>6</v>
      </c>
    </row>
    <row r="50" spans="1:19" x14ac:dyDescent="0.25">
      <c r="A50" t="s">
        <v>23</v>
      </c>
      <c r="B50" t="s">
        <v>30</v>
      </c>
      <c r="C50" t="s">
        <v>75</v>
      </c>
      <c r="D50">
        <v>129408</v>
      </c>
      <c r="E50" t="s">
        <v>131</v>
      </c>
      <c r="F50" t="s">
        <v>132</v>
      </c>
      <c r="H50" t="s">
        <v>34</v>
      </c>
      <c r="I50" t="s">
        <v>35</v>
      </c>
      <c r="J50" t="s">
        <v>24</v>
      </c>
      <c r="K50" t="s">
        <v>109</v>
      </c>
      <c r="L50" t="s">
        <v>25</v>
      </c>
      <c r="M50" s="10" t="s">
        <v>26</v>
      </c>
      <c r="N50">
        <v>5</v>
      </c>
      <c r="O50">
        <v>0</v>
      </c>
      <c r="P50">
        <v>0</v>
      </c>
      <c r="Q50">
        <v>0</v>
      </c>
      <c r="R50">
        <f t="shared" si="1"/>
        <v>5</v>
      </c>
      <c r="S50">
        <f t="shared" si="1"/>
        <v>0</v>
      </c>
    </row>
    <row r="51" spans="1:19" x14ac:dyDescent="0.25">
      <c r="A51" t="s">
        <v>23</v>
      </c>
      <c r="B51" t="s">
        <v>30</v>
      </c>
      <c r="C51" t="s">
        <v>75</v>
      </c>
      <c r="D51">
        <v>129409</v>
      </c>
      <c r="E51" t="s">
        <v>133</v>
      </c>
      <c r="F51" t="s">
        <v>134</v>
      </c>
      <c r="H51" t="s">
        <v>34</v>
      </c>
      <c r="I51" t="s">
        <v>35</v>
      </c>
      <c r="J51" t="s">
        <v>24</v>
      </c>
      <c r="K51" t="s">
        <v>135</v>
      </c>
      <c r="L51" t="s">
        <v>25</v>
      </c>
      <c r="M51" s="10" t="s">
        <v>26</v>
      </c>
      <c r="N51">
        <v>3</v>
      </c>
      <c r="O51">
        <v>9</v>
      </c>
      <c r="P51">
        <v>0</v>
      </c>
      <c r="Q51">
        <v>0</v>
      </c>
      <c r="R51">
        <f t="shared" si="1"/>
        <v>3</v>
      </c>
      <c r="S51">
        <f t="shared" si="1"/>
        <v>9</v>
      </c>
    </row>
    <row r="52" spans="1:19" x14ac:dyDescent="0.25">
      <c r="A52" t="s">
        <v>23</v>
      </c>
      <c r="B52" t="s">
        <v>30</v>
      </c>
      <c r="C52" t="s">
        <v>75</v>
      </c>
      <c r="D52">
        <v>257001</v>
      </c>
      <c r="E52" t="s">
        <v>136</v>
      </c>
      <c r="F52" t="s">
        <v>137</v>
      </c>
      <c r="H52" t="s">
        <v>34</v>
      </c>
      <c r="I52" t="s">
        <v>35</v>
      </c>
      <c r="J52" t="s">
        <v>24</v>
      </c>
      <c r="K52" t="s">
        <v>66</v>
      </c>
      <c r="L52" t="s">
        <v>25</v>
      </c>
      <c r="M52" s="10" t="s">
        <v>26</v>
      </c>
      <c r="N52">
        <v>3</v>
      </c>
      <c r="O52">
        <v>0</v>
      </c>
      <c r="P52">
        <v>0</v>
      </c>
      <c r="Q52">
        <v>0</v>
      </c>
      <c r="R52">
        <f t="shared" si="1"/>
        <v>3</v>
      </c>
      <c r="S52">
        <f t="shared" si="1"/>
        <v>0</v>
      </c>
    </row>
    <row r="53" spans="1:19" x14ac:dyDescent="0.25">
      <c r="A53" t="s">
        <v>23</v>
      </c>
      <c r="B53" t="s">
        <v>30</v>
      </c>
      <c r="C53" t="s">
        <v>75</v>
      </c>
      <c r="D53">
        <v>304303</v>
      </c>
      <c r="E53" t="s">
        <v>138</v>
      </c>
      <c r="F53" t="s">
        <v>139</v>
      </c>
      <c r="H53" t="s">
        <v>34</v>
      </c>
      <c r="I53" t="s">
        <v>35</v>
      </c>
      <c r="J53" t="s">
        <v>24</v>
      </c>
      <c r="K53" t="s">
        <v>81</v>
      </c>
      <c r="L53" t="s">
        <v>25</v>
      </c>
      <c r="M53" s="10" t="s">
        <v>27</v>
      </c>
      <c r="N53">
        <v>0</v>
      </c>
      <c r="O53">
        <v>0</v>
      </c>
      <c r="P53">
        <v>6</v>
      </c>
      <c r="Q53">
        <v>10</v>
      </c>
      <c r="R53">
        <f t="shared" si="1"/>
        <v>6</v>
      </c>
      <c r="S53">
        <f t="shared" si="1"/>
        <v>10</v>
      </c>
    </row>
    <row r="54" spans="1:19" x14ac:dyDescent="0.25">
      <c r="A54" t="s">
        <v>23</v>
      </c>
      <c r="B54" t="s">
        <v>30</v>
      </c>
      <c r="C54" t="s">
        <v>75</v>
      </c>
      <c r="D54">
        <v>304305</v>
      </c>
      <c r="E54" t="s">
        <v>140</v>
      </c>
      <c r="F54" t="s">
        <v>141</v>
      </c>
      <c r="H54" t="s">
        <v>34</v>
      </c>
      <c r="I54" t="s">
        <v>35</v>
      </c>
      <c r="J54" t="s">
        <v>24</v>
      </c>
      <c r="K54" t="s">
        <v>91</v>
      </c>
      <c r="L54" t="s">
        <v>25</v>
      </c>
      <c r="M54" s="10" t="s">
        <v>27</v>
      </c>
      <c r="N54">
        <v>0</v>
      </c>
      <c r="O54">
        <v>0</v>
      </c>
      <c r="P54">
        <v>14</v>
      </c>
      <c r="Q54">
        <v>1</v>
      </c>
      <c r="R54">
        <f t="shared" si="1"/>
        <v>14</v>
      </c>
      <c r="S54">
        <f t="shared" si="1"/>
        <v>1</v>
      </c>
    </row>
    <row r="55" spans="1:19" x14ac:dyDescent="0.25">
      <c r="A55" t="s">
        <v>23</v>
      </c>
      <c r="B55" t="s">
        <v>30</v>
      </c>
      <c r="C55" t="s">
        <v>75</v>
      </c>
      <c r="D55">
        <v>304314</v>
      </c>
      <c r="E55" t="s">
        <v>142</v>
      </c>
      <c r="F55" t="s">
        <v>111</v>
      </c>
      <c r="H55" t="s">
        <v>34</v>
      </c>
      <c r="I55" t="s">
        <v>35</v>
      </c>
      <c r="J55" t="s">
        <v>24</v>
      </c>
      <c r="K55" t="s">
        <v>112</v>
      </c>
      <c r="L55" t="s">
        <v>25</v>
      </c>
      <c r="M55" s="10" t="s">
        <v>27</v>
      </c>
      <c r="N55">
        <v>0</v>
      </c>
      <c r="O55">
        <v>0</v>
      </c>
      <c r="P55">
        <v>5</v>
      </c>
      <c r="Q55">
        <v>6</v>
      </c>
      <c r="R55">
        <f t="shared" si="1"/>
        <v>5</v>
      </c>
      <c r="S55">
        <f t="shared" si="1"/>
        <v>6</v>
      </c>
    </row>
    <row r="56" spans="1:19" x14ac:dyDescent="0.25">
      <c r="A56" t="s">
        <v>23</v>
      </c>
      <c r="B56" t="s">
        <v>30</v>
      </c>
      <c r="C56" t="s">
        <v>75</v>
      </c>
      <c r="D56">
        <v>304327</v>
      </c>
      <c r="E56" t="s">
        <v>143</v>
      </c>
      <c r="F56" t="s">
        <v>144</v>
      </c>
      <c r="H56" t="s">
        <v>34</v>
      </c>
      <c r="I56" t="s">
        <v>35</v>
      </c>
      <c r="J56" t="s">
        <v>24</v>
      </c>
      <c r="K56" t="s">
        <v>109</v>
      </c>
      <c r="L56" t="s">
        <v>25</v>
      </c>
      <c r="M56" s="10" t="s">
        <v>27</v>
      </c>
      <c r="N56">
        <v>0</v>
      </c>
      <c r="O56">
        <v>0</v>
      </c>
      <c r="P56">
        <v>0</v>
      </c>
      <c r="Q56">
        <v>19</v>
      </c>
      <c r="R56">
        <f t="shared" si="1"/>
        <v>0</v>
      </c>
      <c r="S56">
        <f t="shared" si="1"/>
        <v>19</v>
      </c>
    </row>
    <row r="57" spans="1:19" x14ac:dyDescent="0.25">
      <c r="A57" t="s">
        <v>23</v>
      </c>
      <c r="B57" t="s">
        <v>30</v>
      </c>
      <c r="C57" t="s">
        <v>75</v>
      </c>
      <c r="D57">
        <v>304328</v>
      </c>
      <c r="E57" t="s">
        <v>145</v>
      </c>
      <c r="F57" t="s">
        <v>146</v>
      </c>
      <c r="H57" t="s">
        <v>34</v>
      </c>
      <c r="I57" t="s">
        <v>35</v>
      </c>
      <c r="J57" t="s">
        <v>24</v>
      </c>
      <c r="K57" t="s">
        <v>66</v>
      </c>
      <c r="L57" t="s">
        <v>25</v>
      </c>
      <c r="M57" s="10" t="s">
        <v>27</v>
      </c>
      <c r="N57">
        <v>0</v>
      </c>
      <c r="O57">
        <v>0</v>
      </c>
      <c r="P57">
        <v>9</v>
      </c>
      <c r="Q57">
        <v>12</v>
      </c>
      <c r="R57">
        <f t="shared" si="1"/>
        <v>9</v>
      </c>
      <c r="S57">
        <f t="shared" si="1"/>
        <v>12</v>
      </c>
    </row>
    <row r="58" spans="1:19" x14ac:dyDescent="0.25">
      <c r="A58" t="s">
        <v>23</v>
      </c>
      <c r="B58" t="s">
        <v>30</v>
      </c>
      <c r="C58" t="s">
        <v>75</v>
      </c>
      <c r="D58">
        <v>304338</v>
      </c>
      <c r="E58" t="s">
        <v>147</v>
      </c>
      <c r="F58" t="s">
        <v>148</v>
      </c>
      <c r="H58" t="s">
        <v>34</v>
      </c>
      <c r="I58" t="s">
        <v>35</v>
      </c>
      <c r="J58" t="s">
        <v>24</v>
      </c>
      <c r="K58" t="s">
        <v>126</v>
      </c>
      <c r="L58" t="s">
        <v>25</v>
      </c>
      <c r="M58" s="10" t="s">
        <v>27</v>
      </c>
      <c r="N58">
        <v>0</v>
      </c>
      <c r="O58">
        <v>0</v>
      </c>
      <c r="P58">
        <v>10</v>
      </c>
      <c r="Q58">
        <v>1</v>
      </c>
      <c r="R58">
        <f t="shared" si="1"/>
        <v>10</v>
      </c>
      <c r="S58">
        <f t="shared" si="1"/>
        <v>1</v>
      </c>
    </row>
    <row r="59" spans="1:19" x14ac:dyDescent="0.25">
      <c r="A59" t="s">
        <v>23</v>
      </c>
      <c r="B59" t="s">
        <v>30</v>
      </c>
      <c r="C59" t="s">
        <v>75</v>
      </c>
      <c r="D59">
        <v>316104</v>
      </c>
      <c r="E59" t="s">
        <v>149</v>
      </c>
      <c r="F59" t="s">
        <v>150</v>
      </c>
      <c r="H59" t="s">
        <v>34</v>
      </c>
      <c r="I59" t="s">
        <v>35</v>
      </c>
      <c r="J59" t="s">
        <v>24</v>
      </c>
      <c r="K59" t="s">
        <v>97</v>
      </c>
      <c r="L59" t="s">
        <v>25</v>
      </c>
      <c r="M59" s="10" t="s">
        <v>27</v>
      </c>
      <c r="N59">
        <v>0</v>
      </c>
      <c r="O59">
        <v>0</v>
      </c>
      <c r="P59">
        <v>4</v>
      </c>
      <c r="Q59">
        <v>11</v>
      </c>
      <c r="R59">
        <f t="shared" si="1"/>
        <v>4</v>
      </c>
      <c r="S59">
        <f t="shared" si="1"/>
        <v>11</v>
      </c>
    </row>
    <row r="60" spans="1:19" x14ac:dyDescent="0.25">
      <c r="A60" t="s">
        <v>23</v>
      </c>
      <c r="B60" t="s">
        <v>30</v>
      </c>
      <c r="C60" t="s">
        <v>75</v>
      </c>
      <c r="D60">
        <v>325101</v>
      </c>
      <c r="E60" t="s">
        <v>151</v>
      </c>
      <c r="F60" t="s">
        <v>152</v>
      </c>
      <c r="H60" t="s">
        <v>34</v>
      </c>
      <c r="I60" t="s">
        <v>35</v>
      </c>
      <c r="J60" t="s">
        <v>24</v>
      </c>
      <c r="K60" t="s">
        <v>66</v>
      </c>
      <c r="L60" t="s">
        <v>25</v>
      </c>
      <c r="M60" s="10" t="s">
        <v>28</v>
      </c>
      <c r="N60">
        <v>0</v>
      </c>
      <c r="O60">
        <v>0</v>
      </c>
      <c r="P60">
        <v>0</v>
      </c>
      <c r="Q60">
        <v>6</v>
      </c>
      <c r="R60">
        <f t="shared" si="1"/>
        <v>0</v>
      </c>
      <c r="S60">
        <f t="shared" si="1"/>
        <v>6</v>
      </c>
    </row>
    <row r="61" spans="1:19" x14ac:dyDescent="0.25">
      <c r="A61" t="s">
        <v>23</v>
      </c>
      <c r="B61" t="s">
        <v>30</v>
      </c>
      <c r="C61" t="s">
        <v>75</v>
      </c>
      <c r="D61">
        <v>325102</v>
      </c>
      <c r="E61" t="s">
        <v>153</v>
      </c>
      <c r="F61" t="s">
        <v>154</v>
      </c>
      <c r="H61" t="s">
        <v>34</v>
      </c>
      <c r="I61" t="s">
        <v>35</v>
      </c>
      <c r="J61" t="s">
        <v>24</v>
      </c>
      <c r="K61" t="s">
        <v>84</v>
      </c>
      <c r="L61" t="s">
        <v>25</v>
      </c>
      <c r="M61" s="10" t="s">
        <v>27</v>
      </c>
      <c r="N61">
        <v>0</v>
      </c>
      <c r="O61">
        <v>0</v>
      </c>
      <c r="P61">
        <v>6</v>
      </c>
      <c r="Q61">
        <v>3</v>
      </c>
      <c r="R61">
        <f t="shared" si="1"/>
        <v>6</v>
      </c>
      <c r="S61">
        <f t="shared" si="1"/>
        <v>3</v>
      </c>
    </row>
    <row r="62" spans="1:19" x14ac:dyDescent="0.25">
      <c r="A62" t="s">
        <v>23</v>
      </c>
      <c r="B62" t="s">
        <v>30</v>
      </c>
      <c r="C62" t="s">
        <v>75</v>
      </c>
      <c r="D62">
        <v>325106</v>
      </c>
      <c r="E62" t="s">
        <v>155</v>
      </c>
      <c r="F62" t="s">
        <v>156</v>
      </c>
      <c r="H62" t="s">
        <v>34</v>
      </c>
      <c r="I62" t="s">
        <v>35</v>
      </c>
      <c r="J62" t="s">
        <v>24</v>
      </c>
      <c r="K62" t="s">
        <v>135</v>
      </c>
      <c r="L62" t="s">
        <v>25</v>
      </c>
      <c r="M62" s="10" t="s">
        <v>27</v>
      </c>
      <c r="N62">
        <v>0</v>
      </c>
      <c r="O62">
        <v>0</v>
      </c>
      <c r="P62">
        <v>6</v>
      </c>
      <c r="Q62">
        <v>2</v>
      </c>
      <c r="R62">
        <f t="shared" si="1"/>
        <v>6</v>
      </c>
      <c r="S62">
        <f t="shared" si="1"/>
        <v>2</v>
      </c>
    </row>
    <row r="63" spans="1:19" x14ac:dyDescent="0.25">
      <c r="A63" t="s">
        <v>23</v>
      </c>
      <c r="B63" t="s">
        <v>30</v>
      </c>
      <c r="C63" t="s">
        <v>157</v>
      </c>
      <c r="D63">
        <v>102157</v>
      </c>
      <c r="E63" t="s">
        <v>158</v>
      </c>
      <c r="F63" t="s">
        <v>159</v>
      </c>
      <c r="H63" t="s">
        <v>34</v>
      </c>
      <c r="I63" t="s">
        <v>35</v>
      </c>
      <c r="J63" t="s">
        <v>24</v>
      </c>
      <c r="K63" t="s">
        <v>160</v>
      </c>
      <c r="L63" t="s">
        <v>25</v>
      </c>
      <c r="M63" s="10" t="s">
        <v>26</v>
      </c>
      <c r="N63">
        <v>0</v>
      </c>
      <c r="O63">
        <v>1</v>
      </c>
      <c r="P63">
        <v>0</v>
      </c>
      <c r="Q63">
        <v>0</v>
      </c>
      <c r="R63">
        <f t="shared" si="1"/>
        <v>0</v>
      </c>
      <c r="S63">
        <f t="shared" si="1"/>
        <v>1</v>
      </c>
    </row>
    <row r="64" spans="1:19" x14ac:dyDescent="0.25">
      <c r="A64" t="s">
        <v>23</v>
      </c>
      <c r="B64" t="s">
        <v>30</v>
      </c>
      <c r="C64" t="s">
        <v>157</v>
      </c>
      <c r="D64">
        <v>102164</v>
      </c>
      <c r="E64" t="s">
        <v>161</v>
      </c>
      <c r="F64" t="s">
        <v>162</v>
      </c>
      <c r="H64" t="s">
        <v>34</v>
      </c>
      <c r="I64" t="s">
        <v>35</v>
      </c>
      <c r="J64" t="s">
        <v>24</v>
      </c>
      <c r="K64" t="s">
        <v>163</v>
      </c>
      <c r="L64" t="s">
        <v>25</v>
      </c>
      <c r="M64" s="10" t="s">
        <v>26</v>
      </c>
      <c r="N64">
        <v>0</v>
      </c>
      <c r="O64">
        <v>1</v>
      </c>
      <c r="P64">
        <v>0</v>
      </c>
      <c r="Q64">
        <v>0</v>
      </c>
      <c r="R64">
        <f t="shared" si="1"/>
        <v>0</v>
      </c>
      <c r="S64">
        <f t="shared" si="1"/>
        <v>1</v>
      </c>
    </row>
    <row r="65" spans="1:19" x14ac:dyDescent="0.25">
      <c r="A65" t="s">
        <v>23</v>
      </c>
      <c r="B65" t="s">
        <v>30</v>
      </c>
      <c r="C65" t="s">
        <v>157</v>
      </c>
      <c r="D65">
        <v>129410</v>
      </c>
      <c r="E65" t="s">
        <v>164</v>
      </c>
      <c r="F65" t="s">
        <v>165</v>
      </c>
      <c r="H65" t="s">
        <v>34</v>
      </c>
      <c r="I65" t="s">
        <v>35</v>
      </c>
      <c r="J65" t="s">
        <v>24</v>
      </c>
      <c r="K65" t="s">
        <v>166</v>
      </c>
      <c r="L65" t="s">
        <v>25</v>
      </c>
      <c r="M65" s="10" t="s">
        <v>26</v>
      </c>
      <c r="N65">
        <v>6</v>
      </c>
      <c r="O65">
        <v>1</v>
      </c>
      <c r="P65">
        <v>0</v>
      </c>
      <c r="Q65">
        <v>0</v>
      </c>
      <c r="R65">
        <f t="shared" si="1"/>
        <v>6</v>
      </c>
      <c r="S65">
        <f t="shared" si="1"/>
        <v>1</v>
      </c>
    </row>
    <row r="66" spans="1:19" x14ac:dyDescent="0.25">
      <c r="A66" t="s">
        <v>23</v>
      </c>
      <c r="B66" t="s">
        <v>30</v>
      </c>
      <c r="C66" t="s">
        <v>157</v>
      </c>
      <c r="D66">
        <v>129412</v>
      </c>
      <c r="E66" t="s">
        <v>167</v>
      </c>
      <c r="F66" t="s">
        <v>168</v>
      </c>
      <c r="H66" t="s">
        <v>34</v>
      </c>
      <c r="I66" t="s">
        <v>35</v>
      </c>
      <c r="J66" t="s">
        <v>24</v>
      </c>
      <c r="K66" t="s">
        <v>169</v>
      </c>
      <c r="L66" t="s">
        <v>25</v>
      </c>
      <c r="M66" s="10" t="s">
        <v>26</v>
      </c>
      <c r="N66">
        <v>2</v>
      </c>
      <c r="O66">
        <v>3</v>
      </c>
      <c r="P66">
        <v>0</v>
      </c>
      <c r="Q66">
        <v>0</v>
      </c>
      <c r="R66">
        <f t="shared" si="1"/>
        <v>2</v>
      </c>
      <c r="S66">
        <f t="shared" si="1"/>
        <v>3</v>
      </c>
    </row>
    <row r="67" spans="1:19" x14ac:dyDescent="0.25">
      <c r="A67" t="s">
        <v>23</v>
      </c>
      <c r="B67" t="s">
        <v>30</v>
      </c>
      <c r="C67" t="s">
        <v>157</v>
      </c>
      <c r="D67">
        <v>129413</v>
      </c>
      <c r="E67" t="s">
        <v>170</v>
      </c>
      <c r="F67" t="s">
        <v>171</v>
      </c>
      <c r="H67" t="s">
        <v>34</v>
      </c>
      <c r="I67" t="s">
        <v>35</v>
      </c>
      <c r="J67" t="s">
        <v>24</v>
      </c>
      <c r="K67" t="s">
        <v>166</v>
      </c>
      <c r="L67" t="s">
        <v>25</v>
      </c>
      <c r="M67" s="10" t="s">
        <v>26</v>
      </c>
      <c r="N67">
        <v>0</v>
      </c>
      <c r="O67">
        <v>13</v>
      </c>
      <c r="P67">
        <v>0</v>
      </c>
      <c r="Q67">
        <v>0</v>
      </c>
      <c r="R67">
        <f t="shared" si="1"/>
        <v>0</v>
      </c>
      <c r="S67">
        <f t="shared" si="1"/>
        <v>13</v>
      </c>
    </row>
    <row r="68" spans="1:19" x14ac:dyDescent="0.25">
      <c r="A68" t="s">
        <v>23</v>
      </c>
      <c r="B68" t="s">
        <v>30</v>
      </c>
      <c r="C68" t="s">
        <v>157</v>
      </c>
      <c r="D68">
        <v>129414</v>
      </c>
      <c r="E68" t="s">
        <v>172</v>
      </c>
      <c r="F68" t="s">
        <v>173</v>
      </c>
      <c r="H68" t="s">
        <v>34</v>
      </c>
      <c r="I68" t="s">
        <v>35</v>
      </c>
      <c r="J68" t="s">
        <v>24</v>
      </c>
      <c r="K68" t="s">
        <v>174</v>
      </c>
      <c r="L68" t="s">
        <v>25</v>
      </c>
      <c r="M68" s="10" t="s">
        <v>26</v>
      </c>
      <c r="N68">
        <v>1</v>
      </c>
      <c r="O68">
        <v>11</v>
      </c>
      <c r="P68">
        <v>0</v>
      </c>
      <c r="Q68">
        <v>0</v>
      </c>
      <c r="R68">
        <f t="shared" si="1"/>
        <v>1</v>
      </c>
      <c r="S68">
        <f t="shared" si="1"/>
        <v>11</v>
      </c>
    </row>
    <row r="69" spans="1:19" x14ac:dyDescent="0.25">
      <c r="A69" t="s">
        <v>23</v>
      </c>
      <c r="B69" t="s">
        <v>30</v>
      </c>
      <c r="C69" t="s">
        <v>157</v>
      </c>
      <c r="D69">
        <v>129417</v>
      </c>
      <c r="E69" t="s">
        <v>175</v>
      </c>
      <c r="F69" t="s">
        <v>176</v>
      </c>
      <c r="H69" t="s">
        <v>34</v>
      </c>
      <c r="I69" t="s">
        <v>35</v>
      </c>
      <c r="J69" t="s">
        <v>24</v>
      </c>
      <c r="K69" t="s">
        <v>160</v>
      </c>
      <c r="L69" t="s">
        <v>25</v>
      </c>
      <c r="M69" s="10" t="s">
        <v>26</v>
      </c>
      <c r="N69">
        <v>0</v>
      </c>
      <c r="O69">
        <v>12</v>
      </c>
      <c r="P69">
        <v>0</v>
      </c>
      <c r="Q69">
        <v>0</v>
      </c>
      <c r="R69">
        <f t="shared" si="1"/>
        <v>0</v>
      </c>
      <c r="S69">
        <f t="shared" si="1"/>
        <v>12</v>
      </c>
    </row>
    <row r="70" spans="1:19" x14ac:dyDescent="0.25">
      <c r="A70" t="s">
        <v>23</v>
      </c>
      <c r="B70" t="s">
        <v>30</v>
      </c>
      <c r="C70" t="s">
        <v>157</v>
      </c>
      <c r="D70">
        <v>129418</v>
      </c>
      <c r="E70" t="s">
        <v>177</v>
      </c>
      <c r="F70" t="s">
        <v>178</v>
      </c>
      <c r="H70" t="s">
        <v>34</v>
      </c>
      <c r="I70" t="s">
        <v>35</v>
      </c>
      <c r="J70" t="s">
        <v>24</v>
      </c>
      <c r="K70" t="s">
        <v>160</v>
      </c>
      <c r="L70" t="s">
        <v>25</v>
      </c>
      <c r="M70" s="10" t="s">
        <v>26</v>
      </c>
      <c r="N70">
        <v>0</v>
      </c>
      <c r="O70">
        <v>4</v>
      </c>
      <c r="P70">
        <v>0</v>
      </c>
      <c r="Q70">
        <v>0</v>
      </c>
      <c r="R70">
        <f t="shared" si="1"/>
        <v>0</v>
      </c>
      <c r="S70">
        <f t="shared" si="1"/>
        <v>4</v>
      </c>
    </row>
    <row r="71" spans="1:19" x14ac:dyDescent="0.25">
      <c r="A71" t="s">
        <v>23</v>
      </c>
      <c r="B71" t="s">
        <v>30</v>
      </c>
      <c r="C71" t="s">
        <v>157</v>
      </c>
      <c r="D71">
        <v>129419</v>
      </c>
      <c r="E71" t="s">
        <v>179</v>
      </c>
      <c r="F71" t="s">
        <v>156</v>
      </c>
      <c r="H71" t="s">
        <v>34</v>
      </c>
      <c r="I71" t="s">
        <v>35</v>
      </c>
      <c r="J71" t="s">
        <v>24</v>
      </c>
      <c r="K71" t="s">
        <v>180</v>
      </c>
      <c r="L71" t="s">
        <v>25</v>
      </c>
      <c r="M71" s="10" t="s">
        <v>26</v>
      </c>
      <c r="N71">
        <v>7</v>
      </c>
      <c r="O71">
        <v>0</v>
      </c>
      <c r="P71">
        <v>0</v>
      </c>
      <c r="Q71">
        <v>0</v>
      </c>
      <c r="R71">
        <f t="shared" si="1"/>
        <v>7</v>
      </c>
      <c r="S71">
        <f t="shared" si="1"/>
        <v>0</v>
      </c>
    </row>
    <row r="72" spans="1:19" x14ac:dyDescent="0.25">
      <c r="A72" t="s">
        <v>23</v>
      </c>
      <c r="B72" t="s">
        <v>30</v>
      </c>
      <c r="C72" t="s">
        <v>157</v>
      </c>
      <c r="D72">
        <v>129420</v>
      </c>
      <c r="E72" t="s">
        <v>181</v>
      </c>
      <c r="F72" t="s">
        <v>182</v>
      </c>
      <c r="H72" t="s">
        <v>34</v>
      </c>
      <c r="I72" t="s">
        <v>35</v>
      </c>
      <c r="J72" t="s">
        <v>24</v>
      </c>
      <c r="K72" t="s">
        <v>182</v>
      </c>
      <c r="L72" t="s">
        <v>25</v>
      </c>
      <c r="M72" s="10" t="s">
        <v>26</v>
      </c>
      <c r="N72">
        <v>1</v>
      </c>
      <c r="O72">
        <v>4</v>
      </c>
      <c r="P72">
        <v>0</v>
      </c>
      <c r="Q72">
        <v>0</v>
      </c>
      <c r="R72">
        <f t="shared" si="1"/>
        <v>1</v>
      </c>
      <c r="S72">
        <f t="shared" si="1"/>
        <v>4</v>
      </c>
    </row>
    <row r="73" spans="1:19" x14ac:dyDescent="0.25">
      <c r="A73" t="s">
        <v>23</v>
      </c>
      <c r="B73" t="s">
        <v>30</v>
      </c>
      <c r="C73" t="s">
        <v>157</v>
      </c>
      <c r="D73">
        <v>129421</v>
      </c>
      <c r="E73" t="s">
        <v>183</v>
      </c>
      <c r="F73" t="s">
        <v>184</v>
      </c>
      <c r="H73" t="s">
        <v>34</v>
      </c>
      <c r="I73" t="s">
        <v>35</v>
      </c>
      <c r="J73" t="s">
        <v>24</v>
      </c>
      <c r="K73" t="s">
        <v>166</v>
      </c>
      <c r="L73" t="s">
        <v>25</v>
      </c>
      <c r="M73" s="10" t="s">
        <v>26</v>
      </c>
      <c r="N73">
        <v>1</v>
      </c>
      <c r="O73">
        <v>3</v>
      </c>
      <c r="P73">
        <v>0</v>
      </c>
      <c r="Q73">
        <v>0</v>
      </c>
      <c r="R73">
        <f t="shared" si="1"/>
        <v>1</v>
      </c>
      <c r="S73">
        <f t="shared" si="1"/>
        <v>3</v>
      </c>
    </row>
    <row r="74" spans="1:19" x14ac:dyDescent="0.25">
      <c r="A74" t="s">
        <v>23</v>
      </c>
      <c r="B74" t="s">
        <v>30</v>
      </c>
      <c r="C74" t="s">
        <v>157</v>
      </c>
      <c r="D74">
        <v>129422</v>
      </c>
      <c r="E74" t="s">
        <v>185</v>
      </c>
      <c r="F74" t="s">
        <v>186</v>
      </c>
      <c r="H74" t="s">
        <v>34</v>
      </c>
      <c r="I74" t="s">
        <v>35</v>
      </c>
      <c r="J74" t="s">
        <v>24</v>
      </c>
      <c r="K74" t="s">
        <v>160</v>
      </c>
      <c r="L74" t="s">
        <v>25</v>
      </c>
      <c r="M74" s="10" t="s">
        <v>26</v>
      </c>
      <c r="N74">
        <v>1</v>
      </c>
      <c r="O74">
        <v>4</v>
      </c>
      <c r="P74">
        <v>0</v>
      </c>
      <c r="Q74">
        <v>0</v>
      </c>
      <c r="R74">
        <f t="shared" si="1"/>
        <v>1</v>
      </c>
      <c r="S74">
        <f t="shared" si="1"/>
        <v>4</v>
      </c>
    </row>
    <row r="75" spans="1:19" x14ac:dyDescent="0.25">
      <c r="A75" t="s">
        <v>23</v>
      </c>
      <c r="B75" t="s">
        <v>30</v>
      </c>
      <c r="C75" t="s">
        <v>157</v>
      </c>
      <c r="D75">
        <v>304313</v>
      </c>
      <c r="E75" t="s">
        <v>187</v>
      </c>
      <c r="F75" t="s">
        <v>188</v>
      </c>
      <c r="H75" t="s">
        <v>34</v>
      </c>
      <c r="I75" t="s">
        <v>35</v>
      </c>
      <c r="J75" t="s">
        <v>24</v>
      </c>
      <c r="K75" t="s">
        <v>166</v>
      </c>
      <c r="L75" t="s">
        <v>25</v>
      </c>
      <c r="M75" s="10" t="s">
        <v>27</v>
      </c>
      <c r="N75">
        <v>0</v>
      </c>
      <c r="O75">
        <v>0</v>
      </c>
      <c r="P75">
        <v>13</v>
      </c>
      <c r="Q75">
        <v>2</v>
      </c>
      <c r="R75">
        <f t="shared" si="1"/>
        <v>13</v>
      </c>
      <c r="S75">
        <f t="shared" si="1"/>
        <v>2</v>
      </c>
    </row>
    <row r="76" spans="1:19" x14ac:dyDescent="0.25">
      <c r="A76" t="s">
        <v>23</v>
      </c>
      <c r="B76" t="s">
        <v>30</v>
      </c>
      <c r="C76" t="s">
        <v>157</v>
      </c>
      <c r="D76">
        <v>304318</v>
      </c>
      <c r="E76" t="s">
        <v>189</v>
      </c>
      <c r="F76" t="s">
        <v>190</v>
      </c>
      <c r="H76" t="s">
        <v>34</v>
      </c>
      <c r="I76" t="s">
        <v>35</v>
      </c>
      <c r="J76" t="s">
        <v>24</v>
      </c>
      <c r="K76" t="s">
        <v>174</v>
      </c>
      <c r="L76" t="s">
        <v>25</v>
      </c>
      <c r="M76" s="10" t="s">
        <v>27</v>
      </c>
      <c r="N76">
        <v>0</v>
      </c>
      <c r="O76">
        <v>0</v>
      </c>
      <c r="P76">
        <v>8</v>
      </c>
      <c r="Q76">
        <v>0</v>
      </c>
      <c r="R76">
        <f t="shared" si="1"/>
        <v>8</v>
      </c>
      <c r="S76">
        <f t="shared" si="1"/>
        <v>0</v>
      </c>
    </row>
    <row r="77" spans="1:19" x14ac:dyDescent="0.25">
      <c r="A77" t="s">
        <v>23</v>
      </c>
      <c r="B77" t="s">
        <v>30</v>
      </c>
      <c r="C77" t="s">
        <v>157</v>
      </c>
      <c r="D77">
        <v>325105</v>
      </c>
      <c r="E77" t="s">
        <v>191</v>
      </c>
      <c r="F77" t="s">
        <v>176</v>
      </c>
      <c r="G77">
        <v>304313</v>
      </c>
      <c r="H77" t="s">
        <v>34</v>
      </c>
      <c r="I77" t="s">
        <v>35</v>
      </c>
      <c r="J77" t="s">
        <v>24</v>
      </c>
      <c r="K77" t="s">
        <v>160</v>
      </c>
      <c r="L77" t="s">
        <v>25</v>
      </c>
      <c r="M77" s="10" t="s">
        <v>27</v>
      </c>
      <c r="N77">
        <v>0</v>
      </c>
      <c r="O77">
        <v>0</v>
      </c>
      <c r="P77">
        <v>3</v>
      </c>
      <c r="Q77">
        <v>1</v>
      </c>
      <c r="R77">
        <f t="shared" si="1"/>
        <v>3</v>
      </c>
      <c r="S77">
        <f t="shared" si="1"/>
        <v>1</v>
      </c>
    </row>
    <row r="78" spans="1:19" x14ac:dyDescent="0.25">
      <c r="A78" t="s">
        <v>23</v>
      </c>
      <c r="B78" t="s">
        <v>30</v>
      </c>
      <c r="C78" t="s">
        <v>157</v>
      </c>
      <c r="D78">
        <v>501085</v>
      </c>
      <c r="E78" t="s">
        <v>192</v>
      </c>
      <c r="F78" t="s">
        <v>193</v>
      </c>
      <c r="H78" t="s">
        <v>34</v>
      </c>
      <c r="I78" t="s">
        <v>35</v>
      </c>
      <c r="J78" t="s">
        <v>24</v>
      </c>
      <c r="K78" t="s">
        <v>194</v>
      </c>
      <c r="L78" t="s">
        <v>25</v>
      </c>
      <c r="M78" s="10" t="s">
        <v>29</v>
      </c>
      <c r="N78">
        <v>6</v>
      </c>
      <c r="O78">
        <v>2</v>
      </c>
      <c r="P78">
        <v>0</v>
      </c>
      <c r="Q78">
        <v>5</v>
      </c>
      <c r="R78">
        <f t="shared" si="1"/>
        <v>6</v>
      </c>
      <c r="S78">
        <f t="shared" si="1"/>
        <v>7</v>
      </c>
    </row>
    <row r="79" spans="1:19" x14ac:dyDescent="0.25">
      <c r="A79" t="s">
        <v>23</v>
      </c>
      <c r="B79" t="s">
        <v>30</v>
      </c>
      <c r="C79" t="s">
        <v>157</v>
      </c>
      <c r="D79">
        <v>501086</v>
      </c>
      <c r="E79" t="s">
        <v>195</v>
      </c>
      <c r="F79" t="s">
        <v>196</v>
      </c>
      <c r="H79" t="s">
        <v>34</v>
      </c>
      <c r="I79" t="s">
        <v>35</v>
      </c>
      <c r="J79" t="s">
        <v>24</v>
      </c>
      <c r="K79" t="s">
        <v>197</v>
      </c>
      <c r="L79" t="s">
        <v>25</v>
      </c>
      <c r="M79" s="10" t="s">
        <v>29</v>
      </c>
      <c r="N79">
        <v>1</v>
      </c>
      <c r="O79">
        <v>6</v>
      </c>
      <c r="P79">
        <v>0</v>
      </c>
      <c r="Q79">
        <v>2</v>
      </c>
      <c r="R79">
        <f t="shared" si="1"/>
        <v>1</v>
      </c>
      <c r="S79">
        <f t="shared" si="1"/>
        <v>8</v>
      </c>
    </row>
    <row r="80" spans="1:19" x14ac:dyDescent="0.25">
      <c r="A80" t="s">
        <v>23</v>
      </c>
      <c r="B80" t="s">
        <v>30</v>
      </c>
      <c r="C80" t="s">
        <v>157</v>
      </c>
      <c r="D80">
        <v>501087</v>
      </c>
      <c r="E80" t="s">
        <v>198</v>
      </c>
      <c r="F80" t="s">
        <v>199</v>
      </c>
      <c r="H80" t="s">
        <v>34</v>
      </c>
      <c r="I80" t="s">
        <v>35</v>
      </c>
      <c r="J80" t="s">
        <v>24</v>
      </c>
      <c r="K80" t="s">
        <v>163</v>
      </c>
      <c r="L80" t="s">
        <v>25</v>
      </c>
      <c r="M80" s="10" t="s">
        <v>29</v>
      </c>
      <c r="N80">
        <v>0</v>
      </c>
      <c r="O80">
        <v>5</v>
      </c>
      <c r="P80">
        <v>1</v>
      </c>
      <c r="Q80">
        <v>5</v>
      </c>
      <c r="R80">
        <f t="shared" si="1"/>
        <v>1</v>
      </c>
      <c r="S80">
        <f t="shared" si="1"/>
        <v>10</v>
      </c>
    </row>
  </sheetData>
  <autoFilter ref="A9:AD80" xr:uid="{00000000-0009-0000-0000-000000000000}"/>
  <mergeCells count="4">
    <mergeCell ref="N6:S6"/>
    <mergeCell ref="N7:O7"/>
    <mergeCell ref="P7:Q7"/>
    <mergeCell ref="R7:S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2023-08-07T07:57:26Z</dcterms:created>
  <dcterms:modified xsi:type="dcterms:W3CDTF">2023-08-07T07:58:22Z</dcterms:modified>
</cp:coreProperties>
</file>