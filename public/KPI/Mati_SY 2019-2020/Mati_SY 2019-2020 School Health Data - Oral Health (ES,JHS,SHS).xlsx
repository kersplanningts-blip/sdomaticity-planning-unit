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B98DF6BA-CBA9-4022-AF8E-EE9DB719CD67}" xr6:coauthVersionLast="47" xr6:coauthVersionMax="47" xr10:uidLastSave="{00000000-0000-0000-0000-000000000000}"/>
  <bookViews>
    <workbookView xWindow="-120" yWindow="-120" windowWidth="29040" windowHeight="15720" activeTab="2" xr2:uid="{2BC344DE-4376-4BBD-843B-95A7A38FF47C}"/>
  </bookViews>
  <sheets>
    <sheet name="ES" sheetId="1" r:id="rId1"/>
    <sheet name="JHS" sheetId="2" r:id="rId2"/>
    <sheet name="SHS" sheetId="3" r:id="rId3"/>
  </sheets>
  <externalReferences>
    <externalReference r:id="rId4"/>
  </externalReferences>
  <definedNames>
    <definedName name="_xlnm._FilterDatabase" localSheetId="0" hidden="1">ES!$A$8:$BV$62</definedName>
    <definedName name="_xlnm._FilterDatabase" localSheetId="1" hidden="1">JHS!$A$8:$AV$30</definedName>
    <definedName name="_xlnm._FilterDatabase" localSheetId="2" hidden="1">SHS!$A$8:$AH$24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4" i="3" l="1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AG9" i="3"/>
  <c r="AG7" i="3" s="1"/>
  <c r="AF9" i="3"/>
  <c r="AF7" i="3" s="1"/>
  <c r="AE9" i="3"/>
  <c r="AE7" i="3" s="1"/>
  <c r="AD9" i="3"/>
  <c r="AC9" i="3"/>
  <c r="AB9" i="3"/>
  <c r="AA9" i="3"/>
  <c r="Z9" i="3"/>
  <c r="Y9" i="3"/>
  <c r="X9" i="3"/>
  <c r="W9" i="3"/>
  <c r="V9" i="3"/>
  <c r="U9" i="3"/>
  <c r="T9" i="3"/>
  <c r="S9" i="3"/>
  <c r="R9" i="3"/>
  <c r="R7" i="3" s="1"/>
  <c r="Q9" i="3"/>
  <c r="P9" i="3"/>
  <c r="O9" i="3"/>
  <c r="N9" i="3"/>
  <c r="N7" i="3" s="1"/>
  <c r="M9" i="3"/>
  <c r="M7" i="3" s="1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AB7" i="3" l="1"/>
  <c r="AC7" i="3"/>
  <c r="T7" i="3"/>
  <c r="AD7" i="3"/>
  <c r="U7" i="3"/>
  <c r="S7" i="3"/>
  <c r="V7" i="3"/>
  <c r="Y7" i="3"/>
  <c r="W7" i="3"/>
  <c r="Z7" i="3"/>
  <c r="X7" i="3"/>
  <c r="AA7" i="3"/>
  <c r="O7" i="3"/>
  <c r="P7" i="3"/>
  <c r="Q7" i="3"/>
</calcChain>
</file>

<file path=xl/sharedStrings.xml><?xml version="1.0" encoding="utf-8"?>
<sst xmlns="http://schemas.openxmlformats.org/spreadsheetml/2006/main" count="1322" uniqueCount="321">
  <si>
    <t>School Level Data on Oral Health in Elementary Level</t>
  </si>
  <si>
    <t>SY 2019-2020</t>
  </si>
  <si>
    <t>Based on BEIS, generated as of June 5, 2020</t>
  </si>
  <si>
    <t>Number of Learners Examined</t>
  </si>
  <si>
    <t>Decayed, Missing, and Filled Teeth (DMFT) - Permanent Teeth</t>
  </si>
  <si>
    <t>Decayed, Missing, and Filled Teeth (DMFT) - Temporary Teeth</t>
  </si>
  <si>
    <t>Number of Learners Found to Have Gum Disease</t>
  </si>
  <si>
    <t>Number of Learners with Other Significant Dental Anomalies</t>
  </si>
  <si>
    <t>Number of Learners who Underwent Flouridization</t>
  </si>
  <si>
    <t>No. of  Learners with DMFT</t>
  </si>
  <si>
    <t>No. of  DMFT</t>
  </si>
  <si>
    <t>Kinder</t>
  </si>
  <si>
    <t>Grade 1</t>
  </si>
  <si>
    <t>Grade 2</t>
  </si>
  <si>
    <t>Grade 3</t>
  </si>
  <si>
    <t>Grade 4</t>
  </si>
  <si>
    <t>Grade 5</t>
  </si>
  <si>
    <t>Grade 6</t>
  </si>
  <si>
    <t>Total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</si>
  <si>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</si>
  <si>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</si>
  <si>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</si>
  <si>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</si>
  <si>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</si>
  <si>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</si>
  <si>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</si>
  <si>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</si>
  <si>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</si>
  <si>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</si>
  <si>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</si>
  <si>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</si>
  <si>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sch_oralh_details_num_lexamined_k</t>
  </si>
  <si>
    <t>sch_oralh_details_num_lexamined_g1</t>
  </si>
  <si>
    <t>sch_oralh_details_num_lexamined_g2</t>
  </si>
  <si>
    <t>sch_oralh_details_num_lexamined_g3</t>
  </si>
  <si>
    <t>sch_oralh_details_num_lexamined_g4</t>
  </si>
  <si>
    <t>sch_oralh_details_num_lexamined_g5</t>
  </si>
  <si>
    <t>sch_oralh_details_num_lexamined_g6</t>
  </si>
  <si>
    <t>sch_oralh_details_num_learner_dmftpermatet_k</t>
  </si>
  <si>
    <t>sch_oralh_details_num_learner_dmftpermatet_g1</t>
  </si>
  <si>
    <t>sch_oralh_details_num_learner_dmftpermatet_g2</t>
  </si>
  <si>
    <t>sch_oralh_details_num_learner_dmftpermatet_g3</t>
  </si>
  <si>
    <t>sch_oralh_details_num_learner_dmftpermatet_g4</t>
  </si>
  <si>
    <t>sch_oralh_details_num_learner_dmftpermatet_g5</t>
  </si>
  <si>
    <t>sch_oralh_details_num_learner_dmftpermatet_g6</t>
  </si>
  <si>
    <t>sch_oralh_details_num_dmftpermatet_k</t>
  </si>
  <si>
    <t>sch_oralh_details_num_dmftpermatet_g1</t>
  </si>
  <si>
    <t>sch_oralh_details_num_dmftpermatet_g2</t>
  </si>
  <si>
    <t>sch_oralh_details_num_dmftpermatet_g3</t>
  </si>
  <si>
    <t>sch_oralh_details_num_dmftpermatet_g4</t>
  </si>
  <si>
    <t>sch_oralh_details_num_dmftpermatet_g5</t>
  </si>
  <si>
    <t>sch_oralh_details_num_dmftpermatet_g6</t>
  </si>
  <si>
    <t>sch_oralh_details_num_learner_dmfttempotet_k</t>
  </si>
  <si>
    <t>sch_oralh_details_num_learner_dmfttempotet_g1</t>
  </si>
  <si>
    <t>sch_oralh_details_num_learner_dmfttempotet_g2</t>
  </si>
  <si>
    <t>sch_oralh_details_num_learner_dmfttempotet_g3</t>
  </si>
  <si>
    <t>sch_oralh_details_num_learner_dmfttempotet_g4</t>
  </si>
  <si>
    <t>sch_oralh_details_num_learner_dmfttempotet_g5</t>
  </si>
  <si>
    <t>sch_oralh_details_num_learner_dmfttempotet_g6</t>
  </si>
  <si>
    <t>sch_oralh_details_num_dmfttempotet_k</t>
  </si>
  <si>
    <t>sch_oralh_details_num_dmfttempotet_g1</t>
  </si>
  <si>
    <t>sch_oralh_details_num_dmfttempotet_g2</t>
  </si>
  <si>
    <t>sch_oralh_details_num_dmfttempotet_g3</t>
  </si>
  <si>
    <t>sch_oralh_details_num_dmfttempotet_g4</t>
  </si>
  <si>
    <t>sch_oralh_details_num_dmfttempotet_g5</t>
  </si>
  <si>
    <t>sch_oralh_details_num_dmfttempotet_g6</t>
  </si>
  <si>
    <t>sch_oralh_details_num_learner_fthgumdisease_k</t>
  </si>
  <si>
    <t>sch_oralh_details_num_learner_fthgumdisease_g1</t>
  </si>
  <si>
    <t>sch_oralh_details_num_learner_fthgumdisease_g2</t>
  </si>
  <si>
    <t>sch_oralh_details_num_learner_fthgumdisease_g3</t>
  </si>
  <si>
    <t>sch_oralh_details_num_learner_fthgumdisease_g4</t>
  </si>
  <si>
    <t>sch_oralh_details_num_learner_fthgumdisease_g5</t>
  </si>
  <si>
    <t>sch_oralh_details_num_learner_fthgumdisease_g6</t>
  </si>
  <si>
    <t>sch_oralh_details_num_learner_wosigdentalanom_k</t>
  </si>
  <si>
    <t>sch_oralh_details_num_learner_wosigdentalanom_g1</t>
  </si>
  <si>
    <t>sch_oralh_details_num_learner_wosigdentalanom_g2</t>
  </si>
  <si>
    <t>sch_oralh_details_num_learner_wosigdentalanom_g3</t>
  </si>
  <si>
    <t>sch_oralh_details_num_learner_wosigdentalanom_g4</t>
  </si>
  <si>
    <t>sch_oralh_details_num_learner_wosigdentalanom_g5</t>
  </si>
  <si>
    <t>sch_oralh_details_num_learner_wosigdentalanom_g6</t>
  </si>
  <si>
    <t>sch_oralh_details_num_learner_underwflourid_k</t>
  </si>
  <si>
    <t>sch_oralh_details_num_learner_underwflourid_g1</t>
  </si>
  <si>
    <t>sch_oralh_details_num_learner_underwflourid_g2</t>
  </si>
  <si>
    <t>sch_oralh_details_num_learner_underwflourid_g3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</si>
  <si>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</si>
  <si>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</si>
  <si>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</si>
  <si>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</si>
  <si>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</si>
  <si>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</si>
  <si>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</si>
  <si>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</si>
  <si>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</si>
  <si>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</si>
  <si>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</si>
  <si>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</si>
  <si>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</si>
  <si>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</si>
  <si>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</si>
  <si>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</si>
  <si>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</si>
  <si>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</si>
  <si>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</si>
  <si>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</si>
  <si>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</si>
  <si>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</si>
  <si>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</si>
  <si>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</si>
  <si>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</si>
  <si>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</si>
  <si>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</si>
  <si>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</si>
  <si>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</si>
  <si>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</si>
  <si>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</si>
  <si>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</si>
  <si>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</si>
  <si>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</si>
  <si>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</si>
  <si>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</si>
  <si>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</si>
  <si>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</si>
  <si>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</si>
  <si>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</si>
  <si>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</si>
  <si>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</si>
  <si>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</si>
  <si>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</si>
  <si>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</si>
  <si>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</si>
  <si>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</si>
  <si>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</si>
  <si>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</si>
  <si>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</si>
  <si>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</si>
  <si>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</si>
  <si>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</si>
  <si>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</si>
  <si>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</si>
  <si>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</si>
  <si>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</si>
  <si>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</si>
  <si>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</si>
  <si>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</si>
  <si>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</si>
  <si>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</si>
  <si>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</si>
  <si>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</si>
  <si>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</si>
  <si>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</si>
  <si>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</si>
  <si>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</si>
  <si>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</si>
  <si>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</si>
  <si>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</si>
  <si>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</si>
  <si>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</si>
  <si>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</si>
  <si>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</si>
  <si>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</si>
  <si>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</si>
  <si>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</si>
  <si>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</si>
  <si>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</si>
  <si>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</si>
  <si>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</si>
  <si>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</si>
  <si>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</si>
  <si>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</si>
  <si>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</si>
  <si>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</si>
  <si>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</si>
  <si>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</si>
  <si>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</si>
  <si>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</si>
  <si>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</si>
  <si>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</si>
  <si>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</si>
  <si>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</si>
  <si>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</si>
  <si>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</si>
  <si>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</si>
  <si>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</si>
  <si>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</si>
  <si>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</si>
  <si>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</si>
  <si>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</si>
  <si>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</si>
  <si>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</si>
  <si>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</si>
  <si>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</si>
  <si>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</si>
  <si>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</si>
  <si>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</si>
  <si>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</si>
  <si>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</si>
  <si>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</si>
  <si>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</si>
  <si>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</si>
  <si>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</si>
  <si>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</si>
  <si>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</si>
  <si>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</si>
  <si>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</si>
  <si>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</si>
  <si>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</si>
  <si>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</si>
  <si>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</si>
  <si>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</si>
  <si>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</si>
  <si>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</si>
  <si>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</si>
  <si>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</si>
  <si>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</si>
  <si>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</si>
  <si>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</si>
  <si>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</si>
  <si>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</si>
  <si>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</si>
  <si>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</si>
  <si>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</si>
  <si>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</si>
  <si>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</si>
  <si>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</si>
  <si>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</si>
  <si>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</si>
  <si>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</si>
  <si>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</si>
  <si>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</si>
  <si>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</si>
  <si>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</si>
  <si>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</si>
  <si>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Oral Health in Junior High School</t>
  </si>
  <si>
    <t>Number of learners examined</t>
  </si>
  <si>
    <t>Number of learners found to have gum disease</t>
  </si>
  <si>
    <t>Number of learners with other significant dental anomalies</t>
  </si>
  <si>
    <t>No. of learners with DMFT</t>
  </si>
  <si>
    <t>No. of DMFT</t>
  </si>
  <si>
    <t>Grade 7</t>
  </si>
  <si>
    <t>Grade 8</t>
  </si>
  <si>
    <t>Grade 9</t>
  </si>
  <si>
    <t>Grade 10</t>
  </si>
  <si>
    <t>Learners examined oral health Gr7</t>
  </si>
  <si>
    <t>Learners examined oral health Gr8</t>
  </si>
  <si>
    <t>Learners examined oral health Gr9</t>
  </si>
  <si>
    <t>Learners examined oral health Gr10</t>
  </si>
  <si>
    <t>With DMFT - Permanent Teeth Gr7</t>
  </si>
  <si>
    <t>With DMFT - Permanent Teeth Gr8</t>
  </si>
  <si>
    <t>With DMFT - Permanent Teeth Gr9</t>
  </si>
  <si>
    <t>With DMFT - Permanent Teeth Gr10</t>
  </si>
  <si>
    <t>No of DMFT - Permanent Teeth Gr7</t>
  </si>
  <si>
    <t>No of DMFT - Permanent Teeth Gr8</t>
  </si>
  <si>
    <t>No of DMFT - Permanent Teeth Gr9</t>
  </si>
  <si>
    <t>No of DMFT - Permanent Teeth Gr10</t>
  </si>
  <si>
    <t>With DMFT - Temporary Teeth Gr7</t>
  </si>
  <si>
    <t>With DMFT - Temporary Teeth Gr8</t>
  </si>
  <si>
    <t>With DMFT - Temporary Teeth Gr9</t>
  </si>
  <si>
    <t>With DMFT - Temporary Teeth Gr10</t>
  </si>
  <si>
    <t>No of DMFT - Temporary Teeth Gr7</t>
  </si>
  <si>
    <t>No of DMFT - Temporary Teeth Gr8</t>
  </si>
  <si>
    <t>No of DMFT - Temporary Teeth Gr9</t>
  </si>
  <si>
    <t>No of DMFT - Temporary Teeth Gr10</t>
  </si>
  <si>
    <t>With Gum Disease  Gr7</t>
  </si>
  <si>
    <t>With Gum Disease  Gr8</t>
  </si>
  <si>
    <t>With Gum Disease  Gr9</t>
  </si>
  <si>
    <t>With Gum Disease  Gr10</t>
  </si>
  <si>
    <t>With Other Significant Dental Anomalies  Gr7</t>
  </si>
  <si>
    <t>With Other Significant Dental Anomalies  Gr8</t>
  </si>
  <si>
    <t>With Other Significant Dental Anomalies  Gr9</t>
  </si>
  <si>
    <t>With Other Significant Dental Anomalies  Gr10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</si>
  <si>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</si>
  <si>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</si>
  <si>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</si>
  <si>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</si>
  <si>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</si>
  <si>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</si>
  <si>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</si>
  <si>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</si>
  <si>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</si>
  <si>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</si>
  <si>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</si>
  <si>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</si>
  <si>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</si>
  <si>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</si>
  <si>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</si>
  <si>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</si>
  <si>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</si>
  <si>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</si>
  <si>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</si>
  <si>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</si>
  <si>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</si>
  <si>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</si>
  <si>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</si>
  <si>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</si>
  <si>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</si>
  <si>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</si>
  <si>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</si>
  <si>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</si>
  <si>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</si>
  <si>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</si>
  <si>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</si>
  <si>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</si>
  <si>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</si>
  <si>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</si>
  <si>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Oral Health in Senior High School</t>
  </si>
  <si>
    <t>Grade 11</t>
  </si>
  <si>
    <t>Grade 12</t>
  </si>
  <si>
    <t xml:space="preserve">Learners examined oral health Gr11 </t>
  </si>
  <si>
    <t>Learners examined oral health Gr12</t>
  </si>
  <si>
    <t>With DMFT - Permanent Teeth Gr11</t>
  </si>
  <si>
    <t>With DMFT - Permanent Teeth Gr12</t>
  </si>
  <si>
    <t>No of DMFT - Permanent Teeth Gr11</t>
  </si>
  <si>
    <t>No of DMFT - Permanent Teeth Gr12</t>
  </si>
  <si>
    <t>With DMFT - Temporary Teeth Gr11</t>
  </si>
  <si>
    <t>With DMFT - Temporary Teeth Gr12</t>
  </si>
  <si>
    <t>No of DMFT - Temporary Teeth Gr11</t>
  </si>
  <si>
    <t>No of DMFT - Temporary Teeth Gr12</t>
  </si>
  <si>
    <t>With Gum Disease  Gr11</t>
  </si>
  <si>
    <t>With Gum Disease  Gr12</t>
  </si>
  <si>
    <t>With Other Significant Dental Anomalies  Gr11</t>
  </si>
  <si>
    <t>With Other Significant Dental Anomalies  Gr12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</si>
</sst>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/>
    <xf numFmtId="0" fontId="3" fillId="0" borderId="7" xfId="0" applyFont="1" applyBorder="1"/>
    <xf numFmtId="165" fontId="3" fillId="0" borderId="0" xfId="1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165" fontId="3" fillId="0" borderId="7" xfId="1" applyNumberFormat="1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11" xfId="0" applyFont="1" applyBorder="1"/>
    <xf numFmtId="165" fontId="3" fillId="0" borderId="0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esktop\2019-2020%20BEIS\SCHOOL%20HEALH%20DATA\_SY%2019-20%20SCHOOL%20HEALTH%20DATA%20-%20Oral%20Health_\SHS\SY%202019-2020%20Oral%20Health%20(SHS)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s_oral_health"/>
    </sheetNames>
    <sheetDataSet>
      <sheetData sheetId="0">
        <row r="13">
          <cell r="D13">
            <v>300099</v>
          </cell>
          <cell r="E13" t="str">
            <v>Bangbangolan NHS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D14">
            <v>500602</v>
          </cell>
          <cell r="E14" t="str">
            <v>SAN FERNANDO SOUTH CENTRAL INTEGRATED SCHOOL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D15">
            <v>300126</v>
          </cell>
          <cell r="E15" t="str">
            <v>Pao National High School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</row>
        <row r="16">
          <cell r="D16">
            <v>300118</v>
          </cell>
          <cell r="E16" t="str">
            <v>La Union NHS</v>
          </cell>
          <cell r="F16">
            <v>0</v>
          </cell>
          <cell r="G16">
            <v>577</v>
          </cell>
          <cell r="H16">
            <v>577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D17">
            <v>321001</v>
          </cell>
          <cell r="E17" t="str">
            <v>La Union NHS - Sacyud Annex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D18">
            <v>500530</v>
          </cell>
          <cell r="E18" t="str">
            <v>Nagyubuyuban IS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D19">
            <v>300116</v>
          </cell>
          <cell r="E19" t="str">
            <v>Dr. Quintin Balcita Sr. NHS</v>
          </cell>
          <cell r="F19">
            <v>48</v>
          </cell>
          <cell r="G19">
            <v>65</v>
          </cell>
          <cell r="H19">
            <v>113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D20">
            <v>500983</v>
          </cell>
          <cell r="E20" t="str">
            <v>San Fernando City SPED Integrated School</v>
          </cell>
          <cell r="F20">
            <v>6</v>
          </cell>
          <cell r="G20">
            <v>8</v>
          </cell>
          <cell r="H20">
            <v>14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D21">
            <v>300052</v>
          </cell>
          <cell r="E21" t="str">
            <v>Ilocos Sur National High School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D22">
            <v>300089</v>
          </cell>
          <cell r="E22" t="str">
            <v>Vigan West NHS (Vigan NHS West)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D23">
            <v>300088</v>
          </cell>
          <cell r="E23" t="str">
            <v>Vigan National High School East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D24">
            <v>300054</v>
          </cell>
          <cell r="E24" t="str">
            <v>Lidlidda National High School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D25">
            <v>500055</v>
          </cell>
          <cell r="E25" t="str">
            <v>Pugaro IS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D26">
            <v>500595</v>
          </cell>
          <cell r="E26" t="str">
            <v>BINACUD INTEGRATED SCHOOL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D27">
            <v>500054</v>
          </cell>
          <cell r="E27" t="str">
            <v>Federico N. Ceralde IS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D28">
            <v>300371</v>
          </cell>
          <cell r="E28" t="str">
            <v>Judge Jose de Venecia, Sr. Technical-Vocational Secondary School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D29">
            <v>300049</v>
          </cell>
          <cell r="E29" t="str">
            <v>Dili NHS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D30">
            <v>300368</v>
          </cell>
          <cell r="E30" t="str">
            <v>Dagupan City NHS</v>
          </cell>
          <cell r="F30">
            <v>424</v>
          </cell>
          <cell r="G30">
            <v>358</v>
          </cell>
          <cell r="H30">
            <v>782</v>
          </cell>
          <cell r="I30">
            <v>3</v>
          </cell>
          <cell r="J30">
            <v>3</v>
          </cell>
          <cell r="K30">
            <v>6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D31">
            <v>300370</v>
          </cell>
          <cell r="E31" t="str">
            <v>Salapingao National High School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  <row r="32">
          <cell r="D32">
            <v>500053</v>
          </cell>
          <cell r="E32" t="str">
            <v>East Central IS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D33">
            <v>300092</v>
          </cell>
          <cell r="E33" t="str">
            <v>Anduyan NHS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D34">
            <v>300085</v>
          </cell>
          <cell r="E34" t="str">
            <v>Suyo NHS</v>
          </cell>
          <cell r="F34">
            <v>52</v>
          </cell>
          <cell r="G34">
            <v>29</v>
          </cell>
          <cell r="H34">
            <v>81</v>
          </cell>
          <cell r="I34">
            <v>46</v>
          </cell>
          <cell r="J34">
            <v>29</v>
          </cell>
          <cell r="K34">
            <v>75</v>
          </cell>
          <cell r="L34">
            <v>87</v>
          </cell>
          <cell r="M34">
            <v>62</v>
          </cell>
          <cell r="N34">
            <v>149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</row>
        <row r="35">
          <cell r="D35">
            <v>300367</v>
          </cell>
          <cell r="E35" t="str">
            <v>Bonuan Buquig NHS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D36">
            <v>300369</v>
          </cell>
          <cell r="E36" t="str">
            <v>Carael National HS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D37">
            <v>300017</v>
          </cell>
          <cell r="E37" t="str">
            <v>Dumalneg NHS</v>
          </cell>
          <cell r="F37">
            <v>36</v>
          </cell>
          <cell r="G37">
            <v>28</v>
          </cell>
          <cell r="H37">
            <v>64</v>
          </cell>
          <cell r="I37">
            <v>7</v>
          </cell>
          <cell r="J37">
            <v>5</v>
          </cell>
          <cell r="K37">
            <v>12</v>
          </cell>
          <cell r="L37">
            <v>8</v>
          </cell>
          <cell r="M37">
            <v>6</v>
          </cell>
          <cell r="N37">
            <v>14</v>
          </cell>
          <cell r="O37">
            <v>0</v>
          </cell>
          <cell r="P37">
            <v>2</v>
          </cell>
          <cell r="Q37">
            <v>2</v>
          </cell>
          <cell r="R37">
            <v>0</v>
          </cell>
          <cell r="S37">
            <v>2</v>
          </cell>
          <cell r="T37">
            <v>2</v>
          </cell>
          <cell r="U37">
            <v>0</v>
          </cell>
          <cell r="V37">
            <v>0</v>
          </cell>
          <cell r="W37">
            <v>0</v>
          </cell>
          <cell r="X37">
            <v>5</v>
          </cell>
          <cell r="Y37">
            <v>3</v>
          </cell>
          <cell r="Z37">
            <v>8</v>
          </cell>
        </row>
        <row r="38">
          <cell r="D38">
            <v>300378</v>
          </cell>
          <cell r="E38" t="str">
            <v>Bolingit National High School</v>
          </cell>
          <cell r="F38">
            <v>34</v>
          </cell>
          <cell r="G38">
            <v>34</v>
          </cell>
          <cell r="H38">
            <v>68</v>
          </cell>
          <cell r="I38">
            <v>28</v>
          </cell>
          <cell r="J38">
            <v>19</v>
          </cell>
          <cell r="K38">
            <v>47</v>
          </cell>
          <cell r="L38">
            <v>64</v>
          </cell>
          <cell r="M38">
            <v>51</v>
          </cell>
          <cell r="N38">
            <v>115</v>
          </cell>
          <cell r="O38">
            <v>4</v>
          </cell>
          <cell r="P38">
            <v>3</v>
          </cell>
          <cell r="Q38">
            <v>7</v>
          </cell>
          <cell r="R38">
            <v>5</v>
          </cell>
          <cell r="S38">
            <v>6</v>
          </cell>
          <cell r="T38">
            <v>11</v>
          </cell>
          <cell r="U38">
            <v>2</v>
          </cell>
          <cell r="V38">
            <v>0</v>
          </cell>
          <cell r="W38">
            <v>2</v>
          </cell>
          <cell r="X38">
            <v>0</v>
          </cell>
          <cell r="Y38">
            <v>0</v>
          </cell>
          <cell r="Z38">
            <v>0</v>
          </cell>
        </row>
        <row r="39">
          <cell r="D39">
            <v>300354</v>
          </cell>
          <cell r="E39" t="str">
            <v>San Nicolas National High School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</row>
        <row r="40">
          <cell r="D40">
            <v>320816</v>
          </cell>
          <cell r="E40" t="str">
            <v>STA. ROSA NATIONAL HIGH SCHOOL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D41">
            <v>300188</v>
          </cell>
          <cell r="E41" t="str">
            <v>Moises B. Rebamontan NHS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D42">
            <v>500593</v>
          </cell>
          <cell r="E42" t="str">
            <v>Sacritan IS</v>
          </cell>
          <cell r="F42">
            <v>25</v>
          </cell>
          <cell r="G42">
            <v>18</v>
          </cell>
          <cell r="H42">
            <v>43</v>
          </cell>
          <cell r="I42">
            <v>4</v>
          </cell>
          <cell r="J42">
            <v>5</v>
          </cell>
          <cell r="K42">
            <v>9</v>
          </cell>
          <cell r="L42">
            <v>5</v>
          </cell>
          <cell r="M42">
            <v>3</v>
          </cell>
          <cell r="N42">
            <v>8</v>
          </cell>
          <cell r="O42">
            <v>2</v>
          </cell>
          <cell r="P42">
            <v>1</v>
          </cell>
          <cell r="Q42">
            <v>3</v>
          </cell>
          <cell r="R42">
            <v>1</v>
          </cell>
          <cell r="S42">
            <v>2</v>
          </cell>
          <cell r="T42">
            <v>3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D43">
            <v>300011</v>
          </cell>
          <cell r="E43" t="str">
            <v>Catagtaguen National High School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D44">
            <v>300384</v>
          </cell>
          <cell r="E44" t="str">
            <v>Mabalbalino NHS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5">
          <cell r="D45">
            <v>500605</v>
          </cell>
          <cell r="E45" t="str">
            <v>Aguilar Integrated School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D46">
            <v>320807</v>
          </cell>
          <cell r="E46" t="str">
            <v>San Marcelino National High School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</row>
        <row r="47">
          <cell r="D47">
            <v>300376</v>
          </cell>
          <cell r="E47" t="str">
            <v>Abanon NHS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D48">
            <v>300026</v>
          </cell>
          <cell r="E48" t="str">
            <v>Pasaleng National High School</v>
          </cell>
          <cell r="F48">
            <v>48</v>
          </cell>
          <cell r="G48">
            <v>45</v>
          </cell>
          <cell r="H48">
            <v>93</v>
          </cell>
          <cell r="I48">
            <v>24</v>
          </cell>
          <cell r="J48">
            <v>31</v>
          </cell>
          <cell r="K48">
            <v>55</v>
          </cell>
          <cell r="L48">
            <v>24</v>
          </cell>
          <cell r="M48">
            <v>31</v>
          </cell>
          <cell r="N48">
            <v>55</v>
          </cell>
          <cell r="O48">
            <v>10</v>
          </cell>
          <cell r="P48">
            <v>12</v>
          </cell>
          <cell r="Q48">
            <v>22</v>
          </cell>
          <cell r="R48">
            <v>10</v>
          </cell>
          <cell r="S48">
            <v>12</v>
          </cell>
          <cell r="T48">
            <v>22</v>
          </cell>
          <cell r="U48">
            <v>2</v>
          </cell>
          <cell r="V48">
            <v>4</v>
          </cell>
          <cell r="W48">
            <v>6</v>
          </cell>
          <cell r="X48">
            <v>0</v>
          </cell>
          <cell r="Y48">
            <v>0</v>
          </cell>
          <cell r="Z48">
            <v>0</v>
          </cell>
        </row>
        <row r="49">
          <cell r="D49">
            <v>300002</v>
          </cell>
          <cell r="E49" t="str">
            <v>Bacarra NCHS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D50">
            <v>300111</v>
          </cell>
          <cell r="E50" t="str">
            <v>Paraoir NHS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D51">
            <v>300059</v>
          </cell>
          <cell r="E51" t="str">
            <v>Nagbukel NHS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</row>
        <row r="52">
          <cell r="D52">
            <v>300383</v>
          </cell>
          <cell r="E52" t="str">
            <v>Lilimasan National High School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D53">
            <v>300254</v>
          </cell>
          <cell r="E53" t="str">
            <v>Sanlibo National High School</v>
          </cell>
          <cell r="F53">
            <v>33</v>
          </cell>
          <cell r="G53">
            <v>48</v>
          </cell>
          <cell r="H53">
            <v>81</v>
          </cell>
          <cell r="I53">
            <v>4</v>
          </cell>
          <cell r="J53">
            <v>3</v>
          </cell>
          <cell r="K53">
            <v>7</v>
          </cell>
          <cell r="L53">
            <v>2</v>
          </cell>
          <cell r="M53">
            <v>2</v>
          </cell>
          <cell r="N53">
            <v>4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D54">
            <v>300389</v>
          </cell>
          <cell r="E54" t="str">
            <v>Tamayo National High School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D55">
            <v>320808</v>
          </cell>
          <cell r="E55" t="str">
            <v>Dingras NHS/Lt. Edgar Foz Mem. NHS (San Marcos Campus)</v>
          </cell>
          <cell r="F55">
            <v>20</v>
          </cell>
          <cell r="G55">
            <v>25</v>
          </cell>
          <cell r="H55">
            <v>45</v>
          </cell>
          <cell r="I55">
            <v>2</v>
          </cell>
          <cell r="J55">
            <v>2</v>
          </cell>
          <cell r="K55">
            <v>4</v>
          </cell>
          <cell r="L55">
            <v>3</v>
          </cell>
          <cell r="M55">
            <v>3</v>
          </cell>
          <cell r="N55">
            <v>6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1</v>
          </cell>
          <cell r="W55">
            <v>1</v>
          </cell>
          <cell r="X55">
            <v>0</v>
          </cell>
          <cell r="Y55">
            <v>0</v>
          </cell>
          <cell r="Z55">
            <v>0</v>
          </cell>
        </row>
        <row r="56">
          <cell r="D56">
            <v>300385</v>
          </cell>
          <cell r="E56" t="str">
            <v>Malacañang National High School</v>
          </cell>
          <cell r="F56">
            <v>49</v>
          </cell>
          <cell r="G56">
            <v>49</v>
          </cell>
          <cell r="H56">
            <v>98</v>
          </cell>
          <cell r="I56">
            <v>12</v>
          </cell>
          <cell r="J56">
            <v>10</v>
          </cell>
          <cell r="K56">
            <v>22</v>
          </cell>
          <cell r="L56">
            <v>4</v>
          </cell>
          <cell r="M56">
            <v>7</v>
          </cell>
          <cell r="N56">
            <v>11</v>
          </cell>
          <cell r="O56">
            <v>11</v>
          </cell>
          <cell r="P56">
            <v>5</v>
          </cell>
          <cell r="Q56">
            <v>16</v>
          </cell>
          <cell r="R56">
            <v>3</v>
          </cell>
          <cell r="S56">
            <v>7</v>
          </cell>
          <cell r="T56">
            <v>10</v>
          </cell>
          <cell r="U56">
            <v>10</v>
          </cell>
          <cell r="V56">
            <v>8</v>
          </cell>
          <cell r="W56">
            <v>18</v>
          </cell>
          <cell r="X56">
            <v>0</v>
          </cell>
          <cell r="Y56">
            <v>0</v>
          </cell>
          <cell r="Z56">
            <v>0</v>
          </cell>
        </row>
        <row r="57">
          <cell r="D57">
            <v>300027</v>
          </cell>
          <cell r="E57" t="str">
            <v>Pinili NHS</v>
          </cell>
          <cell r="F57">
            <v>95</v>
          </cell>
          <cell r="G57">
            <v>140</v>
          </cell>
          <cell r="H57">
            <v>235</v>
          </cell>
          <cell r="I57">
            <v>15</v>
          </cell>
          <cell r="J57">
            <v>10</v>
          </cell>
          <cell r="K57">
            <v>25</v>
          </cell>
          <cell r="L57">
            <v>15</v>
          </cell>
          <cell r="M57">
            <v>10</v>
          </cell>
          <cell r="N57">
            <v>25</v>
          </cell>
          <cell r="O57">
            <v>20</v>
          </cell>
          <cell r="P57">
            <v>15</v>
          </cell>
          <cell r="Q57">
            <v>35</v>
          </cell>
          <cell r="R57">
            <v>20</v>
          </cell>
          <cell r="S57">
            <v>15</v>
          </cell>
          <cell r="T57">
            <v>35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</row>
        <row r="58">
          <cell r="D58">
            <v>300382</v>
          </cell>
          <cell r="E58" t="str">
            <v>Libas NHS</v>
          </cell>
          <cell r="F58">
            <v>22</v>
          </cell>
          <cell r="G58">
            <v>20</v>
          </cell>
          <cell r="H58">
            <v>42</v>
          </cell>
          <cell r="I58">
            <v>15</v>
          </cell>
          <cell r="J58">
            <v>10</v>
          </cell>
          <cell r="K58">
            <v>25</v>
          </cell>
          <cell r="L58">
            <v>15</v>
          </cell>
          <cell r="M58">
            <v>10</v>
          </cell>
          <cell r="N58">
            <v>25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</row>
        <row r="59">
          <cell r="D59">
            <v>300320</v>
          </cell>
          <cell r="E59" t="str">
            <v>Lipit NHS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</row>
        <row r="60">
          <cell r="D60">
            <v>300015</v>
          </cell>
          <cell r="E60" t="str">
            <v>Dingras NHS/Lt. Edgar Foz Mem. NHS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D61">
            <v>300386</v>
          </cell>
          <cell r="E61" t="str">
            <v>Pangalangan NHS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D62">
            <v>320810</v>
          </cell>
          <cell r="E62" t="str">
            <v>SUYO NATIONAL HIGH SCHOOL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</row>
        <row r="63">
          <cell r="D63">
            <v>300405</v>
          </cell>
          <cell r="E63" t="str">
            <v>Lananpin NHS</v>
          </cell>
          <cell r="F63">
            <v>80</v>
          </cell>
          <cell r="G63">
            <v>83</v>
          </cell>
          <cell r="H63">
            <v>163</v>
          </cell>
          <cell r="I63">
            <v>67</v>
          </cell>
          <cell r="J63">
            <v>73</v>
          </cell>
          <cell r="K63">
            <v>140</v>
          </cell>
          <cell r="L63">
            <v>199</v>
          </cell>
          <cell r="M63">
            <v>292</v>
          </cell>
          <cell r="N63">
            <v>491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</row>
        <row r="64">
          <cell r="D64">
            <v>300038</v>
          </cell>
          <cell r="E64" t="str">
            <v>Bantay National High School</v>
          </cell>
          <cell r="F64">
            <v>62</v>
          </cell>
          <cell r="G64">
            <v>74</v>
          </cell>
          <cell r="H64">
            <v>136</v>
          </cell>
          <cell r="I64">
            <v>11</v>
          </cell>
          <cell r="J64">
            <v>12</v>
          </cell>
          <cell r="K64">
            <v>23</v>
          </cell>
          <cell r="L64">
            <v>0</v>
          </cell>
          <cell r="M64">
            <v>0</v>
          </cell>
          <cell r="N64">
            <v>0</v>
          </cell>
          <cell r="O64">
            <v>4</v>
          </cell>
          <cell r="P64">
            <v>2</v>
          </cell>
          <cell r="Q64">
            <v>6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</row>
        <row r="65">
          <cell r="D65">
            <v>500346</v>
          </cell>
          <cell r="E65" t="str">
            <v>Mabilbila IS</v>
          </cell>
          <cell r="F65">
            <v>66</v>
          </cell>
          <cell r="G65">
            <v>72</v>
          </cell>
          <cell r="H65">
            <v>138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</row>
        <row r="66">
          <cell r="D66">
            <v>320820</v>
          </cell>
          <cell r="E66" t="str">
            <v>Adriano P. Arzadon NHS</v>
          </cell>
          <cell r="F66">
            <v>32</v>
          </cell>
          <cell r="G66">
            <v>28</v>
          </cell>
          <cell r="H66">
            <v>60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</row>
        <row r="67">
          <cell r="D67">
            <v>300006</v>
          </cell>
          <cell r="E67" t="str">
            <v>Burgos Agro-Industrial School</v>
          </cell>
          <cell r="F67">
            <v>127</v>
          </cell>
          <cell r="G67">
            <v>99</v>
          </cell>
          <cell r="H67">
            <v>226</v>
          </cell>
          <cell r="I67">
            <v>1</v>
          </cell>
          <cell r="J67">
            <v>1</v>
          </cell>
          <cell r="K67">
            <v>2</v>
          </cell>
          <cell r="L67">
            <v>1</v>
          </cell>
          <cell r="M67">
            <v>1</v>
          </cell>
          <cell r="N67">
            <v>2</v>
          </cell>
          <cell r="O67">
            <v>2</v>
          </cell>
          <cell r="P67">
            <v>1</v>
          </cell>
          <cell r="Q67">
            <v>3</v>
          </cell>
          <cell r="R67">
            <v>2</v>
          </cell>
          <cell r="S67">
            <v>1</v>
          </cell>
          <cell r="T67">
            <v>3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</row>
        <row r="68">
          <cell r="D68">
            <v>300037</v>
          </cell>
          <cell r="E68" t="str">
            <v>Banayoyo NHS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  <row r="69">
          <cell r="D69">
            <v>300039</v>
          </cell>
          <cell r="E69" t="str">
            <v>Basug National High School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</row>
        <row r="70">
          <cell r="D70">
            <v>300074</v>
          </cell>
          <cell r="E70" t="str">
            <v>San Emilio NHS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</row>
        <row r="71">
          <cell r="D71">
            <v>300198</v>
          </cell>
          <cell r="E71" t="str">
            <v>Doyong-Malabago NHS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</row>
        <row r="72">
          <cell r="D72">
            <v>300050</v>
          </cell>
          <cell r="E72" t="str">
            <v>Dinaratan National High School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3">
          <cell r="D73">
            <v>300113</v>
          </cell>
          <cell r="E73" t="str">
            <v>Don Rufino Olarte MNHS</v>
          </cell>
          <cell r="F73">
            <v>20</v>
          </cell>
          <cell r="G73">
            <v>18</v>
          </cell>
          <cell r="H73">
            <v>38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14</v>
          </cell>
          <cell r="P73">
            <v>10</v>
          </cell>
          <cell r="Q73">
            <v>24</v>
          </cell>
          <cell r="R73">
            <v>6</v>
          </cell>
          <cell r="S73">
            <v>8</v>
          </cell>
          <cell r="T73">
            <v>14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</row>
        <row r="74">
          <cell r="D74">
            <v>300225</v>
          </cell>
          <cell r="E74" t="str">
            <v>Maticmatic NHS</v>
          </cell>
          <cell r="F74">
            <v>60</v>
          </cell>
          <cell r="G74">
            <v>21</v>
          </cell>
          <cell r="H74">
            <v>81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D75">
            <v>500349</v>
          </cell>
          <cell r="E75" t="str">
            <v>Ambalayat IS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D76">
            <v>300156</v>
          </cell>
          <cell r="E76" t="str">
            <v>Aliaga National High School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</row>
        <row r="77">
          <cell r="D77">
            <v>500365</v>
          </cell>
          <cell r="E77" t="str">
            <v>Mabulitec Integrated School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</row>
        <row r="78">
          <cell r="D78">
            <v>300029</v>
          </cell>
          <cell r="E78" t="str">
            <v>Sarrat National High School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D79">
            <v>320908</v>
          </cell>
          <cell r="E79" t="str">
            <v>SISIM NATIONAL HIGH SCHOOL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</row>
        <row r="80">
          <cell r="D80">
            <v>500591</v>
          </cell>
          <cell r="E80" t="str">
            <v>FLORENTINO CAMAQUIN INTEGRATED SCHOOL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D81">
            <v>300013</v>
          </cell>
          <cell r="E81" t="str">
            <v>Wilbur C. Go NHS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</row>
        <row r="82">
          <cell r="D82">
            <v>330511</v>
          </cell>
          <cell r="E82" t="str">
            <v>PHI SCIENCE HIGH SCHOOL - ILOCOS REGION CAMPUS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</row>
        <row r="83">
          <cell r="D83">
            <v>300053</v>
          </cell>
          <cell r="E83" t="str">
            <v>Imelda National High School</v>
          </cell>
          <cell r="F83">
            <v>0</v>
          </cell>
          <cell r="G83">
            <v>22</v>
          </cell>
          <cell r="H83">
            <v>22</v>
          </cell>
          <cell r="I83">
            <v>0</v>
          </cell>
          <cell r="J83">
            <v>142</v>
          </cell>
          <cell r="K83">
            <v>142</v>
          </cell>
          <cell r="L83">
            <v>0</v>
          </cell>
          <cell r="M83">
            <v>22</v>
          </cell>
          <cell r="N83">
            <v>22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</row>
        <row r="84">
          <cell r="D84">
            <v>300178</v>
          </cell>
          <cell r="E84" t="str">
            <v>Buenlag NHS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</row>
        <row r="85">
          <cell r="D85">
            <v>300388</v>
          </cell>
          <cell r="E85" t="str">
            <v>Speaker Eugenio Perez Nat;l. Agr'l. Sch.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</row>
        <row r="86">
          <cell r="D86">
            <v>500057</v>
          </cell>
          <cell r="E86" t="str">
            <v>Tarece Integrated School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D87">
            <v>300073</v>
          </cell>
          <cell r="E87" t="str">
            <v>Salcedo NHS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</row>
        <row r="88">
          <cell r="D88">
            <v>300028</v>
          </cell>
          <cell r="E88" t="str">
            <v>San Nicolas NHS</v>
          </cell>
          <cell r="F88">
            <v>310</v>
          </cell>
          <cell r="G88">
            <v>285</v>
          </cell>
          <cell r="H88">
            <v>595</v>
          </cell>
          <cell r="I88">
            <v>66</v>
          </cell>
          <cell r="J88">
            <v>51</v>
          </cell>
          <cell r="K88">
            <v>117</v>
          </cell>
          <cell r="L88">
            <v>244</v>
          </cell>
          <cell r="M88">
            <v>234</v>
          </cell>
          <cell r="N88">
            <v>478</v>
          </cell>
          <cell r="O88">
            <v>0</v>
          </cell>
          <cell r="P88">
            <v>0</v>
          </cell>
          <cell r="Q88">
            <v>0</v>
          </cell>
          <cell r="R88">
            <v>244</v>
          </cell>
          <cell r="S88">
            <v>234</v>
          </cell>
          <cell r="T88">
            <v>478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</row>
        <row r="89">
          <cell r="D89">
            <v>300212</v>
          </cell>
          <cell r="E89" t="str">
            <v>Lokeb Norte NHS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</row>
        <row r="90">
          <cell r="D90">
            <v>300086</v>
          </cell>
          <cell r="E90" t="str">
            <v>Tagudin NHS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</row>
        <row r="91">
          <cell r="D91">
            <v>300080</v>
          </cell>
          <cell r="E91" t="str">
            <v>Sinait NHS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</row>
        <row r="92">
          <cell r="D92">
            <v>300387</v>
          </cell>
          <cell r="E92" t="str">
            <v>Salinap NHS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1</v>
          </cell>
          <cell r="Y92">
            <v>0</v>
          </cell>
          <cell r="Z92">
            <v>1</v>
          </cell>
        </row>
        <row r="93">
          <cell r="D93">
            <v>300220</v>
          </cell>
          <cell r="E93" t="str">
            <v>Malasiqui NHS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</row>
        <row r="94">
          <cell r="D94">
            <v>300399</v>
          </cell>
          <cell r="E94" t="str">
            <v>Casabula NHS</v>
          </cell>
          <cell r="F94">
            <v>12</v>
          </cell>
          <cell r="G94">
            <v>10</v>
          </cell>
          <cell r="H94">
            <v>22</v>
          </cell>
          <cell r="I94">
            <v>11</v>
          </cell>
          <cell r="J94">
            <v>10</v>
          </cell>
          <cell r="K94">
            <v>21</v>
          </cell>
          <cell r="L94">
            <v>62</v>
          </cell>
          <cell r="M94">
            <v>22</v>
          </cell>
          <cell r="N94">
            <v>84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</row>
        <row r="95">
          <cell r="D95">
            <v>300001</v>
          </cell>
          <cell r="E95" t="str">
            <v>Adams National High School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</row>
        <row r="96">
          <cell r="D96">
            <v>300019</v>
          </cell>
          <cell r="E96" t="str">
            <v>Luzong NHS</v>
          </cell>
          <cell r="F96">
            <v>100</v>
          </cell>
          <cell r="G96">
            <v>92</v>
          </cell>
          <cell r="H96">
            <v>192</v>
          </cell>
          <cell r="I96">
            <v>12</v>
          </cell>
          <cell r="J96">
            <v>94</v>
          </cell>
          <cell r="K96">
            <v>106</v>
          </cell>
          <cell r="L96">
            <v>12</v>
          </cell>
          <cell r="M96">
            <v>15</v>
          </cell>
          <cell r="N96">
            <v>27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</row>
        <row r="97">
          <cell r="D97">
            <v>300210</v>
          </cell>
          <cell r="E97" t="str">
            <v>Lareglareg NHS</v>
          </cell>
          <cell r="F97">
            <v>34</v>
          </cell>
          <cell r="G97">
            <v>30</v>
          </cell>
          <cell r="H97">
            <v>64</v>
          </cell>
          <cell r="I97">
            <v>30</v>
          </cell>
          <cell r="J97">
            <v>25</v>
          </cell>
          <cell r="K97">
            <v>55</v>
          </cell>
          <cell r="L97">
            <v>4</v>
          </cell>
          <cell r="M97">
            <v>5</v>
          </cell>
          <cell r="N97">
            <v>9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</row>
        <row r="98">
          <cell r="D98">
            <v>300131</v>
          </cell>
          <cell r="E98" t="str">
            <v>Pugo Central NHS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D99">
            <v>300172</v>
          </cell>
          <cell r="E99" t="str">
            <v>Binabalian NHS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  <row r="100">
          <cell r="D100">
            <v>300187</v>
          </cell>
          <cell r="E100" t="str">
            <v>Carot National High School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</row>
        <row r="101">
          <cell r="D101">
            <v>500613</v>
          </cell>
          <cell r="E101" t="str">
            <v>Gayusan Integrated School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</row>
        <row r="102">
          <cell r="D102">
            <v>300391</v>
          </cell>
          <cell r="E102" t="str">
            <v>Turac NHS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</row>
        <row r="103">
          <cell r="D103">
            <v>500608</v>
          </cell>
          <cell r="E103" t="str">
            <v>BANI EAST INTEGRATED SCHOOL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</row>
        <row r="104">
          <cell r="D104">
            <v>300394</v>
          </cell>
          <cell r="E104" t="str">
            <v>Badipa NHS</v>
          </cell>
          <cell r="F104">
            <v>15</v>
          </cell>
          <cell r="G104">
            <v>14</v>
          </cell>
          <cell r="H104">
            <v>29</v>
          </cell>
          <cell r="I104">
            <v>14</v>
          </cell>
          <cell r="J104">
            <v>12</v>
          </cell>
          <cell r="K104">
            <v>26</v>
          </cell>
          <cell r="L104">
            <v>64</v>
          </cell>
          <cell r="M104">
            <v>53</v>
          </cell>
          <cell r="N104">
            <v>117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</row>
        <row r="105">
          <cell r="D105">
            <v>300373</v>
          </cell>
          <cell r="E105" t="str">
            <v>Ilocos Norte College of Arts &amp; Trades</v>
          </cell>
          <cell r="F105">
            <v>567</v>
          </cell>
          <cell r="G105">
            <v>346</v>
          </cell>
          <cell r="H105">
            <v>913</v>
          </cell>
          <cell r="I105">
            <v>431</v>
          </cell>
          <cell r="J105">
            <v>258</v>
          </cell>
          <cell r="K105">
            <v>689</v>
          </cell>
          <cell r="L105">
            <v>1533</v>
          </cell>
          <cell r="M105">
            <v>1015</v>
          </cell>
          <cell r="N105">
            <v>2548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11</v>
          </cell>
          <cell r="V105">
            <v>2</v>
          </cell>
          <cell r="W105">
            <v>13</v>
          </cell>
          <cell r="X105">
            <v>16</v>
          </cell>
          <cell r="Y105">
            <v>15</v>
          </cell>
          <cell r="Z105">
            <v>31</v>
          </cell>
        </row>
        <row r="106">
          <cell r="D106">
            <v>300062</v>
          </cell>
          <cell r="E106" t="str">
            <v>Nagtablaan NHS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</row>
        <row r="107">
          <cell r="D107">
            <v>300072</v>
          </cell>
          <cell r="E107" t="str">
            <v>Teodoro Hernaez NHS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</row>
        <row r="108">
          <cell r="D108">
            <v>300372</v>
          </cell>
          <cell r="E108" t="str">
            <v>Gabu NHS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D109">
            <v>305601</v>
          </cell>
          <cell r="E109" t="str">
            <v>Caaoacan High School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D110">
            <v>500059</v>
          </cell>
          <cell r="E110" t="str">
            <v>Agdao Integrated School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</row>
        <row r="111">
          <cell r="D111">
            <v>500056</v>
          </cell>
          <cell r="E111" t="str">
            <v>Balatong Integrated School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</row>
        <row r="112">
          <cell r="D112">
            <v>300379</v>
          </cell>
          <cell r="E112" t="str">
            <v>Cobol National High School</v>
          </cell>
          <cell r="F112">
            <v>29</v>
          </cell>
          <cell r="G112">
            <v>44</v>
          </cell>
          <cell r="H112">
            <v>73</v>
          </cell>
          <cell r="I112">
            <v>29</v>
          </cell>
          <cell r="J112">
            <v>44</v>
          </cell>
          <cell r="K112">
            <v>73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</row>
        <row r="113">
          <cell r="D113">
            <v>300374</v>
          </cell>
          <cell r="E113" t="str">
            <v>Ilocos Norte National High School</v>
          </cell>
          <cell r="F113">
            <v>481</v>
          </cell>
          <cell r="G113">
            <v>380</v>
          </cell>
          <cell r="H113">
            <v>861</v>
          </cell>
          <cell r="I113">
            <v>394</v>
          </cell>
          <cell r="J113">
            <v>321</v>
          </cell>
          <cell r="K113">
            <v>715</v>
          </cell>
          <cell r="L113">
            <v>394</v>
          </cell>
          <cell r="M113">
            <v>321</v>
          </cell>
          <cell r="N113">
            <v>715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9</v>
          </cell>
          <cell r="V113">
            <v>7</v>
          </cell>
          <cell r="W113">
            <v>16</v>
          </cell>
          <cell r="X113">
            <v>11</v>
          </cell>
          <cell r="Y113">
            <v>10</v>
          </cell>
          <cell r="Z113">
            <v>21</v>
          </cell>
        </row>
        <row r="114">
          <cell r="D114">
            <v>300213</v>
          </cell>
          <cell r="E114" t="str">
            <v>Lokeb Sur National High School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</row>
        <row r="115">
          <cell r="D115">
            <v>300067</v>
          </cell>
          <cell r="E115" t="str">
            <v>Pug-os National High School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D116">
            <v>300375</v>
          </cell>
          <cell r="E116" t="str">
            <v>Ilocos Norte Regional School of Fisheries</v>
          </cell>
          <cell r="F116">
            <v>47</v>
          </cell>
          <cell r="G116">
            <v>67</v>
          </cell>
          <cell r="H116">
            <v>114</v>
          </cell>
          <cell r="I116">
            <v>25</v>
          </cell>
          <cell r="J116">
            <v>32</v>
          </cell>
          <cell r="K116">
            <v>57</v>
          </cell>
          <cell r="L116">
            <v>56</v>
          </cell>
          <cell r="M116">
            <v>49</v>
          </cell>
          <cell r="N116">
            <v>105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D117">
            <v>300003</v>
          </cell>
          <cell r="E117" t="str">
            <v>Bangui NHS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D118">
            <v>300380</v>
          </cell>
          <cell r="E118" t="str">
            <v>Coliling National High School</v>
          </cell>
          <cell r="F118">
            <v>38</v>
          </cell>
          <cell r="G118">
            <v>50</v>
          </cell>
          <cell r="H118">
            <v>88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D119">
            <v>500618</v>
          </cell>
          <cell r="E119" t="str">
            <v>Pangascasan IS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D120">
            <v>320909</v>
          </cell>
          <cell r="E120" t="str">
            <v>San Sebastian NHS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D121">
            <v>500612</v>
          </cell>
          <cell r="E121" t="str">
            <v>Dalanguiring IS</v>
          </cell>
          <cell r="F121">
            <v>48</v>
          </cell>
          <cell r="G121">
            <v>24</v>
          </cell>
          <cell r="H121">
            <v>72</v>
          </cell>
          <cell r="I121">
            <v>5</v>
          </cell>
          <cell r="J121">
            <v>7</v>
          </cell>
          <cell r="K121">
            <v>12</v>
          </cell>
          <cell r="L121">
            <v>12</v>
          </cell>
          <cell r="M121">
            <v>16</v>
          </cell>
          <cell r="N121">
            <v>28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</row>
        <row r="122">
          <cell r="D122">
            <v>300048</v>
          </cell>
          <cell r="E122" t="str">
            <v>G. DEL PILAR NHS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</row>
        <row r="123">
          <cell r="D123">
            <v>300397</v>
          </cell>
          <cell r="E123" t="str">
            <v>Camabu NHS</v>
          </cell>
          <cell r="F123">
            <v>15</v>
          </cell>
          <cell r="G123">
            <v>9</v>
          </cell>
          <cell r="H123">
            <v>24</v>
          </cell>
          <cell r="I123">
            <v>14</v>
          </cell>
          <cell r="J123">
            <v>8</v>
          </cell>
          <cell r="K123">
            <v>22</v>
          </cell>
          <cell r="L123">
            <v>64</v>
          </cell>
          <cell r="M123">
            <v>36</v>
          </cell>
          <cell r="N123">
            <v>100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</row>
        <row r="124">
          <cell r="D124">
            <v>300024</v>
          </cell>
          <cell r="E124" t="str">
            <v>PAGUDPUD NHS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</row>
        <row r="125">
          <cell r="D125">
            <v>300020</v>
          </cell>
          <cell r="E125" t="str">
            <v>Marcos NHS</v>
          </cell>
          <cell r="F125">
            <v>179</v>
          </cell>
          <cell r="G125">
            <v>186</v>
          </cell>
          <cell r="H125">
            <v>365</v>
          </cell>
          <cell r="I125">
            <v>10</v>
          </cell>
          <cell r="J125">
            <v>18</v>
          </cell>
          <cell r="K125">
            <v>28</v>
          </cell>
          <cell r="L125">
            <v>20</v>
          </cell>
          <cell r="M125">
            <v>27</v>
          </cell>
          <cell r="N125">
            <v>47</v>
          </cell>
          <cell r="O125">
            <v>3</v>
          </cell>
          <cell r="P125">
            <v>6</v>
          </cell>
          <cell r="Q125">
            <v>9</v>
          </cell>
          <cell r="R125">
            <v>8</v>
          </cell>
          <cell r="S125">
            <v>10</v>
          </cell>
          <cell r="T125">
            <v>18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D126">
            <v>300063</v>
          </cell>
          <cell r="E126" t="str">
            <v>Narvacan Nat'l. Central HS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</row>
        <row r="127">
          <cell r="D127">
            <v>300401</v>
          </cell>
          <cell r="E127" t="str">
            <v>Cayambanan NHS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D128">
            <v>500607</v>
          </cell>
          <cell r="E128" t="str">
            <v>Bacnit Integrated School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D129">
            <v>300409</v>
          </cell>
          <cell r="E129" t="str">
            <v>Pedro T. Orata NHS</v>
          </cell>
          <cell r="F129">
            <v>15</v>
          </cell>
          <cell r="G129">
            <v>9</v>
          </cell>
          <cell r="H129">
            <v>24</v>
          </cell>
          <cell r="I129">
            <v>14</v>
          </cell>
          <cell r="J129">
            <v>8</v>
          </cell>
          <cell r="K129">
            <v>22</v>
          </cell>
          <cell r="L129">
            <v>63</v>
          </cell>
          <cell r="M129">
            <v>35</v>
          </cell>
          <cell r="N129">
            <v>98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D130">
            <v>320815</v>
          </cell>
          <cell r="E130" t="str">
            <v>Bingao National High School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1">
          <cell r="D131">
            <v>300068</v>
          </cell>
          <cell r="E131" t="str">
            <v>Puro NHS, Caoayan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</row>
        <row r="132">
          <cell r="D132">
            <v>300381</v>
          </cell>
          <cell r="E132" t="str">
            <v>Doyong National High School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D133">
            <v>500347</v>
          </cell>
          <cell r="E133" t="str">
            <v>Pudoc West Integrated School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</row>
        <row r="134">
          <cell r="D134">
            <v>300392</v>
          </cell>
          <cell r="E134" t="str">
            <v>Anonas NHS</v>
          </cell>
          <cell r="F134">
            <v>29</v>
          </cell>
          <cell r="G134">
            <v>47</v>
          </cell>
          <cell r="H134">
            <v>76</v>
          </cell>
          <cell r="I134">
            <v>24</v>
          </cell>
          <cell r="J134">
            <v>44</v>
          </cell>
          <cell r="K134">
            <v>68</v>
          </cell>
          <cell r="L134">
            <v>62</v>
          </cell>
          <cell r="M134">
            <v>176</v>
          </cell>
          <cell r="N134">
            <v>238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2</v>
          </cell>
          <cell r="Y134">
            <v>0</v>
          </cell>
          <cell r="Z134">
            <v>2</v>
          </cell>
        </row>
        <row r="135">
          <cell r="D135">
            <v>320821</v>
          </cell>
          <cell r="E135" t="str">
            <v>ISIC-ISIC NATIONAL HIGH SCHOOL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D136">
            <v>500343</v>
          </cell>
          <cell r="E136" t="str">
            <v>Pallas Integrated School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</row>
        <row r="137">
          <cell r="D137">
            <v>300264</v>
          </cell>
          <cell r="E137" t="str">
            <v>Tondol NHS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</row>
        <row r="138">
          <cell r="D138">
            <v>300268</v>
          </cell>
          <cell r="E138" t="str">
            <v>Zaragosa NHS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</row>
        <row r="139">
          <cell r="D139">
            <v>300211</v>
          </cell>
          <cell r="E139" t="str">
            <v>Lasip NHS</v>
          </cell>
          <cell r="F139">
            <v>150</v>
          </cell>
          <cell r="G139">
            <v>150</v>
          </cell>
          <cell r="H139">
            <v>300</v>
          </cell>
          <cell r="I139">
            <v>75</v>
          </cell>
          <cell r="J139">
            <v>70</v>
          </cell>
          <cell r="K139">
            <v>145</v>
          </cell>
          <cell r="L139">
            <v>36</v>
          </cell>
          <cell r="M139">
            <v>30</v>
          </cell>
          <cell r="N139">
            <v>66</v>
          </cell>
          <cell r="O139">
            <v>5</v>
          </cell>
          <cell r="P139">
            <v>4</v>
          </cell>
          <cell r="Q139">
            <v>9</v>
          </cell>
          <cell r="R139">
            <v>5</v>
          </cell>
          <cell r="S139">
            <v>4</v>
          </cell>
          <cell r="T139">
            <v>9</v>
          </cell>
          <cell r="U139">
            <v>30</v>
          </cell>
          <cell r="V139">
            <v>31</v>
          </cell>
          <cell r="W139">
            <v>61</v>
          </cell>
          <cell r="X139">
            <v>30</v>
          </cell>
          <cell r="Y139">
            <v>31</v>
          </cell>
          <cell r="Z139">
            <v>61</v>
          </cell>
        </row>
        <row r="140">
          <cell r="D140">
            <v>500597</v>
          </cell>
          <cell r="E140" t="str">
            <v>Garitan Integrated  School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</row>
        <row r="141">
          <cell r="D141">
            <v>300402</v>
          </cell>
          <cell r="E141" t="str">
            <v>Don Antonio Bongolan MHS</v>
          </cell>
          <cell r="F141">
            <v>49</v>
          </cell>
          <cell r="G141">
            <v>25</v>
          </cell>
          <cell r="H141">
            <v>74</v>
          </cell>
          <cell r="I141">
            <v>37</v>
          </cell>
          <cell r="J141">
            <v>18</v>
          </cell>
          <cell r="K141">
            <v>55</v>
          </cell>
          <cell r="L141">
            <v>222</v>
          </cell>
          <cell r="M141">
            <v>108</v>
          </cell>
          <cell r="N141">
            <v>330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</row>
        <row r="142">
          <cell r="D142">
            <v>300396</v>
          </cell>
          <cell r="E142" t="str">
            <v>Cabuloan NHS</v>
          </cell>
          <cell r="F142">
            <v>33</v>
          </cell>
          <cell r="G142">
            <v>0</v>
          </cell>
          <cell r="H142">
            <v>33</v>
          </cell>
          <cell r="I142">
            <v>27</v>
          </cell>
          <cell r="J142">
            <v>0</v>
          </cell>
          <cell r="K142">
            <v>27</v>
          </cell>
          <cell r="L142">
            <v>90</v>
          </cell>
          <cell r="M142">
            <v>0</v>
          </cell>
          <cell r="N142">
            <v>90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</row>
        <row r="143">
          <cell r="D143">
            <v>500345</v>
          </cell>
          <cell r="E143" t="str">
            <v>Malaguip Integrated School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</row>
        <row r="144">
          <cell r="D144">
            <v>320805</v>
          </cell>
          <cell r="E144" t="str">
            <v>Currimao NHS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</row>
        <row r="145">
          <cell r="D145">
            <v>300217</v>
          </cell>
          <cell r="E145" t="str">
            <v>Macaleeng National High School</v>
          </cell>
          <cell r="F145">
            <v>30</v>
          </cell>
          <cell r="G145">
            <v>33</v>
          </cell>
          <cell r="H145">
            <v>63</v>
          </cell>
          <cell r="I145">
            <v>24</v>
          </cell>
          <cell r="J145">
            <v>30</v>
          </cell>
          <cell r="K145">
            <v>54</v>
          </cell>
          <cell r="L145">
            <v>40</v>
          </cell>
          <cell r="M145">
            <v>50</v>
          </cell>
          <cell r="N145">
            <v>90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5</v>
          </cell>
          <cell r="V145">
            <v>5</v>
          </cell>
          <cell r="W145">
            <v>10</v>
          </cell>
          <cell r="X145">
            <v>6</v>
          </cell>
          <cell r="Y145">
            <v>7</v>
          </cell>
          <cell r="Z145">
            <v>13</v>
          </cell>
        </row>
        <row r="146">
          <cell r="D146">
            <v>500344</v>
          </cell>
          <cell r="E146" t="str">
            <v>Salpad Integrated School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</row>
        <row r="147">
          <cell r="D147">
            <v>320809</v>
          </cell>
          <cell r="E147" t="str">
            <v>Dingras NHS/Lt. Edgar Foz Mem. NHS- (Sulquiano Campus)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</row>
        <row r="148">
          <cell r="D148">
            <v>320817</v>
          </cell>
          <cell r="E148" t="str">
            <v>Bagbag Solsona National High School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</row>
        <row r="149">
          <cell r="D149">
            <v>300007</v>
          </cell>
          <cell r="E149" t="str">
            <v>Cadaratan National High School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</row>
        <row r="150">
          <cell r="D150">
            <v>300237</v>
          </cell>
          <cell r="E150" t="str">
            <v>Payas NHS</v>
          </cell>
          <cell r="F150">
            <v>0</v>
          </cell>
          <cell r="G150">
            <v>77</v>
          </cell>
          <cell r="H150">
            <v>77</v>
          </cell>
          <cell r="I150">
            <v>0</v>
          </cell>
          <cell r="J150">
            <v>77</v>
          </cell>
          <cell r="K150">
            <v>77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D151">
            <v>500353</v>
          </cell>
          <cell r="E151" t="str">
            <v>Mindoro Integrated School</v>
          </cell>
          <cell r="F151">
            <v>23</v>
          </cell>
          <cell r="G151">
            <v>0</v>
          </cell>
          <cell r="H151">
            <v>23</v>
          </cell>
          <cell r="I151">
            <v>23</v>
          </cell>
          <cell r="J151">
            <v>0</v>
          </cell>
          <cell r="K151">
            <v>23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</row>
        <row r="152">
          <cell r="D152">
            <v>300395</v>
          </cell>
          <cell r="E152" t="str">
            <v>Cabaruan NHS</v>
          </cell>
          <cell r="F152">
            <v>64</v>
          </cell>
          <cell r="G152">
            <v>71</v>
          </cell>
          <cell r="H152">
            <v>135</v>
          </cell>
          <cell r="I152">
            <v>10</v>
          </cell>
          <cell r="J152">
            <v>21</v>
          </cell>
          <cell r="K152">
            <v>31</v>
          </cell>
          <cell r="L152">
            <v>10</v>
          </cell>
          <cell r="M152">
            <v>22</v>
          </cell>
          <cell r="N152">
            <v>32</v>
          </cell>
          <cell r="O152">
            <v>9</v>
          </cell>
          <cell r="P152">
            <v>8</v>
          </cell>
          <cell r="Q152">
            <v>17</v>
          </cell>
          <cell r="R152">
            <v>9</v>
          </cell>
          <cell r="S152">
            <v>8</v>
          </cell>
          <cell r="T152">
            <v>17</v>
          </cell>
          <cell r="U152">
            <v>14</v>
          </cell>
          <cell r="V152">
            <v>10</v>
          </cell>
          <cell r="W152">
            <v>24</v>
          </cell>
          <cell r="X152">
            <v>14</v>
          </cell>
          <cell r="Y152">
            <v>5</v>
          </cell>
          <cell r="Z152">
            <v>19</v>
          </cell>
        </row>
        <row r="153">
          <cell r="D153">
            <v>300403</v>
          </cell>
          <cell r="E153" t="str">
            <v>Mariano Q. Umipig NHS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D154">
            <v>300031</v>
          </cell>
          <cell r="E154" t="str">
            <v>VINTAR NHS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D155">
            <v>300022</v>
          </cell>
          <cell r="E155" t="str">
            <v>NUEVA ERA NATIONAL HIGH SCHOOL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</row>
        <row r="156">
          <cell r="D156">
            <v>320818</v>
          </cell>
          <cell r="E156" t="str">
            <v>Talugtog Solsona National High School</v>
          </cell>
          <cell r="F156">
            <v>10</v>
          </cell>
          <cell r="G156">
            <v>10</v>
          </cell>
          <cell r="H156">
            <v>20</v>
          </cell>
          <cell r="I156">
            <v>2</v>
          </cell>
          <cell r="J156">
            <v>4</v>
          </cell>
          <cell r="K156">
            <v>6</v>
          </cell>
          <cell r="L156">
            <v>8</v>
          </cell>
          <cell r="M156">
            <v>6</v>
          </cell>
          <cell r="N156">
            <v>14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</row>
        <row r="157">
          <cell r="D157">
            <v>300230</v>
          </cell>
          <cell r="E157" t="str">
            <v>Olea NHS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</row>
        <row r="158">
          <cell r="D158">
            <v>320802</v>
          </cell>
          <cell r="E158" t="str">
            <v>LANAO NATIONAL HIGH SCHOOL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D159">
            <v>300023</v>
          </cell>
          <cell r="E159" t="str">
            <v>Pagsanahan NHS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</row>
        <row r="160">
          <cell r="D160">
            <v>300232</v>
          </cell>
          <cell r="E160" t="str">
            <v>BINMALEY SCHOOL OF FISHERIES</v>
          </cell>
          <cell r="F160">
            <v>50</v>
          </cell>
          <cell r="G160">
            <v>40</v>
          </cell>
          <cell r="H160">
            <v>90</v>
          </cell>
          <cell r="I160">
            <v>18</v>
          </cell>
          <cell r="J160">
            <v>15</v>
          </cell>
          <cell r="K160">
            <v>33</v>
          </cell>
          <cell r="L160">
            <v>12</v>
          </cell>
          <cell r="M160">
            <v>11</v>
          </cell>
          <cell r="N160">
            <v>23</v>
          </cell>
          <cell r="O160">
            <v>15</v>
          </cell>
          <cell r="P160">
            <v>21</v>
          </cell>
          <cell r="Q160">
            <v>36</v>
          </cell>
          <cell r="R160">
            <v>19</v>
          </cell>
          <cell r="S160">
            <v>18</v>
          </cell>
          <cell r="T160">
            <v>37</v>
          </cell>
          <cell r="U160">
            <v>0</v>
          </cell>
          <cell r="V160">
            <v>0</v>
          </cell>
          <cell r="W160">
            <v>0</v>
          </cell>
          <cell r="X160">
            <v>3</v>
          </cell>
          <cell r="Y160">
            <v>2</v>
          </cell>
          <cell r="Z160">
            <v>5</v>
          </cell>
        </row>
        <row r="161">
          <cell r="D161">
            <v>300184</v>
          </cell>
          <cell r="E161" t="str">
            <v>Calbeg NHS</v>
          </cell>
          <cell r="F161">
            <v>65</v>
          </cell>
          <cell r="G161">
            <v>43</v>
          </cell>
          <cell r="H161">
            <v>108</v>
          </cell>
          <cell r="I161">
            <v>2</v>
          </cell>
          <cell r="J161">
            <v>2</v>
          </cell>
          <cell r="K161">
            <v>4</v>
          </cell>
          <cell r="L161">
            <v>5</v>
          </cell>
          <cell r="M161">
            <v>2</v>
          </cell>
          <cell r="N161">
            <v>7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</row>
        <row r="162">
          <cell r="D162">
            <v>300030</v>
          </cell>
          <cell r="E162" t="str">
            <v>Solsona National High School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</row>
        <row r="163">
          <cell r="D163">
            <v>300076</v>
          </cell>
          <cell r="E163" t="str">
            <v>San Pedro NHS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</row>
        <row r="164">
          <cell r="D164">
            <v>300377</v>
          </cell>
          <cell r="E164" t="str">
            <v>Bacnar National High School</v>
          </cell>
          <cell r="F164">
            <v>39</v>
          </cell>
          <cell r="G164">
            <v>34</v>
          </cell>
          <cell r="H164">
            <v>73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</row>
        <row r="165">
          <cell r="D165">
            <v>500060</v>
          </cell>
          <cell r="E165" t="str">
            <v>San Jose Leet IS</v>
          </cell>
          <cell r="F165">
            <v>26</v>
          </cell>
          <cell r="G165">
            <v>21</v>
          </cell>
          <cell r="H165">
            <v>47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</row>
        <row r="166">
          <cell r="D166">
            <v>300208</v>
          </cell>
          <cell r="E166" t="str">
            <v>Inerangan NHS</v>
          </cell>
          <cell r="F166">
            <v>14</v>
          </cell>
          <cell r="G166">
            <v>0</v>
          </cell>
          <cell r="H166">
            <v>14</v>
          </cell>
          <cell r="I166">
            <v>11</v>
          </cell>
          <cell r="J166">
            <v>1</v>
          </cell>
          <cell r="K166">
            <v>12</v>
          </cell>
          <cell r="L166">
            <v>28</v>
          </cell>
          <cell r="M166">
            <v>0</v>
          </cell>
          <cell r="N166">
            <v>28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D167">
            <v>500061</v>
          </cell>
          <cell r="E167" t="str">
            <v>Don Alipio Fernandez, Sr. IS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</row>
        <row r="168">
          <cell r="D168">
            <v>300025</v>
          </cell>
          <cell r="E168" t="str">
            <v>Paoay Lake NHS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</row>
        <row r="169">
          <cell r="D169">
            <v>300087</v>
          </cell>
          <cell r="E169" t="str">
            <v>Tay-ac National High School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D170">
            <v>320812</v>
          </cell>
          <cell r="E170" t="str">
            <v>Marcos NHS (Santiago Campus)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D171">
            <v>300404</v>
          </cell>
          <cell r="E171" t="str">
            <v>Labit NHS</v>
          </cell>
          <cell r="F171">
            <v>25</v>
          </cell>
          <cell r="G171">
            <v>24</v>
          </cell>
          <cell r="H171">
            <v>49</v>
          </cell>
          <cell r="I171">
            <v>20</v>
          </cell>
          <cell r="J171">
            <v>16</v>
          </cell>
          <cell r="K171">
            <v>36</v>
          </cell>
          <cell r="L171">
            <v>120</v>
          </cell>
          <cell r="M171">
            <v>100</v>
          </cell>
          <cell r="N171">
            <v>220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</row>
        <row r="172">
          <cell r="D172">
            <v>300406</v>
          </cell>
          <cell r="E172" t="str">
            <v>Nancalobasaan NHS</v>
          </cell>
          <cell r="F172">
            <v>28</v>
          </cell>
          <cell r="G172">
            <v>29</v>
          </cell>
          <cell r="H172">
            <v>57</v>
          </cell>
          <cell r="I172">
            <v>19</v>
          </cell>
          <cell r="J172">
            <v>18</v>
          </cell>
          <cell r="K172">
            <v>37</v>
          </cell>
          <cell r="L172">
            <v>98</v>
          </cell>
          <cell r="M172">
            <v>53</v>
          </cell>
          <cell r="N172">
            <v>151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</row>
        <row r="173">
          <cell r="D173">
            <v>300410</v>
          </cell>
          <cell r="E173" t="str">
            <v>Urdaneta City NHS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D174">
            <v>300009</v>
          </cell>
          <cell r="E174" t="str">
            <v>Carasi NHS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</row>
        <row r="175">
          <cell r="D175">
            <v>340824</v>
          </cell>
          <cell r="E175" t="str">
            <v>SHS  within San Juan Central Elementary School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D176">
            <v>300302</v>
          </cell>
          <cell r="E176" t="str">
            <v>Coloscaoayan NHS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D177">
            <v>300407</v>
          </cell>
          <cell r="E177" t="str">
            <v>Palina East NHS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D178">
            <v>320806</v>
          </cell>
          <cell r="E178" t="str">
            <v>Dingras NHS/Lt. Edgar Foz Mem. NHS (Barong Campus)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D179">
            <v>300157</v>
          </cell>
          <cell r="E179" t="str">
            <v>Alos NHS</v>
          </cell>
          <cell r="F179">
            <v>12</v>
          </cell>
          <cell r="G179">
            <v>1</v>
          </cell>
          <cell r="H179">
            <v>13</v>
          </cell>
          <cell r="I179">
            <v>10</v>
          </cell>
          <cell r="J179">
            <v>0</v>
          </cell>
          <cell r="K179">
            <v>10</v>
          </cell>
          <cell r="L179">
            <v>53</v>
          </cell>
          <cell r="M179">
            <v>0</v>
          </cell>
          <cell r="N179">
            <v>53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D180">
            <v>300201</v>
          </cell>
          <cell r="E180" t="str">
            <v>Eguia National High School</v>
          </cell>
          <cell r="F180">
            <v>4</v>
          </cell>
          <cell r="G180">
            <v>3</v>
          </cell>
          <cell r="H180">
            <v>7</v>
          </cell>
          <cell r="I180">
            <v>1</v>
          </cell>
          <cell r="J180">
            <v>1</v>
          </cell>
          <cell r="K180">
            <v>2</v>
          </cell>
          <cell r="L180">
            <v>1</v>
          </cell>
          <cell r="M180">
            <v>1</v>
          </cell>
          <cell r="N180">
            <v>2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D181">
            <v>300021</v>
          </cell>
          <cell r="E181" t="str">
            <v>Nagrebcan NHS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D182">
            <v>500564</v>
          </cell>
          <cell r="E182" t="str">
            <v>Pangapisan IS</v>
          </cell>
          <cell r="F182">
            <v>7</v>
          </cell>
          <cell r="G182">
            <v>0</v>
          </cell>
          <cell r="H182">
            <v>7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D183">
            <v>300155</v>
          </cell>
          <cell r="E183" t="str">
            <v>Alaminos City NHS</v>
          </cell>
          <cell r="F183">
            <v>41</v>
          </cell>
          <cell r="G183">
            <v>6</v>
          </cell>
          <cell r="H183">
            <v>47</v>
          </cell>
          <cell r="I183">
            <v>37</v>
          </cell>
          <cell r="J183">
            <v>4</v>
          </cell>
          <cell r="K183">
            <v>41</v>
          </cell>
          <cell r="L183">
            <v>104</v>
          </cell>
          <cell r="M183">
            <v>8</v>
          </cell>
          <cell r="N183">
            <v>112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</row>
        <row r="184">
          <cell r="D184">
            <v>300260</v>
          </cell>
          <cell r="E184" t="str">
            <v>Telbang NHS</v>
          </cell>
          <cell r="F184">
            <v>4</v>
          </cell>
          <cell r="G184">
            <v>2</v>
          </cell>
          <cell r="H184">
            <v>6</v>
          </cell>
          <cell r="I184">
            <v>4</v>
          </cell>
          <cell r="J184">
            <v>1</v>
          </cell>
          <cell r="K184">
            <v>5</v>
          </cell>
          <cell r="L184">
            <v>14</v>
          </cell>
          <cell r="M184">
            <v>1</v>
          </cell>
          <cell r="N184">
            <v>15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D185">
            <v>300240</v>
          </cell>
          <cell r="E185" t="str">
            <v>Polo NHS, Alaminos</v>
          </cell>
          <cell r="F185">
            <v>4</v>
          </cell>
          <cell r="G185">
            <v>2</v>
          </cell>
          <cell r="H185">
            <v>6</v>
          </cell>
          <cell r="I185">
            <v>5</v>
          </cell>
          <cell r="J185">
            <v>2</v>
          </cell>
          <cell r="K185">
            <v>7</v>
          </cell>
          <cell r="L185">
            <v>12</v>
          </cell>
          <cell r="M185">
            <v>5</v>
          </cell>
          <cell r="N185">
            <v>17</v>
          </cell>
          <cell r="O185">
            <v>0</v>
          </cell>
          <cell r="P185">
            <v>1</v>
          </cell>
          <cell r="Q185">
            <v>1</v>
          </cell>
          <cell r="R185">
            <v>0</v>
          </cell>
          <cell r="S185">
            <v>2</v>
          </cell>
          <cell r="T185">
            <v>2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D186">
            <v>322701</v>
          </cell>
          <cell r="E186" t="str">
            <v>Ildefonso Quimson Community HS</v>
          </cell>
          <cell r="F186">
            <v>1</v>
          </cell>
          <cell r="G186">
            <v>0</v>
          </cell>
          <cell r="H186">
            <v>1</v>
          </cell>
          <cell r="I186">
            <v>1</v>
          </cell>
          <cell r="J186">
            <v>0</v>
          </cell>
          <cell r="K186">
            <v>1</v>
          </cell>
          <cell r="L186">
            <v>3</v>
          </cell>
          <cell r="M186">
            <v>0</v>
          </cell>
          <cell r="N186">
            <v>3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D187">
            <v>300253</v>
          </cell>
          <cell r="E187" t="str">
            <v>San Vicente NHS</v>
          </cell>
          <cell r="F187">
            <v>4</v>
          </cell>
          <cell r="G187">
            <v>1</v>
          </cell>
          <cell r="H187">
            <v>5</v>
          </cell>
          <cell r="I187">
            <v>2</v>
          </cell>
          <cell r="J187">
            <v>4</v>
          </cell>
          <cell r="K187">
            <v>6</v>
          </cell>
          <cell r="L187">
            <v>4</v>
          </cell>
          <cell r="M187">
            <v>16</v>
          </cell>
          <cell r="N187">
            <v>20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</row>
        <row r="188">
          <cell r="D188">
            <v>300190</v>
          </cell>
          <cell r="E188" t="str">
            <v>Cayucay NHS</v>
          </cell>
          <cell r="F188">
            <v>7</v>
          </cell>
          <cell r="G188">
            <v>0</v>
          </cell>
          <cell r="H188">
            <v>7</v>
          </cell>
          <cell r="I188">
            <v>6</v>
          </cell>
          <cell r="J188">
            <v>0</v>
          </cell>
          <cell r="K188">
            <v>6</v>
          </cell>
          <cell r="L188">
            <v>17</v>
          </cell>
          <cell r="M188">
            <v>0</v>
          </cell>
          <cell r="N188">
            <v>17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D189">
            <v>300408</v>
          </cell>
          <cell r="E189" t="str">
            <v>Palina West NHS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D190">
            <v>500596</v>
          </cell>
          <cell r="E190" t="str">
            <v>Lungog Integrated School</v>
          </cell>
          <cell r="F190">
            <v>14</v>
          </cell>
          <cell r="G190">
            <v>0</v>
          </cell>
          <cell r="H190">
            <v>14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</row>
        <row r="191">
          <cell r="D191">
            <v>300008</v>
          </cell>
          <cell r="E191" t="str">
            <v>Caestebanan NHS</v>
          </cell>
          <cell r="F191">
            <v>29</v>
          </cell>
          <cell r="G191">
            <v>38</v>
          </cell>
          <cell r="H191">
            <v>67</v>
          </cell>
          <cell r="I191">
            <v>14</v>
          </cell>
          <cell r="J191">
            <v>5</v>
          </cell>
          <cell r="K191">
            <v>19</v>
          </cell>
          <cell r="L191">
            <v>14</v>
          </cell>
          <cell r="M191">
            <v>5</v>
          </cell>
          <cell r="N191">
            <v>19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D192">
            <v>320814</v>
          </cell>
          <cell r="E192" t="str">
            <v>Paoay National High School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</row>
        <row r="193">
          <cell r="D193">
            <v>500592</v>
          </cell>
          <cell r="E193" t="str">
            <v>Pandan IS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</row>
        <row r="194">
          <cell r="D194">
            <v>300203</v>
          </cell>
          <cell r="E194" t="str">
            <v>Estanza NHS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</row>
        <row r="195">
          <cell r="D195">
            <v>300010</v>
          </cell>
          <cell r="E195" t="str">
            <v>Caribquib NHS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</row>
        <row r="196">
          <cell r="D196">
            <v>300334</v>
          </cell>
          <cell r="E196" t="str">
            <v>Piaz National High School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</row>
        <row r="197">
          <cell r="D197">
            <v>321007</v>
          </cell>
          <cell r="E197" t="str">
            <v>Manga National High School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</row>
        <row r="198">
          <cell r="D198">
            <v>300165</v>
          </cell>
          <cell r="E198" t="str">
            <v>Bani NHS</v>
          </cell>
          <cell r="F198">
            <v>80</v>
          </cell>
          <cell r="G198">
            <v>95</v>
          </cell>
          <cell r="H198">
            <v>175</v>
          </cell>
          <cell r="I198">
            <v>10</v>
          </cell>
          <cell r="J198">
            <v>18</v>
          </cell>
          <cell r="K198">
            <v>28</v>
          </cell>
          <cell r="L198">
            <v>0</v>
          </cell>
          <cell r="M198">
            <v>0</v>
          </cell>
          <cell r="N198">
            <v>0</v>
          </cell>
          <cell r="O198">
            <v>3</v>
          </cell>
          <cell r="P198">
            <v>5</v>
          </cell>
          <cell r="Q198">
            <v>8</v>
          </cell>
          <cell r="R198">
            <v>0</v>
          </cell>
          <cell r="S198">
            <v>0</v>
          </cell>
          <cell r="T198">
            <v>0</v>
          </cell>
          <cell r="U198">
            <v>8</v>
          </cell>
          <cell r="V198">
            <v>9</v>
          </cell>
          <cell r="W198">
            <v>17</v>
          </cell>
          <cell r="X198">
            <v>0</v>
          </cell>
          <cell r="Y198">
            <v>0</v>
          </cell>
          <cell r="Z198">
            <v>0</v>
          </cell>
        </row>
        <row r="199">
          <cell r="D199">
            <v>300216</v>
          </cell>
          <cell r="E199" t="str">
            <v>Lunec National High School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</row>
        <row r="200">
          <cell r="D200">
            <v>500007</v>
          </cell>
          <cell r="E200" t="str">
            <v>Catablan IS</v>
          </cell>
          <cell r="F200">
            <v>47</v>
          </cell>
          <cell r="G200">
            <v>29</v>
          </cell>
          <cell r="H200">
            <v>76</v>
          </cell>
          <cell r="I200">
            <v>37</v>
          </cell>
          <cell r="J200">
            <v>19</v>
          </cell>
          <cell r="K200">
            <v>56</v>
          </cell>
          <cell r="L200">
            <v>101</v>
          </cell>
          <cell r="M200">
            <v>76</v>
          </cell>
          <cell r="N200">
            <v>177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</row>
        <row r="201">
          <cell r="D201">
            <v>300035</v>
          </cell>
          <cell r="E201" t="str">
            <v>SAN JUAN NHS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D202">
            <v>300292</v>
          </cell>
          <cell r="E202" t="str">
            <v>Bulaoen East NHS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</row>
        <row r="203">
          <cell r="D203">
            <v>300393</v>
          </cell>
          <cell r="E203" t="str">
            <v>Bactad East NHS</v>
          </cell>
          <cell r="F203">
            <v>16</v>
          </cell>
          <cell r="G203">
            <v>15</v>
          </cell>
          <cell r="H203">
            <v>31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D204">
            <v>300159</v>
          </cell>
          <cell r="E204" t="str">
            <v>Arnedo NHS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D205">
            <v>300339</v>
          </cell>
          <cell r="E205" t="str">
            <v>Rajal Angayan NHS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D206">
            <v>300195</v>
          </cell>
          <cell r="E206" t="str">
            <v>Domingo P. Boquiren NHS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D207">
            <v>320801</v>
          </cell>
          <cell r="E207" t="str">
            <v>BANBAN NHS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D208">
            <v>300238</v>
          </cell>
          <cell r="E208" t="str">
            <v>Pilar NHS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D209">
            <v>500348</v>
          </cell>
          <cell r="E209" t="str">
            <v>San Vicente IS</v>
          </cell>
          <cell r="F209">
            <v>60</v>
          </cell>
          <cell r="G209">
            <v>39</v>
          </cell>
          <cell r="H209">
            <v>99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D210">
            <v>500599</v>
          </cell>
          <cell r="E210" t="str">
            <v>Libtong Integrated Sch.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D211">
            <v>500609</v>
          </cell>
          <cell r="E211" t="str">
            <v>Barlo Integrated School</v>
          </cell>
          <cell r="F211">
            <v>27</v>
          </cell>
          <cell r="G211">
            <v>22</v>
          </cell>
          <cell r="H211">
            <v>49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D212">
            <v>300077</v>
          </cell>
          <cell r="E212" t="str">
            <v>Santa Maria National High School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D213">
            <v>300016</v>
          </cell>
          <cell r="E213" t="str">
            <v>Piddig National High School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</row>
        <row r="214">
          <cell r="D214">
            <v>300181</v>
          </cell>
          <cell r="E214" t="str">
            <v>Cabayaoasan NHS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D215">
            <v>500386</v>
          </cell>
          <cell r="E215" t="str">
            <v>Lumayao Integrated School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D216">
            <v>300064</v>
          </cell>
          <cell r="E216" t="str">
            <v>Pagangpang NHS</v>
          </cell>
          <cell r="F216">
            <v>42</v>
          </cell>
          <cell r="G216">
            <v>37</v>
          </cell>
          <cell r="H216">
            <v>79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D217">
            <v>300060</v>
          </cell>
          <cell r="E217" t="str">
            <v>Naglaoa-an NHS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D218">
            <v>300167</v>
          </cell>
          <cell r="E218" t="str">
            <v>Basista NHS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D219">
            <v>300288</v>
          </cell>
          <cell r="E219" t="str">
            <v>Bersamin Agro-Industrial HS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D220">
            <v>300057</v>
          </cell>
          <cell r="E220" t="str">
            <v>Magsingal NHS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D221">
            <v>300078</v>
          </cell>
          <cell r="E221" t="str">
            <v>Santiago NHS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D222">
            <v>300289</v>
          </cell>
          <cell r="E222" t="str">
            <v>Binday NHS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D223">
            <v>300069</v>
          </cell>
          <cell r="E223" t="str">
            <v>Puro NHS, Magsingal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D224">
            <v>300336</v>
          </cell>
          <cell r="E224" t="str">
            <v>Pindangan NHS (Sison)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</row>
        <row r="225">
          <cell r="D225">
            <v>300120</v>
          </cell>
          <cell r="E225" t="str">
            <v>Luna National High School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D226">
            <v>300185</v>
          </cell>
          <cell r="E226" t="str">
            <v>Camaley NHS</v>
          </cell>
          <cell r="F226">
            <v>15</v>
          </cell>
          <cell r="G226">
            <v>23</v>
          </cell>
          <cell r="H226">
            <v>38</v>
          </cell>
          <cell r="I226">
            <v>3</v>
          </cell>
          <cell r="J226">
            <v>4</v>
          </cell>
          <cell r="K226">
            <v>7</v>
          </cell>
          <cell r="L226">
            <v>4</v>
          </cell>
          <cell r="M226">
            <v>8</v>
          </cell>
          <cell r="N226">
            <v>12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D227">
            <v>300018</v>
          </cell>
          <cell r="E227" t="str">
            <v>Ilocos Norte Agricultural College</v>
          </cell>
          <cell r="F227">
            <v>246</v>
          </cell>
          <cell r="G227">
            <v>248</v>
          </cell>
          <cell r="H227">
            <v>494</v>
          </cell>
          <cell r="I227">
            <v>246</v>
          </cell>
          <cell r="J227">
            <v>248</v>
          </cell>
          <cell r="K227">
            <v>494</v>
          </cell>
          <cell r="L227">
            <v>246</v>
          </cell>
          <cell r="M227">
            <v>248</v>
          </cell>
          <cell r="N227">
            <v>494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228">
          <cell r="D228">
            <v>300014</v>
          </cell>
          <cell r="E228" t="str">
            <v>Davila National High School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</row>
        <row r="229">
          <cell r="D229">
            <v>500354</v>
          </cell>
          <cell r="E229" t="str">
            <v>Bungro-Sucoc Integrated School</v>
          </cell>
          <cell r="F229">
            <v>20</v>
          </cell>
          <cell r="G229">
            <v>23</v>
          </cell>
          <cell r="H229">
            <v>43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D230">
            <v>300095</v>
          </cell>
          <cell r="E230" t="str">
            <v>Bacnotan NHS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</row>
        <row r="231">
          <cell r="D231">
            <v>300141</v>
          </cell>
          <cell r="E231" t="str">
            <v>Santol Voc'l. HS - Liguay Annex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</row>
        <row r="232">
          <cell r="D232">
            <v>300101</v>
          </cell>
          <cell r="E232" t="str">
            <v>Bungol National High School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3">
          <cell r="D233">
            <v>300174</v>
          </cell>
          <cell r="E233" t="str">
            <v>Bogtong NHS</v>
          </cell>
          <cell r="F233">
            <v>50</v>
          </cell>
          <cell r="G233">
            <v>40</v>
          </cell>
          <cell r="H233">
            <v>90</v>
          </cell>
          <cell r="I233">
            <v>30</v>
          </cell>
          <cell r="J233">
            <v>24</v>
          </cell>
          <cell r="K233">
            <v>54</v>
          </cell>
          <cell r="L233">
            <v>0</v>
          </cell>
          <cell r="M233">
            <v>0</v>
          </cell>
          <cell r="N233">
            <v>0</v>
          </cell>
          <cell r="O233">
            <v>3</v>
          </cell>
          <cell r="P233">
            <v>2</v>
          </cell>
          <cell r="Q233">
            <v>5</v>
          </cell>
          <cell r="R233">
            <v>0</v>
          </cell>
          <cell r="S233">
            <v>0</v>
          </cell>
          <cell r="T233">
            <v>0</v>
          </cell>
          <cell r="U233">
            <v>3</v>
          </cell>
          <cell r="V233">
            <v>2</v>
          </cell>
          <cell r="W233">
            <v>5</v>
          </cell>
          <cell r="X233">
            <v>2</v>
          </cell>
          <cell r="Y233">
            <v>2</v>
          </cell>
          <cell r="Z233">
            <v>4</v>
          </cell>
        </row>
        <row r="234">
          <cell r="D234">
            <v>300114</v>
          </cell>
          <cell r="E234" t="str">
            <v>DOÑA FRANCISCA LACSAMANA DE ORTEGA MEMORIAL NATIONAL HIGH SCHOOL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</row>
        <row r="235">
          <cell r="D235">
            <v>500351</v>
          </cell>
          <cell r="E235" t="str">
            <v>Bitalag Integrated School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</row>
        <row r="236">
          <cell r="D236">
            <v>300134</v>
          </cell>
          <cell r="E236" t="str">
            <v>San Francisco NHS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</row>
        <row r="237">
          <cell r="D237">
            <v>300032</v>
          </cell>
          <cell r="E237" t="str">
            <v>Ag-agrao NHS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</row>
        <row r="238">
          <cell r="D238">
            <v>300117</v>
          </cell>
          <cell r="E238" t="str">
            <v>Duplas NHS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</row>
        <row r="239">
          <cell r="D239">
            <v>300143</v>
          </cell>
          <cell r="E239" t="str">
            <v>SINAPANGAN NATIONAL HIGH SCHOOL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</row>
        <row r="240">
          <cell r="D240">
            <v>300115</v>
          </cell>
          <cell r="E240" t="str">
            <v>CASACRISTO NATIONAL HIGH SCHOOL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</row>
        <row r="241">
          <cell r="D241">
            <v>300125</v>
          </cell>
          <cell r="E241" t="str">
            <v>Old Sudipen NHS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</row>
        <row r="242">
          <cell r="D242">
            <v>300103</v>
          </cell>
          <cell r="E242" t="str">
            <v>Butubut National High School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3">
          <cell r="D243">
            <v>300132</v>
          </cell>
          <cell r="E243" t="str">
            <v>Regional Science HS, La Union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</row>
        <row r="244">
          <cell r="D244">
            <v>300056</v>
          </cell>
          <cell r="E244" t="str">
            <v>Lussoc National High School</v>
          </cell>
          <cell r="F244">
            <v>142</v>
          </cell>
          <cell r="G244">
            <v>161</v>
          </cell>
          <cell r="H244">
            <v>303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</row>
        <row r="245">
          <cell r="D245">
            <v>300042</v>
          </cell>
          <cell r="E245" t="str">
            <v>Cabittaogan National High School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</row>
        <row r="246">
          <cell r="D246">
            <v>300036</v>
          </cell>
          <cell r="E246" t="str">
            <v>Sugpon NHS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</row>
        <row r="247">
          <cell r="D247">
            <v>300033</v>
          </cell>
          <cell r="E247" t="str">
            <v>Alilem NHS (Alilem Daya HS)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</row>
        <row r="248">
          <cell r="D248">
            <v>300034</v>
          </cell>
          <cell r="E248" t="str">
            <v>Amarao NHS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</row>
        <row r="249">
          <cell r="D249">
            <v>300361</v>
          </cell>
          <cell r="E249" t="str">
            <v>Sto. Tomas NHS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</row>
        <row r="250">
          <cell r="D250">
            <v>300276</v>
          </cell>
          <cell r="E250" t="str">
            <v>Arboleda NHS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</row>
        <row r="251">
          <cell r="D251">
            <v>300164</v>
          </cell>
          <cell r="E251" t="str">
            <v>Bangan-Oda NHS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</row>
        <row r="252">
          <cell r="D252">
            <v>300071</v>
          </cell>
          <cell r="E252" t="str">
            <v>Rancho National High School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</row>
        <row r="253">
          <cell r="D253">
            <v>500598</v>
          </cell>
          <cell r="E253" t="str">
            <v>KALUMSING INTEGRATED SCHOOL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</row>
        <row r="254">
          <cell r="D254">
            <v>500624</v>
          </cell>
          <cell r="E254" t="str">
            <v>Tombod Integrated School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</row>
        <row r="255">
          <cell r="D255">
            <v>300043</v>
          </cell>
          <cell r="E255" t="str">
            <v>Cabugao NHS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</row>
        <row r="256">
          <cell r="D256">
            <v>300279</v>
          </cell>
          <cell r="E256" t="str">
            <v>Alejandro F. Oligan HS (Asan Sur NHS)</v>
          </cell>
          <cell r="F256">
            <v>78</v>
          </cell>
          <cell r="G256">
            <v>57</v>
          </cell>
          <cell r="H256">
            <v>135</v>
          </cell>
          <cell r="I256">
            <v>37</v>
          </cell>
          <cell r="J256">
            <v>17</v>
          </cell>
          <cell r="K256">
            <v>54</v>
          </cell>
          <cell r="L256">
            <v>37</v>
          </cell>
          <cell r="M256">
            <v>17</v>
          </cell>
          <cell r="N256">
            <v>54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</row>
        <row r="257">
          <cell r="D257">
            <v>300359</v>
          </cell>
          <cell r="E257" t="str">
            <v>Sta. Maria NHS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</row>
        <row r="258">
          <cell r="D258">
            <v>300250</v>
          </cell>
          <cell r="E258" t="str">
            <v>San Jose NHS (Anda)</v>
          </cell>
          <cell r="F258">
            <v>0</v>
          </cell>
          <cell r="G258">
            <v>0</v>
          </cell>
          <cell r="H258">
            <v>0</v>
          </cell>
          <cell r="I258">
            <v>43</v>
          </cell>
          <cell r="J258">
            <v>51</v>
          </cell>
          <cell r="K258">
            <v>94</v>
          </cell>
          <cell r="L258">
            <v>67</v>
          </cell>
          <cell r="M258">
            <v>70</v>
          </cell>
          <cell r="N258">
            <v>137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</row>
        <row r="259">
          <cell r="D259">
            <v>300293</v>
          </cell>
          <cell r="E259" t="str">
            <v>Cabalitian NHS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</row>
        <row r="260">
          <cell r="D260">
            <v>300281</v>
          </cell>
          <cell r="E260" t="str">
            <v>Balungao NHS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</row>
        <row r="261">
          <cell r="D261">
            <v>321103</v>
          </cell>
          <cell r="E261" t="str">
            <v>Catuday NHS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</row>
        <row r="262">
          <cell r="D262">
            <v>300041</v>
          </cell>
          <cell r="E262" t="str">
            <v>Burgos National High School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</row>
        <row r="263">
          <cell r="D263">
            <v>300055</v>
          </cell>
          <cell r="E263" t="str">
            <v>Lipit NHS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</row>
        <row r="264">
          <cell r="D264">
            <v>300124</v>
          </cell>
          <cell r="E264" t="str">
            <v>Oanari NHS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D265">
            <v>320811</v>
          </cell>
          <cell r="E265" t="str">
            <v>Marcos NHS (Agunit Campus)</v>
          </cell>
          <cell r="F265">
            <v>44</v>
          </cell>
          <cell r="G265">
            <v>37</v>
          </cell>
          <cell r="H265">
            <v>81</v>
          </cell>
          <cell r="I265">
            <v>0</v>
          </cell>
          <cell r="J265">
            <v>1</v>
          </cell>
          <cell r="K265">
            <v>1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</row>
        <row r="266">
          <cell r="D266">
            <v>300106</v>
          </cell>
          <cell r="E266" t="str">
            <v>Castor Concepcion MNHS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</row>
        <row r="267">
          <cell r="D267">
            <v>300350</v>
          </cell>
          <cell r="E267" t="str">
            <v>San Leon NHS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</row>
        <row r="268">
          <cell r="D268">
            <v>300154</v>
          </cell>
          <cell r="E268" t="str">
            <v>Agno NHS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</row>
        <row r="269">
          <cell r="D269">
            <v>300271</v>
          </cell>
          <cell r="E269" t="str">
            <v>Amamperez Agro-Industrial HS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</row>
        <row r="270">
          <cell r="D270">
            <v>500357</v>
          </cell>
          <cell r="E270" t="str">
            <v>Liquicia Integrated School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</row>
        <row r="271">
          <cell r="D271">
            <v>300107</v>
          </cell>
          <cell r="E271" t="str">
            <v>Corrooy NHS</v>
          </cell>
          <cell r="F271">
            <v>40</v>
          </cell>
          <cell r="G271">
            <v>35</v>
          </cell>
          <cell r="H271">
            <v>75</v>
          </cell>
          <cell r="I271">
            <v>15</v>
          </cell>
          <cell r="J271">
            <v>10</v>
          </cell>
          <cell r="K271">
            <v>25</v>
          </cell>
          <cell r="L271">
            <v>15</v>
          </cell>
          <cell r="M271">
            <v>10</v>
          </cell>
          <cell r="N271">
            <v>25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</row>
        <row r="272">
          <cell r="D272">
            <v>321002</v>
          </cell>
          <cell r="E272" t="str">
            <v>Canbarbusuy National High School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</row>
        <row r="273">
          <cell r="D273">
            <v>500377</v>
          </cell>
          <cell r="E273" t="str">
            <v>Bantay Insik Integrated School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</row>
        <row r="274">
          <cell r="D274">
            <v>500350</v>
          </cell>
          <cell r="E274" t="str">
            <v>Baay Integrated School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</row>
        <row r="275">
          <cell r="D275">
            <v>300316</v>
          </cell>
          <cell r="E275" t="str">
            <v>La Paz NHS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</row>
        <row r="276">
          <cell r="D276">
            <v>500003</v>
          </cell>
          <cell r="E276" t="str">
            <v>Bugayong IS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</row>
        <row r="277">
          <cell r="D277">
            <v>300352</v>
          </cell>
          <cell r="E277" t="str">
            <v>San Macario NHS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</row>
        <row r="278">
          <cell r="D278">
            <v>300176</v>
          </cell>
          <cell r="E278" t="str">
            <v>Botao NHS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</row>
        <row r="279">
          <cell r="D279">
            <v>300122</v>
          </cell>
          <cell r="E279" t="str">
            <v>Naguilian National HS</v>
          </cell>
          <cell r="F279">
            <v>294</v>
          </cell>
          <cell r="G279">
            <v>88</v>
          </cell>
          <cell r="H279">
            <v>382</v>
          </cell>
          <cell r="I279">
            <v>290</v>
          </cell>
          <cell r="J279">
            <v>82</v>
          </cell>
          <cell r="K279">
            <v>372</v>
          </cell>
          <cell r="L279">
            <v>1247</v>
          </cell>
          <cell r="M279">
            <v>386</v>
          </cell>
          <cell r="N279">
            <v>1633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22</v>
          </cell>
          <cell r="V279">
            <v>10</v>
          </cell>
          <cell r="W279">
            <v>32</v>
          </cell>
          <cell r="X279">
            <v>5</v>
          </cell>
          <cell r="Y279">
            <v>4</v>
          </cell>
          <cell r="Z279">
            <v>9</v>
          </cell>
        </row>
        <row r="280">
          <cell r="D280">
            <v>500352</v>
          </cell>
          <cell r="E280" t="str">
            <v>Dagup Integrated School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</row>
        <row r="281">
          <cell r="D281">
            <v>500358</v>
          </cell>
          <cell r="E281" t="str">
            <v>Casilagan Integrated School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</row>
        <row r="282">
          <cell r="D282">
            <v>500362</v>
          </cell>
          <cell r="E282" t="str">
            <v>Santiago Sur Integrated School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</row>
        <row r="283">
          <cell r="D283">
            <v>300104</v>
          </cell>
          <cell r="E283" t="str">
            <v>Caba NHS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</row>
        <row r="284">
          <cell r="D284">
            <v>300335</v>
          </cell>
          <cell r="E284" t="str">
            <v>Pindangan National High School -Alcala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</row>
        <row r="285">
          <cell r="D285">
            <v>300236</v>
          </cell>
          <cell r="E285" t="str">
            <v>Urbiztondo National High School</v>
          </cell>
          <cell r="F285">
            <v>142</v>
          </cell>
          <cell r="G285">
            <v>127</v>
          </cell>
          <cell r="H285">
            <v>269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</row>
        <row r="286">
          <cell r="D286">
            <v>300105</v>
          </cell>
          <cell r="E286" t="str">
            <v>Cambaly National High School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</row>
        <row r="287">
          <cell r="D287">
            <v>300135</v>
          </cell>
          <cell r="E287" t="str">
            <v>San Gabriel Vocational High School</v>
          </cell>
          <cell r="F287">
            <v>163</v>
          </cell>
          <cell r="G287">
            <v>111</v>
          </cell>
          <cell r="H287">
            <v>274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</row>
        <row r="288">
          <cell r="D288">
            <v>300090</v>
          </cell>
          <cell r="E288" t="str">
            <v>Eulogio Clarence De Guzman Junior Memorial National Vocational High School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</row>
        <row r="289">
          <cell r="D289">
            <v>300102</v>
          </cell>
          <cell r="E289" t="str">
            <v>Burgos National High School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</row>
        <row r="290">
          <cell r="D290">
            <v>300348</v>
          </cell>
          <cell r="E290" t="str">
            <v>San Jacinto National High School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</row>
        <row r="291">
          <cell r="D291">
            <v>300149</v>
          </cell>
          <cell r="E291" t="str">
            <v>Suyo National High School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</row>
        <row r="292">
          <cell r="D292">
            <v>500600</v>
          </cell>
          <cell r="E292" t="str">
            <v>Libtong Integrated School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</row>
        <row r="293">
          <cell r="D293">
            <v>300307</v>
          </cell>
          <cell r="E293" t="str">
            <v>Juan G. Macaraeg NHS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</row>
        <row r="294">
          <cell r="D294">
            <v>300136</v>
          </cell>
          <cell r="E294" t="str">
            <v>San Gregorio National High School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</row>
        <row r="295">
          <cell r="D295">
            <v>300263</v>
          </cell>
          <cell r="E295" t="str">
            <v>Tococ National High School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</row>
        <row r="296">
          <cell r="D296">
            <v>340825</v>
          </cell>
          <cell r="E296" t="str">
            <v>SHS within San Gabriel CS</v>
          </cell>
          <cell r="F296">
            <v>62</v>
          </cell>
          <cell r="G296">
            <v>79</v>
          </cell>
          <cell r="H296">
            <v>141</v>
          </cell>
          <cell r="I296">
            <v>5</v>
          </cell>
          <cell r="J296">
            <v>3</v>
          </cell>
          <cell r="K296">
            <v>8</v>
          </cell>
          <cell r="L296">
            <v>7</v>
          </cell>
          <cell r="M296">
            <v>5</v>
          </cell>
          <cell r="N296">
            <v>12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</row>
        <row r="297">
          <cell r="D297">
            <v>300140</v>
          </cell>
          <cell r="E297" t="str">
            <v>Santol Voc'l. HS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</row>
        <row r="298">
          <cell r="D298">
            <v>300137</v>
          </cell>
          <cell r="E298" t="str">
            <v>San Jose National High School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</row>
        <row r="299">
          <cell r="D299">
            <v>340823</v>
          </cell>
          <cell r="E299" t="str">
            <v>Naguilian Senior High School</v>
          </cell>
          <cell r="F299">
            <v>193</v>
          </cell>
          <cell r="G299">
            <v>164</v>
          </cell>
          <cell r="H299">
            <v>357</v>
          </cell>
          <cell r="I299">
            <v>29</v>
          </cell>
          <cell r="J299">
            <v>18</v>
          </cell>
          <cell r="K299">
            <v>47</v>
          </cell>
          <cell r="L299">
            <v>38</v>
          </cell>
          <cell r="M299">
            <v>24</v>
          </cell>
          <cell r="N299">
            <v>62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</row>
        <row r="300">
          <cell r="D300">
            <v>300128</v>
          </cell>
          <cell r="E300" t="str">
            <v>Paringao National High School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D301">
            <v>300046</v>
          </cell>
          <cell r="E301" t="str">
            <v>Cervantes NHS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</row>
        <row r="302">
          <cell r="D302">
            <v>500360</v>
          </cell>
          <cell r="E302" t="str">
            <v>Daramuangan Integrated School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</row>
        <row r="303">
          <cell r="D303">
            <v>300045</v>
          </cell>
          <cell r="E303" t="str">
            <v>Caoayan NHS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</row>
        <row r="304">
          <cell r="D304">
            <v>300144</v>
          </cell>
          <cell r="E304" t="str">
            <v>Magungunay NHS - Southern Naguilian NHS</v>
          </cell>
          <cell r="F304">
            <v>5</v>
          </cell>
          <cell r="G304">
            <v>4</v>
          </cell>
          <cell r="H304">
            <v>9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D305">
            <v>300313</v>
          </cell>
          <cell r="E305" t="str">
            <v>Flores NHS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D306">
            <v>300317</v>
          </cell>
          <cell r="E306" t="str">
            <v>Labayug National High School</v>
          </cell>
          <cell r="F306">
            <v>33</v>
          </cell>
          <cell r="G306">
            <v>0</v>
          </cell>
          <cell r="H306">
            <v>33</v>
          </cell>
          <cell r="I306">
            <v>31</v>
          </cell>
          <cell r="J306">
            <v>0</v>
          </cell>
          <cell r="K306">
            <v>31</v>
          </cell>
          <cell r="L306">
            <v>2</v>
          </cell>
          <cell r="M306">
            <v>0</v>
          </cell>
          <cell r="N306">
            <v>2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1</v>
          </cell>
        </row>
        <row r="307">
          <cell r="D307">
            <v>500379</v>
          </cell>
          <cell r="E307" t="str">
            <v>San Felipe Integrated School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</row>
        <row r="308">
          <cell r="D308">
            <v>300148</v>
          </cell>
          <cell r="E308" t="str">
            <v>Sudipen Voc'l Sch.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</row>
        <row r="309">
          <cell r="D309">
            <v>300070</v>
          </cell>
          <cell r="E309" t="str">
            <v>Quirino NHS</v>
          </cell>
          <cell r="F309">
            <v>0</v>
          </cell>
          <cell r="G309">
            <v>0</v>
          </cell>
          <cell r="H309">
            <v>0</v>
          </cell>
          <cell r="I309">
            <v>5</v>
          </cell>
          <cell r="J309">
            <v>3</v>
          </cell>
          <cell r="K309">
            <v>8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</row>
        <row r="310">
          <cell r="D310">
            <v>300075</v>
          </cell>
          <cell r="E310" t="str">
            <v>San Esteban NHS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</row>
        <row r="311">
          <cell r="D311">
            <v>500623</v>
          </cell>
          <cell r="E311" t="str">
            <v>Sta. Maria East Integrated School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</row>
        <row r="312">
          <cell r="D312">
            <v>300331</v>
          </cell>
          <cell r="E312" t="str">
            <v>Natividad NHS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D313">
            <v>300300</v>
          </cell>
          <cell r="E313" t="str">
            <v>Carosucan Sur NHS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</row>
        <row r="314">
          <cell r="D314">
            <v>300398</v>
          </cell>
          <cell r="E314" t="str">
            <v>Camantiles NHS</v>
          </cell>
          <cell r="F314">
            <v>36</v>
          </cell>
          <cell r="G314">
            <v>66</v>
          </cell>
          <cell r="H314">
            <v>102</v>
          </cell>
          <cell r="I314">
            <v>32</v>
          </cell>
          <cell r="J314">
            <v>62</v>
          </cell>
          <cell r="K314">
            <v>94</v>
          </cell>
          <cell r="L314">
            <v>171</v>
          </cell>
          <cell r="M314">
            <v>370</v>
          </cell>
          <cell r="N314">
            <v>541</v>
          </cell>
          <cell r="O314">
            <v>34</v>
          </cell>
          <cell r="P314">
            <v>64</v>
          </cell>
          <cell r="Q314">
            <v>98</v>
          </cell>
          <cell r="R314">
            <v>14</v>
          </cell>
          <cell r="S314">
            <v>31</v>
          </cell>
          <cell r="T314">
            <v>45</v>
          </cell>
          <cell r="U314">
            <v>9</v>
          </cell>
          <cell r="V314">
            <v>11</v>
          </cell>
          <cell r="W314">
            <v>20</v>
          </cell>
          <cell r="X314">
            <v>3</v>
          </cell>
          <cell r="Y314">
            <v>4</v>
          </cell>
          <cell r="Z314">
            <v>7</v>
          </cell>
        </row>
        <row r="315">
          <cell r="D315">
            <v>300351</v>
          </cell>
          <cell r="E315" t="str">
            <v>San Luis NHS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D316">
            <v>300170</v>
          </cell>
          <cell r="E316" t="str">
            <v>BAYOYONG NHS</v>
          </cell>
          <cell r="F316">
            <v>19</v>
          </cell>
          <cell r="G316">
            <v>21</v>
          </cell>
          <cell r="H316">
            <v>40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  <row r="317">
          <cell r="D317">
            <v>300200</v>
          </cell>
          <cell r="E317" t="str">
            <v>Dumpay National High School</v>
          </cell>
          <cell r="F317">
            <v>105</v>
          </cell>
          <cell r="G317">
            <v>112</v>
          </cell>
          <cell r="H317">
            <v>217</v>
          </cell>
          <cell r="I317">
            <v>0</v>
          </cell>
          <cell r="J317">
            <v>2</v>
          </cell>
          <cell r="K317">
            <v>2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2</v>
          </cell>
          <cell r="Q317">
            <v>2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</row>
        <row r="318">
          <cell r="D318">
            <v>300338</v>
          </cell>
          <cell r="E318" t="str">
            <v>Prado National High School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</row>
        <row r="319">
          <cell r="D319">
            <v>300284</v>
          </cell>
          <cell r="E319" t="str">
            <v>Barangobong NHS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</row>
        <row r="320">
          <cell r="D320">
            <v>321018</v>
          </cell>
          <cell r="E320" t="str">
            <v>LUNA NATIONAL VOCATIONAL HIGH SCHOOL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</row>
        <row r="321">
          <cell r="D321">
            <v>300341</v>
          </cell>
          <cell r="E321" t="str">
            <v>Rosales NHS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</row>
        <row r="322">
          <cell r="D322">
            <v>300094</v>
          </cell>
          <cell r="E322" t="str">
            <v>Baccuit NHS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</row>
        <row r="323">
          <cell r="D323">
            <v>300332</v>
          </cell>
          <cell r="E323" t="str">
            <v>Palguyod NHS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</row>
        <row r="324">
          <cell r="D324">
            <v>300215</v>
          </cell>
          <cell r="E324" t="str">
            <v>Luna National High School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</row>
        <row r="325">
          <cell r="D325">
            <v>500384</v>
          </cell>
          <cell r="E325" t="str">
            <v>Sta. Cruz IS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</row>
        <row r="326">
          <cell r="D326">
            <v>300287</v>
          </cell>
          <cell r="E326" t="str">
            <v>Benigno V. Aldana NHS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</row>
        <row r="327">
          <cell r="D327">
            <v>300066</v>
          </cell>
          <cell r="E327" t="str">
            <v>Pantay Tamurong National High School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</row>
        <row r="328">
          <cell r="D328">
            <v>500004</v>
          </cell>
          <cell r="E328" t="str">
            <v>Esperanza Integrated School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</row>
        <row r="329">
          <cell r="D329">
            <v>321203</v>
          </cell>
          <cell r="E329" t="str">
            <v>San Antonio NHS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</row>
        <row r="330">
          <cell r="D330">
            <v>320904</v>
          </cell>
          <cell r="E330" t="str">
            <v>Baringcucurong National High School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</row>
        <row r="331">
          <cell r="D331">
            <v>300323</v>
          </cell>
          <cell r="E331" t="str">
            <v>Mabilao NHS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</row>
        <row r="332">
          <cell r="D332">
            <v>300308</v>
          </cell>
          <cell r="E332" t="str">
            <v>Don Ramon E. Costales MNHS</v>
          </cell>
          <cell r="F332">
            <v>23</v>
          </cell>
          <cell r="G332">
            <v>14</v>
          </cell>
          <cell r="H332">
            <v>37</v>
          </cell>
          <cell r="I332">
            <v>4</v>
          </cell>
          <cell r="J332">
            <v>2</v>
          </cell>
          <cell r="K332">
            <v>6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</row>
        <row r="333">
          <cell r="D333">
            <v>300319</v>
          </cell>
          <cell r="E333" t="str">
            <v>Laoac NHS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</row>
        <row r="334">
          <cell r="D334">
            <v>500366</v>
          </cell>
          <cell r="E334" t="str">
            <v>Tampac IS</v>
          </cell>
          <cell r="F334">
            <v>18</v>
          </cell>
          <cell r="G334">
            <v>16</v>
          </cell>
          <cell r="H334">
            <v>34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</row>
        <row r="335">
          <cell r="D335">
            <v>500375</v>
          </cell>
          <cell r="E335" t="str">
            <v>Sison Central IS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</row>
        <row r="336">
          <cell r="D336">
            <v>300356</v>
          </cell>
          <cell r="E336" t="str">
            <v>San Quintin NHS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</row>
        <row r="337">
          <cell r="D337">
            <v>300266</v>
          </cell>
          <cell r="E337" t="str">
            <v>Tuliao NHS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</row>
        <row r="338">
          <cell r="D338">
            <v>300340</v>
          </cell>
          <cell r="E338" t="str">
            <v>Robert B. Estrella Memorial NHS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</row>
        <row r="339">
          <cell r="D339">
            <v>300349</v>
          </cell>
          <cell r="E339" t="str">
            <v>San Juan NHS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</row>
        <row r="340">
          <cell r="D340">
            <v>300272</v>
          </cell>
          <cell r="E340" t="str">
            <v>Ambalangan Dalin NHS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</row>
        <row r="341">
          <cell r="D341">
            <v>300295</v>
          </cell>
          <cell r="E341" t="str">
            <v>Cabilaoan Agro-Industrial HS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</row>
        <row r="342">
          <cell r="D342">
            <v>300294</v>
          </cell>
          <cell r="E342" t="str">
            <v>Cabanbanan NHS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</row>
        <row r="343">
          <cell r="D343">
            <v>300324</v>
          </cell>
          <cell r="E343" t="str">
            <v>Malico NHS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</row>
        <row r="344">
          <cell r="D344">
            <v>300275</v>
          </cell>
          <cell r="E344" t="str">
            <v>Antonio P. Villar National High School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</row>
        <row r="345">
          <cell r="D345">
            <v>300365</v>
          </cell>
          <cell r="E345" t="str">
            <v>Umingan Central National High School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</row>
        <row r="346">
          <cell r="D346">
            <v>500378</v>
          </cell>
          <cell r="E346" t="str">
            <v>Don Valentin Torres Integrated School</v>
          </cell>
          <cell r="F346">
            <v>26</v>
          </cell>
          <cell r="G346">
            <v>14</v>
          </cell>
          <cell r="H346">
            <v>40</v>
          </cell>
          <cell r="I346">
            <v>0</v>
          </cell>
          <cell r="J346">
            <v>2</v>
          </cell>
          <cell r="K346">
            <v>2</v>
          </cell>
          <cell r="L346">
            <v>0</v>
          </cell>
          <cell r="M346">
            <v>12</v>
          </cell>
          <cell r="N346">
            <v>12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</row>
        <row r="347">
          <cell r="D347">
            <v>321208</v>
          </cell>
          <cell r="E347" t="str">
            <v>Don Robert B. Estrella, Sr. NHS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</row>
        <row r="348">
          <cell r="D348">
            <v>300274</v>
          </cell>
          <cell r="E348" t="str">
            <v>ANONANG NATIONAL HIGH SCHOOL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</row>
        <row r="349">
          <cell r="D349">
            <v>300273</v>
          </cell>
          <cell r="E349" t="str">
            <v>Angela Valdez Ramos NHS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</row>
        <row r="350">
          <cell r="D350">
            <v>300040</v>
          </cell>
          <cell r="E350" t="str">
            <v>Belen NHS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</row>
        <row r="351">
          <cell r="D351">
            <v>300322</v>
          </cell>
          <cell r="E351" t="str">
            <v>Luciano Millan National HS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</row>
        <row r="352">
          <cell r="D352">
            <v>300327</v>
          </cell>
          <cell r="E352" t="str">
            <v>Maseil-seil Alo-o NHS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</row>
        <row r="353">
          <cell r="D353">
            <v>300362</v>
          </cell>
          <cell r="E353" t="str">
            <v>Sumabnit National High School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4</v>
          </cell>
          <cell r="K353">
            <v>4</v>
          </cell>
          <cell r="L353">
            <v>0</v>
          </cell>
          <cell r="M353">
            <v>2</v>
          </cell>
          <cell r="N353">
            <v>2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</row>
        <row r="354">
          <cell r="D354">
            <v>300298</v>
          </cell>
          <cell r="E354" t="str">
            <v>Capulaan NHS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</row>
        <row r="355">
          <cell r="D355">
            <v>300269</v>
          </cell>
          <cell r="E355" t="str">
            <v>Alibeng NHS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</row>
        <row r="356">
          <cell r="D356">
            <v>300277</v>
          </cell>
          <cell r="E356" t="str">
            <v>Ariston-Bantog NHS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</row>
        <row r="357">
          <cell r="D357">
            <v>300278</v>
          </cell>
          <cell r="E357" t="str">
            <v>Artacho NHS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</row>
        <row r="358">
          <cell r="D358">
            <v>300285</v>
          </cell>
          <cell r="E358" t="str">
            <v>Batasan NHS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</row>
        <row r="359">
          <cell r="D359">
            <v>300337</v>
          </cell>
          <cell r="E359" t="str">
            <v>Pinmilapil National High School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</row>
        <row r="360">
          <cell r="D360">
            <v>300342</v>
          </cell>
          <cell r="E360" t="str">
            <v>Rosario NHS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</row>
        <row r="361">
          <cell r="D361">
            <v>300065</v>
          </cell>
          <cell r="E361" t="str">
            <v>Palali National High School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</row>
        <row r="362">
          <cell r="D362">
            <v>300309</v>
          </cell>
          <cell r="E362" t="str">
            <v>Eastern Pangasinan Agricultural College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</row>
        <row r="363">
          <cell r="D363">
            <v>300169</v>
          </cell>
          <cell r="E363" t="str">
            <v>Bayambang NHS (Infanta)</v>
          </cell>
          <cell r="F363">
            <v>48</v>
          </cell>
          <cell r="G363">
            <v>47</v>
          </cell>
          <cell r="H363">
            <v>95</v>
          </cell>
          <cell r="I363">
            <v>7</v>
          </cell>
          <cell r="J363">
            <v>6</v>
          </cell>
          <cell r="K363">
            <v>13</v>
          </cell>
          <cell r="L363">
            <v>2</v>
          </cell>
          <cell r="M363">
            <v>2</v>
          </cell>
          <cell r="N363">
            <v>4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</row>
        <row r="364">
          <cell r="D364">
            <v>300280</v>
          </cell>
          <cell r="E364" t="str">
            <v>Baguinay NHS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</row>
        <row r="365">
          <cell r="D365">
            <v>300333</v>
          </cell>
          <cell r="E365" t="str">
            <v>Panganiban NHS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</row>
        <row r="366">
          <cell r="D366">
            <v>300355</v>
          </cell>
          <cell r="E366" t="str">
            <v>San Pedro Apartado NHS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</row>
        <row r="367">
          <cell r="D367">
            <v>500388</v>
          </cell>
          <cell r="E367" t="str">
            <v>Gueguesangen IS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</row>
        <row r="368">
          <cell r="D368">
            <v>300358</v>
          </cell>
          <cell r="E368" t="str">
            <v>Sta. Maria NHS, Binalonan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</row>
        <row r="369">
          <cell r="D369">
            <v>300286</v>
          </cell>
          <cell r="E369" t="str">
            <v>Bautista National High School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</row>
        <row r="370">
          <cell r="D370">
            <v>300304</v>
          </cell>
          <cell r="E370" t="str">
            <v>David National High School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</row>
        <row r="371">
          <cell r="D371">
            <v>300325</v>
          </cell>
          <cell r="E371" t="str">
            <v>Manaoag NHS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</row>
        <row r="372">
          <cell r="D372">
            <v>300058</v>
          </cell>
          <cell r="E372" t="str">
            <v>Manzante NHS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</row>
        <row r="373">
          <cell r="D373">
            <v>300081</v>
          </cell>
          <cell r="E373" t="str">
            <v>Solotsolot NHS</v>
          </cell>
          <cell r="F373">
            <v>57</v>
          </cell>
          <cell r="G373">
            <v>23</v>
          </cell>
          <cell r="H373">
            <v>80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</row>
        <row r="374">
          <cell r="D374">
            <v>300366</v>
          </cell>
          <cell r="E374" t="str">
            <v>Unzad NHS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</row>
        <row r="375">
          <cell r="D375">
            <v>300283</v>
          </cell>
          <cell r="E375" t="str">
            <v>Baracbac NHS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</row>
        <row r="376">
          <cell r="D376">
            <v>300360</v>
          </cell>
          <cell r="E376" t="str">
            <v>Sto. Domingo National High School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</row>
        <row r="377">
          <cell r="D377">
            <v>500376</v>
          </cell>
          <cell r="E377" t="str">
            <v>Macayo IS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</row>
        <row r="378">
          <cell r="D378">
            <v>300303</v>
          </cell>
          <cell r="E378" t="str">
            <v>Dalumpinas NHS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</row>
        <row r="379">
          <cell r="D379">
            <v>500006</v>
          </cell>
          <cell r="E379" t="str">
            <v>San Fabian IS SPED CENTER</v>
          </cell>
          <cell r="F379">
            <v>70</v>
          </cell>
          <cell r="G379">
            <v>54</v>
          </cell>
          <cell r="H379">
            <v>124</v>
          </cell>
          <cell r="I379">
            <v>33</v>
          </cell>
          <cell r="J379">
            <v>45</v>
          </cell>
          <cell r="K379">
            <v>78</v>
          </cell>
          <cell r="L379">
            <v>20</v>
          </cell>
          <cell r="M379">
            <v>5</v>
          </cell>
          <cell r="N379">
            <v>25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44</v>
          </cell>
          <cell r="V379">
            <v>47</v>
          </cell>
          <cell r="W379">
            <v>91</v>
          </cell>
          <cell r="X379">
            <v>33</v>
          </cell>
          <cell r="Y379">
            <v>35</v>
          </cell>
          <cell r="Z379">
            <v>68</v>
          </cell>
        </row>
        <row r="380">
          <cell r="D380">
            <v>300357</v>
          </cell>
          <cell r="E380" t="str">
            <v>San Rafael NHS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</row>
        <row r="381">
          <cell r="D381">
            <v>300346</v>
          </cell>
          <cell r="E381" t="str">
            <v>San Felipe National HighSchool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</row>
        <row r="382">
          <cell r="D382">
            <v>500001</v>
          </cell>
          <cell r="E382" t="str">
            <v>Sulvec IS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</row>
        <row r="383">
          <cell r="D383">
            <v>500604</v>
          </cell>
          <cell r="E383" t="str">
            <v>Abagatanen Integrated School</v>
          </cell>
          <cell r="F383">
            <v>19</v>
          </cell>
          <cell r="G383">
            <v>22</v>
          </cell>
          <cell r="H383">
            <v>41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</row>
        <row r="384">
          <cell r="D384">
            <v>300301</v>
          </cell>
          <cell r="E384" t="str">
            <v>Cipriano P. Primicias NHS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</row>
        <row r="385">
          <cell r="D385">
            <v>300079</v>
          </cell>
          <cell r="E385" t="str">
            <v>Sigay NHS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</row>
        <row r="386">
          <cell r="D386">
            <v>300364</v>
          </cell>
          <cell r="E386" t="str">
            <v>Toboy NHS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</row>
        <row r="387">
          <cell r="D387">
            <v>300239</v>
          </cell>
          <cell r="E387" t="str">
            <v>Jose Rivera Bonsay NHS (Pogoruac NHS)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</row>
        <row r="388">
          <cell r="D388">
            <v>300179</v>
          </cell>
          <cell r="E388" t="str">
            <v>Burgos NHS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</row>
        <row r="389">
          <cell r="D389">
            <v>300227</v>
          </cell>
          <cell r="E389" t="str">
            <v>Naguilayan NHS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</row>
        <row r="390">
          <cell r="D390">
            <v>500385</v>
          </cell>
          <cell r="E390" t="str">
            <v>Dungon IS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</row>
        <row r="391">
          <cell r="D391">
            <v>300192</v>
          </cell>
          <cell r="E391" t="str">
            <v>Dacap Norte National High School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</row>
        <row r="392">
          <cell r="D392">
            <v>500380</v>
          </cell>
          <cell r="E392" t="str">
            <v>Dilan Integrated School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</row>
        <row r="393">
          <cell r="D393">
            <v>300321</v>
          </cell>
          <cell r="E393" t="str">
            <v>Lobong NHS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</row>
        <row r="394">
          <cell r="D394">
            <v>300297</v>
          </cell>
          <cell r="E394" t="str">
            <v>Canarvacanan NHS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</row>
        <row r="395">
          <cell r="D395">
            <v>300150</v>
          </cell>
          <cell r="E395" t="str">
            <v>Tagudtud NHS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</row>
        <row r="396">
          <cell r="D396">
            <v>300345</v>
          </cell>
          <cell r="E396" t="str">
            <v>San Fabian National High School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</row>
        <row r="397">
          <cell r="D397">
            <v>300265</v>
          </cell>
          <cell r="E397" t="str">
            <v>Torres NHS</v>
          </cell>
          <cell r="F397">
            <v>38</v>
          </cell>
          <cell r="G397">
            <v>14</v>
          </cell>
          <cell r="H397">
            <v>52</v>
          </cell>
          <cell r="I397">
            <v>38</v>
          </cell>
          <cell r="J397">
            <v>14</v>
          </cell>
          <cell r="K397">
            <v>52</v>
          </cell>
          <cell r="L397">
            <v>38</v>
          </cell>
          <cell r="M397">
            <v>14</v>
          </cell>
          <cell r="N397">
            <v>52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</row>
        <row r="398">
          <cell r="D398">
            <v>300177</v>
          </cell>
          <cell r="E398" t="str">
            <v>Bued National High School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</row>
        <row r="399">
          <cell r="D399">
            <v>500005</v>
          </cell>
          <cell r="E399" t="str">
            <v>Flores Integ. Sch.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</row>
        <row r="400">
          <cell r="D400">
            <v>300207</v>
          </cell>
          <cell r="E400" t="str">
            <v>ILOG-MALINO NATIONAL HIGH SCHOOL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</row>
        <row r="401">
          <cell r="D401">
            <v>321003</v>
          </cell>
          <cell r="E401" t="str">
            <v>Rimos National High School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</row>
        <row r="402">
          <cell r="D402">
            <v>300344</v>
          </cell>
          <cell r="E402" t="str">
            <v>San Aurelio NHS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</row>
        <row r="403">
          <cell r="D403">
            <v>300100</v>
          </cell>
          <cell r="E403" t="str">
            <v>BAWANTA NATONAL HIGH SCHOOL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</row>
        <row r="404">
          <cell r="D404">
            <v>300145</v>
          </cell>
          <cell r="E404" t="str">
            <v>Sta. Teresa National High School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</row>
        <row r="405">
          <cell r="D405">
            <v>300353</v>
          </cell>
          <cell r="E405" t="str">
            <v>San Miguel NHS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</row>
        <row r="406">
          <cell r="D406">
            <v>500616</v>
          </cell>
          <cell r="E406" t="str">
            <v>Malawa IS</v>
          </cell>
          <cell r="F406">
            <v>19</v>
          </cell>
          <cell r="G406">
            <v>18</v>
          </cell>
          <cell r="H406">
            <v>37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</row>
        <row r="407">
          <cell r="D407">
            <v>300328</v>
          </cell>
          <cell r="E407" t="str">
            <v>Mataas Na Paaralang Juan C. Laya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</row>
        <row r="408">
          <cell r="D408">
            <v>321004</v>
          </cell>
          <cell r="E408" t="str">
            <v>Aringay National High School-Basca Annex</v>
          </cell>
          <cell r="F408">
            <v>22</v>
          </cell>
          <cell r="G408">
            <v>26</v>
          </cell>
          <cell r="H408">
            <v>48</v>
          </cell>
          <cell r="I408">
            <v>17</v>
          </cell>
          <cell r="J408">
            <v>18</v>
          </cell>
          <cell r="K408">
            <v>35</v>
          </cell>
          <cell r="L408">
            <v>45</v>
          </cell>
          <cell r="M408">
            <v>50</v>
          </cell>
          <cell r="N408">
            <v>95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</row>
        <row r="409">
          <cell r="D409">
            <v>300096</v>
          </cell>
          <cell r="E409" t="str">
            <v>Bail NHS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</row>
        <row r="410">
          <cell r="D410">
            <v>300109</v>
          </cell>
          <cell r="E410" t="str">
            <v>Damortis NHS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</row>
        <row r="411">
          <cell r="D411">
            <v>300093</v>
          </cell>
          <cell r="E411" t="str">
            <v>Aringay NHS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</row>
        <row r="412">
          <cell r="D412">
            <v>300152</v>
          </cell>
          <cell r="E412" t="str">
            <v>Tubao National High School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</row>
        <row r="413">
          <cell r="D413">
            <v>500361</v>
          </cell>
          <cell r="E413" t="str">
            <v>Cabaruan Integrated School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</row>
        <row r="414">
          <cell r="D414">
            <v>321121</v>
          </cell>
          <cell r="E414" t="str">
            <v>Catalino D. Cerezo NHS</v>
          </cell>
          <cell r="F414">
            <v>47</v>
          </cell>
          <cell r="G414">
            <v>56</v>
          </cell>
          <cell r="H414">
            <v>103</v>
          </cell>
          <cell r="I414">
            <v>0</v>
          </cell>
          <cell r="J414">
            <v>1</v>
          </cell>
          <cell r="K414">
            <v>1</v>
          </cell>
          <cell r="L414">
            <v>0</v>
          </cell>
          <cell r="M414">
            <v>2</v>
          </cell>
          <cell r="N414">
            <v>2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</row>
        <row r="415">
          <cell r="D415">
            <v>300129</v>
          </cell>
          <cell r="E415" t="str">
            <v>Pres. Elpidio. Quirino NHS</v>
          </cell>
          <cell r="F415">
            <v>100</v>
          </cell>
          <cell r="G415">
            <v>100</v>
          </cell>
          <cell r="H415">
            <v>200</v>
          </cell>
          <cell r="I415">
            <v>5</v>
          </cell>
          <cell r="J415">
            <v>6</v>
          </cell>
          <cell r="K415">
            <v>11</v>
          </cell>
          <cell r="L415">
            <v>5</v>
          </cell>
          <cell r="M415">
            <v>6</v>
          </cell>
          <cell r="N415">
            <v>11</v>
          </cell>
          <cell r="O415">
            <v>2</v>
          </cell>
          <cell r="P415">
            <v>3</v>
          </cell>
          <cell r="Q415">
            <v>5</v>
          </cell>
          <cell r="R415">
            <v>2</v>
          </cell>
          <cell r="S415">
            <v>3</v>
          </cell>
          <cell r="T415">
            <v>5</v>
          </cell>
          <cell r="U415">
            <v>6</v>
          </cell>
          <cell r="V415">
            <v>6</v>
          </cell>
          <cell r="W415">
            <v>12</v>
          </cell>
          <cell r="X415">
            <v>10</v>
          </cell>
          <cell r="Y415">
            <v>12</v>
          </cell>
          <cell r="Z415">
            <v>22</v>
          </cell>
        </row>
        <row r="416">
          <cell r="D416">
            <v>300119</v>
          </cell>
          <cell r="E416" t="str">
            <v>Leones National High School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</row>
        <row r="417">
          <cell r="D417">
            <v>300127</v>
          </cell>
          <cell r="E417" t="str">
            <v>Parasapas NHS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</row>
        <row r="418">
          <cell r="D418">
            <v>500359</v>
          </cell>
          <cell r="E418" t="str">
            <v>Capas Integrated School</v>
          </cell>
          <cell r="F418">
            <v>16</v>
          </cell>
          <cell r="G418">
            <v>17</v>
          </cell>
          <cell r="H418">
            <v>33</v>
          </cell>
          <cell r="I418">
            <v>13</v>
          </cell>
          <cell r="J418">
            <v>15</v>
          </cell>
          <cell r="K418">
            <v>28</v>
          </cell>
          <cell r="L418">
            <v>53</v>
          </cell>
          <cell r="M418">
            <v>39</v>
          </cell>
          <cell r="N418">
            <v>92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</row>
        <row r="419">
          <cell r="D419">
            <v>300110</v>
          </cell>
          <cell r="E419" t="str">
            <v>Alipang NHS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</row>
        <row r="420">
          <cell r="D420">
            <v>300091</v>
          </cell>
          <cell r="E420" t="str">
            <v>Amlang-Nagtagaan National High School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</row>
        <row r="421">
          <cell r="D421">
            <v>500002</v>
          </cell>
          <cell r="E421" t="str">
            <v>Rosario Integrated School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</row>
        <row r="422">
          <cell r="D422">
            <v>300138</v>
          </cell>
          <cell r="E422" t="str">
            <v>San Luis NHS</v>
          </cell>
          <cell r="F422">
            <v>23</v>
          </cell>
          <cell r="G422">
            <v>25</v>
          </cell>
          <cell r="H422">
            <v>48</v>
          </cell>
          <cell r="I422">
            <v>13</v>
          </cell>
          <cell r="J422">
            <v>11</v>
          </cell>
          <cell r="K422">
            <v>24</v>
          </cell>
          <cell r="L422">
            <v>15</v>
          </cell>
          <cell r="M422">
            <v>14</v>
          </cell>
          <cell r="N422">
            <v>29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</row>
        <row r="423">
          <cell r="D423">
            <v>300222</v>
          </cell>
          <cell r="E423" t="str">
            <v>MANGATAREM NATIONAL HIGH SCHOOL</v>
          </cell>
          <cell r="F423">
            <v>776</v>
          </cell>
          <cell r="G423">
            <v>719</v>
          </cell>
          <cell r="H423">
            <v>1495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</row>
        <row r="424">
          <cell r="D424">
            <v>300306</v>
          </cell>
          <cell r="E424" t="str">
            <v>Don Benito Agro-Industrial High School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</row>
        <row r="425">
          <cell r="D425">
            <v>340822</v>
          </cell>
          <cell r="E425" t="str">
            <v>Aringay Stand-Alone Senior High School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</row>
        <row r="426">
          <cell r="D426">
            <v>300229</v>
          </cell>
          <cell r="E426" t="str">
            <v>Nancapian National High School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</row>
        <row r="427">
          <cell r="D427">
            <v>300061</v>
          </cell>
          <cell r="E427" t="str">
            <v>Nagsuputan NHS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</row>
        <row r="428">
          <cell r="D428">
            <v>300235</v>
          </cell>
          <cell r="E428" t="str">
            <v>Parayao National High School</v>
          </cell>
          <cell r="F428">
            <v>134</v>
          </cell>
          <cell r="G428">
            <v>98</v>
          </cell>
          <cell r="H428">
            <v>232</v>
          </cell>
          <cell r="I428">
            <v>10</v>
          </cell>
          <cell r="J428">
            <v>5</v>
          </cell>
          <cell r="K428">
            <v>15</v>
          </cell>
          <cell r="L428">
            <v>7</v>
          </cell>
          <cell r="M428">
            <v>10</v>
          </cell>
          <cell r="N428">
            <v>17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</row>
        <row r="429">
          <cell r="D429">
            <v>300004</v>
          </cell>
          <cell r="E429" t="str">
            <v>Banna National High School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</row>
        <row r="430">
          <cell r="D430">
            <v>500370</v>
          </cell>
          <cell r="E430" t="str">
            <v>Bolinao Integrated School</v>
          </cell>
          <cell r="F430">
            <v>12</v>
          </cell>
          <cell r="G430">
            <v>2</v>
          </cell>
          <cell r="H430">
            <v>14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</row>
        <row r="431">
          <cell r="D431">
            <v>500000</v>
          </cell>
          <cell r="E431" t="str">
            <v>Caraitan Integrated School</v>
          </cell>
          <cell r="F431">
            <v>66</v>
          </cell>
          <cell r="G431">
            <v>50</v>
          </cell>
          <cell r="H431">
            <v>116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2</v>
          </cell>
          <cell r="P431">
            <v>3</v>
          </cell>
          <cell r="Q431">
            <v>5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</row>
        <row r="432">
          <cell r="D432">
            <v>321101</v>
          </cell>
          <cell r="E432" t="str">
            <v>Palapar NHS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</row>
        <row r="433">
          <cell r="D433">
            <v>300153</v>
          </cell>
          <cell r="E433" t="str">
            <v>Wenceslao National HS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</row>
        <row r="434">
          <cell r="D434">
            <v>500594</v>
          </cell>
          <cell r="E434" t="str">
            <v>Uguis Integrated School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</row>
        <row r="435">
          <cell r="D435">
            <v>300259</v>
          </cell>
          <cell r="E435" t="str">
            <v>Tanolong National High School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</row>
        <row r="436">
          <cell r="D436">
            <v>300189</v>
          </cell>
          <cell r="E436" t="str">
            <v>Cato NHS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</row>
        <row r="437">
          <cell r="D437">
            <v>300158</v>
          </cell>
          <cell r="E437" t="str">
            <v>Anda National High School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</row>
        <row r="438">
          <cell r="D438">
            <v>300183</v>
          </cell>
          <cell r="E438" t="str">
            <v>Calasiao Comprehensive NHS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</row>
        <row r="439">
          <cell r="D439">
            <v>300205</v>
          </cell>
          <cell r="E439" t="str">
            <v>Garrita NHS</v>
          </cell>
          <cell r="F439">
            <v>30</v>
          </cell>
          <cell r="G439">
            <v>24</v>
          </cell>
          <cell r="H439">
            <v>54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</row>
        <row r="440">
          <cell r="D440">
            <v>300219</v>
          </cell>
          <cell r="E440" t="str">
            <v>Magalong National High School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</row>
        <row r="441">
          <cell r="D441">
            <v>300256</v>
          </cell>
          <cell r="E441" t="str">
            <v>Tagudin NHS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</row>
        <row r="442">
          <cell r="D442">
            <v>300347</v>
          </cell>
          <cell r="E442" t="str">
            <v>San Isidro NHS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</row>
        <row r="443">
          <cell r="D443">
            <v>300186</v>
          </cell>
          <cell r="E443" t="str">
            <v>Canan NHS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</row>
        <row r="444">
          <cell r="D444">
            <v>300262</v>
          </cell>
          <cell r="E444" t="str">
            <v>Tobor NHS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</row>
        <row r="445">
          <cell r="D445">
            <v>300231</v>
          </cell>
          <cell r="E445" t="str">
            <v>Olo NHS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</row>
        <row r="446">
          <cell r="D446">
            <v>300175</v>
          </cell>
          <cell r="E446" t="str">
            <v>Bolinao SOF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</row>
        <row r="447">
          <cell r="D447">
            <v>300214</v>
          </cell>
          <cell r="E447" t="str">
            <v>Luciente II NHS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</row>
        <row r="448">
          <cell r="D448">
            <v>300108</v>
          </cell>
          <cell r="E448" t="str">
            <v>Cuenca National High School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</row>
        <row r="449">
          <cell r="D449">
            <v>300261</v>
          </cell>
          <cell r="E449" t="str">
            <v>Tiep NHS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</row>
        <row r="450">
          <cell r="D450">
            <v>500611</v>
          </cell>
          <cell r="E450" t="str">
            <v>Catubig Integrated School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</row>
        <row r="451">
          <cell r="D451">
            <v>500058</v>
          </cell>
          <cell r="E451" t="str">
            <v>Guelew Integrated School</v>
          </cell>
          <cell r="F451">
            <v>14</v>
          </cell>
          <cell r="G451">
            <v>22</v>
          </cell>
          <cell r="H451">
            <v>36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</row>
        <row r="452">
          <cell r="D452">
            <v>300318</v>
          </cell>
          <cell r="E452" t="str">
            <v>Lagasit NHS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</row>
        <row r="453">
          <cell r="D453">
            <v>300244</v>
          </cell>
          <cell r="E453" t="str">
            <v>Quinaoayanan NHS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</row>
        <row r="454">
          <cell r="D454">
            <v>300258</v>
          </cell>
          <cell r="E454" t="str">
            <v>Tambobong National High School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</row>
        <row r="455">
          <cell r="D455">
            <v>300161</v>
          </cell>
          <cell r="E455" t="str">
            <v>Balingasay NHS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</row>
        <row r="456">
          <cell r="D456">
            <v>300194</v>
          </cell>
          <cell r="E456" t="str">
            <v>Dewey National High School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</row>
        <row r="457">
          <cell r="D457">
            <v>300162</v>
          </cell>
          <cell r="E457" t="str">
            <v>Baloling NHS</v>
          </cell>
          <cell r="F457">
            <v>31</v>
          </cell>
          <cell r="G457">
            <v>8</v>
          </cell>
          <cell r="H457">
            <v>39</v>
          </cell>
          <cell r="I457">
            <v>15</v>
          </cell>
          <cell r="J457">
            <v>3</v>
          </cell>
          <cell r="K457">
            <v>18</v>
          </cell>
          <cell r="L457">
            <v>15</v>
          </cell>
          <cell r="M457">
            <v>3</v>
          </cell>
          <cell r="N457">
            <v>18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</row>
        <row r="458">
          <cell r="D458">
            <v>300245</v>
          </cell>
          <cell r="E458" t="str">
            <v>Ranao National High School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</row>
        <row r="459">
          <cell r="D459">
            <v>500621</v>
          </cell>
          <cell r="E459" t="str">
            <v>Tupa Integrated School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</row>
        <row r="460">
          <cell r="D460">
            <v>500615</v>
          </cell>
          <cell r="E460" t="str">
            <v>Liwa Liwa Integrated School</v>
          </cell>
          <cell r="F460">
            <v>32</v>
          </cell>
          <cell r="G460">
            <v>22</v>
          </cell>
          <cell r="H460">
            <v>54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</row>
        <row r="461">
          <cell r="D461">
            <v>500617</v>
          </cell>
          <cell r="E461" t="str">
            <v>PAITAN IS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</row>
        <row r="462">
          <cell r="D462">
            <v>500383</v>
          </cell>
          <cell r="E462" t="str">
            <v>Mangaldan IS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</row>
        <row r="463">
          <cell r="D463">
            <v>500364</v>
          </cell>
          <cell r="E463" t="str">
            <v>Bayaoas IS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</row>
        <row r="464">
          <cell r="D464">
            <v>300182</v>
          </cell>
          <cell r="E464" t="str">
            <v>Cabungan National High School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</row>
        <row r="465">
          <cell r="D465">
            <v>300180</v>
          </cell>
          <cell r="E465" t="str">
            <v>Cabanaetan NHS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</row>
        <row r="466">
          <cell r="D466">
            <v>300166</v>
          </cell>
          <cell r="E466" t="str">
            <v>Banog Sur NHS</v>
          </cell>
          <cell r="F466">
            <v>22</v>
          </cell>
          <cell r="G466">
            <v>23</v>
          </cell>
          <cell r="H466">
            <v>45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</row>
        <row r="467">
          <cell r="D467">
            <v>300246</v>
          </cell>
          <cell r="E467" t="str">
            <v>Ranom Iloco National High School</v>
          </cell>
          <cell r="F467">
            <v>23</v>
          </cell>
          <cell r="G467">
            <v>33</v>
          </cell>
          <cell r="H467">
            <v>56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</row>
        <row r="468">
          <cell r="D468">
            <v>300204</v>
          </cell>
          <cell r="E468" t="str">
            <v>Galarin National High School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</row>
        <row r="469">
          <cell r="D469">
            <v>300097</v>
          </cell>
          <cell r="E469" t="str">
            <v>Balbalayang National High School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</row>
        <row r="470">
          <cell r="D470">
            <v>300233</v>
          </cell>
          <cell r="E470" t="str">
            <v>Pangasinan National High School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</row>
        <row r="471">
          <cell r="D471">
            <v>300218</v>
          </cell>
          <cell r="E471" t="str">
            <v>Macarang National High School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</row>
        <row r="472">
          <cell r="D472">
            <v>300296</v>
          </cell>
          <cell r="E472" t="str">
            <v>Cacabugaoan NHS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</row>
        <row r="473">
          <cell r="D473">
            <v>500368</v>
          </cell>
          <cell r="E473" t="str">
            <v>URBIZTONDO INTEGRATED SCHOOL</v>
          </cell>
          <cell r="F473">
            <v>190</v>
          </cell>
          <cell r="G473">
            <v>140</v>
          </cell>
          <cell r="H473">
            <v>330</v>
          </cell>
          <cell r="I473">
            <v>100</v>
          </cell>
          <cell r="J473">
            <v>95</v>
          </cell>
          <cell r="K473">
            <v>195</v>
          </cell>
          <cell r="L473">
            <v>90</v>
          </cell>
          <cell r="M473">
            <v>45</v>
          </cell>
          <cell r="N473">
            <v>135</v>
          </cell>
          <cell r="O473">
            <v>110</v>
          </cell>
          <cell r="P473">
            <v>115</v>
          </cell>
          <cell r="Q473">
            <v>225</v>
          </cell>
          <cell r="R473">
            <v>80</v>
          </cell>
          <cell r="S473">
            <v>30</v>
          </cell>
          <cell r="T473">
            <v>110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</row>
        <row r="474">
          <cell r="D474">
            <v>300314</v>
          </cell>
          <cell r="E474" t="str">
            <v>Guiling-Coliling NHS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</row>
        <row r="475">
          <cell r="D475">
            <v>300343</v>
          </cell>
          <cell r="E475" t="str">
            <v>Salud-San Eugenio NHS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</row>
        <row r="476">
          <cell r="D476">
            <v>300171</v>
          </cell>
          <cell r="E476" t="str">
            <v>Beleng NHS</v>
          </cell>
          <cell r="F476">
            <v>63</v>
          </cell>
          <cell r="G476">
            <v>40</v>
          </cell>
          <cell r="H476">
            <v>103</v>
          </cell>
          <cell r="I476">
            <v>50</v>
          </cell>
          <cell r="J476">
            <v>30</v>
          </cell>
          <cell r="K476">
            <v>80</v>
          </cell>
          <cell r="L476">
            <v>18</v>
          </cell>
          <cell r="M476">
            <v>10</v>
          </cell>
          <cell r="N476">
            <v>28</v>
          </cell>
          <cell r="O476">
            <v>50</v>
          </cell>
          <cell r="P476">
            <v>30</v>
          </cell>
          <cell r="Q476">
            <v>80</v>
          </cell>
          <cell r="R476">
            <v>18</v>
          </cell>
          <cell r="S476">
            <v>10</v>
          </cell>
          <cell r="T476">
            <v>28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</row>
        <row r="477">
          <cell r="D477">
            <v>300247</v>
          </cell>
          <cell r="E477" t="str">
            <v>Real National High School</v>
          </cell>
          <cell r="F477">
            <v>98</v>
          </cell>
          <cell r="G477">
            <v>67</v>
          </cell>
          <cell r="H477">
            <v>165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</row>
        <row r="478">
          <cell r="D478">
            <v>300329</v>
          </cell>
          <cell r="E478" t="str">
            <v>Nama NHS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</row>
        <row r="479">
          <cell r="D479">
            <v>500610</v>
          </cell>
          <cell r="E479" t="str">
            <v>Bugallon IS</v>
          </cell>
          <cell r="F479">
            <v>298</v>
          </cell>
          <cell r="G479">
            <v>262</v>
          </cell>
          <cell r="H479">
            <v>560</v>
          </cell>
          <cell r="I479">
            <v>50</v>
          </cell>
          <cell r="J479">
            <v>50</v>
          </cell>
          <cell r="K479">
            <v>100</v>
          </cell>
          <cell r="L479">
            <v>0</v>
          </cell>
          <cell r="M479">
            <v>0</v>
          </cell>
          <cell r="N479">
            <v>0</v>
          </cell>
          <cell r="O479">
            <v>25</v>
          </cell>
          <cell r="P479">
            <v>25</v>
          </cell>
          <cell r="Q479">
            <v>50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</row>
        <row r="480">
          <cell r="D480">
            <v>501118</v>
          </cell>
          <cell r="E480" t="str">
            <v>Amagbagan Integrated School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</row>
        <row r="481">
          <cell r="D481">
            <v>500619</v>
          </cell>
          <cell r="E481" t="str">
            <v>Portic IS</v>
          </cell>
          <cell r="F481">
            <v>18</v>
          </cell>
          <cell r="G481">
            <v>6</v>
          </cell>
          <cell r="H481">
            <v>24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</row>
        <row r="482">
          <cell r="D482">
            <v>500367</v>
          </cell>
          <cell r="E482" t="str">
            <v>Domalandan Center IS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</row>
        <row r="483">
          <cell r="D483">
            <v>300202</v>
          </cell>
          <cell r="E483" t="str">
            <v>Enrico T. Prado NHS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</row>
        <row r="484">
          <cell r="D484">
            <v>300173</v>
          </cell>
          <cell r="E484" t="str">
            <v>Bocboc East NHS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</row>
        <row r="485">
          <cell r="D485">
            <v>300242</v>
          </cell>
          <cell r="E485" t="str">
            <v>Primicias NHS</v>
          </cell>
          <cell r="F485">
            <v>28</v>
          </cell>
          <cell r="G485">
            <v>28</v>
          </cell>
          <cell r="H485">
            <v>56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</row>
        <row r="486">
          <cell r="D486">
            <v>300196</v>
          </cell>
          <cell r="E486" t="str">
            <v>Don Gaudencio B. Dumlao National High School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</row>
        <row r="487">
          <cell r="D487">
            <v>300248</v>
          </cell>
          <cell r="E487" t="str">
            <v>Salomague NHS</v>
          </cell>
          <cell r="F487">
            <v>0</v>
          </cell>
          <cell r="G487">
            <v>86</v>
          </cell>
          <cell r="H487">
            <v>86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</row>
        <row r="488">
          <cell r="D488">
            <v>300234</v>
          </cell>
          <cell r="E488" t="str">
            <v>Pangasinan School of Arts and Trades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</row>
        <row r="489">
          <cell r="D489">
            <v>300243</v>
          </cell>
          <cell r="E489" t="str">
            <v>Quetegan NHS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</row>
        <row r="490">
          <cell r="D490">
            <v>300255</v>
          </cell>
          <cell r="E490" t="str">
            <v>Sual National High School</v>
          </cell>
          <cell r="F490">
            <v>350</v>
          </cell>
          <cell r="G490">
            <v>291</v>
          </cell>
          <cell r="H490">
            <v>641</v>
          </cell>
          <cell r="I490">
            <v>329</v>
          </cell>
          <cell r="J490">
            <v>283</v>
          </cell>
          <cell r="K490">
            <v>612</v>
          </cell>
          <cell r="L490">
            <v>1554</v>
          </cell>
          <cell r="M490">
            <v>1835</v>
          </cell>
          <cell r="N490">
            <v>3389</v>
          </cell>
          <cell r="O490">
            <v>17</v>
          </cell>
          <cell r="P490">
            <v>19</v>
          </cell>
          <cell r="Q490">
            <v>36</v>
          </cell>
          <cell r="R490">
            <v>25</v>
          </cell>
          <cell r="S490">
            <v>20</v>
          </cell>
          <cell r="T490">
            <v>45</v>
          </cell>
          <cell r="U490">
            <v>10</v>
          </cell>
          <cell r="V490">
            <v>9</v>
          </cell>
          <cell r="W490">
            <v>19</v>
          </cell>
          <cell r="X490">
            <v>1</v>
          </cell>
          <cell r="Y490">
            <v>0</v>
          </cell>
          <cell r="Z490">
            <v>1</v>
          </cell>
        </row>
        <row r="491">
          <cell r="D491">
            <v>300257</v>
          </cell>
          <cell r="E491" t="str">
            <v>Talospatang NHS</v>
          </cell>
          <cell r="F491">
            <v>86</v>
          </cell>
          <cell r="G491">
            <v>100</v>
          </cell>
          <cell r="H491">
            <v>186</v>
          </cell>
          <cell r="I491">
            <v>69</v>
          </cell>
          <cell r="J491">
            <v>68</v>
          </cell>
          <cell r="K491">
            <v>137</v>
          </cell>
          <cell r="L491">
            <v>17</v>
          </cell>
          <cell r="M491">
            <v>32</v>
          </cell>
          <cell r="N491">
            <v>49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35</v>
          </cell>
          <cell r="Y491">
            <v>33</v>
          </cell>
          <cell r="Z491">
            <v>68</v>
          </cell>
        </row>
        <row r="492">
          <cell r="D492">
            <v>500374</v>
          </cell>
          <cell r="E492" t="str">
            <v>Ambayat Integrated School</v>
          </cell>
          <cell r="F492">
            <v>16</v>
          </cell>
          <cell r="G492">
            <v>0</v>
          </cell>
          <cell r="H492">
            <v>16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</row>
        <row r="493">
          <cell r="D493">
            <v>300112</v>
          </cell>
          <cell r="E493" t="str">
            <v>Don Eulogio De Guzman MNHS</v>
          </cell>
          <cell r="F493">
            <v>638</v>
          </cell>
          <cell r="G493">
            <v>557</v>
          </cell>
          <cell r="H493">
            <v>1195</v>
          </cell>
          <cell r="I493">
            <v>10</v>
          </cell>
          <cell r="J493">
            <v>11</v>
          </cell>
          <cell r="K493">
            <v>21</v>
          </cell>
          <cell r="L493">
            <v>0</v>
          </cell>
          <cell r="M493">
            <v>0</v>
          </cell>
          <cell r="N493">
            <v>0</v>
          </cell>
          <cell r="O493">
            <v>5</v>
          </cell>
          <cell r="P493">
            <v>7</v>
          </cell>
          <cell r="Q493">
            <v>12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1</v>
          </cell>
          <cell r="Y493">
            <v>1</v>
          </cell>
          <cell r="Z493">
            <v>2</v>
          </cell>
        </row>
        <row r="494">
          <cell r="D494">
            <v>500387</v>
          </cell>
          <cell r="E494" t="str">
            <v>San Vicente West IS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</row>
        <row r="495">
          <cell r="D495">
            <v>500603</v>
          </cell>
          <cell r="E495" t="str">
            <v>A.P. Guevara IS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</row>
        <row r="496">
          <cell r="D496">
            <v>300221</v>
          </cell>
          <cell r="E496" t="str">
            <v>Malimpin NHS</v>
          </cell>
          <cell r="F496">
            <v>32</v>
          </cell>
          <cell r="G496">
            <v>28</v>
          </cell>
          <cell r="H496">
            <v>60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</row>
        <row r="497">
          <cell r="D497">
            <v>300224</v>
          </cell>
          <cell r="E497" t="str">
            <v>Mapandan National High School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</row>
        <row r="498">
          <cell r="D498">
            <v>300228</v>
          </cell>
          <cell r="E498" t="str">
            <v>Nalsian-Tomling National High School</v>
          </cell>
          <cell r="F498">
            <v>89</v>
          </cell>
          <cell r="G498">
            <v>91</v>
          </cell>
          <cell r="H498">
            <v>180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</row>
        <row r="499">
          <cell r="D499">
            <v>300168</v>
          </cell>
          <cell r="E499" t="str">
            <v>Bayambang NHS (Bayambang)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</row>
        <row r="500">
          <cell r="D500">
            <v>340747</v>
          </cell>
          <cell r="E500" t="str">
            <v>Gen. Artemio Ricarte SHS</v>
          </cell>
          <cell r="F500">
            <v>71</v>
          </cell>
          <cell r="G500">
            <v>74</v>
          </cell>
          <cell r="H500">
            <v>145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</row>
        <row r="501">
          <cell r="D501">
            <v>300206</v>
          </cell>
          <cell r="E501" t="str">
            <v>Hermosa NHS</v>
          </cell>
          <cell r="F501">
            <v>66</v>
          </cell>
          <cell r="G501">
            <v>44</v>
          </cell>
          <cell r="H501">
            <v>110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</row>
        <row r="502">
          <cell r="D502">
            <v>300197</v>
          </cell>
          <cell r="E502" t="str">
            <v>Don Pedro National High School</v>
          </cell>
          <cell r="F502">
            <v>54</v>
          </cell>
          <cell r="G502">
            <v>51</v>
          </cell>
          <cell r="H502">
            <v>105</v>
          </cell>
          <cell r="I502">
            <v>41</v>
          </cell>
          <cell r="J502">
            <v>10</v>
          </cell>
          <cell r="K502">
            <v>51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</row>
        <row r="503">
          <cell r="D503">
            <v>300226</v>
          </cell>
          <cell r="E503" t="str">
            <v>Minien NHS</v>
          </cell>
          <cell r="F503">
            <v>62</v>
          </cell>
          <cell r="G503">
            <v>76</v>
          </cell>
          <cell r="H503">
            <v>138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</row>
        <row r="504">
          <cell r="D504">
            <v>500369</v>
          </cell>
          <cell r="E504" t="str">
            <v>Ramon Magsaysay IS</v>
          </cell>
          <cell r="F504">
            <v>29</v>
          </cell>
          <cell r="G504">
            <v>34</v>
          </cell>
          <cell r="H504">
            <v>63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</row>
        <row r="505">
          <cell r="D505">
            <v>300290</v>
          </cell>
          <cell r="E505" t="str">
            <v>Bobonan National High School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</row>
        <row r="506">
          <cell r="D506">
            <v>300130</v>
          </cell>
          <cell r="E506" t="str">
            <v>Don Eufemio F. Eriguel MNHS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</row>
        <row r="507">
          <cell r="D507">
            <v>300121</v>
          </cell>
          <cell r="E507" t="str">
            <v>Maoasoas NHS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</row>
        <row r="508">
          <cell r="D508">
            <v>300193</v>
          </cell>
          <cell r="E508" t="str">
            <v>Daniel Maramba NHS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</row>
        <row r="509">
          <cell r="D509">
            <v>300267</v>
          </cell>
          <cell r="E509" t="str">
            <v>Irene Rayos Ombac NHS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</row>
        <row r="510">
          <cell r="D510">
            <v>300251</v>
          </cell>
          <cell r="E510" t="str">
            <v>San Julian NHS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</row>
        <row r="511">
          <cell r="D511">
            <v>300390</v>
          </cell>
          <cell r="E511" t="str">
            <v>Tandoc NHS</v>
          </cell>
          <cell r="F511">
            <v>0</v>
          </cell>
          <cell r="G511">
            <v>13</v>
          </cell>
          <cell r="H511">
            <v>13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</row>
        <row r="512">
          <cell r="D512">
            <v>300252</v>
          </cell>
          <cell r="E512" t="str">
            <v>San Miguel NHS, Bani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</row>
        <row r="513">
          <cell r="D513">
            <v>300123</v>
          </cell>
          <cell r="E513" t="str">
            <v>Northern Naguilian National High School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</row>
        <row r="514">
          <cell r="D514">
            <v>300151</v>
          </cell>
          <cell r="E514" t="str">
            <v>Tanglag National High School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</row>
        <row r="515">
          <cell r="D515">
            <v>500606</v>
          </cell>
          <cell r="E515" t="str">
            <v>ANDA INTEGRATED SCHOOL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</row>
        <row r="516">
          <cell r="D516">
            <v>500601</v>
          </cell>
          <cell r="E516" t="str">
            <v>Saytan Integrated School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</row>
        <row r="517">
          <cell r="D517">
            <v>300209</v>
          </cell>
          <cell r="E517" t="str">
            <v>Labrador NHS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</row>
        <row r="518">
          <cell r="D518">
            <v>300363</v>
          </cell>
          <cell r="E518" t="str">
            <v>Tayug NHS</v>
          </cell>
          <cell r="F518">
            <v>25</v>
          </cell>
          <cell r="G518">
            <v>20</v>
          </cell>
          <cell r="H518">
            <v>45</v>
          </cell>
          <cell r="I518">
            <v>13</v>
          </cell>
          <cell r="J518">
            <v>9</v>
          </cell>
          <cell r="K518">
            <v>22</v>
          </cell>
          <cell r="L518">
            <v>12</v>
          </cell>
          <cell r="M518">
            <v>11</v>
          </cell>
          <cell r="N518">
            <v>23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8</v>
          </cell>
          <cell r="Y518">
            <v>7</v>
          </cell>
          <cell r="Z518">
            <v>15</v>
          </cell>
        </row>
        <row r="519">
          <cell r="D519">
            <v>300330</v>
          </cell>
          <cell r="E519" t="str">
            <v>Nantangalan NHS</v>
          </cell>
          <cell r="F519">
            <v>56</v>
          </cell>
          <cell r="G519">
            <v>30</v>
          </cell>
          <cell r="H519">
            <v>86</v>
          </cell>
          <cell r="I519">
            <v>13</v>
          </cell>
          <cell r="J519">
            <v>8</v>
          </cell>
          <cell r="K519">
            <v>21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</row>
        <row r="520">
          <cell r="D520">
            <v>300044</v>
          </cell>
          <cell r="E520" t="str">
            <v>Candon National High School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</row>
        <row r="521">
          <cell r="D521">
            <v>322601</v>
          </cell>
          <cell r="E521" t="str">
            <v>Candon City Information Technology NHS</v>
          </cell>
          <cell r="F521">
            <v>11</v>
          </cell>
          <cell r="G521">
            <v>1</v>
          </cell>
          <cell r="H521">
            <v>12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</row>
        <row r="522">
          <cell r="D522">
            <v>300083</v>
          </cell>
          <cell r="E522" t="str">
            <v>Sto. Tomas National High School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</row>
        <row r="523">
          <cell r="D523">
            <v>300012</v>
          </cell>
          <cell r="E523" t="str">
            <v>Crispina Marcos Valdez NHS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</row>
        <row r="524">
          <cell r="D524">
            <v>300326</v>
          </cell>
          <cell r="E524" t="str">
            <v>Mangaldan National High School</v>
          </cell>
          <cell r="F524">
            <v>30</v>
          </cell>
          <cell r="G524">
            <v>37</v>
          </cell>
          <cell r="H524">
            <v>67</v>
          </cell>
          <cell r="I524">
            <v>15</v>
          </cell>
          <cell r="J524">
            <v>12</v>
          </cell>
          <cell r="K524">
            <v>27</v>
          </cell>
          <cell r="L524">
            <v>15</v>
          </cell>
          <cell r="M524">
            <v>12</v>
          </cell>
          <cell r="N524">
            <v>27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</row>
        <row r="525">
          <cell r="D525">
            <v>300047</v>
          </cell>
          <cell r="E525" t="str">
            <v>Candon City High School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</row>
        <row r="526">
          <cell r="D526">
            <v>300051</v>
          </cell>
          <cell r="E526" t="str">
            <v>Dr. Ricardo Gacula Memorial National High School</v>
          </cell>
          <cell r="F526">
            <v>2</v>
          </cell>
          <cell r="G526">
            <v>4</v>
          </cell>
          <cell r="H526">
            <v>6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</row>
        <row r="527">
          <cell r="D527">
            <v>300146</v>
          </cell>
          <cell r="E527" t="str">
            <v>Sto. Rosario National High School</v>
          </cell>
          <cell r="F527">
            <v>99</v>
          </cell>
          <cell r="G527">
            <v>104</v>
          </cell>
          <cell r="H527">
            <v>203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</row>
        <row r="528">
          <cell r="D528">
            <v>300139</v>
          </cell>
          <cell r="E528" t="str">
            <v>Dr. Manuel T. Cases Sr. National High School</v>
          </cell>
          <cell r="F528">
            <v>82</v>
          </cell>
          <cell r="G528">
            <v>82</v>
          </cell>
          <cell r="H528">
            <v>164</v>
          </cell>
          <cell r="I528">
            <v>36</v>
          </cell>
          <cell r="J528">
            <v>32</v>
          </cell>
          <cell r="K528">
            <v>68</v>
          </cell>
          <cell r="L528">
            <v>46</v>
          </cell>
          <cell r="M528">
            <v>50</v>
          </cell>
          <cell r="N528">
            <v>96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</row>
        <row r="529">
          <cell r="D529">
            <v>321009</v>
          </cell>
          <cell r="E529" t="str">
            <v>Upper Tumapoc National High School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</row>
        <row r="530">
          <cell r="D530">
            <v>500614</v>
          </cell>
          <cell r="E530" t="str">
            <v>Infanta Integrated School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</row>
        <row r="531">
          <cell r="D531">
            <v>321010</v>
          </cell>
          <cell r="E531" t="str">
            <v>Sto. Tomas NHS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</row>
        <row r="532">
          <cell r="D532">
            <v>300005</v>
          </cell>
          <cell r="E532" t="str">
            <v>Batac National High School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</row>
        <row r="533">
          <cell r="D533">
            <v>320803</v>
          </cell>
          <cell r="E533" t="str">
            <v>City of Batac National high school Payao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</row>
        <row r="534">
          <cell r="D534">
            <v>340748</v>
          </cell>
          <cell r="E534" t="str">
            <v>Ferdinand E. Marcos SHS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</row>
        <row r="535">
          <cell r="D535">
            <v>300249</v>
          </cell>
          <cell r="E535" t="str">
            <v>Sampaloc National High School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</row>
        <row r="536">
          <cell r="D536">
            <v>500620</v>
          </cell>
          <cell r="E536" t="str">
            <v>Sapa Grande Integrated School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</row>
        <row r="537">
          <cell r="D537">
            <v>300413</v>
          </cell>
          <cell r="E537" t="str">
            <v>Batanes Gen. Comp. HS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</row>
        <row r="538">
          <cell r="D538">
            <v>300415</v>
          </cell>
          <cell r="E538" t="str">
            <v>Ivana NHS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</row>
        <row r="539">
          <cell r="D539">
            <v>300416</v>
          </cell>
          <cell r="E539" t="str">
            <v>Mahatao NHS</v>
          </cell>
          <cell r="F539">
            <v>12</v>
          </cell>
          <cell r="G539">
            <v>32</v>
          </cell>
          <cell r="H539">
            <v>44</v>
          </cell>
          <cell r="I539">
            <v>7</v>
          </cell>
          <cell r="J539">
            <v>10</v>
          </cell>
          <cell r="K539">
            <v>17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</row>
        <row r="540">
          <cell r="D540">
            <v>300417</v>
          </cell>
          <cell r="E540" t="str">
            <v>Sabtang National School of Fisheries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</row>
        <row r="541">
          <cell r="D541">
            <v>300411</v>
          </cell>
          <cell r="E541" t="str">
            <v>Batanes Nat"l Science High School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</row>
        <row r="542">
          <cell r="D542">
            <v>500062</v>
          </cell>
          <cell r="E542" t="str">
            <v>Itbud Integrated School</v>
          </cell>
          <cell r="F542">
            <v>5</v>
          </cell>
          <cell r="G542">
            <v>13</v>
          </cell>
          <cell r="H542">
            <v>18</v>
          </cell>
          <cell r="I542">
            <v>5</v>
          </cell>
          <cell r="J542">
            <v>13</v>
          </cell>
          <cell r="K542">
            <v>18</v>
          </cell>
          <cell r="L542">
            <v>21</v>
          </cell>
          <cell r="M542">
            <v>42</v>
          </cell>
          <cell r="N542">
            <v>63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</row>
        <row r="543">
          <cell r="D543">
            <v>500063</v>
          </cell>
          <cell r="E543" t="str">
            <v>Raele Integrated School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</row>
        <row r="544">
          <cell r="D544">
            <v>300414</v>
          </cell>
          <cell r="E544" t="str">
            <v>Itbayat National Agricultural HS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</row>
        <row r="545">
          <cell r="D545">
            <v>300436</v>
          </cell>
          <cell r="E545" t="str">
            <v>Bidduang National High School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</row>
        <row r="546">
          <cell r="D546">
            <v>300454</v>
          </cell>
          <cell r="E546" t="str">
            <v>David M. Puzon MNHS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</row>
        <row r="547">
          <cell r="D547">
            <v>300430</v>
          </cell>
          <cell r="E547" t="str">
            <v>Baggao National School of Arts &amp; Trades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</row>
        <row r="548">
          <cell r="D548">
            <v>300482</v>
          </cell>
          <cell r="E548" t="str">
            <v>Rebecca NHS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</row>
        <row r="549">
          <cell r="D549">
            <v>300445</v>
          </cell>
          <cell r="E549" t="str">
            <v>Penablanca National High School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</row>
        <row r="550">
          <cell r="D550">
            <v>306010</v>
          </cell>
          <cell r="E550" t="str">
            <v>PACAC GRANDE NAT'L. HIGH SCHOOL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</row>
        <row r="551">
          <cell r="D551">
            <v>500009</v>
          </cell>
          <cell r="E551" t="str">
            <v>Utan IS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</row>
        <row r="552">
          <cell r="D552">
            <v>300440</v>
          </cell>
          <cell r="E552" t="str">
            <v>Calaoagan Dackel National High School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</row>
        <row r="553">
          <cell r="D553">
            <v>300452</v>
          </cell>
          <cell r="E553" t="str">
            <v>Cordova National High Sschool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</row>
        <row r="554">
          <cell r="D554">
            <v>300432</v>
          </cell>
          <cell r="E554" t="str">
            <v>Hacienda Intal NHS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</row>
        <row r="555">
          <cell r="D555">
            <v>300446</v>
          </cell>
          <cell r="E555" t="str">
            <v>Cabbo NHS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</row>
        <row r="556">
          <cell r="D556">
            <v>300447</v>
          </cell>
          <cell r="E556" t="str">
            <v>Casambalangan NHS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</row>
        <row r="557">
          <cell r="D557">
            <v>300449</v>
          </cell>
          <cell r="E557" t="str">
            <v>Claveria NHS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</row>
        <row r="558">
          <cell r="D558">
            <v>300459</v>
          </cell>
          <cell r="E558" t="str">
            <v>Western Enrile Vocational High School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</row>
        <row r="559">
          <cell r="D559">
            <v>300469</v>
          </cell>
          <cell r="E559" t="str">
            <v>LAL-LO NATIONAL HIGH SCHOOL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</row>
        <row r="560">
          <cell r="D560">
            <v>300488</v>
          </cell>
          <cell r="E560" t="str">
            <v>Sta. Ana Fishery National High School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</row>
        <row r="561">
          <cell r="D561">
            <v>300435</v>
          </cell>
          <cell r="E561" t="str">
            <v>Baua HS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</row>
        <row r="562">
          <cell r="D562">
            <v>300497</v>
          </cell>
          <cell r="E562" t="str">
            <v>Western Cagayan SAT</v>
          </cell>
          <cell r="F562">
            <v>341</v>
          </cell>
          <cell r="G562">
            <v>287</v>
          </cell>
          <cell r="H562">
            <v>628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</row>
        <row r="563">
          <cell r="D563">
            <v>300486</v>
          </cell>
          <cell r="E563" t="str">
            <v>Sanchez Mira SAT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</row>
        <row r="564">
          <cell r="D564">
            <v>300438</v>
          </cell>
          <cell r="E564" t="str">
            <v>Cabatacan National High School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</row>
        <row r="565">
          <cell r="D565">
            <v>300478</v>
          </cell>
          <cell r="E565" t="str">
            <v>Mauanan NHS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</row>
        <row r="566">
          <cell r="D566">
            <v>300472</v>
          </cell>
          <cell r="E566" t="str">
            <v>Lemu NHS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</row>
        <row r="567">
          <cell r="D567">
            <v>500066</v>
          </cell>
          <cell r="E567" t="str">
            <v>Sicalao IS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</row>
        <row r="568">
          <cell r="D568">
            <v>300476</v>
          </cell>
          <cell r="E568" t="str">
            <v>Magalalag National High School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</row>
        <row r="569">
          <cell r="D569">
            <v>300460</v>
          </cell>
          <cell r="E569" t="str">
            <v>Felipe Tuzon Agr'l. School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</row>
        <row r="570">
          <cell r="D570">
            <v>306428</v>
          </cell>
          <cell r="E570" t="str">
            <v>CFPJ (Carlito F. Pentecostes Jr.) National High School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</row>
        <row r="571">
          <cell r="D571">
            <v>300494</v>
          </cell>
          <cell r="E571" t="str">
            <v>Tuao Voc'l. and Tech'l. School - Pata Annex</v>
          </cell>
          <cell r="F571">
            <v>7</v>
          </cell>
          <cell r="G571">
            <v>5</v>
          </cell>
          <cell r="H571">
            <v>12</v>
          </cell>
          <cell r="I571">
            <v>3</v>
          </cell>
          <cell r="J571">
            <v>2</v>
          </cell>
          <cell r="K571">
            <v>5</v>
          </cell>
          <cell r="L571">
            <v>3</v>
          </cell>
          <cell r="M571">
            <v>2</v>
          </cell>
          <cell r="N571">
            <v>5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</row>
        <row r="572">
          <cell r="D572">
            <v>300458</v>
          </cell>
          <cell r="E572" t="str">
            <v>Enrile Vocational High School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</row>
        <row r="573">
          <cell r="D573">
            <v>306014</v>
          </cell>
          <cell r="E573" t="str">
            <v>LUBO NATIONAL HIGH SCHOOL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</row>
        <row r="574">
          <cell r="D574">
            <v>306001</v>
          </cell>
          <cell r="E574" t="str">
            <v>Gammad National High School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</row>
        <row r="575">
          <cell r="D575">
            <v>300437</v>
          </cell>
          <cell r="E575" t="str">
            <v>Bukig National Agricultural and Technical School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</row>
        <row r="576">
          <cell r="D576">
            <v>300455</v>
          </cell>
          <cell r="E576" t="str">
            <v>Don Mariano Marcos NHS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</row>
        <row r="577">
          <cell r="D577">
            <v>300492</v>
          </cell>
          <cell r="E577" t="str">
            <v>TUAO VOCATIONAL AND TECHNICAL SCHOOL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</row>
        <row r="578">
          <cell r="D578">
            <v>300479</v>
          </cell>
          <cell r="E578" t="str">
            <v>Pamplona National School of Fisheries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</row>
        <row r="579">
          <cell r="D579">
            <v>300463</v>
          </cell>
          <cell r="E579" t="str">
            <v>Vicente D. Trinidad High School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</row>
        <row r="580">
          <cell r="D580">
            <v>306004</v>
          </cell>
          <cell r="E580" t="str">
            <v>Magapit NHS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</row>
        <row r="581">
          <cell r="D581">
            <v>300475</v>
          </cell>
          <cell r="E581" t="str">
            <v>Logac National High School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</row>
        <row r="582">
          <cell r="D582">
            <v>300485</v>
          </cell>
          <cell r="E582" t="str">
            <v>Sanchez Mira NHS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</row>
        <row r="583">
          <cell r="D583">
            <v>300490</v>
          </cell>
          <cell r="E583" t="str">
            <v>Sta. Teresita National High School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</row>
        <row r="584">
          <cell r="D584">
            <v>300443</v>
          </cell>
          <cell r="E584" t="str">
            <v>Callao National High School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</row>
        <row r="585">
          <cell r="D585">
            <v>306019</v>
          </cell>
          <cell r="E585" t="str">
            <v>Tuao Voc'l. and Tech'l. School  Malummin Annex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</row>
        <row r="586">
          <cell r="D586">
            <v>300487</v>
          </cell>
          <cell r="E586" t="str">
            <v>Solana Fresh Water Fishery School</v>
          </cell>
          <cell r="F586">
            <v>129</v>
          </cell>
          <cell r="G586">
            <v>99</v>
          </cell>
          <cell r="H586">
            <v>228</v>
          </cell>
          <cell r="I586">
            <v>15</v>
          </cell>
          <cell r="J586">
            <v>10</v>
          </cell>
          <cell r="K586">
            <v>25</v>
          </cell>
          <cell r="L586">
            <v>12</v>
          </cell>
          <cell r="M586">
            <v>12</v>
          </cell>
          <cell r="N586">
            <v>24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</row>
        <row r="587">
          <cell r="D587">
            <v>306421</v>
          </cell>
          <cell r="E587" t="str">
            <v>Caridad B. Trinidad National High School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</row>
        <row r="588">
          <cell r="D588">
            <v>500008</v>
          </cell>
          <cell r="E588" t="str">
            <v>CATARATAN INTEGRATED SCHOOL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</row>
        <row r="589">
          <cell r="D589">
            <v>300456</v>
          </cell>
          <cell r="E589" t="str">
            <v>Don Severino Pagalilauan National High School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</row>
        <row r="590">
          <cell r="D590">
            <v>300423</v>
          </cell>
          <cell r="E590" t="str">
            <v>Alig Valley National High School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</row>
        <row r="591">
          <cell r="D591">
            <v>300481</v>
          </cell>
          <cell r="E591" t="str">
            <v>Piat National HS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</row>
        <row r="592">
          <cell r="D592">
            <v>300462</v>
          </cell>
          <cell r="E592" t="str">
            <v>Gattaran National Trade School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</row>
        <row r="593">
          <cell r="D593">
            <v>300424</v>
          </cell>
          <cell r="E593" t="str">
            <v>Allacapan Vocational High School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</row>
        <row r="594">
          <cell r="D594">
            <v>300429</v>
          </cell>
          <cell r="E594" t="str">
            <v>Baggao National Agricultural School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</row>
        <row r="595">
          <cell r="D595">
            <v>300420</v>
          </cell>
          <cell r="E595" t="str">
            <v>Afusing NHS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</row>
        <row r="596">
          <cell r="D596">
            <v>300474</v>
          </cell>
          <cell r="E596" t="str">
            <v>Licerio Antiporda Sr. NHS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</row>
        <row r="597">
          <cell r="D597">
            <v>300480</v>
          </cell>
          <cell r="E597" t="str">
            <v>Pattao NHS</v>
          </cell>
          <cell r="F597">
            <v>50</v>
          </cell>
          <cell r="G597">
            <v>40</v>
          </cell>
          <cell r="H597">
            <v>90</v>
          </cell>
          <cell r="I597">
            <v>32</v>
          </cell>
          <cell r="J597">
            <v>25</v>
          </cell>
          <cell r="K597">
            <v>57</v>
          </cell>
          <cell r="L597">
            <v>43</v>
          </cell>
          <cell r="M597">
            <v>40</v>
          </cell>
          <cell r="N597">
            <v>83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</row>
        <row r="598">
          <cell r="D598">
            <v>300434</v>
          </cell>
          <cell r="E598" t="str">
            <v>Ballesteros NHS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</row>
        <row r="599">
          <cell r="D599">
            <v>306006</v>
          </cell>
          <cell r="E599" t="str">
            <v>Abariongan National High School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</row>
        <row r="600">
          <cell r="D600">
            <v>300491</v>
          </cell>
          <cell r="E600" t="str">
            <v>Sto. Nino NHS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</row>
        <row r="601">
          <cell r="D601">
            <v>306013</v>
          </cell>
          <cell r="E601" t="str">
            <v>Luga National High School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</row>
        <row r="602">
          <cell r="D602">
            <v>300473</v>
          </cell>
          <cell r="E602" t="str">
            <v>Libertad National High School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</row>
        <row r="603">
          <cell r="D603">
            <v>300421</v>
          </cell>
          <cell r="E603" t="str">
            <v>Alcala Rural School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</row>
        <row r="604">
          <cell r="D604">
            <v>300425</v>
          </cell>
          <cell r="E604" t="str">
            <v>AMULUNG NATIONAL HIGH SCHOOL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</row>
        <row r="605">
          <cell r="D605">
            <v>300444</v>
          </cell>
          <cell r="E605" t="str">
            <v>Camalaniugan NHS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</row>
        <row r="606">
          <cell r="D606">
            <v>306008</v>
          </cell>
          <cell r="E606" t="str">
            <v>Amulung NHS - Baculud Ext.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</row>
        <row r="607">
          <cell r="D607">
            <v>300477</v>
          </cell>
          <cell r="E607" t="str">
            <v>Matucay National High School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</row>
        <row r="608">
          <cell r="D608">
            <v>300453</v>
          </cell>
          <cell r="E608" t="str">
            <v>Bayabat NHS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</row>
        <row r="609">
          <cell r="D609">
            <v>306003</v>
          </cell>
          <cell r="E609" t="str">
            <v>Lal-lo NHS - Cabayabasan Annex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</row>
        <row r="610">
          <cell r="D610">
            <v>300489</v>
          </cell>
          <cell r="E610" t="str">
            <v>Sta. Praxedes High School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</row>
        <row r="611">
          <cell r="D611">
            <v>300464</v>
          </cell>
          <cell r="E611" t="str">
            <v>Illuru NHS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</row>
        <row r="612">
          <cell r="D612">
            <v>300470</v>
          </cell>
          <cell r="E612" t="str">
            <v>Aparri West National High School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</row>
        <row r="613">
          <cell r="D613">
            <v>300428</v>
          </cell>
          <cell r="E613" t="str">
            <v>Aparri School of Arts and Trades</v>
          </cell>
          <cell r="F613">
            <v>275</v>
          </cell>
          <cell r="G613">
            <v>281</v>
          </cell>
          <cell r="H613">
            <v>556</v>
          </cell>
          <cell r="I613">
            <v>201</v>
          </cell>
          <cell r="J613">
            <v>216</v>
          </cell>
          <cell r="K613">
            <v>417</v>
          </cell>
          <cell r="L613">
            <v>135</v>
          </cell>
          <cell r="M613">
            <v>253</v>
          </cell>
          <cell r="N613">
            <v>388</v>
          </cell>
          <cell r="O613">
            <v>142</v>
          </cell>
          <cell r="P613">
            <v>212</v>
          </cell>
          <cell r="Q613">
            <v>354</v>
          </cell>
          <cell r="R613">
            <v>185</v>
          </cell>
          <cell r="S613">
            <v>157</v>
          </cell>
          <cell r="T613">
            <v>342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</row>
        <row r="614">
          <cell r="D614">
            <v>300418</v>
          </cell>
          <cell r="E614" t="str">
            <v>Abulug National Rural and Vocational High School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</row>
        <row r="615">
          <cell r="D615">
            <v>300465</v>
          </cell>
          <cell r="E615" t="str">
            <v>Ipil National High School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</row>
        <row r="616">
          <cell r="D616">
            <v>300419</v>
          </cell>
          <cell r="E616" t="str">
            <v>Abulug SOF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</row>
        <row r="617">
          <cell r="D617">
            <v>300483</v>
          </cell>
          <cell r="E617" t="str">
            <v>Gonzaga National High School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</row>
        <row r="618">
          <cell r="D618">
            <v>306017</v>
          </cell>
          <cell r="E618" t="str">
            <v>Dadda National High School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</row>
        <row r="619">
          <cell r="D619">
            <v>300457</v>
          </cell>
          <cell r="E619" t="str">
            <v>Penablanca East NHS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</row>
        <row r="620">
          <cell r="D620">
            <v>306012</v>
          </cell>
          <cell r="E620" t="str">
            <v>Pattao NHS - Maddalero Ext.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</row>
        <row r="621">
          <cell r="D621">
            <v>300439</v>
          </cell>
          <cell r="E621" t="str">
            <v>Nabannagan National High School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</row>
        <row r="622">
          <cell r="D622">
            <v>306423</v>
          </cell>
          <cell r="E622" t="str">
            <v>Cabiraoan National High School</v>
          </cell>
          <cell r="F622">
            <v>39</v>
          </cell>
          <cell r="G622">
            <v>39</v>
          </cell>
          <cell r="H622">
            <v>78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</row>
        <row r="623">
          <cell r="D623">
            <v>306011</v>
          </cell>
          <cell r="E623" t="str">
            <v>Licerio Antiporda Sr. NHS - Dalaya Ext.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</row>
        <row r="624">
          <cell r="D624">
            <v>300461</v>
          </cell>
          <cell r="E624" t="str">
            <v>Gadu National High School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</row>
        <row r="625">
          <cell r="D625">
            <v>300493</v>
          </cell>
          <cell r="E625" t="str">
            <v>Tuao Voc'l. and Tech'l. School - Culung Annex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</row>
        <row r="626">
          <cell r="D626">
            <v>300441</v>
          </cell>
          <cell r="E626" t="str">
            <v>Calayan HS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</row>
        <row r="627">
          <cell r="D627">
            <v>300426</v>
          </cell>
          <cell r="E627" t="str">
            <v>Andarayan NHS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</row>
        <row r="628">
          <cell r="D628">
            <v>300422</v>
          </cell>
          <cell r="E628" t="str">
            <v>BAYBAYOG NATIONAL HIGH SCHOOL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</row>
        <row r="629">
          <cell r="D629">
            <v>300450</v>
          </cell>
          <cell r="E629" t="str">
            <v>Claveria RVS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</row>
        <row r="630">
          <cell r="D630">
            <v>306005</v>
          </cell>
          <cell r="E630" t="str">
            <v>Licerio Antiporda Sr. NHS - Sta. Isabel Ext.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</row>
        <row r="631">
          <cell r="D631">
            <v>300467</v>
          </cell>
          <cell r="E631" t="str">
            <v>Itawes National High School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</row>
        <row r="632">
          <cell r="D632">
            <v>300468</v>
          </cell>
          <cell r="E632" t="str">
            <v>Itawes Nat'l.l Agr'l. &amp; Tech'l. School - Bagumbayan Annex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</row>
        <row r="633">
          <cell r="D633">
            <v>300433</v>
          </cell>
          <cell r="E633" t="str">
            <v>Imurung NHS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</row>
        <row r="634">
          <cell r="D634">
            <v>500625</v>
          </cell>
          <cell r="E634" t="str">
            <v>Namuccayan Integrated School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</row>
        <row r="635">
          <cell r="D635">
            <v>306002</v>
          </cell>
          <cell r="E635" t="str">
            <v>Baggao NAS - Sta. Margarita Annex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</row>
        <row r="636">
          <cell r="D636">
            <v>300427</v>
          </cell>
          <cell r="E636" t="str">
            <v>Dassun NHS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</row>
        <row r="637">
          <cell r="D637">
            <v>306020</v>
          </cell>
          <cell r="E637" t="str">
            <v>AGAMAN NATIONAL HIGH SCHOOL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</row>
        <row r="638">
          <cell r="D638">
            <v>300451</v>
          </cell>
          <cell r="E638" t="str">
            <v>Claveria SAT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</row>
        <row r="639">
          <cell r="D639">
            <v>300431</v>
          </cell>
          <cell r="E639" t="str">
            <v>Baggao NHS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</row>
        <row r="640">
          <cell r="D640">
            <v>300471</v>
          </cell>
          <cell r="E640" t="str">
            <v>Aparri East National High School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</row>
        <row r="641">
          <cell r="D641">
            <v>306009</v>
          </cell>
          <cell r="E641" t="str">
            <v>Bayabat NHS - La Suerte Ext.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</row>
        <row r="642">
          <cell r="D642">
            <v>300466</v>
          </cell>
          <cell r="E642" t="str">
            <v>Itawes Nat'l. Agr'l. &amp; Tech'l. School</v>
          </cell>
          <cell r="F642">
            <v>88</v>
          </cell>
          <cell r="G642">
            <v>97</v>
          </cell>
          <cell r="H642">
            <v>185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</row>
        <row r="643">
          <cell r="D643">
            <v>306424</v>
          </cell>
          <cell r="E643" t="str">
            <v>Gadu NHS- Nangalisan Extension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</row>
        <row r="644">
          <cell r="D644">
            <v>306422</v>
          </cell>
          <cell r="E644" t="str">
            <v>Calaoagan Dackel National High School-Capissayan Annex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</row>
        <row r="645">
          <cell r="D645">
            <v>500064</v>
          </cell>
          <cell r="E645" t="str">
            <v>Babuyan Claro IS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</row>
        <row r="646">
          <cell r="D646">
            <v>500077</v>
          </cell>
          <cell r="E646" t="str">
            <v>Bimonton Integrated School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</row>
        <row r="647">
          <cell r="D647">
            <v>306127</v>
          </cell>
          <cell r="E647" t="str">
            <v>San Mateo National High School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</row>
        <row r="648">
          <cell r="D648">
            <v>342077</v>
          </cell>
          <cell r="E648" t="str">
            <v>Aurora Senior High School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</row>
        <row r="649">
          <cell r="D649">
            <v>300541</v>
          </cell>
          <cell r="E649" t="str">
            <v>Imelda R. Marcos High School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</row>
        <row r="650">
          <cell r="D650">
            <v>300520</v>
          </cell>
          <cell r="E650" t="str">
            <v>Delfin Albano High School-Main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</row>
        <row r="651">
          <cell r="D651">
            <v>300508</v>
          </cell>
          <cell r="E651" t="str">
            <v>Cagasat National High School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</row>
        <row r="652">
          <cell r="D652">
            <v>300502</v>
          </cell>
          <cell r="E652" t="str">
            <v>Villa Domingo National High School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</row>
        <row r="653">
          <cell r="D653">
            <v>300562</v>
          </cell>
          <cell r="E653" t="str">
            <v>Munoz High School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</row>
        <row r="654">
          <cell r="D654">
            <v>306115</v>
          </cell>
          <cell r="E654" t="str">
            <v>Luis-Fe Gomez Diamantina National High School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</row>
        <row r="655">
          <cell r="D655">
            <v>300576</v>
          </cell>
          <cell r="E655" t="str">
            <v>Rizal Region National High School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</row>
        <row r="656">
          <cell r="D656">
            <v>300546</v>
          </cell>
          <cell r="E656" t="str">
            <v>Andabuen National High School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</row>
        <row r="657">
          <cell r="D657">
            <v>300537</v>
          </cell>
          <cell r="E657" t="str">
            <v>Gamu Rural School-Main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</row>
        <row r="658">
          <cell r="D658">
            <v>500091</v>
          </cell>
          <cell r="E658" t="str">
            <v>Cebu Integrated School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</row>
        <row r="659">
          <cell r="D659">
            <v>500076</v>
          </cell>
          <cell r="E659" t="str">
            <v>Turod Integrated School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</row>
        <row r="660">
          <cell r="D660">
            <v>500023</v>
          </cell>
          <cell r="E660" t="str">
            <v>Sto. Niño Integrated School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</row>
        <row r="661">
          <cell r="D661">
            <v>300512</v>
          </cell>
          <cell r="E661" t="str">
            <v>Callang National High School - Main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</row>
        <row r="662">
          <cell r="D662">
            <v>300526</v>
          </cell>
          <cell r="E662" t="str">
            <v>Dinapigue National High School</v>
          </cell>
          <cell r="F662">
            <v>0</v>
          </cell>
          <cell r="G662">
            <v>0</v>
          </cell>
          <cell r="H662">
            <v>0</v>
          </cell>
          <cell r="I662">
            <v>36</v>
          </cell>
          <cell r="J662">
            <v>32</v>
          </cell>
          <cell r="K662">
            <v>68</v>
          </cell>
          <cell r="L662">
            <v>41</v>
          </cell>
          <cell r="M662">
            <v>38</v>
          </cell>
          <cell r="N662">
            <v>79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</row>
        <row r="663">
          <cell r="D663">
            <v>300551</v>
          </cell>
          <cell r="E663" t="str">
            <v>Lanna National High School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</row>
        <row r="664">
          <cell r="D664">
            <v>500082</v>
          </cell>
          <cell r="E664" t="str">
            <v>Sto. Domingo Integrated School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</row>
        <row r="665">
          <cell r="D665">
            <v>300506</v>
          </cell>
          <cell r="E665" t="str">
            <v>Cadaloria High School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</row>
        <row r="666">
          <cell r="D666">
            <v>500092</v>
          </cell>
          <cell r="E666" t="str">
            <v>San Miguel Integrated School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</row>
        <row r="667">
          <cell r="D667">
            <v>300514</v>
          </cell>
          <cell r="E667" t="str">
            <v>Sandiat National High School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</row>
        <row r="668">
          <cell r="D668">
            <v>501202</v>
          </cell>
          <cell r="E668" t="str">
            <v>Cabaruan Integrated School</v>
          </cell>
          <cell r="F668">
            <v>66</v>
          </cell>
          <cell r="G668">
            <v>28</v>
          </cell>
          <cell r="H668">
            <v>94</v>
          </cell>
          <cell r="I668">
            <v>66</v>
          </cell>
          <cell r="J668">
            <v>28</v>
          </cell>
          <cell r="K668">
            <v>94</v>
          </cell>
          <cell r="L668">
            <v>66</v>
          </cell>
          <cell r="M668">
            <v>94</v>
          </cell>
          <cell r="N668">
            <v>160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</row>
        <row r="669">
          <cell r="D669">
            <v>300595</v>
          </cell>
          <cell r="E669" t="str">
            <v>Ueg National High School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</row>
        <row r="670">
          <cell r="D670">
            <v>300575</v>
          </cell>
          <cell r="E670" t="str">
            <v>Reina Mercedes Vocational and Industrial School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</row>
        <row r="671">
          <cell r="D671">
            <v>306135</v>
          </cell>
          <cell r="E671" t="str">
            <v>Matusalem National High School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</row>
        <row r="672">
          <cell r="D672">
            <v>306114</v>
          </cell>
          <cell r="E672" t="str">
            <v>La Paz National High School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</row>
        <row r="673">
          <cell r="D673">
            <v>300521</v>
          </cell>
          <cell r="E673" t="str">
            <v>Alfreda Albano National High School - Magassi, Cabagan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</row>
        <row r="674">
          <cell r="D674">
            <v>306143</v>
          </cell>
          <cell r="E674" t="str">
            <v>Cagasat HS-Magsaysay Annex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</row>
        <row r="675">
          <cell r="D675">
            <v>500022</v>
          </cell>
          <cell r="E675" t="str">
            <v>Rizal Integrated School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</row>
        <row r="676">
          <cell r="D676">
            <v>300605</v>
          </cell>
          <cell r="E676" t="str">
            <v>Buenaventura G. Masigan National High School</v>
          </cell>
          <cell r="F676">
            <v>29</v>
          </cell>
          <cell r="G676">
            <v>25</v>
          </cell>
          <cell r="H676">
            <v>54</v>
          </cell>
          <cell r="I676">
            <v>13</v>
          </cell>
          <cell r="J676">
            <v>16</v>
          </cell>
          <cell r="K676">
            <v>29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</row>
        <row r="677">
          <cell r="D677">
            <v>300585</v>
          </cell>
          <cell r="E677" t="str">
            <v>San Antonio National High School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</row>
        <row r="678">
          <cell r="D678">
            <v>300603</v>
          </cell>
          <cell r="E678" t="str">
            <v>Santa Maria High School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</row>
        <row r="679">
          <cell r="D679">
            <v>300555</v>
          </cell>
          <cell r="E679" t="str">
            <v>Jones Rural School - Main</v>
          </cell>
          <cell r="F679">
            <v>186</v>
          </cell>
          <cell r="G679">
            <v>166</v>
          </cell>
          <cell r="H679">
            <v>352</v>
          </cell>
          <cell r="I679">
            <v>8</v>
          </cell>
          <cell r="J679">
            <v>7</v>
          </cell>
          <cell r="K679">
            <v>15</v>
          </cell>
          <cell r="L679">
            <v>8</v>
          </cell>
          <cell r="M679">
            <v>7</v>
          </cell>
          <cell r="N679">
            <v>15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</row>
        <row r="680">
          <cell r="D680">
            <v>300558</v>
          </cell>
          <cell r="E680" t="str">
            <v>Luna National High School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</row>
        <row r="681">
          <cell r="D681">
            <v>300498</v>
          </cell>
          <cell r="E681" t="str">
            <v>Addalam Region HS - Main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</row>
        <row r="682">
          <cell r="D682">
            <v>500073</v>
          </cell>
          <cell r="E682" t="str">
            <v>Wigan Integrated School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</row>
        <row r="683">
          <cell r="D683">
            <v>300499</v>
          </cell>
          <cell r="E683" t="str">
            <v>Alicia Vocational School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</row>
        <row r="684">
          <cell r="D684">
            <v>300581</v>
          </cell>
          <cell r="E684" t="str">
            <v>Salinungan National High School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</row>
        <row r="685">
          <cell r="D685">
            <v>500068</v>
          </cell>
          <cell r="E685" t="str">
            <v>Villa Cacho Integrated School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</row>
        <row r="686">
          <cell r="D686">
            <v>300572</v>
          </cell>
          <cell r="E686" t="str">
            <v>General Emilio Aguinaldo National High School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</row>
        <row r="687">
          <cell r="D687">
            <v>300586</v>
          </cell>
          <cell r="E687" t="str">
            <v>Josefina Albano National High School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</row>
        <row r="688">
          <cell r="D688">
            <v>300547</v>
          </cell>
          <cell r="E688" t="str">
            <v>Antagan National High School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</row>
        <row r="689">
          <cell r="D689">
            <v>306109</v>
          </cell>
          <cell r="E689" t="str">
            <v>Fermeldy National High School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</row>
        <row r="690">
          <cell r="D690">
            <v>300569</v>
          </cell>
          <cell r="E690" t="str">
            <v>Quirino National High School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</row>
        <row r="691">
          <cell r="D691">
            <v>300554</v>
          </cell>
          <cell r="E691" t="str">
            <v>Isabela School of Fisheries</v>
          </cell>
          <cell r="F691">
            <v>0</v>
          </cell>
          <cell r="G691">
            <v>0</v>
          </cell>
          <cell r="H691">
            <v>0</v>
          </cell>
          <cell r="I691">
            <v>26</v>
          </cell>
          <cell r="J691">
            <v>20</v>
          </cell>
          <cell r="K691">
            <v>46</v>
          </cell>
          <cell r="L691">
            <v>39</v>
          </cell>
          <cell r="M691">
            <v>48</v>
          </cell>
          <cell r="N691">
            <v>87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</row>
        <row r="692">
          <cell r="D692">
            <v>300579</v>
          </cell>
          <cell r="E692" t="str">
            <v>Roxas National High School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</row>
        <row r="693">
          <cell r="D693">
            <v>500070</v>
          </cell>
          <cell r="E693" t="str">
            <v>San Jose Integrated School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</row>
        <row r="694">
          <cell r="D694">
            <v>500014</v>
          </cell>
          <cell r="E694" t="str">
            <v>Del Pilar Integrated School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</row>
        <row r="695">
          <cell r="D695">
            <v>300612</v>
          </cell>
          <cell r="E695" t="str">
            <v>Echague National High School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</row>
        <row r="696">
          <cell r="D696">
            <v>300609</v>
          </cell>
          <cell r="E696" t="str">
            <v>Tumauini National High School</v>
          </cell>
          <cell r="F696">
            <v>366</v>
          </cell>
          <cell r="G696">
            <v>412</v>
          </cell>
          <cell r="H696">
            <v>778</v>
          </cell>
          <cell r="I696">
            <v>44</v>
          </cell>
          <cell r="J696">
            <v>45</v>
          </cell>
          <cell r="K696">
            <v>89</v>
          </cell>
          <cell r="L696">
            <v>55</v>
          </cell>
          <cell r="M696">
            <v>58</v>
          </cell>
          <cell r="N696">
            <v>113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</row>
        <row r="697">
          <cell r="D697">
            <v>300560</v>
          </cell>
          <cell r="E697" t="str">
            <v>Maconacon National High School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</row>
        <row r="698">
          <cell r="D698">
            <v>300522</v>
          </cell>
          <cell r="E698" t="str">
            <v>Delfin Albano High School - San Juan Annex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</row>
        <row r="699">
          <cell r="D699">
            <v>300513</v>
          </cell>
          <cell r="E699" t="str">
            <v>Malalinta National High School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</row>
        <row r="700">
          <cell r="D700">
            <v>300606</v>
          </cell>
          <cell r="E700" t="str">
            <v>Santo Tomas National High School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</row>
        <row r="701">
          <cell r="D701">
            <v>300610</v>
          </cell>
          <cell r="E701" t="str">
            <v>Regional Science High School for Region II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</row>
        <row r="702">
          <cell r="D702">
            <v>300600</v>
          </cell>
          <cell r="E702" t="str">
            <v>Sgt. Prospero Bello HS - Main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</row>
        <row r="703">
          <cell r="D703">
            <v>500081</v>
          </cell>
          <cell r="E703" t="str">
            <v>San Sebastian Integrated School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</row>
        <row r="704">
          <cell r="D704">
            <v>300503</v>
          </cell>
          <cell r="E704" t="str">
            <v>Benito Soliven National High School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</row>
        <row r="705">
          <cell r="D705">
            <v>306117</v>
          </cell>
          <cell r="E705" t="str">
            <v>San Mateo General Comprehensive High School</v>
          </cell>
          <cell r="F705">
            <v>38</v>
          </cell>
          <cell r="G705">
            <v>0</v>
          </cell>
          <cell r="H705">
            <v>38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</row>
        <row r="706">
          <cell r="D706">
            <v>300534</v>
          </cell>
          <cell r="E706" t="str">
            <v>Dorganda High School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</row>
        <row r="707">
          <cell r="D707">
            <v>300518</v>
          </cell>
          <cell r="E707" t="str">
            <v>Dabubu High School - Main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</row>
        <row r="708">
          <cell r="D708">
            <v>300593</v>
          </cell>
          <cell r="E708" t="str">
            <v>Alibadabad National High School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</row>
        <row r="709">
          <cell r="D709">
            <v>300604</v>
          </cell>
          <cell r="E709" t="str">
            <v>Naganacan-Villabuena National High School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</row>
        <row r="710">
          <cell r="D710">
            <v>306116</v>
          </cell>
          <cell r="E710" t="str">
            <v>Reina Mercedes National High School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</row>
        <row r="711">
          <cell r="D711">
            <v>300571</v>
          </cell>
          <cell r="E711" t="str">
            <v>Ramon National High School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</row>
        <row r="712">
          <cell r="D712">
            <v>300597</v>
          </cell>
          <cell r="E712" t="str">
            <v>San Pablo National High School</v>
          </cell>
          <cell r="F712">
            <v>10</v>
          </cell>
          <cell r="G712">
            <v>15</v>
          </cell>
          <cell r="H712">
            <v>25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</row>
        <row r="713">
          <cell r="D713">
            <v>306166</v>
          </cell>
          <cell r="E713" t="str">
            <v>Mallig Plains National High School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</row>
        <row r="714">
          <cell r="D714">
            <v>300566</v>
          </cell>
          <cell r="E714" t="str">
            <v>Pangal Sur High School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</row>
        <row r="715">
          <cell r="D715">
            <v>300563</v>
          </cell>
          <cell r="E715" t="str">
            <v>Naguillian National High School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</row>
        <row r="716">
          <cell r="D716">
            <v>300529</v>
          </cell>
          <cell r="E716" t="str">
            <v>Don Mariano Marcos National High School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</row>
        <row r="717">
          <cell r="D717">
            <v>300565</v>
          </cell>
          <cell r="E717" t="str">
            <v>Palayan Region High School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</row>
        <row r="718">
          <cell r="D718">
            <v>300539</v>
          </cell>
          <cell r="E718" t="str">
            <v>Highway Region National High School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</row>
        <row r="719">
          <cell r="D719">
            <v>300568</v>
          </cell>
          <cell r="E719" t="str">
            <v>Quezon National High School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</row>
        <row r="720">
          <cell r="D720">
            <v>500086</v>
          </cell>
          <cell r="E720" t="str">
            <v>Dicamay Integrated School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</row>
        <row r="721">
          <cell r="D721">
            <v>500088</v>
          </cell>
          <cell r="E721" t="str">
            <v>Cumabao Integrated School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</row>
        <row r="722">
          <cell r="D722">
            <v>306137</v>
          </cell>
          <cell r="E722" t="str">
            <v>Daragutan East National High School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</row>
        <row r="723">
          <cell r="D723">
            <v>300574</v>
          </cell>
          <cell r="E723" t="str">
            <v>Raniag HIgh School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</row>
        <row r="724">
          <cell r="D724">
            <v>300591</v>
          </cell>
          <cell r="E724" t="str">
            <v>San Isidro National High School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</row>
        <row r="725">
          <cell r="D725">
            <v>306132</v>
          </cell>
          <cell r="E725" t="str">
            <v>Simanu National High School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</row>
        <row r="726">
          <cell r="D726">
            <v>300556</v>
          </cell>
          <cell r="E726" t="str">
            <v>Lalauanan National High School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</row>
        <row r="727">
          <cell r="D727">
            <v>306112</v>
          </cell>
          <cell r="E727" t="str">
            <v>Barucboc National High School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</row>
        <row r="728">
          <cell r="D728">
            <v>300590</v>
          </cell>
          <cell r="E728" t="str">
            <v>San Guillermo Vocational &amp; Industrial High School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</row>
        <row r="729">
          <cell r="D729">
            <v>306101</v>
          </cell>
          <cell r="E729" t="str">
            <v>Calanigan National High School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</row>
        <row r="730">
          <cell r="D730">
            <v>300559</v>
          </cell>
          <cell r="E730" t="str">
            <v>Mabini National High School</v>
          </cell>
          <cell r="F730">
            <v>0</v>
          </cell>
          <cell r="G730">
            <v>3</v>
          </cell>
          <cell r="H730">
            <v>3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</row>
        <row r="731">
          <cell r="D731">
            <v>342078</v>
          </cell>
          <cell r="E731" t="str">
            <v>Isabela Sports Senior High School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</row>
        <row r="732">
          <cell r="D732">
            <v>306123</v>
          </cell>
          <cell r="E732" t="str">
            <v>Manuel L. Quezon National High School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</row>
        <row r="733">
          <cell r="D733">
            <v>300549</v>
          </cell>
          <cell r="E733" t="str">
            <v>Divilacan National High School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</row>
        <row r="734">
          <cell r="D734">
            <v>300511</v>
          </cell>
          <cell r="E734" t="str">
            <v>San Antonino National High School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</row>
        <row r="735">
          <cell r="D735">
            <v>305731</v>
          </cell>
          <cell r="E735" t="str">
            <v>Delfin Albano (Magsaysay) Stand Alone Senior High School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</row>
        <row r="736">
          <cell r="D736">
            <v>300564</v>
          </cell>
          <cell r="E736" t="str">
            <v>Palanan National High School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</row>
        <row r="737">
          <cell r="D737">
            <v>306110</v>
          </cell>
          <cell r="E737" t="str">
            <v>San Jose National High School</v>
          </cell>
          <cell r="F737">
            <v>4</v>
          </cell>
          <cell r="G737">
            <v>3</v>
          </cell>
          <cell r="H737">
            <v>7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</row>
        <row r="738">
          <cell r="D738">
            <v>306111</v>
          </cell>
          <cell r="E738" t="str">
            <v>Monico Rarama National High School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</row>
        <row r="739">
          <cell r="D739">
            <v>300561</v>
          </cell>
          <cell r="E739" t="str">
            <v>Mallig National High School-Main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</row>
        <row r="740">
          <cell r="D740">
            <v>300611</v>
          </cell>
          <cell r="E740" t="str">
            <v>Ugad High School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</row>
        <row r="741">
          <cell r="D741">
            <v>300532</v>
          </cell>
          <cell r="E741" t="str">
            <v>Dona Josefa E. Marcos High School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</row>
        <row r="742">
          <cell r="D742">
            <v>300582</v>
          </cell>
          <cell r="E742" t="str">
            <v>San Agustin National High School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</row>
        <row r="743">
          <cell r="D743">
            <v>306150</v>
          </cell>
          <cell r="E743" t="str">
            <v>Luna General Comprehensive High School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</row>
        <row r="744">
          <cell r="D744">
            <v>300510</v>
          </cell>
          <cell r="E744" t="str">
            <v>Bacnor National High School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</row>
        <row r="745">
          <cell r="D745">
            <v>300504</v>
          </cell>
          <cell r="E745" t="str">
            <v>Cabatuan National High School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</row>
        <row r="746">
          <cell r="D746">
            <v>300587</v>
          </cell>
          <cell r="E746" t="str">
            <v>Ragan Sur National High School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</row>
        <row r="747">
          <cell r="D747">
            <v>300592</v>
          </cell>
          <cell r="E747" t="str">
            <v>San Mariano National High School - Main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</row>
        <row r="748">
          <cell r="D748">
            <v>300601</v>
          </cell>
          <cell r="E748" t="str">
            <v>St. Paul Vocational &amp; Industrial High School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</row>
        <row r="749">
          <cell r="D749">
            <v>300524</v>
          </cell>
          <cell r="E749" t="str">
            <v>Dibuluan National High School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</row>
        <row r="750">
          <cell r="D750">
            <v>300500</v>
          </cell>
          <cell r="E750" t="str">
            <v>Alicia National High School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</row>
        <row r="751">
          <cell r="D751">
            <v>300501</v>
          </cell>
          <cell r="E751" t="str">
            <v>Angadanan High School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</row>
        <row r="752">
          <cell r="D752">
            <v>300509</v>
          </cell>
          <cell r="E752" t="str">
            <v>Burgos National High School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</row>
        <row r="753">
          <cell r="D753">
            <v>300523</v>
          </cell>
          <cell r="E753" t="str">
            <v>Diadi Region High School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</row>
        <row r="754">
          <cell r="D754">
            <v>300533</v>
          </cell>
          <cell r="E754" t="str">
            <v>Dona Magdalena H. Gaffud HIgh School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</row>
        <row r="755">
          <cell r="D755">
            <v>300580</v>
          </cell>
          <cell r="E755" t="str">
            <v>Lanting Region National High School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</row>
        <row r="756">
          <cell r="D756">
            <v>300596</v>
          </cell>
          <cell r="E756" t="str">
            <v>San Mateo Vocational and Industrial High School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</row>
        <row r="757">
          <cell r="D757">
            <v>306157</v>
          </cell>
          <cell r="E757" t="str">
            <v>Cabaruan Integrated School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</row>
        <row r="758">
          <cell r="D758">
            <v>500094</v>
          </cell>
          <cell r="E758" t="str">
            <v>Simimbaan Integrated School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</row>
        <row r="759">
          <cell r="D759">
            <v>300619</v>
          </cell>
          <cell r="E759" t="str">
            <v>Bagabag NHS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</row>
        <row r="760">
          <cell r="D760">
            <v>300617</v>
          </cell>
          <cell r="E760" t="str">
            <v>Ambaguio High School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</row>
        <row r="761">
          <cell r="D761">
            <v>300650</v>
          </cell>
          <cell r="E761" t="str">
            <v>Tuao HS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</row>
        <row r="762">
          <cell r="D762">
            <v>300636</v>
          </cell>
          <cell r="E762" t="str">
            <v>Malabing Valley NHS-INTEGRATED SENIOR HIGH SCHOOL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</row>
        <row r="763">
          <cell r="D763">
            <v>500895</v>
          </cell>
          <cell r="E763" t="str">
            <v>Binalian ES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</row>
        <row r="764">
          <cell r="D764">
            <v>300624</v>
          </cell>
          <cell r="E764" t="str">
            <v>Bugkalot High School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</row>
        <row r="765">
          <cell r="D765">
            <v>300648</v>
          </cell>
          <cell r="E765" t="str">
            <v>Sta. Cruz Pingkian High School</v>
          </cell>
          <cell r="F765">
            <v>3</v>
          </cell>
          <cell r="G765">
            <v>4</v>
          </cell>
          <cell r="H765">
            <v>7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</row>
        <row r="766">
          <cell r="D766">
            <v>300621</v>
          </cell>
          <cell r="E766" t="str">
            <v>Bascaran NHS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</row>
        <row r="767">
          <cell r="D767">
            <v>300623</v>
          </cell>
          <cell r="E767" t="str">
            <v>Bintawan NHS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</row>
        <row r="768">
          <cell r="D768">
            <v>300630</v>
          </cell>
          <cell r="E768" t="str">
            <v>Kakiduguen NHS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</row>
        <row r="769">
          <cell r="D769">
            <v>300641</v>
          </cell>
          <cell r="E769" t="str">
            <v>Nueva Vizcaya Gen. CHS</v>
          </cell>
          <cell r="F769">
            <v>500</v>
          </cell>
          <cell r="G769">
            <v>450</v>
          </cell>
          <cell r="H769">
            <v>950</v>
          </cell>
          <cell r="I769">
            <v>75</v>
          </cell>
          <cell r="J769">
            <v>45</v>
          </cell>
          <cell r="K769">
            <v>120</v>
          </cell>
          <cell r="L769">
            <v>75</v>
          </cell>
          <cell r="M769">
            <v>45</v>
          </cell>
          <cell r="N769">
            <v>120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</row>
        <row r="770">
          <cell r="D770">
            <v>300615</v>
          </cell>
          <cell r="E770" t="str">
            <v>Alfonso CastaÃ±eda NHS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</row>
        <row r="771">
          <cell r="D771">
            <v>300626</v>
          </cell>
          <cell r="E771" t="str">
            <v>Casat NHS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</row>
        <row r="772">
          <cell r="D772">
            <v>300629</v>
          </cell>
          <cell r="E772" t="str">
            <v>Ganao National HS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</row>
        <row r="773">
          <cell r="D773">
            <v>306208</v>
          </cell>
          <cell r="E773" t="str">
            <v>Eastern Nueva Vizcaya National High School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</row>
        <row r="774">
          <cell r="D774">
            <v>300633</v>
          </cell>
          <cell r="E774" t="str">
            <v>Martinez Cuyangan National High School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</row>
        <row r="775">
          <cell r="D775">
            <v>300634</v>
          </cell>
          <cell r="E775" t="str">
            <v>Kongkong Valley NHS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</row>
        <row r="776">
          <cell r="D776">
            <v>300644</v>
          </cell>
          <cell r="E776" t="str">
            <v>Quezon NHS</v>
          </cell>
          <cell r="F776">
            <v>68</v>
          </cell>
          <cell r="G776">
            <v>88</v>
          </cell>
          <cell r="H776">
            <v>156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</row>
        <row r="777">
          <cell r="D777">
            <v>300642</v>
          </cell>
          <cell r="E777" t="str">
            <v>PAIMA NATIONAL HIGH SCHOOL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</row>
        <row r="778">
          <cell r="D778">
            <v>300632</v>
          </cell>
          <cell r="E778" t="str">
            <v>Kayapa HS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</row>
        <row r="779">
          <cell r="D779">
            <v>300618</v>
          </cell>
          <cell r="E779" t="str">
            <v>Aritao National High School</v>
          </cell>
          <cell r="F779">
            <v>316</v>
          </cell>
          <cell r="G779">
            <v>207</v>
          </cell>
          <cell r="H779">
            <v>523</v>
          </cell>
          <cell r="I779">
            <v>73</v>
          </cell>
          <cell r="J779">
            <v>60</v>
          </cell>
          <cell r="K779">
            <v>133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</row>
        <row r="780">
          <cell r="D780">
            <v>300625</v>
          </cell>
          <cell r="E780" t="str">
            <v>Carolotan High School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</row>
        <row r="781">
          <cell r="D781">
            <v>300638</v>
          </cell>
          <cell r="E781" t="str">
            <v>Murong NHS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</row>
        <row r="782">
          <cell r="D782">
            <v>300646</v>
          </cell>
          <cell r="E782" t="str">
            <v>Solano High School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</row>
        <row r="783">
          <cell r="D783">
            <v>300622</v>
          </cell>
          <cell r="E783" t="str">
            <v>Belance HS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</row>
        <row r="784">
          <cell r="D784">
            <v>306207</v>
          </cell>
          <cell r="E784" t="str">
            <v>Abuyo National High School</v>
          </cell>
          <cell r="F784">
            <v>15</v>
          </cell>
          <cell r="G784">
            <v>15</v>
          </cell>
          <cell r="H784">
            <v>30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</row>
        <row r="785">
          <cell r="D785">
            <v>306204</v>
          </cell>
          <cell r="E785" t="str">
            <v>Runruno National High School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</row>
        <row r="786">
          <cell r="D786">
            <v>306205</v>
          </cell>
          <cell r="E786" t="str">
            <v>Canabuan National High School</v>
          </cell>
          <cell r="F786">
            <v>15</v>
          </cell>
          <cell r="G786">
            <v>14</v>
          </cell>
          <cell r="H786">
            <v>29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</row>
        <row r="787">
          <cell r="D787">
            <v>300643</v>
          </cell>
          <cell r="E787" t="str">
            <v>Paniki High School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</row>
        <row r="788">
          <cell r="D788">
            <v>300647</v>
          </cell>
          <cell r="E788" t="str">
            <v>Sta. Clara HS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</row>
        <row r="789">
          <cell r="D789">
            <v>306206</v>
          </cell>
          <cell r="E789" t="str">
            <v>DUPAX DEL NORTE NATIONAL HIGH SCHOOL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</row>
        <row r="790">
          <cell r="D790">
            <v>300616</v>
          </cell>
          <cell r="E790" t="str">
            <v>Casecnan National High School</v>
          </cell>
          <cell r="F790">
            <v>36</v>
          </cell>
          <cell r="G790">
            <v>22</v>
          </cell>
          <cell r="H790">
            <v>58</v>
          </cell>
          <cell r="I790">
            <v>5</v>
          </cell>
          <cell r="J790">
            <v>4</v>
          </cell>
          <cell r="K790">
            <v>9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</row>
        <row r="791">
          <cell r="D791">
            <v>300639</v>
          </cell>
          <cell r="E791" t="str">
            <v>Nansiakan NHS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</row>
        <row r="792">
          <cell r="D792">
            <v>300645</v>
          </cell>
          <cell r="E792" t="str">
            <v>Salinas High School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</row>
        <row r="793">
          <cell r="D793">
            <v>300635</v>
          </cell>
          <cell r="E793" t="str">
            <v>LAMO NATIONAL HIGH SCHOOL</v>
          </cell>
          <cell r="F793">
            <v>25</v>
          </cell>
          <cell r="G793">
            <v>30</v>
          </cell>
          <cell r="H793">
            <v>55</v>
          </cell>
          <cell r="I793">
            <v>15</v>
          </cell>
          <cell r="J793">
            <v>13</v>
          </cell>
          <cell r="K793">
            <v>28</v>
          </cell>
          <cell r="L793">
            <v>15</v>
          </cell>
          <cell r="M793">
            <v>13</v>
          </cell>
          <cell r="N793">
            <v>28</v>
          </cell>
          <cell r="O793">
            <v>3</v>
          </cell>
          <cell r="P793">
            <v>1</v>
          </cell>
          <cell r="Q793">
            <v>4</v>
          </cell>
          <cell r="R793">
            <v>1</v>
          </cell>
          <cell r="S793">
            <v>1</v>
          </cell>
          <cell r="T793">
            <v>2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</row>
        <row r="794">
          <cell r="D794">
            <v>300649</v>
          </cell>
          <cell r="E794" t="str">
            <v>Santa Fe National High School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</row>
        <row r="795">
          <cell r="D795">
            <v>300637</v>
          </cell>
          <cell r="E795" t="str">
            <v>Munguia NHS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</row>
        <row r="796">
          <cell r="D796">
            <v>300651</v>
          </cell>
          <cell r="E796" t="str">
            <v>Uddiawan National High School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</row>
        <row r="797">
          <cell r="D797">
            <v>300628</v>
          </cell>
          <cell r="E797" t="str">
            <v>Dupax del Sur NHS</v>
          </cell>
          <cell r="F797">
            <v>4</v>
          </cell>
          <cell r="G797">
            <v>10</v>
          </cell>
          <cell r="H797">
            <v>14</v>
          </cell>
          <cell r="I797">
            <v>3</v>
          </cell>
          <cell r="J797">
            <v>4</v>
          </cell>
          <cell r="K797">
            <v>7</v>
          </cell>
          <cell r="L797">
            <v>3</v>
          </cell>
          <cell r="M797">
            <v>3</v>
          </cell>
          <cell r="N797">
            <v>6</v>
          </cell>
          <cell r="O797">
            <v>10</v>
          </cell>
          <cell r="P797">
            <v>8</v>
          </cell>
          <cell r="Q797">
            <v>18</v>
          </cell>
          <cell r="R797">
            <v>4</v>
          </cell>
          <cell r="S797">
            <v>4</v>
          </cell>
          <cell r="T797">
            <v>8</v>
          </cell>
          <cell r="U797">
            <v>2</v>
          </cell>
          <cell r="V797">
            <v>4</v>
          </cell>
          <cell r="W797">
            <v>6</v>
          </cell>
          <cell r="X797">
            <v>2</v>
          </cell>
          <cell r="Y797">
            <v>2</v>
          </cell>
          <cell r="Z797">
            <v>4</v>
          </cell>
        </row>
        <row r="798">
          <cell r="D798">
            <v>306202</v>
          </cell>
          <cell r="E798" t="str">
            <v>Bonfal National High School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</row>
        <row r="799">
          <cell r="D799">
            <v>300627</v>
          </cell>
          <cell r="E799" t="str">
            <v>Diadi NHS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</row>
        <row r="800">
          <cell r="D800">
            <v>300620</v>
          </cell>
          <cell r="E800" t="str">
            <v>Bambang NHS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</row>
        <row r="801">
          <cell r="D801">
            <v>300631</v>
          </cell>
          <cell r="E801" t="str">
            <v>Kasibu National Agricultural School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</row>
        <row r="802">
          <cell r="D802">
            <v>304684</v>
          </cell>
          <cell r="E802" t="str">
            <v>Philippine Science High School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</row>
        <row r="803">
          <cell r="D803">
            <v>300660</v>
          </cell>
          <cell r="E803" t="str">
            <v>Maddela CHS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</row>
        <row r="804">
          <cell r="D804">
            <v>300652</v>
          </cell>
          <cell r="E804" t="str">
            <v>Aglipay NHS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</row>
        <row r="805">
          <cell r="D805">
            <v>300656</v>
          </cell>
          <cell r="E805" t="str">
            <v>Cabarroguis NSAT</v>
          </cell>
          <cell r="F805">
            <v>216</v>
          </cell>
          <cell r="G805">
            <v>199</v>
          </cell>
          <cell r="H805">
            <v>415</v>
          </cell>
          <cell r="I805">
            <v>150</v>
          </cell>
          <cell r="J805">
            <v>135</v>
          </cell>
          <cell r="K805">
            <v>285</v>
          </cell>
          <cell r="L805">
            <v>85</v>
          </cell>
          <cell r="M805">
            <v>77</v>
          </cell>
          <cell r="N805">
            <v>162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</row>
        <row r="806">
          <cell r="D806">
            <v>300663</v>
          </cell>
          <cell r="E806" t="str">
            <v>Pinaripad National High School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</row>
        <row r="807">
          <cell r="D807">
            <v>300657</v>
          </cell>
          <cell r="E807" t="str">
            <v>Diffun National High School</v>
          </cell>
          <cell r="F807">
            <v>350</v>
          </cell>
          <cell r="G807">
            <v>296</v>
          </cell>
          <cell r="H807">
            <v>646</v>
          </cell>
          <cell r="I807">
            <v>9</v>
          </cell>
          <cell r="J807">
            <v>0</v>
          </cell>
          <cell r="K807">
            <v>9</v>
          </cell>
          <cell r="L807">
            <v>5</v>
          </cell>
          <cell r="M807">
            <v>0</v>
          </cell>
          <cell r="N807">
            <v>5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</row>
        <row r="808">
          <cell r="D808">
            <v>500100</v>
          </cell>
          <cell r="E808" t="str">
            <v>Sangbay IS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</row>
        <row r="809">
          <cell r="D809">
            <v>300653</v>
          </cell>
          <cell r="E809" t="str">
            <v>Victoria High School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</row>
        <row r="810">
          <cell r="D810">
            <v>500105</v>
          </cell>
          <cell r="E810" t="str">
            <v>San Martin IS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</row>
        <row r="811">
          <cell r="D811">
            <v>300665</v>
          </cell>
          <cell r="E811" t="str">
            <v>Saguday NHS</v>
          </cell>
          <cell r="F811">
            <v>200</v>
          </cell>
          <cell r="G811">
            <v>170</v>
          </cell>
          <cell r="H811">
            <v>370</v>
          </cell>
          <cell r="I811">
            <v>50</v>
          </cell>
          <cell r="J811">
            <v>37</v>
          </cell>
          <cell r="K811">
            <v>87</v>
          </cell>
          <cell r="L811">
            <v>62</v>
          </cell>
          <cell r="M811">
            <v>43</v>
          </cell>
          <cell r="N811">
            <v>105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</row>
        <row r="812">
          <cell r="D812">
            <v>500111</v>
          </cell>
          <cell r="E812" t="str">
            <v>Scala Integrated School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</row>
        <row r="813">
          <cell r="D813">
            <v>300662</v>
          </cell>
          <cell r="E813" t="str">
            <v>Nagtipunan National High School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</row>
        <row r="814">
          <cell r="D814">
            <v>300664</v>
          </cell>
          <cell r="E814" t="str">
            <v>Quirino General HS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</row>
        <row r="815">
          <cell r="D815">
            <v>500099</v>
          </cell>
          <cell r="E815" t="str">
            <v>Bannawag IS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</row>
        <row r="816">
          <cell r="D816">
            <v>500112</v>
          </cell>
          <cell r="E816" t="str">
            <v>Maddela Integrated School of Arts &amp; Trades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</row>
        <row r="817">
          <cell r="D817">
            <v>300661</v>
          </cell>
          <cell r="E817" t="str">
            <v>Magsaysay National High School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</row>
        <row r="818">
          <cell r="D818">
            <v>300654</v>
          </cell>
          <cell r="E818" t="str">
            <v>Balligui HS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</row>
        <row r="819">
          <cell r="D819">
            <v>300666</v>
          </cell>
          <cell r="E819" t="str">
            <v>Tucod HS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</row>
        <row r="820">
          <cell r="D820">
            <v>300659</v>
          </cell>
          <cell r="E820" t="str">
            <v>Dipintin HS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</row>
        <row r="821">
          <cell r="D821">
            <v>500109</v>
          </cell>
          <cell r="E821" t="str">
            <v>Ifugao Village IS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</row>
        <row r="822">
          <cell r="D822">
            <v>500115</v>
          </cell>
          <cell r="E822" t="str">
            <v>Alicia Integrated School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</row>
        <row r="823">
          <cell r="D823">
            <v>500106</v>
          </cell>
          <cell r="E823" t="str">
            <v>Giayan IS</v>
          </cell>
          <cell r="F823">
            <v>17</v>
          </cell>
          <cell r="G823">
            <v>17</v>
          </cell>
          <cell r="H823">
            <v>34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</row>
        <row r="824">
          <cell r="D824">
            <v>500104</v>
          </cell>
          <cell r="E824" t="str">
            <v>San Antonio Integrated School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</row>
        <row r="825">
          <cell r="D825">
            <v>300655</v>
          </cell>
          <cell r="E825" t="str">
            <v>Burgos NHS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</row>
        <row r="826">
          <cell r="D826">
            <v>300671</v>
          </cell>
          <cell r="E826" t="str">
            <v>Gosi National High School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</row>
        <row r="827">
          <cell r="D827">
            <v>300668</v>
          </cell>
          <cell r="E827" t="str">
            <v>Cagayan National High Sschool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</row>
        <row r="828">
          <cell r="D828">
            <v>300670</v>
          </cell>
          <cell r="E828" t="str">
            <v>Linao National High School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</row>
        <row r="829">
          <cell r="D829">
            <v>300669</v>
          </cell>
          <cell r="E829" t="str">
            <v>Cataggaman National High School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</row>
        <row r="830">
          <cell r="D830">
            <v>306401</v>
          </cell>
          <cell r="E830" t="str">
            <v>Tuguegarao City Science High School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</row>
        <row r="831">
          <cell r="D831">
            <v>300516</v>
          </cell>
          <cell r="E831" t="str">
            <v>Cauayan City NHS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</row>
        <row r="832">
          <cell r="D832">
            <v>306118</v>
          </cell>
          <cell r="E832" t="str">
            <v>Sillawit National High School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</row>
        <row r="833">
          <cell r="D833">
            <v>300589</v>
          </cell>
          <cell r="E833" t="str">
            <v>San Antonio National High School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</row>
        <row r="834">
          <cell r="D834">
            <v>323902</v>
          </cell>
          <cell r="E834" t="str">
            <v>Cauayan City NHS - Cabaruan Ext.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</row>
        <row r="835">
          <cell r="D835">
            <v>323905</v>
          </cell>
          <cell r="E835" t="str">
            <v>Cauayan National High School- Marabulig Extension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</row>
        <row r="836">
          <cell r="D836">
            <v>300614</v>
          </cell>
          <cell r="E836" t="str">
            <v>Villaluna NHS</v>
          </cell>
          <cell r="F836">
            <v>30</v>
          </cell>
          <cell r="G836">
            <v>30</v>
          </cell>
          <cell r="H836">
            <v>60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</row>
        <row r="837">
          <cell r="D837">
            <v>300567</v>
          </cell>
          <cell r="E837" t="str">
            <v>Pinoma NHS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</row>
        <row r="838">
          <cell r="D838">
            <v>300613</v>
          </cell>
          <cell r="E838" t="str">
            <v>Villa Concepcion National High School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</row>
        <row r="839">
          <cell r="D839">
            <v>306107</v>
          </cell>
          <cell r="E839" t="str">
            <v>WEST TABACAL REGION NATIONAL HIGH SCHOOL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</row>
        <row r="840">
          <cell r="D840">
            <v>300552</v>
          </cell>
          <cell r="E840" t="str">
            <v>Linglingay NHS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</row>
        <row r="841">
          <cell r="D841">
            <v>300538</v>
          </cell>
          <cell r="E841" t="str">
            <v>Gappal NHS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</row>
        <row r="842">
          <cell r="D842">
            <v>323901</v>
          </cell>
          <cell r="E842" t="str">
            <v>Cauayan City NHS - Research Annex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</row>
        <row r="843">
          <cell r="D843">
            <v>323903</v>
          </cell>
          <cell r="E843" t="str">
            <v>Villa Concepcion HS - Rogus Ext.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</row>
        <row r="844">
          <cell r="D844">
            <v>300528</v>
          </cell>
          <cell r="E844" t="str">
            <v>Divisoria High School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</row>
        <row r="845">
          <cell r="D845">
            <v>300599</v>
          </cell>
          <cell r="E845" t="str">
            <v>Santiago City National High School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</row>
        <row r="846">
          <cell r="D846">
            <v>325202</v>
          </cell>
          <cell r="E846" t="str">
            <v>Santiago City National High School - Sagana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</row>
        <row r="847">
          <cell r="D847">
            <v>300505</v>
          </cell>
          <cell r="E847" t="str">
            <v>Cabulay High School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</row>
        <row r="848">
          <cell r="D848">
            <v>306124</v>
          </cell>
          <cell r="E848" t="str">
            <v>Patul National High School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</row>
        <row r="849">
          <cell r="D849">
            <v>325203</v>
          </cell>
          <cell r="E849" t="str">
            <v>Santiago City National High School - Rosario Extension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</row>
        <row r="850">
          <cell r="D850">
            <v>300578</v>
          </cell>
          <cell r="E850" t="str">
            <v>Rizal National High School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</row>
        <row r="851">
          <cell r="D851">
            <v>325201</v>
          </cell>
          <cell r="E851" t="str">
            <v>Santiago City National High School - Sinsayon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</row>
        <row r="852">
          <cell r="D852">
            <v>300542</v>
          </cell>
          <cell r="E852" t="str">
            <v>Isabela NHS - Main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</row>
        <row r="853">
          <cell r="D853">
            <v>500080</v>
          </cell>
          <cell r="E853" t="str">
            <v>Lupigue Integrated School (formerly Lupigue ES)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</row>
        <row r="854">
          <cell r="D854">
            <v>500731</v>
          </cell>
          <cell r="E854" t="str">
            <v>Sindun Bayabo IS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</row>
        <row r="855">
          <cell r="D855">
            <v>300602</v>
          </cell>
          <cell r="E855" t="str">
            <v>Sta. Isabel National High School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</row>
        <row r="856">
          <cell r="D856">
            <v>300540</v>
          </cell>
          <cell r="E856" t="str">
            <v>Ilagan West NHS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</row>
        <row r="857">
          <cell r="D857">
            <v>300583</v>
          </cell>
          <cell r="E857" t="str">
            <v>San Antonio Nat'l. Agro-Ind'l. &amp; Voc'l. HS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</row>
        <row r="858">
          <cell r="D858">
            <v>306149</v>
          </cell>
          <cell r="E858" t="str">
            <v>ISAT-Cabannungan Annex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</row>
        <row r="859">
          <cell r="D859">
            <v>500018</v>
          </cell>
          <cell r="E859" t="str">
            <v>SAN LORENZO INTEGRATED SCHOOL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</row>
        <row r="860">
          <cell r="D860">
            <v>300543</v>
          </cell>
          <cell r="E860" t="str">
            <v>Rang-ayan NHS (Isabela NHS - Rang-ayan Annex)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</row>
        <row r="861">
          <cell r="D861">
            <v>500087</v>
          </cell>
          <cell r="E861" t="str">
            <v>Gayong-Gayong Sur Integrated School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</row>
        <row r="862">
          <cell r="D862">
            <v>500078</v>
          </cell>
          <cell r="E862" t="str">
            <v>Manaring IS (Bangag-Manaring-Capo ES)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</row>
        <row r="863">
          <cell r="D863">
            <v>300584</v>
          </cell>
          <cell r="E863" t="str">
            <v>San Rafael Nat'l &amp; Voc'l HS (San Antonio NAIVHS-San Rafael Annex)</v>
          </cell>
          <cell r="F863">
            <v>0</v>
          </cell>
          <cell r="G863">
            <v>0</v>
          </cell>
          <cell r="H863">
            <v>0</v>
          </cell>
          <cell r="I863">
            <v>16</v>
          </cell>
          <cell r="J863">
            <v>16</v>
          </cell>
          <cell r="K863">
            <v>32</v>
          </cell>
          <cell r="L863">
            <v>10</v>
          </cell>
          <cell r="M863">
            <v>15</v>
          </cell>
          <cell r="N863">
            <v>25</v>
          </cell>
          <cell r="O863">
            <v>34</v>
          </cell>
          <cell r="P863">
            <v>35</v>
          </cell>
          <cell r="Q863">
            <v>69</v>
          </cell>
          <cell r="R863">
            <v>15</v>
          </cell>
          <cell r="S863">
            <v>6</v>
          </cell>
          <cell r="T863">
            <v>21</v>
          </cell>
          <cell r="U863">
            <v>3</v>
          </cell>
          <cell r="V863">
            <v>4</v>
          </cell>
          <cell r="W863">
            <v>7</v>
          </cell>
          <cell r="X863">
            <v>5</v>
          </cell>
          <cell r="Y863">
            <v>7</v>
          </cell>
          <cell r="Z863">
            <v>12</v>
          </cell>
        </row>
        <row r="864">
          <cell r="D864">
            <v>306105</v>
          </cell>
          <cell r="E864" t="str">
            <v>ISAT-Main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</row>
        <row r="865">
          <cell r="D865">
            <v>501548</v>
          </cell>
          <cell r="E865" t="str">
            <v>Dappat Integrated School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</row>
        <row r="866">
          <cell r="D866">
            <v>300790</v>
          </cell>
          <cell r="E866" t="str">
            <v>Bongabon NHS</v>
          </cell>
          <cell r="F866">
            <v>910</v>
          </cell>
          <cell r="G866">
            <v>805</v>
          </cell>
          <cell r="H866">
            <v>1715</v>
          </cell>
          <cell r="I866">
            <v>637</v>
          </cell>
          <cell r="J866">
            <v>564</v>
          </cell>
          <cell r="K866">
            <v>1201</v>
          </cell>
          <cell r="L866">
            <v>1337</v>
          </cell>
          <cell r="M866">
            <v>1184</v>
          </cell>
          <cell r="N866">
            <v>2521</v>
          </cell>
          <cell r="O866">
            <v>117</v>
          </cell>
          <cell r="P866">
            <v>98</v>
          </cell>
          <cell r="Q866">
            <v>215</v>
          </cell>
          <cell r="R866">
            <v>257</v>
          </cell>
          <cell r="S866">
            <v>215</v>
          </cell>
          <cell r="T866">
            <v>472</v>
          </cell>
          <cell r="U866">
            <v>7</v>
          </cell>
          <cell r="V866">
            <v>4</v>
          </cell>
          <cell r="W866">
            <v>11</v>
          </cell>
          <cell r="X866">
            <v>12</v>
          </cell>
          <cell r="Y866">
            <v>24</v>
          </cell>
          <cell r="Z866">
            <v>36</v>
          </cell>
        </row>
        <row r="867">
          <cell r="D867">
            <v>300963</v>
          </cell>
          <cell r="E867" t="str">
            <v>Dueg High School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</row>
        <row r="868">
          <cell r="D868">
            <v>300981</v>
          </cell>
          <cell r="E868" t="str">
            <v>Quezon NHS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</row>
        <row r="869">
          <cell r="D869">
            <v>300949</v>
          </cell>
          <cell r="E869" t="str">
            <v>Anastacio G. Yumul High School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</row>
        <row r="870">
          <cell r="D870">
            <v>300819</v>
          </cell>
          <cell r="E870" t="str">
            <v>Maligaya National High School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</row>
        <row r="871">
          <cell r="D871">
            <v>300966</v>
          </cell>
          <cell r="E871" t="str">
            <v>Guevara NHS</v>
          </cell>
          <cell r="F871">
            <v>93</v>
          </cell>
          <cell r="G871">
            <v>56</v>
          </cell>
          <cell r="H871">
            <v>149</v>
          </cell>
          <cell r="I871">
            <v>71</v>
          </cell>
          <cell r="J871">
            <v>39</v>
          </cell>
          <cell r="K871">
            <v>110</v>
          </cell>
          <cell r="L871">
            <v>22</v>
          </cell>
          <cell r="M871">
            <v>17</v>
          </cell>
          <cell r="N871">
            <v>39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3</v>
          </cell>
          <cell r="W871">
            <v>3</v>
          </cell>
          <cell r="X871">
            <v>0</v>
          </cell>
          <cell r="Y871">
            <v>0</v>
          </cell>
          <cell r="Z871">
            <v>0</v>
          </cell>
        </row>
        <row r="872">
          <cell r="D872">
            <v>300792</v>
          </cell>
          <cell r="E872" t="str">
            <v>Cabiao National High School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</row>
        <row r="873">
          <cell r="D873">
            <v>300985</v>
          </cell>
          <cell r="E873" t="str">
            <v>San Felipe HS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</row>
        <row r="874">
          <cell r="D874">
            <v>307017</v>
          </cell>
          <cell r="E874" t="str">
            <v>Caluluan High School Annex</v>
          </cell>
          <cell r="F874">
            <v>36</v>
          </cell>
          <cell r="G874">
            <v>52</v>
          </cell>
          <cell r="H874">
            <v>88</v>
          </cell>
          <cell r="I874">
            <v>4</v>
          </cell>
          <cell r="J874">
            <v>2</v>
          </cell>
          <cell r="K874">
            <v>6</v>
          </cell>
          <cell r="L874">
            <v>4</v>
          </cell>
          <cell r="M874">
            <v>2</v>
          </cell>
          <cell r="N874">
            <v>6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1</v>
          </cell>
          <cell r="V874">
            <v>0</v>
          </cell>
          <cell r="W874">
            <v>1</v>
          </cell>
          <cell r="X874">
            <v>0</v>
          </cell>
          <cell r="Y874">
            <v>0</v>
          </cell>
          <cell r="Z874">
            <v>0</v>
          </cell>
        </row>
        <row r="875">
          <cell r="D875">
            <v>300808</v>
          </cell>
          <cell r="E875" t="str">
            <v>General Tinio NHS</v>
          </cell>
          <cell r="F875">
            <v>200</v>
          </cell>
          <cell r="G875">
            <v>96</v>
          </cell>
          <cell r="H875">
            <v>296</v>
          </cell>
          <cell r="I875">
            <v>140</v>
          </cell>
          <cell r="J875">
            <v>62</v>
          </cell>
          <cell r="K875">
            <v>202</v>
          </cell>
          <cell r="L875">
            <v>562</v>
          </cell>
          <cell r="M875">
            <v>384</v>
          </cell>
          <cell r="N875">
            <v>946</v>
          </cell>
          <cell r="O875">
            <v>4</v>
          </cell>
          <cell r="P875">
            <v>2</v>
          </cell>
          <cell r="Q875">
            <v>6</v>
          </cell>
          <cell r="R875">
            <v>8</v>
          </cell>
          <cell r="S875">
            <v>4</v>
          </cell>
          <cell r="T875">
            <v>12</v>
          </cell>
          <cell r="U875">
            <v>2</v>
          </cell>
          <cell r="V875">
            <v>1</v>
          </cell>
          <cell r="W875">
            <v>3</v>
          </cell>
          <cell r="X875">
            <v>12</v>
          </cell>
          <cell r="Y875">
            <v>10</v>
          </cell>
          <cell r="Z875">
            <v>22</v>
          </cell>
        </row>
        <row r="876">
          <cell r="D876">
            <v>300834</v>
          </cell>
          <cell r="E876" t="str">
            <v>Pulo NHS</v>
          </cell>
          <cell r="F876">
            <v>91</v>
          </cell>
          <cell r="G876">
            <v>58</v>
          </cell>
          <cell r="H876">
            <v>149</v>
          </cell>
          <cell r="I876">
            <v>13</v>
          </cell>
          <cell r="J876">
            <v>8</v>
          </cell>
          <cell r="K876">
            <v>21</v>
          </cell>
          <cell r="L876">
            <v>31</v>
          </cell>
          <cell r="M876">
            <v>29</v>
          </cell>
          <cell r="N876">
            <v>60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</row>
        <row r="877">
          <cell r="D877">
            <v>301060</v>
          </cell>
          <cell r="E877" t="str">
            <v>San Jose del Monte National HS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</row>
        <row r="878">
          <cell r="D878">
            <v>300823</v>
          </cell>
          <cell r="E878" t="str">
            <v>Mataas Na Kahoy National High School</v>
          </cell>
          <cell r="F878">
            <v>47</v>
          </cell>
          <cell r="G878">
            <v>43</v>
          </cell>
          <cell r="H878">
            <v>90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</row>
        <row r="879">
          <cell r="D879">
            <v>300857</v>
          </cell>
          <cell r="E879" t="str">
            <v>Sto. Domingo NTS</v>
          </cell>
          <cell r="F879">
            <v>190</v>
          </cell>
          <cell r="G879">
            <v>156</v>
          </cell>
          <cell r="H879">
            <v>346</v>
          </cell>
          <cell r="I879">
            <v>124</v>
          </cell>
          <cell r="J879">
            <v>101</v>
          </cell>
          <cell r="K879">
            <v>225</v>
          </cell>
          <cell r="L879">
            <v>247</v>
          </cell>
          <cell r="M879">
            <v>203</v>
          </cell>
          <cell r="N879">
            <v>450</v>
          </cell>
          <cell r="O879">
            <v>11</v>
          </cell>
          <cell r="P879">
            <v>5</v>
          </cell>
          <cell r="Q879">
            <v>16</v>
          </cell>
          <cell r="R879">
            <v>20</v>
          </cell>
          <cell r="S879">
            <v>10</v>
          </cell>
          <cell r="T879">
            <v>30</v>
          </cell>
          <cell r="U879">
            <v>2</v>
          </cell>
          <cell r="V879">
            <v>2</v>
          </cell>
          <cell r="W879">
            <v>4</v>
          </cell>
          <cell r="X879">
            <v>11</v>
          </cell>
          <cell r="Y879">
            <v>14</v>
          </cell>
          <cell r="Z879">
            <v>25</v>
          </cell>
        </row>
        <row r="880">
          <cell r="D880">
            <v>500120</v>
          </cell>
          <cell r="E880" t="str">
            <v>Gen. Luna Integrated HS</v>
          </cell>
          <cell r="F880">
            <v>17</v>
          </cell>
          <cell r="G880">
            <v>21</v>
          </cell>
          <cell r="H880">
            <v>38</v>
          </cell>
          <cell r="I880">
            <v>17</v>
          </cell>
          <cell r="J880">
            <v>15</v>
          </cell>
          <cell r="K880">
            <v>32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</row>
        <row r="881">
          <cell r="D881">
            <v>300858</v>
          </cell>
          <cell r="E881" t="str">
            <v>Sto. Rosario NHS , Sta. Rosa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</row>
        <row r="882">
          <cell r="D882">
            <v>300784</v>
          </cell>
          <cell r="E882" t="str">
            <v>Andres Bonifacio NHS</v>
          </cell>
          <cell r="F882">
            <v>32</v>
          </cell>
          <cell r="G882">
            <v>30</v>
          </cell>
          <cell r="H882">
            <v>62</v>
          </cell>
          <cell r="I882">
            <v>20</v>
          </cell>
          <cell r="J882">
            <v>11</v>
          </cell>
          <cell r="K882">
            <v>31</v>
          </cell>
          <cell r="L882">
            <v>32</v>
          </cell>
          <cell r="M882">
            <v>20</v>
          </cell>
          <cell r="N882">
            <v>52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</row>
        <row r="883">
          <cell r="D883">
            <v>300860</v>
          </cell>
          <cell r="E883" t="str">
            <v>Vicente R. Bumanlag, Sr. National HS</v>
          </cell>
          <cell r="F883">
            <v>56</v>
          </cell>
          <cell r="G883">
            <v>42</v>
          </cell>
          <cell r="H883">
            <v>98</v>
          </cell>
          <cell r="I883">
            <v>15</v>
          </cell>
          <cell r="J883">
            <v>10</v>
          </cell>
          <cell r="K883">
            <v>25</v>
          </cell>
          <cell r="L883">
            <v>41</v>
          </cell>
          <cell r="M883">
            <v>21</v>
          </cell>
          <cell r="N883">
            <v>62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13</v>
          </cell>
          <cell r="Y883">
            <v>12</v>
          </cell>
          <cell r="Z883">
            <v>25</v>
          </cell>
        </row>
        <row r="884">
          <cell r="D884">
            <v>306701</v>
          </cell>
          <cell r="E884" t="str">
            <v>Jaime J. Vistan High School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</row>
        <row r="885">
          <cell r="D885">
            <v>300976</v>
          </cell>
          <cell r="E885" t="str">
            <v>Cristo Rey HS (ORES)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</row>
        <row r="886">
          <cell r="D886">
            <v>300873</v>
          </cell>
          <cell r="E886" t="str">
            <v>Arayat National High School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</row>
        <row r="887">
          <cell r="D887">
            <v>300796</v>
          </cell>
          <cell r="E887" t="str">
            <v>Carmen NHS</v>
          </cell>
          <cell r="F887">
            <v>79</v>
          </cell>
          <cell r="G887">
            <v>80</v>
          </cell>
          <cell r="H887">
            <v>159</v>
          </cell>
          <cell r="I887">
            <v>9</v>
          </cell>
          <cell r="J887">
            <v>10</v>
          </cell>
          <cell r="K887">
            <v>19</v>
          </cell>
          <cell r="L887">
            <v>5</v>
          </cell>
          <cell r="M887">
            <v>6</v>
          </cell>
          <cell r="N887">
            <v>11</v>
          </cell>
          <cell r="O887">
            <v>1</v>
          </cell>
          <cell r="P887">
            <v>1</v>
          </cell>
          <cell r="Q887">
            <v>2</v>
          </cell>
          <cell r="R887">
            <v>1</v>
          </cell>
          <cell r="S887">
            <v>1</v>
          </cell>
          <cell r="T887">
            <v>2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</row>
        <row r="888">
          <cell r="D888">
            <v>500122</v>
          </cell>
          <cell r="E888" t="str">
            <v>Sta. Barbara Integrated School</v>
          </cell>
          <cell r="F888">
            <v>5</v>
          </cell>
          <cell r="G888">
            <v>0</v>
          </cell>
          <cell r="H888">
            <v>5</v>
          </cell>
          <cell r="I888">
            <v>3</v>
          </cell>
          <cell r="J888">
            <v>0</v>
          </cell>
          <cell r="K888">
            <v>3</v>
          </cell>
          <cell r="L888">
            <v>9</v>
          </cell>
          <cell r="M888">
            <v>0</v>
          </cell>
          <cell r="N888">
            <v>9</v>
          </cell>
          <cell r="O888">
            <v>2</v>
          </cell>
          <cell r="P888">
            <v>0</v>
          </cell>
          <cell r="Q888">
            <v>2</v>
          </cell>
          <cell r="R888">
            <v>2</v>
          </cell>
          <cell r="S888">
            <v>0</v>
          </cell>
          <cell r="T888">
            <v>2</v>
          </cell>
          <cell r="U888">
            <v>4</v>
          </cell>
          <cell r="V888">
            <v>0</v>
          </cell>
          <cell r="W888">
            <v>4</v>
          </cell>
          <cell r="X888">
            <v>0</v>
          </cell>
          <cell r="Y888">
            <v>0</v>
          </cell>
          <cell r="Z888">
            <v>0</v>
          </cell>
        </row>
        <row r="889">
          <cell r="D889">
            <v>300799</v>
          </cell>
          <cell r="E889" t="str">
            <v>Digdig HS</v>
          </cell>
          <cell r="F889">
            <v>58</v>
          </cell>
          <cell r="G889">
            <v>47</v>
          </cell>
          <cell r="H889">
            <v>105</v>
          </cell>
          <cell r="I889">
            <v>46</v>
          </cell>
          <cell r="J889">
            <v>36</v>
          </cell>
          <cell r="K889">
            <v>82</v>
          </cell>
          <cell r="L889">
            <v>96</v>
          </cell>
          <cell r="M889">
            <v>75</v>
          </cell>
          <cell r="N889">
            <v>171</v>
          </cell>
          <cell r="O889">
            <v>9</v>
          </cell>
          <cell r="P889">
            <v>7</v>
          </cell>
          <cell r="Q889">
            <v>16</v>
          </cell>
          <cell r="R889">
            <v>13</v>
          </cell>
          <cell r="S889">
            <v>10</v>
          </cell>
          <cell r="T889">
            <v>23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</row>
        <row r="890">
          <cell r="D890">
            <v>300930</v>
          </cell>
          <cell r="E890" t="str">
            <v>San Vicente-San Francisco NHS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</row>
        <row r="891">
          <cell r="D891">
            <v>300828</v>
          </cell>
          <cell r="E891" t="str">
            <v>Palayan City National High School</v>
          </cell>
          <cell r="F891">
            <v>468</v>
          </cell>
          <cell r="G891">
            <v>356</v>
          </cell>
          <cell r="H891">
            <v>824</v>
          </cell>
          <cell r="I891">
            <v>11</v>
          </cell>
          <cell r="J891">
            <v>7</v>
          </cell>
          <cell r="K891">
            <v>18</v>
          </cell>
          <cell r="L891">
            <v>13</v>
          </cell>
          <cell r="M891">
            <v>9</v>
          </cell>
          <cell r="N891">
            <v>22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</row>
        <row r="892">
          <cell r="D892">
            <v>306813</v>
          </cell>
          <cell r="E892" t="str">
            <v>Bongabon NHS Annex (Vega HS)</v>
          </cell>
          <cell r="F892">
            <v>32</v>
          </cell>
          <cell r="G892">
            <v>19</v>
          </cell>
          <cell r="H892">
            <v>51</v>
          </cell>
          <cell r="I892">
            <v>23</v>
          </cell>
          <cell r="J892">
            <v>14</v>
          </cell>
          <cell r="K892">
            <v>37</v>
          </cell>
          <cell r="L892">
            <v>60</v>
          </cell>
          <cell r="M892">
            <v>35</v>
          </cell>
          <cell r="N892">
            <v>95</v>
          </cell>
          <cell r="O892">
            <v>4</v>
          </cell>
          <cell r="P892">
            <v>2</v>
          </cell>
          <cell r="Q892">
            <v>6</v>
          </cell>
          <cell r="R892">
            <v>8</v>
          </cell>
          <cell r="S892">
            <v>4</v>
          </cell>
          <cell r="T892">
            <v>12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1</v>
          </cell>
          <cell r="Z892">
            <v>1</v>
          </cell>
        </row>
        <row r="893">
          <cell r="D893">
            <v>300517</v>
          </cell>
          <cell r="E893" t="str">
            <v>GREGORIO T. CRESPO MEMORIAL HIGH SCHOOL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</row>
        <row r="894">
          <cell r="D894">
            <v>300856</v>
          </cell>
          <cell r="E894" t="str">
            <v>Sta. Rita NHS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</row>
        <row r="895">
          <cell r="D895">
            <v>300827</v>
          </cell>
          <cell r="E895" t="str">
            <v>Paitan Sur NHS</v>
          </cell>
          <cell r="F895">
            <v>78</v>
          </cell>
          <cell r="G895">
            <v>61</v>
          </cell>
          <cell r="H895">
            <v>139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</row>
        <row r="896">
          <cell r="D896">
            <v>300789</v>
          </cell>
          <cell r="E896" t="str">
            <v>BICOS NATIONAL HIGH SCHOOL</v>
          </cell>
          <cell r="F896">
            <v>66</v>
          </cell>
          <cell r="G896">
            <v>61</v>
          </cell>
          <cell r="H896">
            <v>127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</row>
        <row r="897">
          <cell r="D897">
            <v>300742</v>
          </cell>
          <cell r="E897" t="str">
            <v>Guiguinto Nat'l Voc'l. High School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</row>
        <row r="898">
          <cell r="D898">
            <v>306808</v>
          </cell>
          <cell r="E898" t="str">
            <v>Ganduz National High School</v>
          </cell>
          <cell r="F898">
            <v>67</v>
          </cell>
          <cell r="G898">
            <v>49</v>
          </cell>
          <cell r="H898">
            <v>116</v>
          </cell>
          <cell r="I898">
            <v>29</v>
          </cell>
          <cell r="J898">
            <v>18</v>
          </cell>
          <cell r="K898">
            <v>47</v>
          </cell>
          <cell r="L898">
            <v>44</v>
          </cell>
          <cell r="M898">
            <v>27</v>
          </cell>
          <cell r="N898">
            <v>71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</row>
        <row r="899">
          <cell r="D899">
            <v>306804</v>
          </cell>
          <cell r="E899" t="str">
            <v>BURGOS NATIONAL HIGH SCHOOL</v>
          </cell>
          <cell r="F899">
            <v>21</v>
          </cell>
          <cell r="G899">
            <v>25</v>
          </cell>
          <cell r="H899">
            <v>46</v>
          </cell>
          <cell r="I899">
            <v>17</v>
          </cell>
          <cell r="J899">
            <v>18</v>
          </cell>
          <cell r="K899">
            <v>35</v>
          </cell>
          <cell r="L899">
            <v>80</v>
          </cell>
          <cell r="M899">
            <v>128</v>
          </cell>
          <cell r="N899">
            <v>208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</row>
        <row r="900">
          <cell r="D900">
            <v>300841</v>
          </cell>
          <cell r="E900" t="str">
            <v>Rizal NHS</v>
          </cell>
          <cell r="F900">
            <v>180</v>
          </cell>
          <cell r="G900">
            <v>104</v>
          </cell>
          <cell r="H900">
            <v>284</v>
          </cell>
          <cell r="I900">
            <v>35</v>
          </cell>
          <cell r="J900">
            <v>30</v>
          </cell>
          <cell r="K900">
            <v>65</v>
          </cell>
          <cell r="L900">
            <v>62</v>
          </cell>
          <cell r="M900">
            <v>60</v>
          </cell>
          <cell r="N900">
            <v>122</v>
          </cell>
          <cell r="O900">
            <v>3</v>
          </cell>
          <cell r="P900">
            <v>2</v>
          </cell>
          <cell r="Q900">
            <v>5</v>
          </cell>
          <cell r="R900">
            <v>3</v>
          </cell>
          <cell r="S900">
            <v>2</v>
          </cell>
          <cell r="T900">
            <v>5</v>
          </cell>
          <cell r="U900">
            <v>0</v>
          </cell>
          <cell r="V900">
            <v>0</v>
          </cell>
          <cell r="W900">
            <v>0</v>
          </cell>
          <cell r="X900">
            <v>36</v>
          </cell>
          <cell r="Y900">
            <v>38</v>
          </cell>
          <cell r="Z900">
            <v>74</v>
          </cell>
        </row>
        <row r="901">
          <cell r="D901">
            <v>300876</v>
          </cell>
          <cell r="E901" t="str">
            <v>Andres M. Luciano HS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</row>
        <row r="902">
          <cell r="D902">
            <v>500121</v>
          </cell>
          <cell r="E902" t="str">
            <v>Bunga ES</v>
          </cell>
          <cell r="F902">
            <v>19</v>
          </cell>
          <cell r="G902">
            <v>18</v>
          </cell>
          <cell r="H902">
            <v>37</v>
          </cell>
          <cell r="I902">
            <v>14</v>
          </cell>
          <cell r="J902">
            <v>13</v>
          </cell>
          <cell r="K902">
            <v>27</v>
          </cell>
          <cell r="L902">
            <v>21</v>
          </cell>
          <cell r="M902">
            <v>23</v>
          </cell>
          <cell r="N902">
            <v>44</v>
          </cell>
          <cell r="O902">
            <v>3</v>
          </cell>
          <cell r="P902">
            <v>7</v>
          </cell>
          <cell r="Q902">
            <v>10</v>
          </cell>
          <cell r="R902">
            <v>4</v>
          </cell>
          <cell r="S902">
            <v>3</v>
          </cell>
          <cell r="T902">
            <v>7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</row>
        <row r="903">
          <cell r="D903">
            <v>300785</v>
          </cell>
          <cell r="E903" t="str">
            <v>Lino P. Bernardo NHS</v>
          </cell>
          <cell r="F903">
            <v>75</v>
          </cell>
          <cell r="G903">
            <v>0</v>
          </cell>
          <cell r="H903">
            <v>75</v>
          </cell>
          <cell r="I903">
            <v>53</v>
          </cell>
          <cell r="J903">
            <v>0</v>
          </cell>
          <cell r="K903">
            <v>53</v>
          </cell>
          <cell r="L903">
            <v>105</v>
          </cell>
          <cell r="M903">
            <v>0</v>
          </cell>
          <cell r="N903">
            <v>105</v>
          </cell>
          <cell r="O903">
            <v>8</v>
          </cell>
          <cell r="P903">
            <v>0</v>
          </cell>
          <cell r="Q903">
            <v>8</v>
          </cell>
          <cell r="R903">
            <v>9</v>
          </cell>
          <cell r="S903">
            <v>0</v>
          </cell>
          <cell r="T903">
            <v>9</v>
          </cell>
          <cell r="U903">
            <v>1</v>
          </cell>
          <cell r="V903">
            <v>0</v>
          </cell>
          <cell r="W903">
            <v>1</v>
          </cell>
          <cell r="X903">
            <v>4</v>
          </cell>
          <cell r="Y903">
            <v>0</v>
          </cell>
          <cell r="Z903">
            <v>4</v>
          </cell>
        </row>
        <row r="904">
          <cell r="D904">
            <v>300838</v>
          </cell>
          <cell r="E904" t="str">
            <v>Nampicuan NHS</v>
          </cell>
          <cell r="F904">
            <v>54</v>
          </cell>
          <cell r="G904">
            <v>48</v>
          </cell>
          <cell r="H904">
            <v>102</v>
          </cell>
          <cell r="I904">
            <v>32</v>
          </cell>
          <cell r="J904">
            <v>25</v>
          </cell>
          <cell r="K904">
            <v>57</v>
          </cell>
          <cell r="L904">
            <v>256</v>
          </cell>
          <cell r="M904">
            <v>225</v>
          </cell>
          <cell r="N904">
            <v>481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</row>
        <row r="905">
          <cell r="D905">
            <v>306814</v>
          </cell>
          <cell r="E905" t="str">
            <v>Ligaya National High School</v>
          </cell>
          <cell r="F905">
            <v>62</v>
          </cell>
          <cell r="G905">
            <v>45</v>
          </cell>
          <cell r="H905">
            <v>107</v>
          </cell>
          <cell r="I905">
            <v>47</v>
          </cell>
          <cell r="J905">
            <v>34</v>
          </cell>
          <cell r="K905">
            <v>81</v>
          </cell>
          <cell r="L905">
            <v>89</v>
          </cell>
          <cell r="M905">
            <v>67</v>
          </cell>
          <cell r="N905">
            <v>156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1</v>
          </cell>
          <cell r="V905">
            <v>2</v>
          </cell>
          <cell r="W905">
            <v>3</v>
          </cell>
          <cell r="X905">
            <v>3</v>
          </cell>
          <cell r="Y905">
            <v>4</v>
          </cell>
          <cell r="Z905">
            <v>7</v>
          </cell>
        </row>
        <row r="906">
          <cell r="D906">
            <v>300802</v>
          </cell>
          <cell r="E906" t="str">
            <v>Doña Juana Chioco National High School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</row>
        <row r="907">
          <cell r="D907">
            <v>300897</v>
          </cell>
          <cell r="E907" t="str">
            <v>Malusac NHS</v>
          </cell>
          <cell r="F907">
            <v>22</v>
          </cell>
          <cell r="G907">
            <v>21</v>
          </cell>
          <cell r="H907">
            <v>43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</row>
        <row r="908">
          <cell r="D908">
            <v>306830</v>
          </cell>
          <cell r="E908" t="str">
            <v>Cambitala NHS</v>
          </cell>
          <cell r="F908">
            <v>15</v>
          </cell>
          <cell r="G908">
            <v>17</v>
          </cell>
          <cell r="H908">
            <v>32</v>
          </cell>
          <cell r="I908">
            <v>13</v>
          </cell>
          <cell r="J908">
            <v>16</v>
          </cell>
          <cell r="K908">
            <v>29</v>
          </cell>
          <cell r="L908">
            <v>45</v>
          </cell>
          <cell r="M908">
            <v>76</v>
          </cell>
          <cell r="N908">
            <v>121</v>
          </cell>
          <cell r="O908">
            <v>0</v>
          </cell>
          <cell r="P908">
            <v>0</v>
          </cell>
          <cell r="Q908">
            <v>0</v>
          </cell>
          <cell r="R908">
            <v>1</v>
          </cell>
          <cell r="S908">
            <v>1</v>
          </cell>
          <cell r="T908">
            <v>2</v>
          </cell>
          <cell r="U908">
            <v>0</v>
          </cell>
          <cell r="V908">
            <v>1</v>
          </cell>
          <cell r="W908">
            <v>1</v>
          </cell>
          <cell r="X908">
            <v>0</v>
          </cell>
          <cell r="Y908">
            <v>0</v>
          </cell>
          <cell r="Z908">
            <v>0</v>
          </cell>
        </row>
        <row r="909">
          <cell r="D909">
            <v>300845</v>
          </cell>
          <cell r="E909" t="str">
            <v>Exequiel R. Lina National High School</v>
          </cell>
          <cell r="F909">
            <v>145</v>
          </cell>
          <cell r="G909">
            <v>135</v>
          </cell>
          <cell r="H909">
            <v>280</v>
          </cell>
          <cell r="I909">
            <v>109</v>
          </cell>
          <cell r="J909">
            <v>102</v>
          </cell>
          <cell r="K909">
            <v>211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</row>
        <row r="910">
          <cell r="D910">
            <v>300795</v>
          </cell>
          <cell r="E910" t="str">
            <v>Canaan East NHS</v>
          </cell>
          <cell r="F910">
            <v>66</v>
          </cell>
          <cell r="G910">
            <v>63</v>
          </cell>
          <cell r="H910">
            <v>129</v>
          </cell>
          <cell r="I910">
            <v>40</v>
          </cell>
          <cell r="J910">
            <v>35</v>
          </cell>
          <cell r="K910">
            <v>75</v>
          </cell>
          <cell r="L910">
            <v>120</v>
          </cell>
          <cell r="M910">
            <v>105</v>
          </cell>
          <cell r="N910">
            <v>225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</row>
        <row r="911">
          <cell r="D911">
            <v>300866</v>
          </cell>
          <cell r="E911" t="str">
            <v>Talugtug NHS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</row>
        <row r="912">
          <cell r="D912">
            <v>306832</v>
          </cell>
          <cell r="E912" t="str">
            <v>Conversion IS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</row>
        <row r="913">
          <cell r="D913">
            <v>306828</v>
          </cell>
          <cell r="E913" t="str">
            <v>Talugtug NHS Annex-Saverona</v>
          </cell>
          <cell r="F913">
            <v>41</v>
          </cell>
          <cell r="G913">
            <v>40</v>
          </cell>
          <cell r="H913">
            <v>81</v>
          </cell>
          <cell r="I913">
            <v>6</v>
          </cell>
          <cell r="J913">
            <v>5</v>
          </cell>
          <cell r="K913">
            <v>11</v>
          </cell>
          <cell r="L913">
            <v>11</v>
          </cell>
          <cell r="M913">
            <v>8</v>
          </cell>
          <cell r="N913">
            <v>19</v>
          </cell>
          <cell r="O913">
            <v>12</v>
          </cell>
          <cell r="P913">
            <v>18</v>
          </cell>
          <cell r="Q913">
            <v>30</v>
          </cell>
          <cell r="R913">
            <v>3</v>
          </cell>
          <cell r="S913">
            <v>5</v>
          </cell>
          <cell r="T913">
            <v>8</v>
          </cell>
          <cell r="U913">
            <v>20</v>
          </cell>
          <cell r="V913">
            <v>18</v>
          </cell>
          <cell r="W913">
            <v>38</v>
          </cell>
          <cell r="X913">
            <v>0</v>
          </cell>
          <cell r="Y913">
            <v>0</v>
          </cell>
          <cell r="Z913">
            <v>0</v>
          </cell>
        </row>
        <row r="914">
          <cell r="D914">
            <v>300805</v>
          </cell>
          <cell r="E914" t="str">
            <v>Gabaldon Voc'l. Agric. HS</v>
          </cell>
          <cell r="F914">
            <v>64</v>
          </cell>
          <cell r="G914">
            <v>52</v>
          </cell>
          <cell r="H914">
            <v>116</v>
          </cell>
          <cell r="I914">
            <v>37</v>
          </cell>
          <cell r="J914">
            <v>32</v>
          </cell>
          <cell r="K914">
            <v>69</v>
          </cell>
          <cell r="L914">
            <v>56</v>
          </cell>
          <cell r="M914">
            <v>52</v>
          </cell>
          <cell r="N914">
            <v>108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1</v>
          </cell>
          <cell r="V914">
            <v>0</v>
          </cell>
          <cell r="W914">
            <v>1</v>
          </cell>
          <cell r="X914">
            <v>3</v>
          </cell>
          <cell r="Y914">
            <v>2</v>
          </cell>
          <cell r="Z914">
            <v>5</v>
          </cell>
        </row>
        <row r="915">
          <cell r="D915">
            <v>307504</v>
          </cell>
          <cell r="E915" t="str">
            <v>Graceville NHS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</row>
        <row r="916">
          <cell r="D916">
            <v>300840</v>
          </cell>
          <cell r="E916" t="str">
            <v>Rio Chico National High School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</row>
        <row r="917">
          <cell r="D917">
            <v>306803</v>
          </cell>
          <cell r="E917" t="str">
            <v>Buklod-Palad NHS (former Maligaya NHS Annex - DoÃ±a Josefa)</v>
          </cell>
          <cell r="F917">
            <v>13</v>
          </cell>
          <cell r="G917">
            <v>13</v>
          </cell>
          <cell r="H917">
            <v>26</v>
          </cell>
          <cell r="I917">
            <v>2</v>
          </cell>
          <cell r="J917">
            <v>4</v>
          </cell>
          <cell r="K917">
            <v>6</v>
          </cell>
          <cell r="L917">
            <v>2</v>
          </cell>
          <cell r="M917">
            <v>4</v>
          </cell>
          <cell r="N917">
            <v>6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</row>
        <row r="918">
          <cell r="D918">
            <v>300974</v>
          </cell>
          <cell r="E918" t="str">
            <v>Maungib NHS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</row>
        <row r="919">
          <cell r="D919">
            <v>306812</v>
          </cell>
          <cell r="E919" t="str">
            <v>Ricardo Dizon Canlas Agr'l. HS (Former Jorge M. Padilla NHS Annex)</v>
          </cell>
          <cell r="F919">
            <v>80</v>
          </cell>
          <cell r="G919">
            <v>95</v>
          </cell>
          <cell r="H919">
            <v>175</v>
          </cell>
          <cell r="I919">
            <v>6</v>
          </cell>
          <cell r="J919">
            <v>3</v>
          </cell>
          <cell r="K919">
            <v>9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</row>
        <row r="920">
          <cell r="D920">
            <v>300954</v>
          </cell>
          <cell r="E920" t="str">
            <v>Buenlag NHS</v>
          </cell>
          <cell r="F920">
            <v>12</v>
          </cell>
          <cell r="G920">
            <v>8</v>
          </cell>
          <cell r="H920">
            <v>20</v>
          </cell>
          <cell r="I920">
            <v>12</v>
          </cell>
          <cell r="J920">
            <v>14</v>
          </cell>
          <cell r="K920">
            <v>26</v>
          </cell>
          <cell r="L920">
            <v>12</v>
          </cell>
          <cell r="M920">
            <v>4</v>
          </cell>
          <cell r="N920">
            <v>16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</row>
        <row r="921">
          <cell r="D921">
            <v>300846</v>
          </cell>
          <cell r="E921" t="str">
            <v>San Francisco NHS</v>
          </cell>
          <cell r="F921">
            <v>162</v>
          </cell>
          <cell r="G921">
            <v>138</v>
          </cell>
          <cell r="H921">
            <v>300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</row>
        <row r="922">
          <cell r="D922">
            <v>306801</v>
          </cell>
          <cell r="E922" t="str">
            <v>SANTA ROSA NATIONAL HIGH SCHOOL</v>
          </cell>
          <cell r="F922">
            <v>220</v>
          </cell>
          <cell r="G922">
            <v>140</v>
          </cell>
          <cell r="H922">
            <v>360</v>
          </cell>
          <cell r="I922">
            <v>2</v>
          </cell>
          <cell r="J922">
            <v>1</v>
          </cell>
          <cell r="K922">
            <v>3</v>
          </cell>
          <cell r="L922">
            <v>3</v>
          </cell>
          <cell r="M922">
            <v>2</v>
          </cell>
          <cell r="N922">
            <v>5</v>
          </cell>
          <cell r="O922">
            <v>38</v>
          </cell>
          <cell r="P922">
            <v>26</v>
          </cell>
          <cell r="Q922">
            <v>64</v>
          </cell>
          <cell r="R922">
            <v>50</v>
          </cell>
          <cell r="S922">
            <v>40</v>
          </cell>
          <cell r="T922">
            <v>90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</row>
        <row r="923">
          <cell r="D923">
            <v>306821</v>
          </cell>
          <cell r="E923" t="str">
            <v>Dr. Jose Lapuz Salonga HS (Former San Mariano NHS Annex)</v>
          </cell>
          <cell r="F923">
            <v>98</v>
          </cell>
          <cell r="G923">
            <v>81</v>
          </cell>
          <cell r="H923">
            <v>179</v>
          </cell>
          <cell r="I923">
            <v>19</v>
          </cell>
          <cell r="J923">
            <v>12</v>
          </cell>
          <cell r="K923">
            <v>31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1</v>
          </cell>
          <cell r="V923">
            <v>0</v>
          </cell>
          <cell r="W923">
            <v>1</v>
          </cell>
          <cell r="X923">
            <v>0</v>
          </cell>
          <cell r="Y923">
            <v>0</v>
          </cell>
          <cell r="Z923">
            <v>0</v>
          </cell>
        </row>
        <row r="924">
          <cell r="D924">
            <v>300801</v>
          </cell>
          <cell r="E924" t="str">
            <v>Cuyapo National High School</v>
          </cell>
          <cell r="F924">
            <v>260</v>
          </cell>
          <cell r="G924">
            <v>253</v>
          </cell>
          <cell r="H924">
            <v>513</v>
          </cell>
          <cell r="I924">
            <v>80</v>
          </cell>
          <cell r="J924">
            <v>95</v>
          </cell>
          <cell r="K924">
            <v>175</v>
          </cell>
          <cell r="L924">
            <v>160</v>
          </cell>
          <cell r="M924">
            <v>176</v>
          </cell>
          <cell r="N924">
            <v>336</v>
          </cell>
          <cell r="O924">
            <v>3</v>
          </cell>
          <cell r="P924">
            <v>1</v>
          </cell>
          <cell r="Q924">
            <v>4</v>
          </cell>
          <cell r="R924">
            <v>3</v>
          </cell>
          <cell r="S924">
            <v>2</v>
          </cell>
          <cell r="T924">
            <v>5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</row>
        <row r="925">
          <cell r="D925">
            <v>300871</v>
          </cell>
          <cell r="E925" t="str">
            <v>ZARAGOZA NATIONAL HIGH SCHOOL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</row>
        <row r="926">
          <cell r="D926">
            <v>300825</v>
          </cell>
          <cell r="E926" t="str">
            <v>Nagpandayan NHS</v>
          </cell>
          <cell r="F926">
            <v>35</v>
          </cell>
          <cell r="G926">
            <v>21</v>
          </cell>
          <cell r="H926">
            <v>56</v>
          </cell>
          <cell r="I926">
            <v>27</v>
          </cell>
          <cell r="J926">
            <v>19</v>
          </cell>
          <cell r="K926">
            <v>46</v>
          </cell>
          <cell r="L926">
            <v>36</v>
          </cell>
          <cell r="M926">
            <v>45</v>
          </cell>
          <cell r="N926">
            <v>81</v>
          </cell>
          <cell r="O926">
            <v>0</v>
          </cell>
          <cell r="P926">
            <v>0</v>
          </cell>
          <cell r="Q926">
            <v>0</v>
          </cell>
          <cell r="R926">
            <v>3</v>
          </cell>
          <cell r="S926">
            <v>2</v>
          </cell>
          <cell r="T926">
            <v>5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</row>
        <row r="927">
          <cell r="D927">
            <v>300921</v>
          </cell>
          <cell r="E927" t="str">
            <v>San Juan NHS, Mexico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</row>
        <row r="928">
          <cell r="D928">
            <v>300719</v>
          </cell>
          <cell r="E928" t="str">
            <v>Samal NHS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</row>
        <row r="929">
          <cell r="D929">
            <v>300798</v>
          </cell>
          <cell r="E929" t="str">
            <v>Capintalan HS</v>
          </cell>
          <cell r="F929">
            <v>40</v>
          </cell>
          <cell r="G929">
            <v>46</v>
          </cell>
          <cell r="H929">
            <v>86</v>
          </cell>
          <cell r="I929">
            <v>6</v>
          </cell>
          <cell r="J929">
            <v>2</v>
          </cell>
          <cell r="K929">
            <v>8</v>
          </cell>
          <cell r="L929">
            <v>6</v>
          </cell>
          <cell r="M929">
            <v>2</v>
          </cell>
          <cell r="N929">
            <v>8</v>
          </cell>
          <cell r="O929">
            <v>5</v>
          </cell>
          <cell r="P929">
            <v>3</v>
          </cell>
          <cell r="Q929">
            <v>8</v>
          </cell>
          <cell r="R929">
            <v>5</v>
          </cell>
          <cell r="S929">
            <v>4</v>
          </cell>
          <cell r="T929">
            <v>9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</row>
        <row r="930">
          <cell r="D930">
            <v>300804</v>
          </cell>
          <cell r="E930" t="str">
            <v>Eduardo L. Joson Mem. HS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</row>
        <row r="931">
          <cell r="D931">
            <v>300811</v>
          </cell>
          <cell r="E931" t="str">
            <v>Jorge M. Padilla NHS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</row>
        <row r="932">
          <cell r="D932">
            <v>300847</v>
          </cell>
          <cell r="E932" t="str">
            <v>San Isidro NHS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</row>
        <row r="933">
          <cell r="D933">
            <v>300837</v>
          </cell>
          <cell r="E933" t="str">
            <v>Recuerdo NHS</v>
          </cell>
          <cell r="F933">
            <v>36</v>
          </cell>
          <cell r="G933">
            <v>40</v>
          </cell>
          <cell r="H933">
            <v>76</v>
          </cell>
          <cell r="I933">
            <v>3</v>
          </cell>
          <cell r="J933">
            <v>2</v>
          </cell>
          <cell r="K933">
            <v>5</v>
          </cell>
          <cell r="L933">
            <v>2</v>
          </cell>
          <cell r="M933">
            <v>2</v>
          </cell>
          <cell r="N933">
            <v>4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</row>
        <row r="934">
          <cell r="D934">
            <v>300951</v>
          </cell>
          <cell r="E934" t="str">
            <v>Benigno S. Aquino National High School</v>
          </cell>
          <cell r="F934">
            <v>982</v>
          </cell>
          <cell r="G934">
            <v>1015</v>
          </cell>
          <cell r="H934">
            <v>1997</v>
          </cell>
          <cell r="I934">
            <v>547</v>
          </cell>
          <cell r="J934">
            <v>358</v>
          </cell>
          <cell r="K934">
            <v>905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</row>
        <row r="935">
          <cell r="D935">
            <v>307006</v>
          </cell>
          <cell r="E935" t="str">
            <v>Malacampa NHS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</row>
        <row r="936">
          <cell r="D936">
            <v>300865</v>
          </cell>
          <cell r="E936" t="str">
            <v>Tabacao National High School</v>
          </cell>
          <cell r="F936">
            <v>85</v>
          </cell>
          <cell r="G936">
            <v>61</v>
          </cell>
          <cell r="H936">
            <v>146</v>
          </cell>
          <cell r="I936">
            <v>55</v>
          </cell>
          <cell r="J936">
            <v>43</v>
          </cell>
          <cell r="K936">
            <v>98</v>
          </cell>
          <cell r="L936">
            <v>153</v>
          </cell>
          <cell r="M936">
            <v>120</v>
          </cell>
          <cell r="N936">
            <v>273</v>
          </cell>
          <cell r="O936">
            <v>17</v>
          </cell>
          <cell r="P936">
            <v>12</v>
          </cell>
          <cell r="Q936">
            <v>29</v>
          </cell>
          <cell r="R936">
            <v>37</v>
          </cell>
          <cell r="S936">
            <v>26</v>
          </cell>
          <cell r="T936">
            <v>63</v>
          </cell>
          <cell r="U936">
            <v>4</v>
          </cell>
          <cell r="V936">
            <v>5</v>
          </cell>
          <cell r="W936">
            <v>9</v>
          </cell>
          <cell r="X936">
            <v>13</v>
          </cell>
          <cell r="Y936">
            <v>20</v>
          </cell>
          <cell r="Z936">
            <v>33</v>
          </cell>
        </row>
        <row r="937">
          <cell r="D937">
            <v>300807</v>
          </cell>
          <cell r="E937" t="str">
            <v>General Luna NHS</v>
          </cell>
          <cell r="F937">
            <v>45</v>
          </cell>
          <cell r="G937">
            <v>54</v>
          </cell>
          <cell r="H937">
            <v>99</v>
          </cell>
          <cell r="I937">
            <v>15</v>
          </cell>
          <cell r="J937">
            <v>18</v>
          </cell>
          <cell r="K937">
            <v>33</v>
          </cell>
          <cell r="L937">
            <v>36</v>
          </cell>
          <cell r="M937">
            <v>39</v>
          </cell>
          <cell r="N937">
            <v>75</v>
          </cell>
          <cell r="O937">
            <v>4</v>
          </cell>
          <cell r="P937">
            <v>1</v>
          </cell>
          <cell r="Q937">
            <v>5</v>
          </cell>
          <cell r="R937">
            <v>4</v>
          </cell>
          <cell r="S937">
            <v>1</v>
          </cell>
          <cell r="T937">
            <v>5</v>
          </cell>
          <cell r="U937">
            <v>0</v>
          </cell>
          <cell r="V937">
            <v>0</v>
          </cell>
          <cell r="W937">
            <v>0</v>
          </cell>
          <cell r="X937">
            <v>5</v>
          </cell>
          <cell r="Y937">
            <v>8</v>
          </cell>
          <cell r="Z937">
            <v>13</v>
          </cell>
        </row>
        <row r="938">
          <cell r="D938">
            <v>300782</v>
          </cell>
          <cell r="E938" t="str">
            <v>Agbannawag National High School</v>
          </cell>
          <cell r="F938">
            <v>55</v>
          </cell>
          <cell r="G938">
            <v>32</v>
          </cell>
          <cell r="H938">
            <v>87</v>
          </cell>
          <cell r="I938">
            <v>22</v>
          </cell>
          <cell r="J938">
            <v>12</v>
          </cell>
          <cell r="K938">
            <v>34</v>
          </cell>
          <cell r="L938">
            <v>42</v>
          </cell>
          <cell r="M938">
            <v>32</v>
          </cell>
          <cell r="N938">
            <v>74</v>
          </cell>
          <cell r="O938">
            <v>3</v>
          </cell>
          <cell r="P938">
            <v>1</v>
          </cell>
          <cell r="Q938">
            <v>4</v>
          </cell>
          <cell r="R938">
            <v>3</v>
          </cell>
          <cell r="S938">
            <v>2</v>
          </cell>
          <cell r="T938">
            <v>5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</row>
        <row r="939">
          <cell r="D939">
            <v>300814</v>
          </cell>
          <cell r="E939" t="str">
            <v>Julia Ortiz Luiz NHS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</row>
        <row r="940">
          <cell r="D940">
            <v>300850</v>
          </cell>
          <cell r="E940" t="str">
            <v>San Ricardo NHS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</row>
        <row r="941">
          <cell r="D941">
            <v>300862</v>
          </cell>
          <cell r="E941" t="str">
            <v>Gen. Mamerto Natividad National HS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</row>
        <row r="942">
          <cell r="D942">
            <v>300786</v>
          </cell>
          <cell r="E942" t="str">
            <v>Baloy HS</v>
          </cell>
          <cell r="F942">
            <v>37</v>
          </cell>
          <cell r="G942">
            <v>35</v>
          </cell>
          <cell r="H942">
            <v>72</v>
          </cell>
          <cell r="I942">
            <v>10</v>
          </cell>
          <cell r="J942">
            <v>8</v>
          </cell>
          <cell r="K942">
            <v>18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</row>
        <row r="943">
          <cell r="D943">
            <v>300869</v>
          </cell>
          <cell r="E943" t="str">
            <v>Triala NHS</v>
          </cell>
          <cell r="F943">
            <v>86</v>
          </cell>
          <cell r="G943">
            <v>59</v>
          </cell>
          <cell r="H943">
            <v>145</v>
          </cell>
          <cell r="I943">
            <v>65</v>
          </cell>
          <cell r="J943">
            <v>44</v>
          </cell>
          <cell r="K943">
            <v>109</v>
          </cell>
          <cell r="L943">
            <v>173</v>
          </cell>
          <cell r="M943">
            <v>188</v>
          </cell>
          <cell r="N943">
            <v>361</v>
          </cell>
          <cell r="O943">
            <v>0</v>
          </cell>
          <cell r="P943">
            <v>0</v>
          </cell>
          <cell r="Q943">
            <v>0</v>
          </cell>
          <cell r="R943">
            <v>6</v>
          </cell>
          <cell r="S943">
            <v>4</v>
          </cell>
          <cell r="T943">
            <v>10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</row>
        <row r="944">
          <cell r="D944">
            <v>300836</v>
          </cell>
          <cell r="E944" t="str">
            <v>Lambakin National High School</v>
          </cell>
          <cell r="F944">
            <v>24</v>
          </cell>
          <cell r="G944">
            <v>33</v>
          </cell>
          <cell r="H944">
            <v>57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</row>
        <row r="945">
          <cell r="D945">
            <v>300983</v>
          </cell>
          <cell r="E945" t="str">
            <v>Sacata NHS</v>
          </cell>
          <cell r="F945">
            <v>23</v>
          </cell>
          <cell r="G945">
            <v>21</v>
          </cell>
          <cell r="H945">
            <v>44</v>
          </cell>
          <cell r="I945">
            <v>3</v>
          </cell>
          <cell r="J945">
            <v>4</v>
          </cell>
          <cell r="K945">
            <v>7</v>
          </cell>
          <cell r="L945">
            <v>3</v>
          </cell>
          <cell r="M945">
            <v>4</v>
          </cell>
          <cell r="N945">
            <v>7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</row>
        <row r="946">
          <cell r="D946">
            <v>306811</v>
          </cell>
          <cell r="E946" t="str">
            <v>Umangan National High School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</row>
        <row r="947">
          <cell r="D947">
            <v>300892</v>
          </cell>
          <cell r="E947" t="str">
            <v>Gutad NHS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</row>
        <row r="948">
          <cell r="D948">
            <v>306824</v>
          </cell>
          <cell r="E948" t="str">
            <v>Cuyapo National High School Annex</v>
          </cell>
          <cell r="F948">
            <v>35</v>
          </cell>
          <cell r="G948">
            <v>18</v>
          </cell>
          <cell r="H948">
            <v>53</v>
          </cell>
          <cell r="I948">
            <v>17</v>
          </cell>
          <cell r="J948">
            <v>9</v>
          </cell>
          <cell r="K948">
            <v>26</v>
          </cell>
          <cell r="L948">
            <v>34</v>
          </cell>
          <cell r="M948">
            <v>18</v>
          </cell>
          <cell r="N948">
            <v>52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</row>
        <row r="949">
          <cell r="D949">
            <v>300797</v>
          </cell>
          <cell r="E949" t="str">
            <v>Carranglan NHS</v>
          </cell>
          <cell r="F949">
            <v>98</v>
          </cell>
          <cell r="G949">
            <v>110</v>
          </cell>
          <cell r="H949">
            <v>208</v>
          </cell>
          <cell r="I949">
            <v>23</v>
          </cell>
          <cell r="J949">
            <v>24</v>
          </cell>
          <cell r="K949">
            <v>47</v>
          </cell>
          <cell r="L949">
            <v>30</v>
          </cell>
          <cell r="M949">
            <v>31</v>
          </cell>
          <cell r="N949">
            <v>61</v>
          </cell>
          <cell r="O949">
            <v>15</v>
          </cell>
          <cell r="P949">
            <v>21</v>
          </cell>
          <cell r="Q949">
            <v>36</v>
          </cell>
          <cell r="R949">
            <v>12</v>
          </cell>
          <cell r="S949">
            <v>11</v>
          </cell>
          <cell r="T949">
            <v>23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</row>
        <row r="950">
          <cell r="D950">
            <v>300715</v>
          </cell>
          <cell r="E950" t="str">
            <v>Orani NHS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</row>
        <row r="951">
          <cell r="D951">
            <v>301065</v>
          </cell>
          <cell r="E951" t="str">
            <v>Potrero NHS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</row>
        <row r="952">
          <cell r="D952">
            <v>300821</v>
          </cell>
          <cell r="E952" t="str">
            <v>Mambangnan NHS</v>
          </cell>
          <cell r="F952">
            <v>47</v>
          </cell>
          <cell r="G952">
            <v>51</v>
          </cell>
          <cell r="H952">
            <v>98</v>
          </cell>
          <cell r="I952">
            <v>35</v>
          </cell>
          <cell r="J952">
            <v>36</v>
          </cell>
          <cell r="K952">
            <v>71</v>
          </cell>
          <cell r="L952">
            <v>52</v>
          </cell>
          <cell r="M952">
            <v>54</v>
          </cell>
          <cell r="N952">
            <v>106</v>
          </cell>
          <cell r="O952">
            <v>7</v>
          </cell>
          <cell r="P952">
            <v>7</v>
          </cell>
          <cell r="Q952">
            <v>14</v>
          </cell>
          <cell r="R952">
            <v>12</v>
          </cell>
          <cell r="S952">
            <v>12</v>
          </cell>
          <cell r="T952">
            <v>24</v>
          </cell>
          <cell r="U952">
            <v>0</v>
          </cell>
          <cell r="V952">
            <v>0</v>
          </cell>
          <cell r="W952">
            <v>0</v>
          </cell>
          <cell r="X952">
            <v>2</v>
          </cell>
          <cell r="Y952">
            <v>1</v>
          </cell>
          <cell r="Z952">
            <v>3</v>
          </cell>
        </row>
        <row r="953">
          <cell r="D953">
            <v>300826</v>
          </cell>
          <cell r="E953" t="str">
            <v>Nueva Ecija NHS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</row>
        <row r="954">
          <cell r="D954">
            <v>300820</v>
          </cell>
          <cell r="E954" t="str">
            <v>MALLORCA NATIONAL HIGH SCHOOL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</row>
        <row r="955">
          <cell r="D955">
            <v>306816</v>
          </cell>
          <cell r="E955" t="str">
            <v>Jaen NHS (former Putlod-San Jose NHS-Annex)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</row>
        <row r="956">
          <cell r="D956">
            <v>306287</v>
          </cell>
          <cell r="E956" t="str">
            <v>F. Buencamino Sr. Integrated School</v>
          </cell>
          <cell r="F956">
            <v>33</v>
          </cell>
          <cell r="G956">
            <v>29</v>
          </cell>
          <cell r="H956">
            <v>62</v>
          </cell>
          <cell r="I956">
            <v>24</v>
          </cell>
          <cell r="J956">
            <v>19</v>
          </cell>
          <cell r="K956">
            <v>43</v>
          </cell>
          <cell r="L956">
            <v>53</v>
          </cell>
          <cell r="M956">
            <v>41</v>
          </cell>
          <cell r="N956">
            <v>94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2</v>
          </cell>
          <cell r="V956">
            <v>1</v>
          </cell>
          <cell r="W956">
            <v>3</v>
          </cell>
          <cell r="X956">
            <v>4</v>
          </cell>
          <cell r="Y956">
            <v>3</v>
          </cell>
          <cell r="Z956">
            <v>7</v>
          </cell>
        </row>
        <row r="957">
          <cell r="D957">
            <v>306810</v>
          </cell>
          <cell r="E957" t="str">
            <v>PACAC HIGH SCHOOL</v>
          </cell>
          <cell r="F957">
            <v>39</v>
          </cell>
          <cell r="G957">
            <v>29</v>
          </cell>
          <cell r="H957">
            <v>68</v>
          </cell>
          <cell r="I957">
            <v>38</v>
          </cell>
          <cell r="J957">
            <v>28</v>
          </cell>
          <cell r="K957">
            <v>66</v>
          </cell>
          <cell r="L957">
            <v>49</v>
          </cell>
          <cell r="M957">
            <v>107</v>
          </cell>
          <cell r="N957">
            <v>156</v>
          </cell>
          <cell r="O957">
            <v>1</v>
          </cell>
          <cell r="P957">
            <v>1</v>
          </cell>
          <cell r="Q957">
            <v>2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</row>
        <row r="958">
          <cell r="D958">
            <v>307011</v>
          </cell>
          <cell r="E958" t="str">
            <v>Moncada National High School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</row>
        <row r="959">
          <cell r="D959">
            <v>306823</v>
          </cell>
          <cell r="E959" t="str">
            <v>Sta. Isabel High School</v>
          </cell>
          <cell r="F959">
            <v>8</v>
          </cell>
          <cell r="G959">
            <v>10</v>
          </cell>
          <cell r="H959">
            <v>18</v>
          </cell>
          <cell r="I959">
            <v>5</v>
          </cell>
          <cell r="J959">
            <v>5</v>
          </cell>
          <cell r="K959">
            <v>10</v>
          </cell>
          <cell r="L959">
            <v>14</v>
          </cell>
          <cell r="M959">
            <v>12</v>
          </cell>
          <cell r="N959">
            <v>26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</row>
        <row r="960">
          <cell r="D960">
            <v>300910</v>
          </cell>
          <cell r="E960" t="str">
            <v>Pulong Santol NHS - Annex 1</v>
          </cell>
          <cell r="F960">
            <v>55</v>
          </cell>
          <cell r="G960">
            <v>145</v>
          </cell>
          <cell r="H960">
            <v>200</v>
          </cell>
          <cell r="I960">
            <v>25</v>
          </cell>
          <cell r="J960">
            <v>73</v>
          </cell>
          <cell r="K960">
            <v>98</v>
          </cell>
          <cell r="L960">
            <v>18</v>
          </cell>
          <cell r="M960">
            <v>31</v>
          </cell>
          <cell r="N960">
            <v>49</v>
          </cell>
          <cell r="O960">
            <v>12</v>
          </cell>
          <cell r="P960">
            <v>16</v>
          </cell>
          <cell r="Q960">
            <v>28</v>
          </cell>
          <cell r="R960">
            <v>12</v>
          </cell>
          <cell r="S960">
            <v>16</v>
          </cell>
          <cell r="T960">
            <v>28</v>
          </cell>
          <cell r="U960">
            <v>0</v>
          </cell>
          <cell r="V960">
            <v>0</v>
          </cell>
          <cell r="W960">
            <v>0</v>
          </cell>
          <cell r="X960">
            <v>7</v>
          </cell>
          <cell r="Y960">
            <v>5</v>
          </cell>
          <cell r="Z960">
            <v>12</v>
          </cell>
        </row>
        <row r="961">
          <cell r="D961">
            <v>300835</v>
          </cell>
          <cell r="E961" t="str">
            <v>Putlod-San Jose NHS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</row>
        <row r="962">
          <cell r="D962">
            <v>307010</v>
          </cell>
          <cell r="E962" t="str">
            <v>Calipayan NHS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</row>
        <row r="963">
          <cell r="D963">
            <v>306831</v>
          </cell>
          <cell r="E963" t="str">
            <v>Jaen NHS Annex-San Pablo</v>
          </cell>
          <cell r="F963">
            <v>77</v>
          </cell>
          <cell r="G963">
            <v>55</v>
          </cell>
          <cell r="H963">
            <v>132</v>
          </cell>
          <cell r="I963">
            <v>51</v>
          </cell>
          <cell r="J963">
            <v>45</v>
          </cell>
          <cell r="K963">
            <v>96</v>
          </cell>
          <cell r="L963">
            <v>153</v>
          </cell>
          <cell r="M963">
            <v>135</v>
          </cell>
          <cell r="N963">
            <v>288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3</v>
          </cell>
          <cell r="V963">
            <v>2</v>
          </cell>
          <cell r="W963">
            <v>5</v>
          </cell>
          <cell r="X963">
            <v>0</v>
          </cell>
          <cell r="Y963">
            <v>0</v>
          </cell>
          <cell r="Z963">
            <v>0</v>
          </cell>
        </row>
        <row r="964">
          <cell r="D964">
            <v>306806</v>
          </cell>
          <cell r="E964" t="str">
            <v>AGUPALO WESTE HIGH SCHOOL</v>
          </cell>
          <cell r="F964">
            <v>50</v>
          </cell>
          <cell r="G964">
            <v>40</v>
          </cell>
          <cell r="H964">
            <v>90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</row>
        <row r="965">
          <cell r="D965">
            <v>300791</v>
          </cell>
          <cell r="E965" t="str">
            <v>Bulac NHS</v>
          </cell>
          <cell r="F965">
            <v>35</v>
          </cell>
          <cell r="G965">
            <v>29</v>
          </cell>
          <cell r="H965">
            <v>64</v>
          </cell>
          <cell r="I965">
            <v>29</v>
          </cell>
          <cell r="J965">
            <v>26</v>
          </cell>
          <cell r="K965">
            <v>55</v>
          </cell>
          <cell r="L965">
            <v>124</v>
          </cell>
          <cell r="M965">
            <v>95</v>
          </cell>
          <cell r="N965">
            <v>219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</row>
        <row r="966">
          <cell r="D966">
            <v>301061</v>
          </cell>
          <cell r="E966" t="str">
            <v>San Jose del Monte Nat'l. Trade School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</row>
        <row r="967">
          <cell r="D967">
            <v>300832</v>
          </cell>
          <cell r="E967" t="str">
            <v>Peñaranda National High School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</row>
        <row r="968">
          <cell r="D968">
            <v>306901</v>
          </cell>
          <cell r="E968" t="str">
            <v>San Vicente Pilot School for Philippine Craftsmen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</row>
        <row r="969">
          <cell r="D969">
            <v>300863</v>
          </cell>
          <cell r="E969" t="str">
            <v>Eduardo L. Joson Memorial HS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</row>
        <row r="970">
          <cell r="D970">
            <v>306912</v>
          </cell>
          <cell r="E970" t="str">
            <v>Sta. Cruz High Integrated School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</row>
        <row r="971">
          <cell r="D971">
            <v>301000</v>
          </cell>
          <cell r="E971" t="str">
            <v>Victoria National High School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</row>
        <row r="972">
          <cell r="D972">
            <v>300803</v>
          </cell>
          <cell r="E972" t="str">
            <v>Dr. Ramon de Santos NHS</v>
          </cell>
          <cell r="F972">
            <v>304</v>
          </cell>
          <cell r="G972">
            <v>294</v>
          </cell>
          <cell r="H972">
            <v>598</v>
          </cell>
          <cell r="I972">
            <v>6</v>
          </cell>
          <cell r="J972">
            <v>3</v>
          </cell>
          <cell r="K972">
            <v>9</v>
          </cell>
          <cell r="L972">
            <v>12</v>
          </cell>
          <cell r="M972">
            <v>6</v>
          </cell>
          <cell r="N972">
            <v>18</v>
          </cell>
          <cell r="O972">
            <v>99</v>
          </cell>
          <cell r="P972">
            <v>96</v>
          </cell>
          <cell r="Q972">
            <v>195</v>
          </cell>
          <cell r="R972">
            <v>297</v>
          </cell>
          <cell r="S972">
            <v>288</v>
          </cell>
          <cell r="T972">
            <v>585</v>
          </cell>
          <cell r="U972">
            <v>1</v>
          </cell>
          <cell r="V972">
            <v>1</v>
          </cell>
          <cell r="W972">
            <v>2</v>
          </cell>
          <cell r="X972">
            <v>8</v>
          </cell>
          <cell r="Y972">
            <v>10</v>
          </cell>
          <cell r="Z972">
            <v>18</v>
          </cell>
        </row>
        <row r="973">
          <cell r="D973">
            <v>301010</v>
          </cell>
          <cell r="E973" t="str">
            <v>Cabangan National High School</v>
          </cell>
          <cell r="F973">
            <v>150</v>
          </cell>
          <cell r="G973">
            <v>140</v>
          </cell>
          <cell r="H973">
            <v>290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</row>
        <row r="974">
          <cell r="D974">
            <v>300934</v>
          </cell>
          <cell r="E974" t="str">
            <v>Sta. Maria NHS, Macabebe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</row>
        <row r="975">
          <cell r="D975">
            <v>300969</v>
          </cell>
          <cell r="E975" t="str">
            <v>Mababanaba High School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</row>
        <row r="976">
          <cell r="D976">
            <v>306709</v>
          </cell>
          <cell r="E976" t="str">
            <v>Engr. Virgilio V. Dionisio MHS</v>
          </cell>
          <cell r="F976">
            <v>27</v>
          </cell>
          <cell r="G976">
            <v>24</v>
          </cell>
          <cell r="H976">
            <v>51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</row>
        <row r="977">
          <cell r="D977">
            <v>300960</v>
          </cell>
          <cell r="E977" t="str">
            <v>Central Azucarera de Tarlac NHS Main</v>
          </cell>
          <cell r="F977">
            <v>0</v>
          </cell>
          <cell r="G977">
            <v>156</v>
          </cell>
          <cell r="H977">
            <v>156</v>
          </cell>
          <cell r="I977">
            <v>0</v>
          </cell>
          <cell r="J977">
            <v>51</v>
          </cell>
          <cell r="K977">
            <v>51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6</v>
          </cell>
          <cell r="Q977">
            <v>6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15</v>
          </cell>
          <cell r="W977">
            <v>15</v>
          </cell>
          <cell r="X977">
            <v>0</v>
          </cell>
          <cell r="Y977">
            <v>7</v>
          </cell>
          <cell r="Z977">
            <v>7</v>
          </cell>
        </row>
        <row r="978">
          <cell r="D978">
            <v>300870</v>
          </cell>
          <cell r="E978" t="str">
            <v>Llanera National HIgh School</v>
          </cell>
          <cell r="F978">
            <v>65</v>
          </cell>
          <cell r="G978">
            <v>75</v>
          </cell>
          <cell r="H978">
            <v>140</v>
          </cell>
          <cell r="I978">
            <v>26</v>
          </cell>
          <cell r="J978">
            <v>51</v>
          </cell>
          <cell r="K978">
            <v>77</v>
          </cell>
          <cell r="L978">
            <v>36</v>
          </cell>
          <cell r="M978">
            <v>74</v>
          </cell>
          <cell r="N978">
            <v>110</v>
          </cell>
          <cell r="O978">
            <v>3</v>
          </cell>
          <cell r="P978">
            <v>1</v>
          </cell>
          <cell r="Q978">
            <v>4</v>
          </cell>
          <cell r="R978">
            <v>3</v>
          </cell>
          <cell r="S978">
            <v>1</v>
          </cell>
          <cell r="T978">
            <v>4</v>
          </cell>
          <cell r="U978">
            <v>0</v>
          </cell>
          <cell r="V978">
            <v>0</v>
          </cell>
          <cell r="W978">
            <v>0</v>
          </cell>
          <cell r="X978">
            <v>8</v>
          </cell>
          <cell r="Y978">
            <v>15</v>
          </cell>
          <cell r="Z978">
            <v>23</v>
          </cell>
        </row>
        <row r="979">
          <cell r="D979">
            <v>300994</v>
          </cell>
          <cell r="E979" t="str">
            <v>Capas High School</v>
          </cell>
          <cell r="F979">
            <v>187</v>
          </cell>
          <cell r="G979">
            <v>213</v>
          </cell>
          <cell r="H979">
            <v>400</v>
          </cell>
          <cell r="I979">
            <v>49</v>
          </cell>
          <cell r="J979">
            <v>89</v>
          </cell>
          <cell r="K979">
            <v>138</v>
          </cell>
          <cell r="L979">
            <v>95</v>
          </cell>
          <cell r="M979">
            <v>110</v>
          </cell>
          <cell r="N979">
            <v>205</v>
          </cell>
          <cell r="O979">
            <v>42</v>
          </cell>
          <cell r="P979">
            <v>67</v>
          </cell>
          <cell r="Q979">
            <v>109</v>
          </cell>
          <cell r="R979">
            <v>31</v>
          </cell>
          <cell r="S979">
            <v>46</v>
          </cell>
          <cell r="T979">
            <v>77</v>
          </cell>
          <cell r="U979">
            <v>88</v>
          </cell>
          <cell r="V979">
            <v>157</v>
          </cell>
          <cell r="W979">
            <v>245</v>
          </cell>
          <cell r="X979">
            <v>8</v>
          </cell>
          <cell r="Y979">
            <v>11</v>
          </cell>
          <cell r="Z979">
            <v>19</v>
          </cell>
        </row>
        <row r="980">
          <cell r="D980">
            <v>300793</v>
          </cell>
          <cell r="E980" t="str">
            <v>Cabucbucan NHS</v>
          </cell>
          <cell r="F980">
            <v>54</v>
          </cell>
          <cell r="G980">
            <v>56</v>
          </cell>
          <cell r="H980">
            <v>110</v>
          </cell>
          <cell r="I980">
            <v>2</v>
          </cell>
          <cell r="J980">
            <v>2</v>
          </cell>
          <cell r="K980">
            <v>4</v>
          </cell>
          <cell r="L980">
            <v>2</v>
          </cell>
          <cell r="M980">
            <v>2</v>
          </cell>
          <cell r="N980">
            <v>4</v>
          </cell>
          <cell r="O980">
            <v>22</v>
          </cell>
          <cell r="P980">
            <v>15</v>
          </cell>
          <cell r="Q980">
            <v>37</v>
          </cell>
          <cell r="R980">
            <v>44</v>
          </cell>
          <cell r="S980">
            <v>36</v>
          </cell>
          <cell r="T980">
            <v>80</v>
          </cell>
          <cell r="U980">
            <v>26</v>
          </cell>
          <cell r="V980">
            <v>18</v>
          </cell>
          <cell r="W980">
            <v>44</v>
          </cell>
          <cell r="X980">
            <v>0</v>
          </cell>
          <cell r="Y980">
            <v>0</v>
          </cell>
          <cell r="Z980">
            <v>0</v>
          </cell>
        </row>
        <row r="981">
          <cell r="D981">
            <v>307118</v>
          </cell>
          <cell r="E981" t="str">
            <v>San Agustin High School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</row>
        <row r="982">
          <cell r="D982">
            <v>306706</v>
          </cell>
          <cell r="E982" t="str">
            <v>Pres. Diosdado Macapagal MHS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</row>
        <row r="983">
          <cell r="D983">
            <v>306825</v>
          </cell>
          <cell r="E983" t="str">
            <v>Marawa National High School</v>
          </cell>
          <cell r="F983">
            <v>19</v>
          </cell>
          <cell r="G983">
            <v>0</v>
          </cell>
          <cell r="H983">
            <v>19</v>
          </cell>
          <cell r="I983">
            <v>19</v>
          </cell>
          <cell r="J983">
            <v>0</v>
          </cell>
          <cell r="K983">
            <v>19</v>
          </cell>
          <cell r="L983">
            <v>94</v>
          </cell>
          <cell r="M983">
            <v>0</v>
          </cell>
          <cell r="N983">
            <v>94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</row>
        <row r="984">
          <cell r="D984">
            <v>306702</v>
          </cell>
          <cell r="E984" t="str">
            <v>Angat HS (Binagbag NHS - Taboc NHS)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</row>
        <row r="985">
          <cell r="D985">
            <v>300864</v>
          </cell>
          <cell r="E985" t="str">
            <v>TALAVERA NATIONAL HIGH SCHOOL</v>
          </cell>
          <cell r="F985">
            <v>40</v>
          </cell>
          <cell r="G985">
            <v>40</v>
          </cell>
          <cell r="H985">
            <v>80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</row>
        <row r="986">
          <cell r="D986">
            <v>301032</v>
          </cell>
          <cell r="E986" t="str">
            <v>San Miguel National High School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</row>
        <row r="987">
          <cell r="D987">
            <v>361011</v>
          </cell>
          <cell r="E987" t="str">
            <v>Mariveles SHS - Sitio Mabuhay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</row>
        <row r="988">
          <cell r="D988">
            <v>300936</v>
          </cell>
          <cell r="E988" t="str">
            <v>Sto. Rosario NHS</v>
          </cell>
          <cell r="F988">
            <v>156</v>
          </cell>
          <cell r="G988">
            <v>121</v>
          </cell>
          <cell r="H988">
            <v>277</v>
          </cell>
          <cell r="I988">
            <v>56</v>
          </cell>
          <cell r="J988">
            <v>45</v>
          </cell>
          <cell r="K988">
            <v>101</v>
          </cell>
          <cell r="L988">
            <v>65</v>
          </cell>
          <cell r="M988">
            <v>46</v>
          </cell>
          <cell r="N988">
            <v>111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</row>
        <row r="989">
          <cell r="D989">
            <v>301034</v>
          </cell>
          <cell r="E989" t="str">
            <v>Lipay High School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</row>
        <row r="990">
          <cell r="D990">
            <v>300818</v>
          </cell>
          <cell r="E990" t="str">
            <v>MalacaÃ±ang NHS</v>
          </cell>
          <cell r="F990">
            <v>45</v>
          </cell>
          <cell r="G990">
            <v>27</v>
          </cell>
          <cell r="H990">
            <v>72</v>
          </cell>
          <cell r="I990">
            <v>2</v>
          </cell>
          <cell r="J990">
            <v>1</v>
          </cell>
          <cell r="K990">
            <v>3</v>
          </cell>
          <cell r="L990">
            <v>3</v>
          </cell>
          <cell r="M990">
            <v>1</v>
          </cell>
          <cell r="N990">
            <v>4</v>
          </cell>
          <cell r="O990">
            <v>15</v>
          </cell>
          <cell r="P990">
            <v>8</v>
          </cell>
          <cell r="Q990">
            <v>23</v>
          </cell>
          <cell r="R990">
            <v>28</v>
          </cell>
          <cell r="S990">
            <v>20</v>
          </cell>
          <cell r="T990">
            <v>48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</row>
        <row r="991">
          <cell r="D991">
            <v>306829</v>
          </cell>
          <cell r="E991" t="str">
            <v>Bartolome R Sangalang NHS Annex-Macatcatuit</v>
          </cell>
          <cell r="F991">
            <v>25</v>
          </cell>
          <cell r="G991">
            <v>4</v>
          </cell>
          <cell r="H991">
            <v>29</v>
          </cell>
          <cell r="I991">
            <v>22</v>
          </cell>
          <cell r="J991">
            <v>4</v>
          </cell>
          <cell r="K991">
            <v>26</v>
          </cell>
          <cell r="L991">
            <v>30</v>
          </cell>
          <cell r="M991">
            <v>7</v>
          </cell>
          <cell r="N991">
            <v>37</v>
          </cell>
          <cell r="O991">
            <v>0</v>
          </cell>
          <cell r="P991">
            <v>0</v>
          </cell>
          <cell r="Q991">
            <v>0</v>
          </cell>
          <cell r="R991">
            <v>2</v>
          </cell>
          <cell r="S991">
            <v>1</v>
          </cell>
          <cell r="T991">
            <v>3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</row>
        <row r="992">
          <cell r="D992">
            <v>300853</v>
          </cell>
          <cell r="E992" t="str">
            <v>STA. BARBARA NATIONAL HS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</row>
        <row r="993">
          <cell r="D993">
            <v>301006</v>
          </cell>
          <cell r="E993" t="str">
            <v>Taltal National High School</v>
          </cell>
          <cell r="F993">
            <v>94</v>
          </cell>
          <cell r="G993">
            <v>66</v>
          </cell>
          <cell r="H993">
            <v>160</v>
          </cell>
          <cell r="I993">
            <v>81</v>
          </cell>
          <cell r="J993">
            <v>51</v>
          </cell>
          <cell r="K993">
            <v>132</v>
          </cell>
          <cell r="L993">
            <v>258</v>
          </cell>
          <cell r="M993">
            <v>508</v>
          </cell>
          <cell r="N993">
            <v>766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15</v>
          </cell>
          <cell r="V993">
            <v>5</v>
          </cell>
          <cell r="W993">
            <v>20</v>
          </cell>
          <cell r="X993">
            <v>3</v>
          </cell>
          <cell r="Y993">
            <v>0</v>
          </cell>
          <cell r="Z993">
            <v>3</v>
          </cell>
        </row>
        <row r="994">
          <cell r="D994">
            <v>300854</v>
          </cell>
          <cell r="E994" t="str">
            <v>Zacarias C. Aquilizan HS (Sta. Barbara NHS Annex)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</row>
        <row r="995">
          <cell r="D995">
            <v>307116</v>
          </cell>
          <cell r="E995" t="str">
            <v>Sta. Cruz NHS - Don Marcelo C. Marty High School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</row>
        <row r="996">
          <cell r="D996">
            <v>300998</v>
          </cell>
          <cell r="E996" t="str">
            <v>Eduardo Cojuangco National Vocational High School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</row>
        <row r="997">
          <cell r="D997">
            <v>500127</v>
          </cell>
          <cell r="E997" t="str">
            <v>Pamibian Integrated School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</row>
        <row r="998">
          <cell r="D998">
            <v>306815</v>
          </cell>
          <cell r="E998" t="str">
            <v>Manacsac HS (Former Nagpandayan HS Annex)</v>
          </cell>
          <cell r="F998">
            <v>47</v>
          </cell>
          <cell r="G998">
            <v>19</v>
          </cell>
          <cell r="H998">
            <v>66</v>
          </cell>
          <cell r="I998">
            <v>15</v>
          </cell>
          <cell r="J998">
            <v>5</v>
          </cell>
          <cell r="K998">
            <v>20</v>
          </cell>
          <cell r="L998">
            <v>15</v>
          </cell>
          <cell r="M998">
            <v>5</v>
          </cell>
          <cell r="N998">
            <v>20</v>
          </cell>
          <cell r="O998">
            <v>12</v>
          </cell>
          <cell r="P998">
            <v>4</v>
          </cell>
          <cell r="Q998">
            <v>16</v>
          </cell>
          <cell r="R998">
            <v>21</v>
          </cell>
          <cell r="S998">
            <v>4</v>
          </cell>
          <cell r="T998">
            <v>25</v>
          </cell>
          <cell r="U998">
            <v>1</v>
          </cell>
          <cell r="V998">
            <v>2</v>
          </cell>
          <cell r="W998">
            <v>3</v>
          </cell>
          <cell r="X998">
            <v>1</v>
          </cell>
          <cell r="Y998">
            <v>1</v>
          </cell>
          <cell r="Z998">
            <v>2</v>
          </cell>
        </row>
        <row r="999">
          <cell r="D999">
            <v>300888</v>
          </cell>
          <cell r="E999" t="str">
            <v>Dolores NHS, Magalang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</row>
        <row r="1000">
          <cell r="D1000">
            <v>300852</v>
          </cell>
          <cell r="E1000" t="str">
            <v>Sibul National High School</v>
          </cell>
          <cell r="F1000">
            <v>87</v>
          </cell>
          <cell r="G1000">
            <v>98</v>
          </cell>
          <cell r="H1000">
            <v>185</v>
          </cell>
          <cell r="I1000">
            <v>16</v>
          </cell>
          <cell r="J1000">
            <v>22</v>
          </cell>
          <cell r="K1000">
            <v>38</v>
          </cell>
          <cell r="L1000">
            <v>71</v>
          </cell>
          <cell r="M1000">
            <v>76</v>
          </cell>
          <cell r="N1000">
            <v>147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</row>
        <row r="1001">
          <cell r="D1001">
            <v>500138</v>
          </cell>
          <cell r="E1001" t="str">
            <v>City of San Fernando West IS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</row>
        <row r="1002">
          <cell r="D1002">
            <v>301007</v>
          </cell>
          <cell r="E1002" t="str">
            <v>Coto High School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</row>
        <row r="1003">
          <cell r="D1003">
            <v>301037</v>
          </cell>
          <cell r="E1003" t="str">
            <v>Zambales National High School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</row>
        <row r="1004">
          <cell r="D1004">
            <v>307101</v>
          </cell>
          <cell r="E1004" t="str">
            <v>Zambales NHS - Jesus F. Magsaysay HS Annex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</row>
        <row r="1005">
          <cell r="D1005">
            <v>300848</v>
          </cell>
          <cell r="E1005" t="str">
            <v>San Mariano National High School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</row>
        <row r="1006">
          <cell r="D1006">
            <v>307124</v>
          </cell>
          <cell r="E1006" t="str">
            <v>Subic NHS Annex IV - San Isidro HS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</row>
        <row r="1007">
          <cell r="D1007">
            <v>300907</v>
          </cell>
          <cell r="E1007" t="str">
            <v>Porac Model Comm. HS (Resettlement School)</v>
          </cell>
          <cell r="F1007">
            <v>283</v>
          </cell>
          <cell r="G1007">
            <v>360</v>
          </cell>
          <cell r="H1007">
            <v>643</v>
          </cell>
          <cell r="I1007">
            <v>20</v>
          </cell>
          <cell r="J1007">
            <v>50</v>
          </cell>
          <cell r="K1007">
            <v>70</v>
          </cell>
          <cell r="L1007">
            <v>263</v>
          </cell>
          <cell r="M1007">
            <v>310</v>
          </cell>
          <cell r="N1007">
            <v>573</v>
          </cell>
          <cell r="O1007">
            <v>2</v>
          </cell>
          <cell r="P1007">
            <v>3</v>
          </cell>
          <cell r="Q1007">
            <v>5</v>
          </cell>
          <cell r="R1007">
            <v>20</v>
          </cell>
          <cell r="S1007">
            <v>50</v>
          </cell>
          <cell r="T1007">
            <v>70</v>
          </cell>
          <cell r="U1007">
            <v>10</v>
          </cell>
          <cell r="V1007">
            <v>12</v>
          </cell>
          <cell r="W1007">
            <v>22</v>
          </cell>
          <cell r="X1007">
            <v>8</v>
          </cell>
          <cell r="Y1007">
            <v>10</v>
          </cell>
          <cell r="Z1007">
            <v>18</v>
          </cell>
        </row>
        <row r="1008">
          <cell r="D1008">
            <v>301036</v>
          </cell>
          <cell r="E1008" t="str">
            <v>Subic National High School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</row>
        <row r="1009">
          <cell r="D1009">
            <v>500630</v>
          </cell>
          <cell r="E1009" t="str">
            <v>San Antonio Integrated School</v>
          </cell>
          <cell r="F1009">
            <v>67</v>
          </cell>
          <cell r="G1009">
            <v>44</v>
          </cell>
          <cell r="H1009">
            <v>111</v>
          </cell>
          <cell r="I1009">
            <v>32</v>
          </cell>
          <cell r="J1009">
            <v>12</v>
          </cell>
          <cell r="K1009">
            <v>44</v>
          </cell>
          <cell r="L1009">
            <v>35</v>
          </cell>
          <cell r="M1009">
            <v>32</v>
          </cell>
          <cell r="N1009">
            <v>67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</row>
        <row r="1010">
          <cell r="D1010">
            <v>300874</v>
          </cell>
          <cell r="E1010" t="str">
            <v>Bahay Pare NHS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</row>
        <row r="1011">
          <cell r="D1011">
            <v>500510</v>
          </cell>
          <cell r="E1011" t="str">
            <v>Naugsol Integrated School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</row>
        <row r="1012">
          <cell r="D1012">
            <v>301002</v>
          </cell>
          <cell r="E1012" t="str">
            <v>Iba High School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</row>
        <row r="1013">
          <cell r="D1013">
            <v>300952</v>
          </cell>
          <cell r="E1013" t="str">
            <v>Bilad High School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</row>
        <row r="1014">
          <cell r="D1014">
            <v>301028</v>
          </cell>
          <cell r="E1014" t="str">
            <v>Locloc National High School</v>
          </cell>
          <cell r="F1014">
            <v>134</v>
          </cell>
          <cell r="G1014">
            <v>68</v>
          </cell>
          <cell r="H1014">
            <v>202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</row>
        <row r="1015">
          <cell r="D1015">
            <v>307113</v>
          </cell>
          <cell r="E1015" t="str">
            <v>Sagpat High School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</row>
        <row r="1016">
          <cell r="D1016">
            <v>301029</v>
          </cell>
          <cell r="E1016" t="str">
            <v>San Guillermo National High School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</row>
        <row r="1017">
          <cell r="D1017">
            <v>300788</v>
          </cell>
          <cell r="E1017" t="str">
            <v>Batitang National High School</v>
          </cell>
          <cell r="F1017">
            <v>27</v>
          </cell>
          <cell r="G1017">
            <v>74</v>
          </cell>
          <cell r="H1017">
            <v>101</v>
          </cell>
          <cell r="I1017">
            <v>5</v>
          </cell>
          <cell r="J1017">
            <v>3</v>
          </cell>
          <cell r="K1017">
            <v>8</v>
          </cell>
          <cell r="L1017">
            <v>6</v>
          </cell>
          <cell r="M1017">
            <v>5</v>
          </cell>
          <cell r="N1017">
            <v>11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</row>
        <row r="1018">
          <cell r="D1018">
            <v>300971</v>
          </cell>
          <cell r="E1018" t="str">
            <v>Tibag HS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</row>
        <row r="1019">
          <cell r="D1019">
            <v>300779</v>
          </cell>
          <cell r="E1019" t="str">
            <v>Taliptip National High Sschool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</row>
        <row r="1020">
          <cell r="D1020">
            <v>301033</v>
          </cell>
          <cell r="E1020" t="str">
            <v>Sta. Cruz National High School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</row>
        <row r="1021">
          <cell r="D1021">
            <v>301024</v>
          </cell>
          <cell r="E1021" t="str">
            <v>Panan National High School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</row>
        <row r="1022">
          <cell r="D1022">
            <v>301018</v>
          </cell>
          <cell r="E1022" t="str">
            <v>Paite-Balincaguing National High School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</row>
        <row r="1023">
          <cell r="D1023">
            <v>300830</v>
          </cell>
          <cell r="E1023" t="str">
            <v>Pantabangan NHS</v>
          </cell>
          <cell r="F1023">
            <v>115</v>
          </cell>
          <cell r="G1023">
            <v>92</v>
          </cell>
          <cell r="H1023">
            <v>207</v>
          </cell>
          <cell r="I1023">
            <v>56</v>
          </cell>
          <cell r="J1023">
            <v>72</v>
          </cell>
          <cell r="K1023">
            <v>128</v>
          </cell>
          <cell r="L1023">
            <v>170</v>
          </cell>
          <cell r="M1023">
            <v>160</v>
          </cell>
          <cell r="N1023">
            <v>330</v>
          </cell>
          <cell r="O1023">
            <v>0</v>
          </cell>
          <cell r="P1023">
            <v>0</v>
          </cell>
          <cell r="Q1023">
            <v>0</v>
          </cell>
          <cell r="R1023">
            <v>12</v>
          </cell>
          <cell r="S1023">
            <v>3</v>
          </cell>
          <cell r="T1023">
            <v>15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</row>
        <row r="1024">
          <cell r="D1024">
            <v>300794</v>
          </cell>
          <cell r="E1024" t="str">
            <v>Calaba National High School</v>
          </cell>
          <cell r="F1024">
            <v>61</v>
          </cell>
          <cell r="G1024">
            <v>49</v>
          </cell>
          <cell r="H1024">
            <v>110</v>
          </cell>
          <cell r="I1024">
            <v>0</v>
          </cell>
          <cell r="J1024">
            <v>0</v>
          </cell>
          <cell r="K1024">
            <v>0</v>
          </cell>
          <cell r="L1024">
            <v>61</v>
          </cell>
          <cell r="M1024">
            <v>49</v>
          </cell>
          <cell r="N1024">
            <v>110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</row>
        <row r="1025">
          <cell r="D1025">
            <v>500508</v>
          </cell>
          <cell r="E1025" t="str">
            <v>Dojoc Balite IS</v>
          </cell>
          <cell r="F1025">
            <v>5</v>
          </cell>
          <cell r="G1025">
            <v>4</v>
          </cell>
          <cell r="H1025">
            <v>9</v>
          </cell>
          <cell r="I1025">
            <v>2</v>
          </cell>
          <cell r="J1025">
            <v>2</v>
          </cell>
          <cell r="K1025">
            <v>4</v>
          </cell>
          <cell r="L1025">
            <v>3</v>
          </cell>
          <cell r="M1025">
            <v>2</v>
          </cell>
          <cell r="N1025">
            <v>5</v>
          </cell>
          <cell r="O1025">
            <v>2</v>
          </cell>
          <cell r="P1025">
            <v>0</v>
          </cell>
          <cell r="Q1025">
            <v>2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</row>
        <row r="1026">
          <cell r="D1026">
            <v>300810</v>
          </cell>
          <cell r="E1026" t="str">
            <v>Hilario E. Hermosa Mem. HS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</row>
        <row r="1027">
          <cell r="D1027">
            <v>300843</v>
          </cell>
          <cell r="E1027" t="str">
            <v>San Andres HS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</row>
        <row r="1028">
          <cell r="D1028">
            <v>300721</v>
          </cell>
          <cell r="E1028" t="str">
            <v>Balagtas National Agricultural HS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</row>
        <row r="1029">
          <cell r="D1029">
            <v>301015</v>
          </cell>
          <cell r="E1029" t="str">
            <v>Castillejos National High School</v>
          </cell>
          <cell r="F1029">
            <v>350</v>
          </cell>
          <cell r="G1029">
            <v>370</v>
          </cell>
          <cell r="H1029">
            <v>720</v>
          </cell>
          <cell r="I1029">
            <v>250</v>
          </cell>
          <cell r="J1029">
            <v>235</v>
          </cell>
          <cell r="K1029">
            <v>485</v>
          </cell>
          <cell r="L1029">
            <v>100</v>
          </cell>
          <cell r="M1029">
            <v>135</v>
          </cell>
          <cell r="N1029">
            <v>235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15</v>
          </cell>
          <cell r="Y1029">
            <v>30</v>
          </cell>
          <cell r="Z1029">
            <v>45</v>
          </cell>
        </row>
        <row r="1030">
          <cell r="D1030">
            <v>307114</v>
          </cell>
          <cell r="E1030" t="str">
            <v>Sta Cruz South High School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</row>
        <row r="1031">
          <cell r="D1031">
            <v>301059</v>
          </cell>
          <cell r="E1031" t="str">
            <v>Paradise Farms NHS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</row>
        <row r="1032">
          <cell r="D1032">
            <v>501226</v>
          </cell>
          <cell r="E1032" t="str">
            <v>Don Brigido Miraflor Integrated School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</row>
        <row r="1033">
          <cell r="D1033">
            <v>300682</v>
          </cell>
          <cell r="E1033" t="str">
            <v>Dilasag NHS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</row>
        <row r="1034">
          <cell r="D1034">
            <v>307106</v>
          </cell>
          <cell r="E1034" t="str">
            <v>Jesus F. Magsaysay Technical Vocational High School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</row>
        <row r="1035">
          <cell r="D1035">
            <v>301026</v>
          </cell>
          <cell r="E1035" t="str">
            <v>New Taugtog National High School</v>
          </cell>
          <cell r="F1035">
            <v>45</v>
          </cell>
          <cell r="G1035">
            <v>18</v>
          </cell>
          <cell r="H1035">
            <v>63</v>
          </cell>
          <cell r="I1035">
            <v>33</v>
          </cell>
          <cell r="J1035">
            <v>14</v>
          </cell>
          <cell r="K1035">
            <v>47</v>
          </cell>
          <cell r="L1035">
            <v>57</v>
          </cell>
          <cell r="M1035">
            <v>32</v>
          </cell>
          <cell r="N1035">
            <v>89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</row>
        <row r="1036">
          <cell r="D1036">
            <v>307104</v>
          </cell>
          <cell r="E1036" t="str">
            <v>San Rafael Technical Vocational High School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</row>
        <row r="1037">
          <cell r="D1037">
            <v>300855</v>
          </cell>
          <cell r="E1037" t="str">
            <v>Sta. Maria NHS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</row>
        <row r="1038">
          <cell r="D1038">
            <v>306807</v>
          </cell>
          <cell r="E1038" t="str">
            <v>San Carlos High School</v>
          </cell>
          <cell r="F1038">
            <v>33</v>
          </cell>
          <cell r="G1038">
            <v>19</v>
          </cell>
          <cell r="H1038">
            <v>52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7</v>
          </cell>
          <cell r="P1038">
            <v>4</v>
          </cell>
          <cell r="Q1038">
            <v>11</v>
          </cell>
          <cell r="R1038">
            <v>23</v>
          </cell>
          <cell r="S1038">
            <v>13</v>
          </cell>
          <cell r="T1038">
            <v>36</v>
          </cell>
          <cell r="U1038">
            <v>0</v>
          </cell>
          <cell r="V1038">
            <v>0</v>
          </cell>
          <cell r="W1038">
            <v>0</v>
          </cell>
          <cell r="X1038">
            <v>12</v>
          </cell>
          <cell r="Y1038">
            <v>11</v>
          </cell>
          <cell r="Z1038">
            <v>23</v>
          </cell>
        </row>
        <row r="1039">
          <cell r="D1039">
            <v>300720</v>
          </cell>
          <cell r="E1039" t="str">
            <v>Alexis G. Santos National High School</v>
          </cell>
          <cell r="F1039">
            <v>242</v>
          </cell>
          <cell r="G1039">
            <v>171</v>
          </cell>
          <cell r="H1039">
            <v>413</v>
          </cell>
          <cell r="I1039">
            <v>30</v>
          </cell>
          <cell r="J1039">
            <v>20</v>
          </cell>
          <cell r="K1039">
            <v>50</v>
          </cell>
          <cell r="L1039">
            <v>30</v>
          </cell>
          <cell r="M1039">
            <v>20</v>
          </cell>
          <cell r="N1039">
            <v>50</v>
          </cell>
          <cell r="O1039">
            <v>30</v>
          </cell>
          <cell r="P1039">
            <v>20</v>
          </cell>
          <cell r="Q1039">
            <v>50</v>
          </cell>
          <cell r="R1039">
            <v>30</v>
          </cell>
          <cell r="S1039">
            <v>20</v>
          </cell>
          <cell r="T1039">
            <v>50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</row>
        <row r="1040">
          <cell r="D1040">
            <v>300777</v>
          </cell>
          <cell r="E1040" t="str">
            <v>Sta. Maria National High School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</row>
        <row r="1041">
          <cell r="D1041">
            <v>301020</v>
          </cell>
          <cell r="E1041" t="str">
            <v>Loob Bunga High School  (Resettlement School)</v>
          </cell>
          <cell r="F1041">
            <v>25</v>
          </cell>
          <cell r="G1041">
            <v>27</v>
          </cell>
          <cell r="H1041">
            <v>52</v>
          </cell>
          <cell r="I1041">
            <v>3</v>
          </cell>
          <cell r="J1041">
            <v>3</v>
          </cell>
          <cell r="K1041">
            <v>6</v>
          </cell>
          <cell r="L1041">
            <v>2</v>
          </cell>
          <cell r="M1041">
            <v>2</v>
          </cell>
          <cell r="N1041">
            <v>4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</row>
        <row r="1042">
          <cell r="D1042">
            <v>306802</v>
          </cell>
          <cell r="E1042" t="str">
            <v>San Felipe Integrated High School</v>
          </cell>
          <cell r="F1042">
            <v>8</v>
          </cell>
          <cell r="G1042">
            <v>24</v>
          </cell>
          <cell r="H1042">
            <v>32</v>
          </cell>
          <cell r="I1042">
            <v>0</v>
          </cell>
          <cell r="J1042">
            <v>1</v>
          </cell>
          <cell r="K1042">
            <v>1</v>
          </cell>
          <cell r="L1042">
            <v>8</v>
          </cell>
          <cell r="M1042">
            <v>23</v>
          </cell>
          <cell r="N1042">
            <v>31</v>
          </cell>
          <cell r="O1042">
            <v>1</v>
          </cell>
          <cell r="P1042">
            <v>1</v>
          </cell>
          <cell r="Q1042">
            <v>2</v>
          </cell>
          <cell r="R1042">
            <v>7</v>
          </cell>
          <cell r="S1042">
            <v>23</v>
          </cell>
          <cell r="T1042">
            <v>30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</row>
        <row r="1043">
          <cell r="D1043">
            <v>300741</v>
          </cell>
          <cell r="E1043" t="str">
            <v>Felizardo C. Lipana NHS (Sta. Rita HS)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</row>
        <row r="1044">
          <cell r="D1044">
            <v>300755</v>
          </cell>
          <cell r="E1044" t="str">
            <v>San Pedro National High School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</row>
        <row r="1045">
          <cell r="D1045">
            <v>300733</v>
          </cell>
          <cell r="E1045" t="str">
            <v>Cambaog NHS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</row>
        <row r="1046">
          <cell r="D1046">
            <v>300717</v>
          </cell>
          <cell r="E1046" t="str">
            <v>Dr. Victoria B. Roman MHS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</row>
        <row r="1047">
          <cell r="D1047">
            <v>300744</v>
          </cell>
          <cell r="E1047" t="str">
            <v>Kapitangan National High School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</row>
        <row r="1048">
          <cell r="D1048">
            <v>300680</v>
          </cell>
          <cell r="E1048" t="str">
            <v>Casiguran NHS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</row>
        <row r="1049">
          <cell r="D1049">
            <v>345180</v>
          </cell>
          <cell r="E1049" t="str">
            <v>SHS within Luis Gravador Elementary School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</row>
        <row r="1050">
          <cell r="D1050">
            <v>300780</v>
          </cell>
          <cell r="E1050" t="str">
            <v>Tiaong NHS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</row>
        <row r="1051">
          <cell r="D1051">
            <v>300961</v>
          </cell>
          <cell r="E1051" t="str">
            <v>Comillas High School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</row>
        <row r="1052">
          <cell r="D1052">
            <v>300769</v>
          </cell>
          <cell r="E1052" t="str">
            <v>Caniogan High School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</row>
        <row r="1053">
          <cell r="D1053">
            <v>300748</v>
          </cell>
          <cell r="E1053" t="str">
            <v>Carlos F. Gonzales HS (Maguinao Cruz na Daan NHS)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</row>
        <row r="1054">
          <cell r="D1054">
            <v>307117</v>
          </cell>
          <cell r="E1054" t="str">
            <v>Pundakit High School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</row>
        <row r="1055">
          <cell r="D1055">
            <v>301014</v>
          </cell>
          <cell r="E1055" t="str">
            <v>Guisguis National High School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</row>
        <row r="1056">
          <cell r="D1056">
            <v>300764</v>
          </cell>
          <cell r="E1056" t="str">
            <v>Obando School of Fisheries</v>
          </cell>
          <cell r="F1056">
            <v>14</v>
          </cell>
          <cell r="G1056">
            <v>16</v>
          </cell>
          <cell r="H1056">
            <v>30</v>
          </cell>
          <cell r="I1056">
            <v>14</v>
          </cell>
          <cell r="J1056">
            <v>16</v>
          </cell>
          <cell r="K1056">
            <v>30</v>
          </cell>
          <cell r="L1056">
            <v>21</v>
          </cell>
          <cell r="M1056">
            <v>25</v>
          </cell>
          <cell r="N1056">
            <v>46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2</v>
          </cell>
          <cell r="Y1056">
            <v>3</v>
          </cell>
          <cell r="Z1056">
            <v>5</v>
          </cell>
        </row>
        <row r="1057">
          <cell r="D1057">
            <v>301027</v>
          </cell>
          <cell r="E1057" t="str">
            <v>Rofulo M. Landa HS (Salaza NHS)</v>
          </cell>
          <cell r="F1057">
            <v>153</v>
          </cell>
          <cell r="G1057">
            <v>128</v>
          </cell>
          <cell r="H1057">
            <v>281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</row>
        <row r="1058">
          <cell r="D1058">
            <v>300844</v>
          </cell>
          <cell r="E1058" t="str">
            <v>San Anton NHS</v>
          </cell>
          <cell r="F1058">
            <v>45</v>
          </cell>
          <cell r="G1058">
            <v>49</v>
          </cell>
          <cell r="H1058">
            <v>94</v>
          </cell>
          <cell r="I1058">
            <v>32</v>
          </cell>
          <cell r="J1058">
            <v>35</v>
          </cell>
          <cell r="K1058">
            <v>67</v>
          </cell>
          <cell r="L1058">
            <v>57</v>
          </cell>
          <cell r="M1058">
            <v>63</v>
          </cell>
          <cell r="N1058">
            <v>120</v>
          </cell>
          <cell r="O1058">
            <v>6</v>
          </cell>
          <cell r="P1058">
            <v>7</v>
          </cell>
          <cell r="Q1058">
            <v>13</v>
          </cell>
          <cell r="R1058">
            <v>10</v>
          </cell>
          <cell r="S1058">
            <v>12</v>
          </cell>
          <cell r="T1058">
            <v>22</v>
          </cell>
          <cell r="U1058">
            <v>0</v>
          </cell>
          <cell r="V1058">
            <v>0</v>
          </cell>
          <cell r="W1058">
            <v>0</v>
          </cell>
          <cell r="X1058">
            <v>3</v>
          </cell>
          <cell r="Y1058">
            <v>3</v>
          </cell>
          <cell r="Z1058">
            <v>6</v>
          </cell>
        </row>
        <row r="1059">
          <cell r="D1059">
            <v>301021</v>
          </cell>
          <cell r="E1059" t="str">
            <v>Gov. Manuel D. Barretto National High School</v>
          </cell>
          <cell r="F1059">
            <v>31</v>
          </cell>
          <cell r="G1059">
            <v>22</v>
          </cell>
          <cell r="H1059">
            <v>53</v>
          </cell>
          <cell r="I1059">
            <v>31</v>
          </cell>
          <cell r="J1059">
            <v>22</v>
          </cell>
          <cell r="K1059">
            <v>53</v>
          </cell>
          <cell r="L1059">
            <v>314</v>
          </cell>
          <cell r="M1059">
            <v>179</v>
          </cell>
          <cell r="N1059">
            <v>493</v>
          </cell>
          <cell r="O1059">
            <v>1</v>
          </cell>
          <cell r="P1059">
            <v>1</v>
          </cell>
          <cell r="Q1059">
            <v>2</v>
          </cell>
          <cell r="R1059">
            <v>1</v>
          </cell>
          <cell r="S1059">
            <v>1</v>
          </cell>
          <cell r="T1059">
            <v>2</v>
          </cell>
          <cell r="U1059">
            <v>5</v>
          </cell>
          <cell r="V1059">
            <v>6</v>
          </cell>
          <cell r="W1059">
            <v>11</v>
          </cell>
          <cell r="X1059">
            <v>6</v>
          </cell>
          <cell r="Y1059">
            <v>2</v>
          </cell>
          <cell r="Z1059">
            <v>8</v>
          </cell>
        </row>
        <row r="1060">
          <cell r="D1060">
            <v>300731</v>
          </cell>
          <cell r="E1060" t="str">
            <v>Akle HS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</row>
        <row r="1061">
          <cell r="D1061">
            <v>306714</v>
          </cell>
          <cell r="E1061" t="str">
            <v>Catmon National High School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</row>
        <row r="1062">
          <cell r="D1062">
            <v>305191</v>
          </cell>
          <cell r="E1062" t="str">
            <v>Baler Stand Alone Senior High School</v>
          </cell>
          <cell r="F1062">
            <v>53</v>
          </cell>
          <cell r="G1062">
            <v>64</v>
          </cell>
          <cell r="H1062">
            <v>117</v>
          </cell>
          <cell r="I1062">
            <v>12</v>
          </cell>
          <cell r="J1062">
            <v>30</v>
          </cell>
          <cell r="K1062">
            <v>42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</row>
        <row r="1063">
          <cell r="D1063">
            <v>300726</v>
          </cell>
          <cell r="E1063" t="str">
            <v>Bintog HS (Jose J. Mariano MHS)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</row>
        <row r="1064">
          <cell r="D1064">
            <v>301013</v>
          </cell>
          <cell r="E1064" t="str">
            <v>Agusuhin High School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</row>
        <row r="1065">
          <cell r="D1065">
            <v>300904</v>
          </cell>
          <cell r="E1065" t="str">
            <v>Pagyuruan NHS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</row>
        <row r="1066">
          <cell r="D1066">
            <v>301005</v>
          </cell>
          <cell r="E1066" t="str">
            <v>Bani National High School</v>
          </cell>
          <cell r="F1066">
            <v>10</v>
          </cell>
          <cell r="G1066">
            <v>29</v>
          </cell>
          <cell r="H1066">
            <v>39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</row>
        <row r="1067">
          <cell r="D1067">
            <v>500509</v>
          </cell>
          <cell r="E1067" t="str">
            <v>Kinabuksan Integrated School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</row>
        <row r="1068">
          <cell r="D1068">
            <v>300735</v>
          </cell>
          <cell r="E1068" t="str">
            <v>DAMPOL 2ND NATIONAL HIGH SCHOOL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</row>
        <row r="1069">
          <cell r="D1069">
            <v>306730</v>
          </cell>
          <cell r="E1069" t="str">
            <v>Banga High School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</row>
        <row r="1070">
          <cell r="D1070">
            <v>300697</v>
          </cell>
          <cell r="E1070" t="str">
            <v>B. Camacho NHS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</row>
        <row r="1071">
          <cell r="D1071">
            <v>300766</v>
          </cell>
          <cell r="E1071" t="str">
            <v>Prenza NHS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</row>
        <row r="1072">
          <cell r="D1072">
            <v>345213</v>
          </cell>
          <cell r="E1072" t="str">
            <v>SHS within V Delas Flores ES</v>
          </cell>
          <cell r="F1072">
            <v>31</v>
          </cell>
          <cell r="G1072">
            <v>23</v>
          </cell>
          <cell r="H1072">
            <v>54</v>
          </cell>
          <cell r="I1072">
            <v>5</v>
          </cell>
          <cell r="J1072">
            <v>8</v>
          </cell>
          <cell r="K1072">
            <v>13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</row>
        <row r="1073">
          <cell r="D1073">
            <v>300728</v>
          </cell>
          <cell r="E1073" t="str">
            <v>Bunsuran NHS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</row>
        <row r="1074">
          <cell r="D1074">
            <v>306504</v>
          </cell>
          <cell r="E1074" t="str">
            <v>Diagyan NHS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</row>
        <row r="1075">
          <cell r="D1075">
            <v>306707</v>
          </cell>
          <cell r="E1075" t="str">
            <v>Angel M. del Rosario HS</v>
          </cell>
          <cell r="F1075">
            <v>29</v>
          </cell>
          <cell r="G1075">
            <v>28</v>
          </cell>
          <cell r="H1075">
            <v>57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</row>
        <row r="1076">
          <cell r="D1076">
            <v>300738</v>
          </cell>
          <cell r="E1076" t="str">
            <v>Doña Candelaria Meneses Duque National High School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</row>
        <row r="1077">
          <cell r="D1077">
            <v>300746</v>
          </cell>
          <cell r="E1077" t="str">
            <v>Lolomboy National NHS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</row>
        <row r="1078">
          <cell r="D1078">
            <v>301009</v>
          </cell>
          <cell r="E1078" t="str">
            <v>Beneg National High School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</row>
        <row r="1079">
          <cell r="D1079">
            <v>306826</v>
          </cell>
          <cell r="E1079" t="str">
            <v>Emilia Belmonte Acosta National High Shool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</row>
        <row r="1080">
          <cell r="D1080">
            <v>300739</v>
          </cell>
          <cell r="E1080" t="str">
            <v>F. F. Halili Nat'l. Agr'l. School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</row>
        <row r="1081">
          <cell r="D1081">
            <v>307512</v>
          </cell>
          <cell r="E1081" t="str">
            <v>Muzon Harmony Hills High School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</row>
        <row r="1082">
          <cell r="D1082">
            <v>300743</v>
          </cell>
          <cell r="E1082" t="str">
            <v>Iba National High School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</row>
        <row r="1083">
          <cell r="D1083">
            <v>301003</v>
          </cell>
          <cell r="E1083" t="str">
            <v>Acoje National High School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</row>
        <row r="1084">
          <cell r="D1084">
            <v>300772</v>
          </cell>
          <cell r="E1084" t="str">
            <v>Partida HS (San Miguel NHS - Partida HS)</v>
          </cell>
          <cell r="F1084">
            <v>73</v>
          </cell>
          <cell r="G1084">
            <v>86</v>
          </cell>
          <cell r="H1084">
            <v>159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</row>
        <row r="1085">
          <cell r="D1085">
            <v>300773</v>
          </cell>
          <cell r="E1085" t="str">
            <v>San Rafael Nat'l Trade School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</row>
        <row r="1086">
          <cell r="D1086">
            <v>345214</v>
          </cell>
          <cell r="E1086" t="str">
            <v>SHS in Obando, Bulacan</v>
          </cell>
          <cell r="F1086">
            <v>73</v>
          </cell>
          <cell r="G1086">
            <v>70</v>
          </cell>
          <cell r="H1086">
            <v>143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</row>
        <row r="1087">
          <cell r="D1087">
            <v>300842</v>
          </cell>
          <cell r="E1087" t="str">
            <v>Salagusog National High School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</row>
        <row r="1088">
          <cell r="D1088">
            <v>300925</v>
          </cell>
          <cell r="E1088" t="str">
            <v>San Pablo 2nd National High School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</row>
        <row r="1089">
          <cell r="D1089">
            <v>307112</v>
          </cell>
          <cell r="E1089" t="str">
            <v>Nagyantok HS</v>
          </cell>
          <cell r="F1089">
            <v>43</v>
          </cell>
          <cell r="G1089">
            <v>20</v>
          </cell>
          <cell r="H1089">
            <v>63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</row>
        <row r="1090">
          <cell r="D1090">
            <v>306713</v>
          </cell>
          <cell r="E1090" t="str">
            <v>Bajet-Castillo High School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</row>
        <row r="1091">
          <cell r="D1091">
            <v>300758</v>
          </cell>
          <cell r="E1091" t="str">
            <v>MINUYAN NATIONAL HIGH SCHOOL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</row>
        <row r="1092">
          <cell r="D1092">
            <v>300749</v>
          </cell>
          <cell r="E1092" t="str">
            <v>Salapungan NHS</v>
          </cell>
          <cell r="F1092">
            <v>95</v>
          </cell>
          <cell r="G1092">
            <v>66</v>
          </cell>
          <cell r="H1092">
            <v>161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</row>
        <row r="1093">
          <cell r="D1093">
            <v>300839</v>
          </cell>
          <cell r="E1093" t="str">
            <v>Restituto B. Peria HS</v>
          </cell>
          <cell r="F1093">
            <v>84</v>
          </cell>
          <cell r="G1093">
            <v>60</v>
          </cell>
          <cell r="H1093">
            <v>144</v>
          </cell>
          <cell r="I1093">
            <v>8</v>
          </cell>
          <cell r="J1093">
            <v>9</v>
          </cell>
          <cell r="K1093">
            <v>17</v>
          </cell>
          <cell r="L1093">
            <v>76</v>
          </cell>
          <cell r="M1093">
            <v>51</v>
          </cell>
          <cell r="N1093">
            <v>127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</row>
        <row r="1094">
          <cell r="D1094">
            <v>307131</v>
          </cell>
          <cell r="E1094" t="str">
            <v>Lakas High School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</row>
        <row r="1095">
          <cell r="D1095">
            <v>300754</v>
          </cell>
          <cell r="E1095" t="str">
            <v>Ramona S. Trillana HS (Mayor Ramon Trillana Mem. HS (Iba NHS))</v>
          </cell>
          <cell r="F1095">
            <v>0</v>
          </cell>
          <cell r="G1095">
            <v>0</v>
          </cell>
          <cell r="H1095">
            <v>0</v>
          </cell>
          <cell r="I1095">
            <v>2</v>
          </cell>
          <cell r="J1095">
            <v>3</v>
          </cell>
          <cell r="K1095">
            <v>5</v>
          </cell>
          <cell r="L1095">
            <v>3</v>
          </cell>
          <cell r="M1095">
            <v>2</v>
          </cell>
          <cell r="N1095">
            <v>5</v>
          </cell>
          <cell r="O1095">
            <v>3</v>
          </cell>
          <cell r="P1095">
            <v>7</v>
          </cell>
          <cell r="Q1095">
            <v>10</v>
          </cell>
          <cell r="R1095">
            <v>2</v>
          </cell>
          <cell r="S1095">
            <v>3</v>
          </cell>
          <cell r="T1095">
            <v>5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</row>
        <row r="1096">
          <cell r="D1096">
            <v>306712</v>
          </cell>
          <cell r="E1096" t="str">
            <v>Sto. Nino High School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</row>
        <row r="1097">
          <cell r="D1097">
            <v>301019</v>
          </cell>
          <cell r="E1097" t="str">
            <v>Lauis National High School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</row>
        <row r="1098">
          <cell r="D1098">
            <v>500126</v>
          </cell>
          <cell r="E1098" t="str">
            <v>Batiawan-I Integrated School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</row>
        <row r="1099">
          <cell r="D1099">
            <v>300770</v>
          </cell>
          <cell r="E1099" t="str">
            <v>Frances National High School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</row>
        <row r="1100">
          <cell r="D1100">
            <v>301030</v>
          </cell>
          <cell r="E1100" t="str">
            <v>San Marcelino National HS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</row>
        <row r="1101">
          <cell r="D1101">
            <v>300806</v>
          </cell>
          <cell r="E1101" t="str">
            <v>Galvan National High School</v>
          </cell>
          <cell r="F1101">
            <v>131</v>
          </cell>
          <cell r="G1101">
            <v>121</v>
          </cell>
          <cell r="H1101">
            <v>252</v>
          </cell>
          <cell r="I1101">
            <v>124</v>
          </cell>
          <cell r="J1101">
            <v>115</v>
          </cell>
          <cell r="K1101">
            <v>239</v>
          </cell>
          <cell r="L1101">
            <v>218</v>
          </cell>
          <cell r="M1101">
            <v>251</v>
          </cell>
          <cell r="N1101">
            <v>469</v>
          </cell>
          <cell r="O1101">
            <v>1</v>
          </cell>
          <cell r="P1101">
            <v>1</v>
          </cell>
          <cell r="Q1101">
            <v>2</v>
          </cell>
          <cell r="R1101">
            <v>2</v>
          </cell>
          <cell r="S1101">
            <v>1</v>
          </cell>
          <cell r="T1101">
            <v>3</v>
          </cell>
          <cell r="U1101">
            <v>0</v>
          </cell>
          <cell r="V1101">
            <v>1</v>
          </cell>
          <cell r="W1101">
            <v>1</v>
          </cell>
          <cell r="X1101">
            <v>0</v>
          </cell>
          <cell r="Y1101">
            <v>0</v>
          </cell>
          <cell r="Z1101">
            <v>0</v>
          </cell>
        </row>
        <row r="1102">
          <cell r="D1102">
            <v>306833</v>
          </cell>
          <cell r="E1102" t="str">
            <v>San Leonardo NHS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</row>
        <row r="1103">
          <cell r="D1103">
            <v>300781</v>
          </cell>
          <cell r="E1103" t="str">
            <v>Tibagan National High School</v>
          </cell>
          <cell r="F1103">
            <v>244</v>
          </cell>
          <cell r="G1103">
            <v>140</v>
          </cell>
          <cell r="H1103">
            <v>384</v>
          </cell>
          <cell r="I1103">
            <v>51</v>
          </cell>
          <cell r="J1103">
            <v>34</v>
          </cell>
          <cell r="K1103">
            <v>85</v>
          </cell>
          <cell r="L1103">
            <v>51</v>
          </cell>
          <cell r="M1103">
            <v>34</v>
          </cell>
          <cell r="N1103">
            <v>85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</row>
        <row r="1104">
          <cell r="D1104">
            <v>301017</v>
          </cell>
          <cell r="E1104" t="str">
            <v>La Paz National High School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</row>
        <row r="1105">
          <cell r="D1105">
            <v>500771</v>
          </cell>
          <cell r="E1105" t="str">
            <v>San Juan Integrated School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</row>
        <row r="1106">
          <cell r="D1106">
            <v>500398</v>
          </cell>
          <cell r="E1106" t="str">
            <v>Palusapis IS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</row>
        <row r="1107">
          <cell r="D1107">
            <v>322801</v>
          </cell>
          <cell r="E1107" t="str">
            <v>Munoz National High School (Annex)</v>
          </cell>
          <cell r="F1107">
            <v>199</v>
          </cell>
          <cell r="G1107">
            <v>136</v>
          </cell>
          <cell r="H1107">
            <v>335</v>
          </cell>
          <cell r="I1107">
            <v>5</v>
          </cell>
          <cell r="J1107">
            <v>10</v>
          </cell>
          <cell r="K1107">
            <v>15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</row>
        <row r="1108">
          <cell r="D1108">
            <v>300723</v>
          </cell>
          <cell r="E1108" t="str">
            <v>DoÃ±a Remedios Trinidad High School</v>
          </cell>
          <cell r="F1108">
            <v>112</v>
          </cell>
          <cell r="G1108">
            <v>115</v>
          </cell>
          <cell r="H1108">
            <v>227</v>
          </cell>
          <cell r="I1108">
            <v>5</v>
          </cell>
          <cell r="J1108">
            <v>1</v>
          </cell>
          <cell r="K1108">
            <v>6</v>
          </cell>
          <cell r="L1108">
            <v>7</v>
          </cell>
          <cell r="M1108">
            <v>1</v>
          </cell>
          <cell r="N1108">
            <v>8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</row>
        <row r="1109">
          <cell r="D1109">
            <v>307103</v>
          </cell>
          <cell r="E1109" t="str">
            <v>San Salvador High School</v>
          </cell>
          <cell r="F1109">
            <v>34</v>
          </cell>
          <cell r="G1109">
            <v>42</v>
          </cell>
          <cell r="H1109">
            <v>76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</row>
        <row r="1110">
          <cell r="D1110">
            <v>306711</v>
          </cell>
          <cell r="E1110" t="str">
            <v>San Francisco Xavier High School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</row>
        <row r="1111">
          <cell r="D1111">
            <v>300859</v>
          </cell>
          <cell r="E1111" t="str">
            <v>Sto. Rosario NHS, Sto. Domingo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</row>
        <row r="1112">
          <cell r="D1112">
            <v>300831</v>
          </cell>
          <cell r="E1112" t="str">
            <v>Pantabangan NHS - Annex, Cadaclan IS</v>
          </cell>
          <cell r="F1112">
            <v>27</v>
          </cell>
          <cell r="G1112">
            <v>45</v>
          </cell>
          <cell r="H1112">
            <v>72</v>
          </cell>
          <cell r="I1112">
            <v>55</v>
          </cell>
          <cell r="J1112">
            <v>34</v>
          </cell>
          <cell r="K1112">
            <v>89</v>
          </cell>
          <cell r="L1112">
            <v>47</v>
          </cell>
          <cell r="M1112">
            <v>152</v>
          </cell>
          <cell r="N1112">
            <v>199</v>
          </cell>
          <cell r="O1112">
            <v>0</v>
          </cell>
          <cell r="P1112">
            <v>0</v>
          </cell>
          <cell r="Q1112">
            <v>0</v>
          </cell>
          <cell r="R1112">
            <v>2</v>
          </cell>
          <cell r="S1112">
            <v>4</v>
          </cell>
          <cell r="T1112">
            <v>6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</row>
        <row r="1113">
          <cell r="D1113">
            <v>306721</v>
          </cell>
          <cell r="E1113" t="str">
            <v>EMILIA PEREZ LIGON HIGH SCHOOL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</row>
        <row r="1114">
          <cell r="D1114">
            <v>306728</v>
          </cell>
          <cell r="E1114" t="str">
            <v>Sta. Catalina Bata National High School</v>
          </cell>
          <cell r="F1114">
            <v>44</v>
          </cell>
          <cell r="G1114">
            <v>61</v>
          </cell>
          <cell r="H1114">
            <v>105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</row>
        <row r="1115">
          <cell r="D1115">
            <v>306715</v>
          </cell>
          <cell r="E1115" t="str">
            <v>Iluminada Mendoza-Roxas Memorial High School (Bambang NHS)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</row>
        <row r="1116">
          <cell r="D1116">
            <v>306718</v>
          </cell>
          <cell r="E1116" t="str">
            <v>Lydia D. Villangca Trade School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</row>
        <row r="1117">
          <cell r="D1117">
            <v>306708</v>
          </cell>
          <cell r="E1117" t="str">
            <v>Maronquillo National High School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</row>
        <row r="1118">
          <cell r="D1118">
            <v>300867</v>
          </cell>
          <cell r="E1118" t="str">
            <v>Teodoro A. Dionisio NHS</v>
          </cell>
          <cell r="F1118">
            <v>91</v>
          </cell>
          <cell r="G1118">
            <v>58</v>
          </cell>
          <cell r="H1118">
            <v>149</v>
          </cell>
          <cell r="I1118">
            <v>14</v>
          </cell>
          <cell r="J1118">
            <v>10</v>
          </cell>
          <cell r="K1118">
            <v>24</v>
          </cell>
          <cell r="L1118">
            <v>42</v>
          </cell>
          <cell r="M1118">
            <v>32</v>
          </cell>
          <cell r="N1118">
            <v>74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16</v>
          </cell>
          <cell r="V1118">
            <v>12</v>
          </cell>
          <cell r="W1118">
            <v>28</v>
          </cell>
          <cell r="X1118">
            <v>0</v>
          </cell>
          <cell r="Y1118">
            <v>0</v>
          </cell>
          <cell r="Z1118">
            <v>0</v>
          </cell>
        </row>
        <row r="1119">
          <cell r="D1119">
            <v>306727</v>
          </cell>
          <cell r="E1119" t="str">
            <v>Dr. Pablito V. Mendoza, Sr. High Schoo</v>
          </cell>
          <cell r="F1119">
            <v>107</v>
          </cell>
          <cell r="G1119">
            <v>85</v>
          </cell>
          <cell r="H1119">
            <v>192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</row>
        <row r="1120">
          <cell r="D1120">
            <v>300778</v>
          </cell>
          <cell r="E1120" t="str">
            <v>Sulivan National High School</v>
          </cell>
          <cell r="F1120">
            <v>89</v>
          </cell>
          <cell r="G1120">
            <v>120</v>
          </cell>
          <cell r="H1120">
            <v>209</v>
          </cell>
          <cell r="I1120">
            <v>9</v>
          </cell>
          <cell r="J1120">
            <v>5</v>
          </cell>
          <cell r="K1120">
            <v>14</v>
          </cell>
          <cell r="L1120">
            <v>9</v>
          </cell>
          <cell r="M1120">
            <v>5</v>
          </cell>
          <cell r="N1120">
            <v>14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</row>
        <row r="1121">
          <cell r="D1121">
            <v>300722</v>
          </cell>
          <cell r="E1121" t="str">
            <v>Binagbag NHS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</row>
        <row r="1122">
          <cell r="D1122">
            <v>307510</v>
          </cell>
          <cell r="E1122" t="str">
            <v>Kaypian National High School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</row>
        <row r="1123">
          <cell r="D1123">
            <v>300734</v>
          </cell>
          <cell r="E1123" t="str">
            <v>Dampol 1st National High School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</row>
        <row r="1124">
          <cell r="D1124">
            <v>300824</v>
          </cell>
          <cell r="E1124" t="str">
            <v>Munoz National HS-Main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</row>
        <row r="1125">
          <cell r="D1125">
            <v>300732</v>
          </cell>
          <cell r="E1125" t="str">
            <v>San Ildefonso National High School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</row>
        <row r="1126">
          <cell r="D1126">
            <v>306703</v>
          </cell>
          <cell r="E1126" t="str">
            <v>Julian B. Sumbillo High School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1</v>
          </cell>
          <cell r="K1126">
            <v>1</v>
          </cell>
          <cell r="L1126">
            <v>0</v>
          </cell>
          <cell r="M1126">
            <v>1</v>
          </cell>
          <cell r="N1126">
            <v>1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</row>
        <row r="1127">
          <cell r="D1127">
            <v>300774</v>
          </cell>
          <cell r="E1127" t="str">
            <v>John J. Russell MHS (Sibul NHS)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</row>
        <row r="1128">
          <cell r="D1128">
            <v>300760</v>
          </cell>
          <cell r="E1128" t="str">
            <v>Norzagaray National High School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</row>
        <row r="1129">
          <cell r="D1129">
            <v>300725</v>
          </cell>
          <cell r="E1129" t="str">
            <v>Talbak High School</v>
          </cell>
          <cell r="F1129">
            <v>17</v>
          </cell>
          <cell r="G1129">
            <v>16</v>
          </cell>
          <cell r="H1129">
            <v>33</v>
          </cell>
          <cell r="I1129">
            <v>1</v>
          </cell>
          <cell r="J1129">
            <v>2</v>
          </cell>
          <cell r="K1129">
            <v>3</v>
          </cell>
          <cell r="L1129">
            <v>0</v>
          </cell>
          <cell r="M1129">
            <v>0</v>
          </cell>
          <cell r="N1129">
            <v>0</v>
          </cell>
          <cell r="O1129">
            <v>1</v>
          </cell>
          <cell r="P1129">
            <v>2</v>
          </cell>
          <cell r="Q1129">
            <v>3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</row>
        <row r="1130">
          <cell r="D1130">
            <v>300689</v>
          </cell>
          <cell r="E1130" t="str">
            <v>Juan C. Angara Memorial NHS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</row>
        <row r="1131">
          <cell r="D1131">
            <v>300817</v>
          </cell>
          <cell r="E1131" t="str">
            <v>Magpapalayok NHS</v>
          </cell>
          <cell r="F1131">
            <v>51</v>
          </cell>
          <cell r="G1131">
            <v>48</v>
          </cell>
          <cell r="H1131">
            <v>99</v>
          </cell>
          <cell r="I1131">
            <v>36</v>
          </cell>
          <cell r="J1131">
            <v>34</v>
          </cell>
          <cell r="K1131">
            <v>70</v>
          </cell>
          <cell r="L1131">
            <v>64</v>
          </cell>
          <cell r="M1131">
            <v>63</v>
          </cell>
          <cell r="N1131">
            <v>127</v>
          </cell>
          <cell r="O1131">
            <v>7</v>
          </cell>
          <cell r="P1131">
            <v>5</v>
          </cell>
          <cell r="Q1131">
            <v>12</v>
          </cell>
          <cell r="R1131">
            <v>14</v>
          </cell>
          <cell r="S1131">
            <v>10</v>
          </cell>
          <cell r="T1131">
            <v>24</v>
          </cell>
          <cell r="U1131">
            <v>0</v>
          </cell>
          <cell r="V1131">
            <v>0</v>
          </cell>
          <cell r="W1131">
            <v>0</v>
          </cell>
          <cell r="X1131">
            <v>3</v>
          </cell>
          <cell r="Y1131">
            <v>2</v>
          </cell>
          <cell r="Z1131">
            <v>5</v>
          </cell>
        </row>
        <row r="1132">
          <cell r="D1132">
            <v>300729</v>
          </cell>
          <cell r="E1132" t="str">
            <v>Masagana HS</v>
          </cell>
          <cell r="F1132">
            <v>89</v>
          </cell>
          <cell r="G1132">
            <v>72</v>
          </cell>
          <cell r="H1132">
            <v>161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</row>
        <row r="1133">
          <cell r="D1133">
            <v>300765</v>
          </cell>
          <cell r="E1133" t="str">
            <v>Parada NHS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</row>
        <row r="1134">
          <cell r="D1134">
            <v>300767</v>
          </cell>
          <cell r="E1134" t="str">
            <v>Pulong Buhangin NHS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</row>
        <row r="1135">
          <cell r="D1135">
            <v>300979</v>
          </cell>
          <cell r="E1135" t="str">
            <v>Pilpila High School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</row>
        <row r="1136">
          <cell r="D1136">
            <v>300745</v>
          </cell>
          <cell r="E1136" t="str">
            <v>San Roque National HS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</row>
        <row r="1137">
          <cell r="D1137">
            <v>300756</v>
          </cell>
          <cell r="E1137" t="str">
            <v>Sta. Monica National High School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</row>
        <row r="1138">
          <cell r="D1138">
            <v>300724</v>
          </cell>
          <cell r="E1138" t="str">
            <v>Sapang Bulac High School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</row>
        <row r="1139">
          <cell r="D1139">
            <v>300771</v>
          </cell>
          <cell r="E1139" t="str">
            <v>San Miguel NHS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</row>
        <row r="1140">
          <cell r="D1140">
            <v>306704</v>
          </cell>
          <cell r="E1140" t="str">
            <v>Vedasto R. Santiago HS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</row>
        <row r="1141">
          <cell r="D1141">
            <v>300747</v>
          </cell>
          <cell r="E1141" t="str">
            <v>Taal High School</v>
          </cell>
          <cell r="F1141">
            <v>280</v>
          </cell>
          <cell r="G1141">
            <v>276</v>
          </cell>
          <cell r="H1141">
            <v>556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</row>
        <row r="1142">
          <cell r="D1142">
            <v>300929</v>
          </cell>
          <cell r="E1142" t="str">
            <v>San Vicente NHS, Lubao</v>
          </cell>
          <cell r="F1142">
            <v>220</v>
          </cell>
          <cell r="G1142">
            <v>234</v>
          </cell>
          <cell r="H1142">
            <v>454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</row>
        <row r="1143">
          <cell r="D1143">
            <v>306720</v>
          </cell>
          <cell r="E1143" t="str">
            <v>Esteban Paulino HS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</row>
        <row r="1144">
          <cell r="D1144">
            <v>301022</v>
          </cell>
          <cell r="E1144" t="str">
            <v>Mena Mem. National High School  (Bolitoc NHS)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</row>
        <row r="1145">
          <cell r="D1145">
            <v>300740</v>
          </cell>
          <cell r="E1145" t="str">
            <v>ASSEMBLYWOMAN FELICITA G. BERNARDINO MEMORIAL TRADE SCHOOL</v>
          </cell>
          <cell r="F1145">
            <v>100</v>
          </cell>
          <cell r="G1145">
            <v>70</v>
          </cell>
          <cell r="H1145">
            <v>170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</row>
        <row r="1146">
          <cell r="D1146">
            <v>300986</v>
          </cell>
          <cell r="E1146" t="str">
            <v>San Jose NHS</v>
          </cell>
          <cell r="F1146">
            <v>39</v>
          </cell>
          <cell r="G1146">
            <v>32</v>
          </cell>
          <cell r="H1146">
            <v>71</v>
          </cell>
          <cell r="I1146">
            <v>29</v>
          </cell>
          <cell r="J1146">
            <v>28</v>
          </cell>
          <cell r="K1146">
            <v>57</v>
          </cell>
          <cell r="L1146">
            <v>29</v>
          </cell>
          <cell r="M1146">
            <v>28</v>
          </cell>
          <cell r="N1146">
            <v>57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</row>
        <row r="1147">
          <cell r="D1147">
            <v>300768</v>
          </cell>
          <cell r="E1147" t="str">
            <v>Calumpit NHS (San Marcos NHS)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</row>
        <row r="1148">
          <cell r="D1148">
            <v>300693</v>
          </cell>
          <cell r="E1148" t="str">
            <v>Dipaculao NHS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</row>
        <row r="1149">
          <cell r="D1149">
            <v>300736</v>
          </cell>
          <cell r="E1149" t="str">
            <v>Sta. Lucia National High School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</row>
        <row r="1150">
          <cell r="D1150">
            <v>300982</v>
          </cell>
          <cell r="E1150" t="str">
            <v>Ramos National High School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</row>
        <row r="1151">
          <cell r="D1151">
            <v>300882</v>
          </cell>
          <cell r="E1151" t="str">
            <v>Betis NHS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</row>
        <row r="1152">
          <cell r="D1152">
            <v>300905</v>
          </cell>
          <cell r="E1152" t="str">
            <v>Don Jesus Gonzales High School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</row>
        <row r="1153">
          <cell r="D1153">
            <v>307506</v>
          </cell>
          <cell r="E1153" t="str">
            <v>City of San Jose del Monte National Science High School</v>
          </cell>
          <cell r="F1153">
            <v>0</v>
          </cell>
          <cell r="G1153">
            <v>110</v>
          </cell>
          <cell r="H1153">
            <v>110</v>
          </cell>
          <cell r="I1153">
            <v>0</v>
          </cell>
          <cell r="J1153">
            <v>51</v>
          </cell>
          <cell r="K1153">
            <v>51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50</v>
          </cell>
          <cell r="Q1153">
            <v>50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2</v>
          </cell>
          <cell r="W1153">
            <v>2</v>
          </cell>
          <cell r="X1153">
            <v>0</v>
          </cell>
          <cell r="Y1153">
            <v>2</v>
          </cell>
          <cell r="Z1153">
            <v>2</v>
          </cell>
        </row>
        <row r="1154">
          <cell r="D1154">
            <v>500145</v>
          </cell>
          <cell r="E1154" t="str">
            <v>Maimpis Integrated High School</v>
          </cell>
          <cell r="F1154">
            <v>0</v>
          </cell>
          <cell r="G1154">
            <v>0</v>
          </cell>
          <cell r="H1154">
            <v>0</v>
          </cell>
          <cell r="I1154">
            <v>2</v>
          </cell>
          <cell r="J1154">
            <v>0</v>
          </cell>
          <cell r="K1154">
            <v>2</v>
          </cell>
          <cell r="L1154">
            <v>4</v>
          </cell>
          <cell r="M1154">
            <v>0</v>
          </cell>
          <cell r="N1154">
            <v>4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</row>
        <row r="1155">
          <cell r="D1155">
            <v>300737</v>
          </cell>
          <cell r="E1155" t="str">
            <v>Sta. Peregrina HS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</row>
        <row r="1156">
          <cell r="D1156">
            <v>300895</v>
          </cell>
          <cell r="E1156" t="str">
            <v>Mabalacat NHS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</row>
        <row r="1157">
          <cell r="D1157">
            <v>300776</v>
          </cell>
          <cell r="E1157" t="str">
            <v>Sta. Cruz NHS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</row>
        <row r="1158">
          <cell r="D1158">
            <v>301062</v>
          </cell>
          <cell r="E1158" t="str">
            <v>Sapang Palay National High School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</row>
        <row r="1159">
          <cell r="D1159">
            <v>300880</v>
          </cell>
          <cell r="E1159" t="str">
            <v>Becuran National High School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</row>
        <row r="1160">
          <cell r="D1160">
            <v>301049</v>
          </cell>
          <cell r="E1160" t="str">
            <v>Eastern Cabu NHS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</row>
        <row r="1161">
          <cell r="D1161">
            <v>500140</v>
          </cell>
          <cell r="E1161" t="str">
            <v>Baliti IS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</row>
        <row r="1162">
          <cell r="D1162">
            <v>300955</v>
          </cell>
          <cell r="E1162" t="str">
            <v>Caanamongan High School</v>
          </cell>
          <cell r="F1162">
            <v>39</v>
          </cell>
          <cell r="G1162">
            <v>48</v>
          </cell>
          <cell r="H1162">
            <v>87</v>
          </cell>
          <cell r="I1162">
            <v>14</v>
          </cell>
          <cell r="J1162">
            <v>11</v>
          </cell>
          <cell r="K1162">
            <v>25</v>
          </cell>
          <cell r="L1162">
            <v>14</v>
          </cell>
          <cell r="M1162">
            <v>11</v>
          </cell>
          <cell r="N1162">
            <v>25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</row>
        <row r="1163">
          <cell r="D1163">
            <v>300932</v>
          </cell>
          <cell r="E1163" t="str">
            <v>Sta. Ana NHS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</row>
        <row r="1164">
          <cell r="D1164">
            <v>300809</v>
          </cell>
          <cell r="E1164" t="str">
            <v>Bartolome R Sangalang National High School</v>
          </cell>
          <cell r="F1164">
            <v>251</v>
          </cell>
          <cell r="G1164">
            <v>160</v>
          </cell>
          <cell r="H1164">
            <v>411</v>
          </cell>
          <cell r="I1164">
            <v>188</v>
          </cell>
          <cell r="J1164">
            <v>120</v>
          </cell>
          <cell r="K1164">
            <v>308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20</v>
          </cell>
          <cell r="S1164">
            <v>12</v>
          </cell>
          <cell r="T1164">
            <v>32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</row>
        <row r="1165">
          <cell r="D1165">
            <v>300787</v>
          </cell>
          <cell r="E1165" t="str">
            <v>Fort Magsaysay NHS (formerly Barangay Militar HS)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</row>
        <row r="1166">
          <cell r="D1166">
            <v>307004</v>
          </cell>
          <cell r="E1166" t="str">
            <v>Ventinilla HS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</row>
        <row r="1167">
          <cell r="D1167">
            <v>306723</v>
          </cell>
          <cell r="E1167" t="str">
            <v>San Miguel-Meysulao High School</v>
          </cell>
          <cell r="F1167">
            <v>45</v>
          </cell>
          <cell r="G1167">
            <v>33</v>
          </cell>
          <cell r="H1167">
            <v>78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</row>
        <row r="1168">
          <cell r="D1168">
            <v>300716</v>
          </cell>
          <cell r="E1168" t="str">
            <v>P. Roman NHS</v>
          </cell>
          <cell r="F1168">
            <v>141</v>
          </cell>
          <cell r="G1168">
            <v>154</v>
          </cell>
          <cell r="H1168">
            <v>295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</row>
        <row r="1169">
          <cell r="D1169">
            <v>300943</v>
          </cell>
          <cell r="E1169" t="str">
            <v>Tinajero NHS - Sta. Lucia HS Annex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</row>
        <row r="1170">
          <cell r="D1170">
            <v>301025</v>
          </cell>
          <cell r="E1170" t="str">
            <v>Botolan National High School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</row>
        <row r="1171">
          <cell r="D1171">
            <v>306938</v>
          </cell>
          <cell r="E1171" t="str">
            <v>AYALA HIGH SCHOOL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</row>
        <row r="1172">
          <cell r="D1172">
            <v>300964</v>
          </cell>
          <cell r="E1172" t="str">
            <v>Estipona NHS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</row>
        <row r="1173">
          <cell r="D1173">
            <v>301004</v>
          </cell>
          <cell r="E1173" t="str">
            <v>Amungan National High School</v>
          </cell>
          <cell r="F1173">
            <v>86</v>
          </cell>
          <cell r="G1173">
            <v>90</v>
          </cell>
          <cell r="H1173">
            <v>176</v>
          </cell>
          <cell r="I1173">
            <v>49</v>
          </cell>
          <cell r="J1173">
            <v>49</v>
          </cell>
          <cell r="K1173">
            <v>98</v>
          </cell>
          <cell r="L1173">
            <v>37</v>
          </cell>
          <cell r="M1173">
            <v>41</v>
          </cell>
          <cell r="N1173">
            <v>78</v>
          </cell>
          <cell r="O1173">
            <v>0</v>
          </cell>
          <cell r="P1173">
            <v>0</v>
          </cell>
          <cell r="Q1173">
            <v>0</v>
          </cell>
          <cell r="R1173">
            <v>86</v>
          </cell>
          <cell r="S1173">
            <v>90</v>
          </cell>
          <cell r="T1173">
            <v>176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</row>
        <row r="1174">
          <cell r="D1174">
            <v>306501</v>
          </cell>
          <cell r="E1174" t="str">
            <v>Mariano D. Marquez Memorial NHS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</row>
        <row r="1175">
          <cell r="D1175">
            <v>300875</v>
          </cell>
          <cell r="E1175" t="str">
            <v>Balitucan National High School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</row>
        <row r="1176">
          <cell r="D1176">
            <v>300995</v>
          </cell>
          <cell r="E1176" t="str">
            <v>Tagumbao NHS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</row>
        <row r="1177">
          <cell r="D1177">
            <v>300928</v>
          </cell>
          <cell r="E1177" t="str">
            <v>San Roque Dau NHS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</row>
        <row r="1178">
          <cell r="D1178">
            <v>345224</v>
          </cell>
          <cell r="E1178" t="str">
            <v>Mabayuan Senior High School Stand Alone 2</v>
          </cell>
          <cell r="F1178">
            <v>222</v>
          </cell>
          <cell r="G1178">
            <v>0</v>
          </cell>
          <cell r="H1178">
            <v>222</v>
          </cell>
          <cell r="I1178">
            <v>217</v>
          </cell>
          <cell r="J1178">
            <v>0</v>
          </cell>
          <cell r="K1178">
            <v>217</v>
          </cell>
          <cell r="L1178">
            <v>2549</v>
          </cell>
          <cell r="M1178">
            <v>0</v>
          </cell>
          <cell r="N1178">
            <v>2549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</row>
        <row r="1179">
          <cell r="D1179">
            <v>307502</v>
          </cell>
          <cell r="E1179" t="str">
            <v>Kakawate National HS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</row>
        <row r="1180">
          <cell r="D1180">
            <v>300957</v>
          </cell>
          <cell r="E1180" t="str">
            <v>Caluluan HS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</row>
        <row r="1181">
          <cell r="D1181">
            <v>300884</v>
          </cell>
          <cell r="E1181" t="str">
            <v>Camba NHS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</row>
        <row r="1182">
          <cell r="D1182">
            <v>300912</v>
          </cell>
          <cell r="E1182" t="str">
            <v>Remedios NHS</v>
          </cell>
          <cell r="F1182">
            <v>80</v>
          </cell>
          <cell r="G1182">
            <v>105</v>
          </cell>
          <cell r="H1182">
            <v>185</v>
          </cell>
          <cell r="I1182">
            <v>8</v>
          </cell>
          <cell r="J1182">
            <v>4</v>
          </cell>
          <cell r="K1182">
            <v>12</v>
          </cell>
          <cell r="L1182">
            <v>2</v>
          </cell>
          <cell r="M1182">
            <v>1</v>
          </cell>
          <cell r="N1182">
            <v>3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</row>
        <row r="1183">
          <cell r="D1183">
            <v>306926</v>
          </cell>
          <cell r="E1183" t="str">
            <v>Malauli High School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</row>
        <row r="1184">
          <cell r="D1184">
            <v>306809</v>
          </cell>
          <cell r="E1184" t="str">
            <v>LEONOR M. BAUTISTA HS (Pias Campus Annex)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</row>
        <row r="1185">
          <cell r="D1185">
            <v>300947</v>
          </cell>
          <cell r="E1185" t="str">
            <v>Aringin NHS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</row>
        <row r="1186">
          <cell r="D1186">
            <v>301057</v>
          </cell>
          <cell r="E1186" t="str">
            <v>New Cabalan National High School</v>
          </cell>
          <cell r="F1186">
            <v>247</v>
          </cell>
          <cell r="G1186">
            <v>0</v>
          </cell>
          <cell r="H1186">
            <v>247</v>
          </cell>
          <cell r="I1186">
            <v>244</v>
          </cell>
          <cell r="J1186">
            <v>0</v>
          </cell>
          <cell r="K1186">
            <v>244</v>
          </cell>
          <cell r="L1186">
            <v>3272</v>
          </cell>
          <cell r="M1186">
            <v>0</v>
          </cell>
          <cell r="N1186">
            <v>3272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</row>
        <row r="1187">
          <cell r="D1187">
            <v>361079</v>
          </cell>
          <cell r="E1187" t="str">
            <v>SHS within Tapinac ES</v>
          </cell>
          <cell r="F1187">
            <v>225</v>
          </cell>
          <cell r="G1187">
            <v>135</v>
          </cell>
          <cell r="H1187">
            <v>360</v>
          </cell>
          <cell r="I1187">
            <v>214</v>
          </cell>
          <cell r="J1187">
            <v>109</v>
          </cell>
          <cell r="K1187">
            <v>323</v>
          </cell>
          <cell r="L1187">
            <v>2814</v>
          </cell>
          <cell r="M1187">
            <v>812</v>
          </cell>
          <cell r="N1187">
            <v>3626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6</v>
          </cell>
          <cell r="V1187">
            <v>1</v>
          </cell>
          <cell r="W1187">
            <v>7</v>
          </cell>
          <cell r="X1187">
            <v>0</v>
          </cell>
          <cell r="Y1187">
            <v>0</v>
          </cell>
          <cell r="Z1187">
            <v>0</v>
          </cell>
        </row>
        <row r="1188">
          <cell r="D1188">
            <v>300933</v>
          </cell>
          <cell r="E1188" t="str">
            <v>Masantol HS (Sta. Lucia NHS, Masantol)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</row>
        <row r="1189">
          <cell r="D1189">
            <v>300944</v>
          </cell>
          <cell r="E1189" t="str">
            <v>Alvindia-Aguso High School</v>
          </cell>
          <cell r="F1189">
            <v>68</v>
          </cell>
          <cell r="G1189">
            <v>50</v>
          </cell>
          <cell r="H1189">
            <v>118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</row>
        <row r="1190">
          <cell r="D1190">
            <v>345223</v>
          </cell>
          <cell r="E1190" t="str">
            <v>SHS within Barretto 1 ES</v>
          </cell>
          <cell r="F1190">
            <v>93</v>
          </cell>
          <cell r="G1190">
            <v>0</v>
          </cell>
          <cell r="H1190">
            <v>93</v>
          </cell>
          <cell r="I1190">
            <v>89</v>
          </cell>
          <cell r="J1190">
            <v>0</v>
          </cell>
          <cell r="K1190">
            <v>89</v>
          </cell>
          <cell r="L1190">
            <v>902</v>
          </cell>
          <cell r="M1190">
            <v>0</v>
          </cell>
          <cell r="N1190">
            <v>902</v>
          </cell>
          <cell r="O1190">
            <v>3</v>
          </cell>
          <cell r="P1190">
            <v>0</v>
          </cell>
          <cell r="Q1190">
            <v>3</v>
          </cell>
          <cell r="R1190">
            <v>4</v>
          </cell>
          <cell r="S1190">
            <v>0</v>
          </cell>
          <cell r="T1190">
            <v>4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</row>
        <row r="1191">
          <cell r="D1191">
            <v>301058</v>
          </cell>
          <cell r="E1191" t="str">
            <v>Regional Science High School</v>
          </cell>
          <cell r="F1191">
            <v>126</v>
          </cell>
          <cell r="G1191">
            <v>0</v>
          </cell>
          <cell r="H1191">
            <v>126</v>
          </cell>
          <cell r="I1191">
            <v>70</v>
          </cell>
          <cell r="J1191">
            <v>0</v>
          </cell>
          <cell r="K1191">
            <v>70</v>
          </cell>
          <cell r="L1191">
            <v>596</v>
          </cell>
          <cell r="M1191">
            <v>0</v>
          </cell>
          <cell r="N1191">
            <v>596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</row>
        <row r="1192">
          <cell r="D1192">
            <v>301056</v>
          </cell>
          <cell r="E1192" t="str">
            <v>Kalalake NHS</v>
          </cell>
          <cell r="F1192">
            <v>81</v>
          </cell>
          <cell r="G1192">
            <v>0</v>
          </cell>
          <cell r="H1192">
            <v>81</v>
          </cell>
          <cell r="I1192">
            <v>71</v>
          </cell>
          <cell r="J1192">
            <v>0</v>
          </cell>
          <cell r="K1192">
            <v>71</v>
          </cell>
          <cell r="L1192">
            <v>273</v>
          </cell>
          <cell r="M1192">
            <v>0</v>
          </cell>
          <cell r="N1192">
            <v>273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</row>
        <row r="1193">
          <cell r="D1193">
            <v>306726</v>
          </cell>
          <cell r="E1193" t="str">
            <v>Sta. Cruz  High School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</row>
        <row r="1194">
          <cell r="D1194">
            <v>300679</v>
          </cell>
          <cell r="E1194" t="str">
            <v>Canili Area NHS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</row>
        <row r="1195">
          <cell r="D1195">
            <v>500137</v>
          </cell>
          <cell r="E1195" t="str">
            <v>Nuestra Senora Del Pilar IS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</row>
        <row r="1196">
          <cell r="D1196">
            <v>300706</v>
          </cell>
          <cell r="E1196" t="str">
            <v>Lamao NHS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</row>
        <row r="1197">
          <cell r="D1197">
            <v>301064</v>
          </cell>
          <cell r="E1197" t="str">
            <v>Pampanga High School</v>
          </cell>
          <cell r="F1197">
            <v>1412</v>
          </cell>
          <cell r="G1197">
            <v>898</v>
          </cell>
          <cell r="H1197">
            <v>2310</v>
          </cell>
          <cell r="I1197">
            <v>664</v>
          </cell>
          <cell r="J1197">
            <v>772</v>
          </cell>
          <cell r="K1197">
            <v>1436</v>
          </cell>
          <cell r="L1197">
            <v>4026</v>
          </cell>
          <cell r="M1197">
            <v>4181</v>
          </cell>
          <cell r="N1197">
            <v>8207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11</v>
          </cell>
          <cell r="V1197">
            <v>7</v>
          </cell>
          <cell r="W1197">
            <v>18</v>
          </cell>
          <cell r="X1197">
            <v>0</v>
          </cell>
          <cell r="Y1197">
            <v>0</v>
          </cell>
          <cell r="Z1197">
            <v>0</v>
          </cell>
        </row>
        <row r="1198">
          <cell r="D1198">
            <v>300894</v>
          </cell>
          <cell r="E1198" t="str">
            <v>Lubao NHS (Lubao Vocational School)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</row>
        <row r="1199">
          <cell r="D1199">
            <v>500144</v>
          </cell>
          <cell r="E1199" t="str">
            <v>Telabastagan IS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</row>
        <row r="1200">
          <cell r="D1200">
            <v>306601</v>
          </cell>
          <cell r="E1200" t="str">
            <v>Justice E.A.Gancayco MHS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</row>
        <row r="1201">
          <cell r="D1201">
            <v>301048</v>
          </cell>
          <cell r="E1201" t="str">
            <v>San Josef National High School</v>
          </cell>
          <cell r="F1201">
            <v>103</v>
          </cell>
          <cell r="G1201">
            <v>75</v>
          </cell>
          <cell r="H1201">
            <v>178</v>
          </cell>
          <cell r="I1201">
            <v>10</v>
          </cell>
          <cell r="J1201">
            <v>8</v>
          </cell>
          <cell r="K1201">
            <v>18</v>
          </cell>
          <cell r="L1201">
            <v>7</v>
          </cell>
          <cell r="M1201">
            <v>4</v>
          </cell>
          <cell r="N1201">
            <v>11</v>
          </cell>
          <cell r="O1201">
            <v>4</v>
          </cell>
          <cell r="P1201">
            <v>2</v>
          </cell>
          <cell r="Q1201">
            <v>6</v>
          </cell>
          <cell r="R1201">
            <v>2</v>
          </cell>
          <cell r="S1201">
            <v>3</v>
          </cell>
          <cell r="T1201">
            <v>5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</row>
        <row r="1202">
          <cell r="D1202">
            <v>300702</v>
          </cell>
          <cell r="E1202" t="str">
            <v>Bataan National High School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</row>
        <row r="1203">
          <cell r="D1203">
            <v>321402</v>
          </cell>
          <cell r="E1203" t="str">
            <v>Baras Baras HS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</row>
        <row r="1204">
          <cell r="D1204">
            <v>300692</v>
          </cell>
          <cell r="E1204" t="str">
            <v>Manggitahan NHS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</row>
        <row r="1205">
          <cell r="D1205">
            <v>300673</v>
          </cell>
          <cell r="E1205" t="str">
            <v>Aurora NHS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</row>
        <row r="1206">
          <cell r="D1206">
            <v>300705</v>
          </cell>
          <cell r="E1206" t="str">
            <v>Hermosa NHS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</row>
        <row r="1207">
          <cell r="D1207">
            <v>300970</v>
          </cell>
          <cell r="E1207" t="str">
            <v>Maliwalo NHS</v>
          </cell>
          <cell r="F1207">
            <v>0</v>
          </cell>
          <cell r="G1207">
            <v>65</v>
          </cell>
          <cell r="H1207">
            <v>65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</row>
        <row r="1208">
          <cell r="D1208">
            <v>306945</v>
          </cell>
          <cell r="E1208" t="str">
            <v>Telesforo Natividad NHS</v>
          </cell>
          <cell r="F1208">
            <v>105</v>
          </cell>
          <cell r="G1208">
            <v>74</v>
          </cell>
          <cell r="H1208">
            <v>179</v>
          </cell>
          <cell r="I1208">
            <v>55</v>
          </cell>
          <cell r="J1208">
            <v>20</v>
          </cell>
          <cell r="K1208">
            <v>75</v>
          </cell>
          <cell r="L1208">
            <v>50</v>
          </cell>
          <cell r="M1208">
            <v>54</v>
          </cell>
          <cell r="N1208">
            <v>104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</row>
        <row r="1209">
          <cell r="D1209">
            <v>300978</v>
          </cell>
          <cell r="E1209" t="str">
            <v>Padapada NHS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</row>
        <row r="1210">
          <cell r="D1210">
            <v>500389</v>
          </cell>
          <cell r="E1210" t="str">
            <v>Balibago Primero IS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</row>
        <row r="1211">
          <cell r="D1211">
            <v>300899</v>
          </cell>
          <cell r="E1211" t="str">
            <v>Mapaniqui NHS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</row>
        <row r="1212">
          <cell r="D1212">
            <v>306924</v>
          </cell>
          <cell r="E1212" t="str">
            <v>Gerry Rodriguez HS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</row>
        <row r="1213">
          <cell r="D1213">
            <v>300750</v>
          </cell>
          <cell r="E1213" t="str">
            <v>Malolos Marine Fishery School &amp; Laboratory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</row>
        <row r="1214">
          <cell r="D1214">
            <v>323601</v>
          </cell>
          <cell r="E1214" t="str">
            <v>Bulihan NHS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</row>
        <row r="1215">
          <cell r="D1215">
            <v>300903</v>
          </cell>
          <cell r="E1215" t="str">
            <v>Pulungmasle NHS (Natividad NHS - PulungMasle HS Annex)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</row>
        <row r="1216">
          <cell r="D1216">
            <v>306915</v>
          </cell>
          <cell r="E1216" t="str">
            <v>Apalit HS</v>
          </cell>
          <cell r="F1216">
            <v>70</v>
          </cell>
          <cell r="G1216">
            <v>55</v>
          </cell>
          <cell r="H1216">
            <v>125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</row>
        <row r="1217">
          <cell r="D1217">
            <v>300959</v>
          </cell>
          <cell r="E1217" t="str">
            <v>Cardona NHS</v>
          </cell>
          <cell r="F1217">
            <v>31</v>
          </cell>
          <cell r="G1217">
            <v>14</v>
          </cell>
          <cell r="H1217">
            <v>45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1</v>
          </cell>
          <cell r="Q1217">
            <v>1</v>
          </cell>
          <cell r="R1217">
            <v>0</v>
          </cell>
          <cell r="S1217">
            <v>0</v>
          </cell>
          <cell r="T1217">
            <v>0</v>
          </cell>
          <cell r="U1217">
            <v>1</v>
          </cell>
          <cell r="V1217">
            <v>1</v>
          </cell>
          <cell r="W1217">
            <v>2</v>
          </cell>
          <cell r="X1217">
            <v>0</v>
          </cell>
          <cell r="Y1217">
            <v>0</v>
          </cell>
          <cell r="Z1217">
            <v>0</v>
          </cell>
        </row>
        <row r="1218">
          <cell r="D1218">
            <v>307008</v>
          </cell>
          <cell r="E1218" t="str">
            <v>Carabaoan-Caocaoayan High School</v>
          </cell>
          <cell r="F1218">
            <v>26</v>
          </cell>
          <cell r="G1218">
            <v>33</v>
          </cell>
          <cell r="H1218">
            <v>59</v>
          </cell>
          <cell r="I1218">
            <v>22</v>
          </cell>
          <cell r="J1218">
            <v>25</v>
          </cell>
          <cell r="K1218">
            <v>47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</row>
        <row r="1219">
          <cell r="D1219">
            <v>300829</v>
          </cell>
          <cell r="E1219" t="str">
            <v>Pambuan National High School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</row>
        <row r="1220">
          <cell r="D1220">
            <v>322901</v>
          </cell>
          <cell r="E1220" t="str">
            <v>City of Balanga National High School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</row>
        <row r="1221">
          <cell r="D1221">
            <v>306607</v>
          </cell>
          <cell r="E1221" t="str">
            <v>Mariveles NHS Cab. Annex- New Alion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</row>
        <row r="1222">
          <cell r="D1222">
            <v>500147</v>
          </cell>
          <cell r="E1222" t="str">
            <v>Del Carmen Int. HS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</row>
        <row r="1223">
          <cell r="D1223">
            <v>345531</v>
          </cell>
          <cell r="E1223" t="str">
            <v>SHS in Magalang, Pampanga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</row>
        <row r="1224">
          <cell r="D1224">
            <v>300950</v>
          </cell>
          <cell r="E1224" t="str">
            <v>Bamban NHS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</row>
        <row r="1225">
          <cell r="D1225">
            <v>307202</v>
          </cell>
          <cell r="E1225" t="str">
            <v>Angeles City Science HS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</row>
        <row r="1226">
          <cell r="D1226">
            <v>300812</v>
          </cell>
          <cell r="E1226" t="str">
            <v>Juan R. Liwag Mem. NHS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</row>
        <row r="1227">
          <cell r="D1227">
            <v>300672</v>
          </cell>
          <cell r="E1227" t="str">
            <v>Aurora National Science HS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</row>
        <row r="1228">
          <cell r="D1228">
            <v>306719</v>
          </cell>
          <cell r="E1228" t="str">
            <v>Ubihan High School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</row>
        <row r="1229">
          <cell r="D1229">
            <v>321301</v>
          </cell>
          <cell r="E1229" t="str">
            <v>Herminio G. Nicolas High School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</row>
        <row r="1230">
          <cell r="D1230">
            <v>307509</v>
          </cell>
          <cell r="E1230" t="str">
            <v>Sto. Cristo National HS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</row>
        <row r="1231">
          <cell r="D1231">
            <v>300941</v>
          </cell>
          <cell r="E1231" t="str">
            <v>Telacsan NHS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</row>
        <row r="1232">
          <cell r="D1232">
            <v>345345</v>
          </cell>
          <cell r="E1232" t="str">
            <v>SHS in Malolos City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</row>
        <row r="1233">
          <cell r="D1233">
            <v>300980</v>
          </cell>
          <cell r="E1233" t="str">
            <v>Pitombayog NHS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</row>
        <row r="1234">
          <cell r="D1234">
            <v>300992</v>
          </cell>
          <cell r="E1234" t="str">
            <v>Sta. Ines NHS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</row>
        <row r="1235">
          <cell r="D1235">
            <v>307014</v>
          </cell>
          <cell r="E1235" t="str">
            <v>Calibungan HS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</row>
        <row r="1236">
          <cell r="D1236">
            <v>300991</v>
          </cell>
          <cell r="E1236" t="str">
            <v>Sapang High School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</row>
        <row r="1237">
          <cell r="D1237">
            <v>300975</v>
          </cell>
          <cell r="E1237" t="str">
            <v>Nambalan NHS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</row>
        <row r="1238">
          <cell r="D1238">
            <v>306944</v>
          </cell>
          <cell r="E1238" t="str">
            <v>San Luis NHS</v>
          </cell>
          <cell r="F1238">
            <v>227</v>
          </cell>
          <cell r="G1238">
            <v>152</v>
          </cell>
          <cell r="H1238">
            <v>379</v>
          </cell>
          <cell r="I1238">
            <v>226</v>
          </cell>
          <cell r="J1238">
            <v>152</v>
          </cell>
          <cell r="K1238">
            <v>378</v>
          </cell>
          <cell r="L1238">
            <v>1</v>
          </cell>
          <cell r="M1238">
            <v>0</v>
          </cell>
          <cell r="N1238">
            <v>1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0</v>
          </cell>
          <cell r="Z1238">
            <v>0</v>
          </cell>
        </row>
        <row r="1239">
          <cell r="D1239">
            <v>307508</v>
          </cell>
          <cell r="E1239" t="str">
            <v>Citrus National HS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</row>
        <row r="1240">
          <cell r="D1240">
            <v>500479</v>
          </cell>
          <cell r="E1240" t="str">
            <v>Maguisguis Integrated School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</row>
        <row r="1241">
          <cell r="D1241">
            <v>300997</v>
          </cell>
          <cell r="E1241" t="str">
            <v>Tarlac National High School - Annex</v>
          </cell>
          <cell r="F1241">
            <v>70</v>
          </cell>
          <cell r="G1241">
            <v>65</v>
          </cell>
          <cell r="H1241">
            <v>135</v>
          </cell>
          <cell r="I1241">
            <v>11</v>
          </cell>
          <cell r="J1241">
            <v>9</v>
          </cell>
          <cell r="K1241">
            <v>20</v>
          </cell>
          <cell r="L1241">
            <v>11</v>
          </cell>
          <cell r="M1241">
            <v>9</v>
          </cell>
          <cell r="N1241">
            <v>20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</row>
        <row r="1242">
          <cell r="D1242">
            <v>500124</v>
          </cell>
          <cell r="E1242" t="str">
            <v>Aranguren Integrated School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</row>
        <row r="1243">
          <cell r="D1243">
            <v>300700</v>
          </cell>
          <cell r="E1243" t="str">
            <v>Saysain NHS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</row>
        <row r="1244">
          <cell r="D1244">
            <v>300699</v>
          </cell>
          <cell r="E1244" t="str">
            <v>E. C. Bernabe National High School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</row>
        <row r="1245">
          <cell r="D1245">
            <v>300851</v>
          </cell>
          <cell r="E1245" t="str">
            <v>San Roque NHS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</row>
        <row r="1246">
          <cell r="D1246">
            <v>300917</v>
          </cell>
          <cell r="E1246" t="str">
            <v>San Isidro NHS (Bacolor)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</row>
        <row r="1247">
          <cell r="D1247">
            <v>300993</v>
          </cell>
          <cell r="E1247" t="str">
            <v>Sta. Lucia NHS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</row>
        <row r="1248">
          <cell r="D1248">
            <v>307021</v>
          </cell>
          <cell r="E1248" t="str">
            <v>Balayang HS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</row>
        <row r="1249">
          <cell r="D1249">
            <v>306934</v>
          </cell>
          <cell r="E1249" t="str">
            <v>Emigdio A. Bondoc High School</v>
          </cell>
          <cell r="F1249">
            <v>128</v>
          </cell>
          <cell r="G1249">
            <v>98</v>
          </cell>
          <cell r="H1249">
            <v>226</v>
          </cell>
          <cell r="I1249">
            <v>7</v>
          </cell>
          <cell r="J1249">
            <v>7</v>
          </cell>
          <cell r="K1249">
            <v>14</v>
          </cell>
          <cell r="L1249">
            <v>121</v>
          </cell>
          <cell r="M1249">
            <v>91</v>
          </cell>
          <cell r="N1249">
            <v>212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7</v>
          </cell>
          <cell r="V1249">
            <v>7</v>
          </cell>
          <cell r="W1249">
            <v>14</v>
          </cell>
          <cell r="X1249">
            <v>7</v>
          </cell>
          <cell r="Y1249">
            <v>7</v>
          </cell>
          <cell r="Z1249">
            <v>14</v>
          </cell>
        </row>
        <row r="1250">
          <cell r="D1250">
            <v>307019</v>
          </cell>
          <cell r="E1250" t="str">
            <v>Josephine M. Cojuangco National TechnicalVocationalHigh School</v>
          </cell>
          <cell r="F1250">
            <v>57</v>
          </cell>
          <cell r="G1250">
            <v>59</v>
          </cell>
          <cell r="H1250">
            <v>116</v>
          </cell>
          <cell r="I1250">
            <v>2</v>
          </cell>
          <cell r="J1250">
            <v>1</v>
          </cell>
          <cell r="K1250">
            <v>3</v>
          </cell>
          <cell r="L1250">
            <v>3</v>
          </cell>
          <cell r="M1250">
            <v>1</v>
          </cell>
          <cell r="N1250">
            <v>4</v>
          </cell>
          <cell r="O1250">
            <v>10</v>
          </cell>
          <cell r="P1250">
            <v>8</v>
          </cell>
          <cell r="Q1250">
            <v>18</v>
          </cell>
          <cell r="R1250">
            <v>17</v>
          </cell>
          <cell r="S1250">
            <v>11</v>
          </cell>
          <cell r="T1250">
            <v>28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</row>
        <row r="1251">
          <cell r="D1251">
            <v>300984</v>
          </cell>
          <cell r="E1251" t="str">
            <v>San Bartolome NHS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</row>
        <row r="1252">
          <cell r="D1252">
            <v>300703</v>
          </cell>
          <cell r="E1252" t="str">
            <v>Bataan School of Fisheries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</row>
        <row r="1253">
          <cell r="D1253">
            <v>300968</v>
          </cell>
          <cell r="E1253" t="str">
            <v>Lawy NHS</v>
          </cell>
          <cell r="F1253">
            <v>25</v>
          </cell>
          <cell r="G1253">
            <v>0</v>
          </cell>
          <cell r="H1253">
            <v>25</v>
          </cell>
          <cell r="I1253">
            <v>11</v>
          </cell>
          <cell r="J1253">
            <v>0</v>
          </cell>
          <cell r="K1253">
            <v>11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</row>
        <row r="1254">
          <cell r="D1254">
            <v>300999</v>
          </cell>
          <cell r="E1254" t="str">
            <v>Vargas High School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</row>
        <row r="1255">
          <cell r="D1255">
            <v>300972</v>
          </cell>
          <cell r="E1255" t="str">
            <v>Marawi National High School</v>
          </cell>
          <cell r="F1255">
            <v>100</v>
          </cell>
          <cell r="G1255">
            <v>120</v>
          </cell>
          <cell r="H1255">
            <v>220</v>
          </cell>
          <cell r="I1255">
            <v>3</v>
          </cell>
          <cell r="J1255">
            <v>5</v>
          </cell>
          <cell r="K1255">
            <v>8</v>
          </cell>
          <cell r="L1255">
            <v>2</v>
          </cell>
          <cell r="M1255">
            <v>3</v>
          </cell>
          <cell r="N1255">
            <v>5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</row>
        <row r="1256">
          <cell r="D1256">
            <v>307020</v>
          </cell>
          <cell r="E1256" t="str">
            <v>Sta. Rosa Integrated School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</row>
        <row r="1257">
          <cell r="D1257">
            <v>306908</v>
          </cell>
          <cell r="E1257" t="str">
            <v>Diosdado Macapagal HS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</row>
        <row r="1258">
          <cell r="D1258">
            <v>301066</v>
          </cell>
          <cell r="E1258" t="str">
            <v>Sindalan NHS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</row>
        <row r="1259">
          <cell r="D1259">
            <v>307001</v>
          </cell>
          <cell r="E1259" t="str">
            <v>Moriones High School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</row>
        <row r="1260">
          <cell r="D1260">
            <v>300813</v>
          </cell>
          <cell r="E1260" t="str">
            <v>Sta. Cruz NHS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</row>
        <row r="1261">
          <cell r="D1261">
            <v>307603</v>
          </cell>
          <cell r="E1261" t="str">
            <v>Panipuan High School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</row>
        <row r="1262">
          <cell r="D1262">
            <v>300946</v>
          </cell>
          <cell r="E1262" t="str">
            <v>Anao NHS</v>
          </cell>
          <cell r="F1262">
            <v>98</v>
          </cell>
          <cell r="G1262">
            <v>99</v>
          </cell>
          <cell r="H1262">
            <v>197</v>
          </cell>
          <cell r="I1262">
            <v>11</v>
          </cell>
          <cell r="J1262">
            <v>9</v>
          </cell>
          <cell r="K1262">
            <v>20</v>
          </cell>
          <cell r="L1262">
            <v>16</v>
          </cell>
          <cell r="M1262">
            <v>13</v>
          </cell>
          <cell r="N1262">
            <v>29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</row>
        <row r="1263">
          <cell r="D1263">
            <v>300990</v>
          </cell>
          <cell r="E1263" t="str">
            <v>San Roque NHS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</row>
        <row r="1264">
          <cell r="D1264">
            <v>300901</v>
          </cell>
          <cell r="E1264" t="str">
            <v>Mexico National High School</v>
          </cell>
          <cell r="F1264">
            <v>30</v>
          </cell>
          <cell r="G1264">
            <v>36</v>
          </cell>
          <cell r="H1264">
            <v>66</v>
          </cell>
          <cell r="I1264">
            <v>5</v>
          </cell>
          <cell r="J1264">
            <v>4</v>
          </cell>
          <cell r="K1264">
            <v>9</v>
          </cell>
          <cell r="L1264">
            <v>5</v>
          </cell>
          <cell r="M1264">
            <v>4</v>
          </cell>
          <cell r="N1264">
            <v>9</v>
          </cell>
          <cell r="O1264">
            <v>3</v>
          </cell>
          <cell r="P1264">
            <v>1</v>
          </cell>
          <cell r="Q1264">
            <v>4</v>
          </cell>
          <cell r="R1264">
            <v>3</v>
          </cell>
          <cell r="S1264">
            <v>1</v>
          </cell>
          <cell r="T1264">
            <v>4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</row>
        <row r="1265">
          <cell r="D1265">
            <v>300935</v>
          </cell>
          <cell r="E1265" t="str">
            <v>Sta. Maria NHS, Minalin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</row>
        <row r="1266">
          <cell r="D1266">
            <v>300962</v>
          </cell>
          <cell r="E1266" t="str">
            <v>Dapdap HS</v>
          </cell>
          <cell r="F1266">
            <v>505</v>
          </cell>
          <cell r="G1266">
            <v>381</v>
          </cell>
          <cell r="H1266">
            <v>886</v>
          </cell>
          <cell r="I1266">
            <v>49</v>
          </cell>
          <cell r="J1266">
            <v>31</v>
          </cell>
          <cell r="K1266">
            <v>80</v>
          </cell>
          <cell r="L1266">
            <v>62</v>
          </cell>
          <cell r="M1266">
            <v>43</v>
          </cell>
          <cell r="N1266">
            <v>105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5</v>
          </cell>
          <cell r="V1266">
            <v>1</v>
          </cell>
          <cell r="W1266">
            <v>6</v>
          </cell>
          <cell r="X1266">
            <v>0</v>
          </cell>
          <cell r="Y1266">
            <v>0</v>
          </cell>
          <cell r="Z1266">
            <v>0</v>
          </cell>
        </row>
        <row r="1267">
          <cell r="D1267">
            <v>301001</v>
          </cell>
          <cell r="E1267" t="str">
            <v>Villa Aglipay NHS</v>
          </cell>
          <cell r="F1267">
            <v>0</v>
          </cell>
          <cell r="G1267">
            <v>0</v>
          </cell>
          <cell r="H1267">
            <v>0</v>
          </cell>
          <cell r="I1267">
            <v>41</v>
          </cell>
          <cell r="J1267">
            <v>51</v>
          </cell>
          <cell r="K1267">
            <v>92</v>
          </cell>
          <cell r="L1267">
            <v>54</v>
          </cell>
          <cell r="M1267">
            <v>69</v>
          </cell>
          <cell r="N1267">
            <v>123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</row>
        <row r="1268">
          <cell r="D1268">
            <v>300967</v>
          </cell>
          <cell r="E1268" t="str">
            <v>La Paz NHS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</row>
        <row r="1269">
          <cell r="D1269">
            <v>300898</v>
          </cell>
          <cell r="E1269" t="str">
            <v>Justino Sevilla High School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</row>
        <row r="1270">
          <cell r="D1270">
            <v>300996</v>
          </cell>
          <cell r="E1270" t="str">
            <v>Tarlac National High School</v>
          </cell>
          <cell r="F1270">
            <v>1308</v>
          </cell>
          <cell r="G1270">
            <v>985</v>
          </cell>
          <cell r="H1270">
            <v>2293</v>
          </cell>
          <cell r="I1270">
            <v>1183</v>
          </cell>
          <cell r="J1270">
            <v>818</v>
          </cell>
          <cell r="K1270">
            <v>2001</v>
          </cell>
          <cell r="L1270">
            <v>5678</v>
          </cell>
          <cell r="M1270">
            <v>3681</v>
          </cell>
          <cell r="N1270">
            <v>9359</v>
          </cell>
          <cell r="O1270">
            <v>36</v>
          </cell>
          <cell r="P1270">
            <v>21</v>
          </cell>
          <cell r="Q1270">
            <v>57</v>
          </cell>
          <cell r="R1270">
            <v>38</v>
          </cell>
          <cell r="S1270">
            <v>25</v>
          </cell>
          <cell r="T1270">
            <v>63</v>
          </cell>
          <cell r="U1270">
            <v>318</v>
          </cell>
          <cell r="V1270">
            <v>256</v>
          </cell>
          <cell r="W1270">
            <v>574</v>
          </cell>
          <cell r="X1270">
            <v>465</v>
          </cell>
          <cell r="Y1270">
            <v>389</v>
          </cell>
          <cell r="Z1270">
            <v>854</v>
          </cell>
        </row>
        <row r="1271">
          <cell r="D1271">
            <v>300965</v>
          </cell>
          <cell r="E1271" t="str">
            <v>Gerona Western National  High School</v>
          </cell>
          <cell r="F1271">
            <v>86</v>
          </cell>
          <cell r="G1271">
            <v>86</v>
          </cell>
          <cell r="H1271">
            <v>172</v>
          </cell>
          <cell r="I1271">
            <v>10</v>
          </cell>
          <cell r="J1271">
            <v>8</v>
          </cell>
          <cell r="K1271">
            <v>18</v>
          </cell>
          <cell r="L1271">
            <v>12</v>
          </cell>
          <cell r="M1271">
            <v>9</v>
          </cell>
          <cell r="N1271">
            <v>21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</row>
        <row r="1272">
          <cell r="D1272">
            <v>300958</v>
          </cell>
          <cell r="E1272" t="str">
            <v>Camiling School of Home Industries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</row>
        <row r="1273">
          <cell r="D1273">
            <v>300822</v>
          </cell>
          <cell r="E1273" t="str">
            <v>Maruhat NHS</v>
          </cell>
          <cell r="F1273">
            <v>0</v>
          </cell>
          <cell r="G1273">
            <v>29</v>
          </cell>
          <cell r="H1273">
            <v>29</v>
          </cell>
          <cell r="I1273">
            <v>0</v>
          </cell>
          <cell r="J1273">
            <v>13</v>
          </cell>
          <cell r="K1273">
            <v>13</v>
          </cell>
          <cell r="L1273">
            <v>0</v>
          </cell>
          <cell r="M1273">
            <v>21</v>
          </cell>
          <cell r="N1273">
            <v>21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</row>
        <row r="1274">
          <cell r="D1274">
            <v>300953</v>
          </cell>
          <cell r="E1274" t="str">
            <v>Buenavista High School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</row>
        <row r="1275">
          <cell r="D1275">
            <v>300973</v>
          </cell>
          <cell r="E1275" t="str">
            <v>Birbira High School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</row>
        <row r="1276">
          <cell r="D1276">
            <v>300956</v>
          </cell>
          <cell r="E1276" t="str">
            <v>Calangitan HS (Resettlement School)</v>
          </cell>
          <cell r="F1276">
            <v>37</v>
          </cell>
          <cell r="G1276">
            <v>30</v>
          </cell>
          <cell r="H1276">
            <v>67</v>
          </cell>
          <cell r="I1276">
            <v>21</v>
          </cell>
          <cell r="J1276">
            <v>14</v>
          </cell>
          <cell r="K1276">
            <v>35</v>
          </cell>
          <cell r="L1276">
            <v>14</v>
          </cell>
          <cell r="M1276">
            <v>11</v>
          </cell>
          <cell r="N1276">
            <v>25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</row>
        <row r="1277">
          <cell r="D1277">
            <v>307005</v>
          </cell>
          <cell r="E1277" t="str">
            <v>Sta. Juliana High School (O'Donnell HS Annex)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</row>
        <row r="1278">
          <cell r="D1278">
            <v>300948</v>
          </cell>
          <cell r="E1278" t="str">
            <v>Balaoang NHS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</row>
        <row r="1279">
          <cell r="D1279">
            <v>300883</v>
          </cell>
          <cell r="E1279" t="str">
            <v>Caduang Tete HS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</row>
        <row r="1280">
          <cell r="D1280">
            <v>307003</v>
          </cell>
          <cell r="E1280" t="str">
            <v>Pura Central High School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</row>
        <row r="1281">
          <cell r="D1281">
            <v>500139</v>
          </cell>
          <cell r="E1281" t="str">
            <v>St. Vincent of Quebiawan IS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</row>
        <row r="1282">
          <cell r="D1282">
            <v>300891</v>
          </cell>
          <cell r="E1282" t="str">
            <v>Guillermo D. Mendoza NHS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</row>
        <row r="1283">
          <cell r="D1283">
            <v>306606</v>
          </cell>
          <cell r="E1283" t="str">
            <v>Orani NHS - Parang-Parang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</row>
        <row r="1284">
          <cell r="D1284">
            <v>300937</v>
          </cell>
          <cell r="E1284" t="str">
            <v>Sto. Tomas NHS, Sasmuan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</row>
        <row r="1285">
          <cell r="D1285">
            <v>500404</v>
          </cell>
          <cell r="E1285" t="str">
            <v>CITY OF MALOLOS INTEGRATED SCHOOL - ATLAG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</row>
        <row r="1286">
          <cell r="D1286">
            <v>301038</v>
          </cell>
          <cell r="E1286" t="str">
            <v>Angeles City Nat'l. Trade School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</row>
        <row r="1287">
          <cell r="D1287">
            <v>301039</v>
          </cell>
          <cell r="E1287" t="str">
            <v>Angeles City NHS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</row>
        <row r="1288">
          <cell r="D1288">
            <v>500131</v>
          </cell>
          <cell r="E1288" t="str">
            <v>Amsic IS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</row>
        <row r="1289">
          <cell r="D1289">
            <v>301042</v>
          </cell>
          <cell r="E1289" t="str">
            <v>Bonifacio V. Romero HS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</row>
        <row r="1290">
          <cell r="D1290">
            <v>300989</v>
          </cell>
          <cell r="E1290" t="str">
            <v>San Pedro National High School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</row>
        <row r="1291">
          <cell r="D1291">
            <v>345279</v>
          </cell>
          <cell r="E1291" t="str">
            <v>Angeles City Senior High School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</row>
        <row r="1292">
          <cell r="D1292">
            <v>500133</v>
          </cell>
          <cell r="E1292" t="str">
            <v>Sto. Domingo Integrated School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</row>
        <row r="1293">
          <cell r="D1293">
            <v>306618</v>
          </cell>
          <cell r="E1293" t="str">
            <v>Mariveles NHS - Camaya Campus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</row>
        <row r="1294">
          <cell r="D1294">
            <v>300757</v>
          </cell>
          <cell r="E1294" t="str">
            <v>Meycauayan NHS</v>
          </cell>
          <cell r="F1294">
            <v>15</v>
          </cell>
          <cell r="G1294">
            <v>2</v>
          </cell>
          <cell r="H1294">
            <v>17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</row>
        <row r="1295">
          <cell r="D1295">
            <v>307201</v>
          </cell>
          <cell r="E1295" t="str">
            <v>Rafael L. Lazatin Mem. HS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</row>
        <row r="1296">
          <cell r="D1296">
            <v>500129</v>
          </cell>
          <cell r="E1296" t="str">
            <v>Gov. Rafael L. Lazatin IS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</row>
        <row r="1297">
          <cell r="D1297">
            <v>300977</v>
          </cell>
          <cell r="E1297" t="str">
            <v>O'Donnell High School</v>
          </cell>
          <cell r="F1297">
            <v>0</v>
          </cell>
          <cell r="G1297">
            <v>0</v>
          </cell>
          <cell r="H1297">
            <v>0</v>
          </cell>
          <cell r="I1297">
            <v>70</v>
          </cell>
          <cell r="J1297">
            <v>80</v>
          </cell>
          <cell r="K1297">
            <v>150</v>
          </cell>
          <cell r="L1297">
            <v>70</v>
          </cell>
          <cell r="M1297">
            <v>80</v>
          </cell>
          <cell r="N1297">
            <v>150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</row>
        <row r="1298">
          <cell r="D1298">
            <v>301040</v>
          </cell>
          <cell r="E1298" t="str">
            <v>Francisco G. Nepomuceno Mem. HS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</row>
        <row r="1299">
          <cell r="D1299">
            <v>500132</v>
          </cell>
          <cell r="E1299" t="str">
            <v>Malabanias IS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</row>
        <row r="1300">
          <cell r="D1300">
            <v>300987</v>
          </cell>
          <cell r="E1300" t="str">
            <v>San Julian-Sta. Maria NHS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</row>
        <row r="1301">
          <cell r="D1301">
            <v>301043</v>
          </cell>
          <cell r="E1301" t="str">
            <v>Sapang Bato National High School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</row>
        <row r="1302">
          <cell r="D1302">
            <v>307007</v>
          </cell>
          <cell r="E1302" t="str">
            <v>Corazon C. Aquino High School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</row>
        <row r="1303">
          <cell r="D1303">
            <v>307611</v>
          </cell>
          <cell r="E1303" t="str">
            <v>Northville High School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</row>
        <row r="1304">
          <cell r="D1304">
            <v>500125</v>
          </cell>
          <cell r="E1304" t="str">
            <v>San Juan de Valdez IS</v>
          </cell>
          <cell r="F1304">
            <v>36</v>
          </cell>
          <cell r="G1304">
            <v>14</v>
          </cell>
          <cell r="H1304">
            <v>50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</row>
        <row r="1305">
          <cell r="D1305">
            <v>306604</v>
          </cell>
          <cell r="E1305" t="str">
            <v>Magsaysay NHS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</row>
        <row r="1306">
          <cell r="D1306">
            <v>300681</v>
          </cell>
          <cell r="E1306" t="str">
            <v>Dikapinisan NHS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</row>
        <row r="1307">
          <cell r="D1307">
            <v>345268</v>
          </cell>
          <cell r="E1307" t="str">
            <v>Dolores Stand Alone Senior High School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</row>
        <row r="1308">
          <cell r="D1308">
            <v>300704</v>
          </cell>
          <cell r="E1308" t="str">
            <v>Jose C. Payumo Jr. MHS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</row>
        <row r="1309">
          <cell r="D1309">
            <v>300713</v>
          </cell>
          <cell r="E1309" t="str">
            <v>Morong NHS</v>
          </cell>
          <cell r="F1309">
            <v>153</v>
          </cell>
          <cell r="G1309">
            <v>45</v>
          </cell>
          <cell r="H1309">
            <v>198</v>
          </cell>
          <cell r="I1309">
            <v>102</v>
          </cell>
          <cell r="J1309">
            <v>40</v>
          </cell>
          <cell r="K1309">
            <v>142</v>
          </cell>
          <cell r="L1309">
            <v>98</v>
          </cell>
          <cell r="M1309">
            <v>5</v>
          </cell>
          <cell r="N1309">
            <v>103</v>
          </cell>
          <cell r="O1309">
            <v>2</v>
          </cell>
          <cell r="P1309">
            <v>0</v>
          </cell>
          <cell r="Q1309">
            <v>2</v>
          </cell>
          <cell r="R1309">
            <v>2</v>
          </cell>
          <cell r="S1309">
            <v>0</v>
          </cell>
          <cell r="T1309">
            <v>2</v>
          </cell>
          <cell r="U1309">
            <v>1</v>
          </cell>
          <cell r="V1309">
            <v>3</v>
          </cell>
          <cell r="W1309">
            <v>4</v>
          </cell>
          <cell r="X1309">
            <v>0</v>
          </cell>
          <cell r="Y1309">
            <v>0</v>
          </cell>
          <cell r="Z1309">
            <v>0</v>
          </cell>
        </row>
        <row r="1310">
          <cell r="D1310">
            <v>300913</v>
          </cell>
          <cell r="E1310" t="str">
            <v>Salapungan NHS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</row>
        <row r="1311">
          <cell r="D1311">
            <v>300886</v>
          </cell>
          <cell r="E1311" t="str">
            <v>Del Carmen National High School</v>
          </cell>
          <cell r="F1311">
            <v>56</v>
          </cell>
          <cell r="G1311">
            <v>95</v>
          </cell>
          <cell r="H1311">
            <v>151</v>
          </cell>
          <cell r="I1311">
            <v>4</v>
          </cell>
          <cell r="J1311">
            <v>4</v>
          </cell>
          <cell r="K1311">
            <v>8</v>
          </cell>
          <cell r="L1311">
            <v>4</v>
          </cell>
          <cell r="M1311">
            <v>4</v>
          </cell>
          <cell r="N1311">
            <v>8</v>
          </cell>
          <cell r="O1311">
            <v>6</v>
          </cell>
          <cell r="P1311">
            <v>8</v>
          </cell>
          <cell r="Q1311">
            <v>14</v>
          </cell>
          <cell r="R1311">
            <v>7</v>
          </cell>
          <cell r="S1311">
            <v>10</v>
          </cell>
          <cell r="T1311">
            <v>17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</row>
        <row r="1312">
          <cell r="D1312">
            <v>300684</v>
          </cell>
          <cell r="E1312" t="str">
            <v>Dinadiawan NHS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</row>
        <row r="1313">
          <cell r="D1313">
            <v>300926</v>
          </cell>
          <cell r="E1313" t="str">
            <v>San Pedro NHS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</row>
        <row r="1314">
          <cell r="D1314">
            <v>500146</v>
          </cell>
          <cell r="E1314" t="str">
            <v>Calulut IS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</row>
        <row r="1315">
          <cell r="D1315">
            <v>300690</v>
          </cell>
          <cell r="E1315" t="str">
            <v>Lual NHS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</row>
        <row r="1316">
          <cell r="D1316">
            <v>300685</v>
          </cell>
          <cell r="E1316" t="str">
            <v>Dingalan NHS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</row>
        <row r="1317">
          <cell r="D1317">
            <v>345350</v>
          </cell>
          <cell r="E1317" t="str">
            <v>Academic Senior High School of the City of Meycauayan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</row>
        <row r="1318">
          <cell r="D1318">
            <v>306603</v>
          </cell>
          <cell r="E1318" t="str">
            <v>Sta. Lucia HS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</row>
        <row r="1319">
          <cell r="D1319">
            <v>300687</v>
          </cell>
          <cell r="E1319" t="str">
            <v>Eliseo C. Ronquillo Sr.  Memorial NHS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</row>
        <row r="1320">
          <cell r="D1320">
            <v>306608</v>
          </cell>
          <cell r="E1320" t="str">
            <v>Orani NHS - Pagasa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</row>
        <row r="1321">
          <cell r="D1321">
            <v>300709</v>
          </cell>
          <cell r="E1321" t="str">
            <v>Mabatang NHS</v>
          </cell>
          <cell r="F1321">
            <v>29</v>
          </cell>
          <cell r="G1321">
            <v>21</v>
          </cell>
          <cell r="H1321">
            <v>50</v>
          </cell>
          <cell r="I1321">
            <v>20</v>
          </cell>
          <cell r="J1321">
            <v>18</v>
          </cell>
          <cell r="K1321">
            <v>38</v>
          </cell>
          <cell r="L1321">
            <v>30</v>
          </cell>
          <cell r="M1321">
            <v>22</v>
          </cell>
          <cell r="N1321">
            <v>52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</row>
        <row r="1322">
          <cell r="D1322">
            <v>300902</v>
          </cell>
          <cell r="E1322" t="str">
            <v>Natividad NHS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</row>
        <row r="1323">
          <cell r="D1323">
            <v>300906</v>
          </cell>
          <cell r="E1323" t="str">
            <v>Pasig NHS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</row>
        <row r="1324">
          <cell r="D1324">
            <v>500119</v>
          </cell>
          <cell r="E1324" t="str">
            <v>Biaan Aeta IS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</row>
        <row r="1325">
          <cell r="D1325">
            <v>300988</v>
          </cell>
          <cell r="E1325" t="str">
            <v>San Manuel HS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</row>
        <row r="1326">
          <cell r="D1326">
            <v>300887</v>
          </cell>
          <cell r="E1326" t="str">
            <v>Dela Paz Libutad NHS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</row>
        <row r="1327">
          <cell r="D1327">
            <v>500130</v>
          </cell>
          <cell r="E1327" t="str">
            <v>Northville 15 IS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</row>
        <row r="1328">
          <cell r="D1328">
            <v>300730</v>
          </cell>
          <cell r="E1328" t="str">
            <v>Calawitan NHS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</row>
        <row r="1329">
          <cell r="D1329">
            <v>306508</v>
          </cell>
          <cell r="E1329" t="str">
            <v>Rosauro R. Tangson, Sr. NHS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</row>
        <row r="1330">
          <cell r="D1330">
            <v>300923</v>
          </cell>
          <cell r="E1330" t="str">
            <v>San Juan-San Luis National High School Annex (San Carlos)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</row>
        <row r="1331">
          <cell r="D1331">
            <v>305570</v>
          </cell>
          <cell r="E1331" t="str">
            <v>City of San Fernando Tech-Voc Senior High School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</row>
        <row r="1332">
          <cell r="D1332">
            <v>300707</v>
          </cell>
          <cell r="E1332" t="str">
            <v>Limay NHS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</row>
        <row r="1333">
          <cell r="D1333">
            <v>300879</v>
          </cell>
          <cell r="E1333" t="str">
            <v>Basa Air Base High School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</row>
        <row r="1334">
          <cell r="D1334">
            <v>307107</v>
          </cell>
          <cell r="E1334" t="str">
            <v>San Antonio National High School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</row>
        <row r="1335">
          <cell r="D1335">
            <v>300815</v>
          </cell>
          <cell r="E1335" t="str">
            <v>Kapalangan NHS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</row>
        <row r="1336">
          <cell r="D1336">
            <v>500636</v>
          </cell>
          <cell r="E1336" t="str">
            <v>City of Malolos Integrated School - Sto. Rosario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</row>
        <row r="1337">
          <cell r="D1337">
            <v>300691</v>
          </cell>
          <cell r="E1337" t="str">
            <v>Maria Aurora NHS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</row>
        <row r="1338">
          <cell r="D1338">
            <v>300688</v>
          </cell>
          <cell r="E1338" t="str">
            <v>Ibona NHS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</row>
        <row r="1339">
          <cell r="D1339">
            <v>300922</v>
          </cell>
          <cell r="E1339" t="str">
            <v>San Juan-San Luis NHS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</row>
        <row r="1340">
          <cell r="D1340">
            <v>300909</v>
          </cell>
          <cell r="E1340" t="str">
            <v>Pulung Santol National High School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</row>
        <row r="1341">
          <cell r="D1341">
            <v>345342</v>
          </cell>
          <cell r="E1341" t="str">
            <v>SHS within Sapang Biabas Resettlement ES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</row>
        <row r="1342">
          <cell r="D1342">
            <v>300686</v>
          </cell>
          <cell r="E1342" t="str">
            <v>Ditumabo NHS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</row>
        <row r="1343">
          <cell r="D1343">
            <v>307601</v>
          </cell>
          <cell r="E1343" t="str">
            <v>Information and Communication Technology High School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</row>
        <row r="1344">
          <cell r="D1344">
            <v>307503</v>
          </cell>
          <cell r="E1344" t="str">
            <v>Towerville HS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</row>
        <row r="1345">
          <cell r="D1345">
            <v>306610</v>
          </cell>
          <cell r="E1345" t="str">
            <v>Mariveles NHS Cab.-Annex-Batangas II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</row>
        <row r="1346">
          <cell r="D1346">
            <v>301031</v>
          </cell>
          <cell r="E1346" t="str">
            <v>Buhawen National High School</v>
          </cell>
          <cell r="F1346">
            <v>30</v>
          </cell>
          <cell r="G1346">
            <v>20</v>
          </cell>
          <cell r="H1346">
            <v>50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</row>
        <row r="1347">
          <cell r="D1347">
            <v>300945</v>
          </cell>
          <cell r="E1347" t="str">
            <v>Amucao NHS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</row>
        <row r="1348">
          <cell r="D1348">
            <v>306917</v>
          </cell>
          <cell r="E1348" t="str">
            <v>Sta. Monica High School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</row>
        <row r="1349">
          <cell r="D1349">
            <v>301047</v>
          </cell>
          <cell r="E1349" t="str">
            <v>Marciano del Rosario Memorial  NHS</v>
          </cell>
          <cell r="F1349">
            <v>192</v>
          </cell>
          <cell r="G1349">
            <v>0</v>
          </cell>
          <cell r="H1349">
            <v>192</v>
          </cell>
          <cell r="I1349">
            <v>21</v>
          </cell>
          <cell r="J1349">
            <v>0</v>
          </cell>
          <cell r="K1349">
            <v>21</v>
          </cell>
          <cell r="L1349">
            <v>42</v>
          </cell>
          <cell r="M1349">
            <v>0</v>
          </cell>
          <cell r="N1349">
            <v>42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9</v>
          </cell>
          <cell r="Y1349">
            <v>0</v>
          </cell>
          <cell r="Z1349">
            <v>9</v>
          </cell>
        </row>
        <row r="1350">
          <cell r="D1350">
            <v>500557</v>
          </cell>
          <cell r="E1350" t="str">
            <v>Sto. Cristo IS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</row>
        <row r="1351">
          <cell r="D1351">
            <v>300752</v>
          </cell>
          <cell r="E1351" t="str">
            <v>PAMARAWAN HIGH SCHOOL</v>
          </cell>
          <cell r="F1351">
            <v>8</v>
          </cell>
          <cell r="G1351">
            <v>0</v>
          </cell>
          <cell r="H1351">
            <v>8</v>
          </cell>
          <cell r="I1351">
            <v>7</v>
          </cell>
          <cell r="J1351">
            <v>0</v>
          </cell>
          <cell r="K1351">
            <v>7</v>
          </cell>
          <cell r="L1351">
            <v>37</v>
          </cell>
          <cell r="M1351">
            <v>0</v>
          </cell>
          <cell r="N1351">
            <v>37</v>
          </cell>
          <cell r="O1351">
            <v>7</v>
          </cell>
          <cell r="P1351">
            <v>0</v>
          </cell>
          <cell r="Q1351">
            <v>7</v>
          </cell>
          <cell r="R1351">
            <v>37</v>
          </cell>
          <cell r="S1351">
            <v>0</v>
          </cell>
          <cell r="T1351">
            <v>37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</row>
        <row r="1352">
          <cell r="D1352">
            <v>300908</v>
          </cell>
          <cell r="E1352" t="str">
            <v>Villa Maria IS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</row>
        <row r="1353">
          <cell r="D1353">
            <v>300701</v>
          </cell>
          <cell r="E1353" t="str">
            <v>Balsik NHS</v>
          </cell>
          <cell r="F1353">
            <v>54</v>
          </cell>
          <cell r="G1353">
            <v>0</v>
          </cell>
          <cell r="H1353">
            <v>54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</row>
        <row r="1354">
          <cell r="D1354">
            <v>300889</v>
          </cell>
          <cell r="E1354" t="str">
            <v>Madapdap Resettlement HS</v>
          </cell>
          <cell r="F1354">
            <v>32</v>
          </cell>
          <cell r="G1354">
            <v>20</v>
          </cell>
          <cell r="H1354">
            <v>52</v>
          </cell>
          <cell r="I1354">
            <v>3</v>
          </cell>
          <cell r="J1354">
            <v>7</v>
          </cell>
          <cell r="K1354">
            <v>10</v>
          </cell>
          <cell r="L1354">
            <v>3</v>
          </cell>
          <cell r="M1354">
            <v>7</v>
          </cell>
          <cell r="N1354">
            <v>10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6</v>
          </cell>
          <cell r="V1354">
            <v>12</v>
          </cell>
          <cell r="W1354">
            <v>18</v>
          </cell>
          <cell r="X1354">
            <v>9</v>
          </cell>
          <cell r="Y1354">
            <v>11</v>
          </cell>
          <cell r="Z1354">
            <v>20</v>
          </cell>
        </row>
        <row r="1355">
          <cell r="D1355">
            <v>300698</v>
          </cell>
          <cell r="E1355" t="str">
            <v>Bagac NHS-Parang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</row>
        <row r="1356">
          <cell r="D1356">
            <v>300861</v>
          </cell>
          <cell r="E1356" t="str">
            <v>Talabutab Norte National High School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</row>
        <row r="1357">
          <cell r="D1357">
            <v>300890</v>
          </cell>
          <cell r="E1357" t="str">
            <v>Floridablanca Nat'l. Agr'l. School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</row>
        <row r="1358">
          <cell r="D1358">
            <v>300916</v>
          </cell>
          <cell r="E1358" t="str">
            <v>San Esteban NHS - Consuelo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</row>
        <row r="1359">
          <cell r="D1359">
            <v>306911</v>
          </cell>
          <cell r="E1359" t="str">
            <v>AMBROCIO S.SIMPAO EDUCATIONAL AND TRADET CENTER OF LEARNING</v>
          </cell>
          <cell r="F1359">
            <v>47</v>
          </cell>
          <cell r="G1359">
            <v>76</v>
          </cell>
          <cell r="H1359">
            <v>123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</row>
        <row r="1360">
          <cell r="D1360">
            <v>306913</v>
          </cell>
          <cell r="E1360" t="str">
            <v>Camias High School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</row>
        <row r="1361">
          <cell r="D1361">
            <v>300919</v>
          </cell>
          <cell r="E1361" t="str">
            <v>San Isidro NHS (Sta. Ana)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</row>
        <row r="1362">
          <cell r="D1362">
            <v>300872</v>
          </cell>
          <cell r="E1362" t="str">
            <v>Nicanor David Vergara HS (Anao NHS)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</row>
        <row r="1363">
          <cell r="D1363">
            <v>306939</v>
          </cell>
          <cell r="E1363" t="str">
            <v>BULAC HIGH SCHOOL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</row>
        <row r="1364">
          <cell r="D1364">
            <v>300816</v>
          </cell>
          <cell r="E1364" t="str">
            <v>Macabaclay National High School</v>
          </cell>
          <cell r="F1364">
            <v>99</v>
          </cell>
          <cell r="G1364">
            <v>75</v>
          </cell>
          <cell r="H1364">
            <v>174</v>
          </cell>
          <cell r="I1364">
            <v>68</v>
          </cell>
          <cell r="J1364">
            <v>53</v>
          </cell>
          <cell r="K1364">
            <v>121</v>
          </cell>
          <cell r="L1364">
            <v>152</v>
          </cell>
          <cell r="M1364">
            <v>111</v>
          </cell>
          <cell r="N1364">
            <v>263</v>
          </cell>
          <cell r="O1364">
            <v>30</v>
          </cell>
          <cell r="P1364">
            <v>15</v>
          </cell>
          <cell r="Q1364">
            <v>45</v>
          </cell>
          <cell r="R1364">
            <v>59</v>
          </cell>
          <cell r="S1364">
            <v>22</v>
          </cell>
          <cell r="T1364">
            <v>81</v>
          </cell>
          <cell r="U1364">
            <v>2</v>
          </cell>
          <cell r="V1364">
            <v>3</v>
          </cell>
          <cell r="W1364">
            <v>5</v>
          </cell>
          <cell r="X1364">
            <v>19</v>
          </cell>
          <cell r="Y1364">
            <v>28</v>
          </cell>
          <cell r="Z1364">
            <v>47</v>
          </cell>
        </row>
        <row r="1365">
          <cell r="D1365">
            <v>300915</v>
          </cell>
          <cell r="E1365" t="str">
            <v>San Esteban NHS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</row>
        <row r="1366">
          <cell r="D1366">
            <v>300893</v>
          </cell>
          <cell r="E1366" t="str">
            <v>DIOSDADO MACAPAGAL MEMORIAL HIGH SCHOOL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</row>
        <row r="1367">
          <cell r="D1367">
            <v>306936</v>
          </cell>
          <cell r="E1367" t="str">
            <v>Sucad National High School</v>
          </cell>
          <cell r="F1367">
            <v>43</v>
          </cell>
          <cell r="G1367">
            <v>57</v>
          </cell>
          <cell r="H1367">
            <v>100</v>
          </cell>
          <cell r="I1367">
            <v>6</v>
          </cell>
          <cell r="J1367">
            <v>5</v>
          </cell>
          <cell r="K1367">
            <v>11</v>
          </cell>
          <cell r="L1367">
            <v>9</v>
          </cell>
          <cell r="M1367">
            <v>6</v>
          </cell>
          <cell r="N1367">
            <v>15</v>
          </cell>
          <cell r="O1367">
            <v>8</v>
          </cell>
          <cell r="P1367">
            <v>12</v>
          </cell>
          <cell r="Q1367">
            <v>20</v>
          </cell>
          <cell r="R1367">
            <v>10</v>
          </cell>
          <cell r="S1367">
            <v>14</v>
          </cell>
          <cell r="T1367">
            <v>24</v>
          </cell>
          <cell r="U1367">
            <v>0</v>
          </cell>
          <cell r="V1367">
            <v>2</v>
          </cell>
          <cell r="W1367">
            <v>2</v>
          </cell>
          <cell r="X1367">
            <v>0</v>
          </cell>
          <cell r="Y1367">
            <v>0</v>
          </cell>
          <cell r="Z1367">
            <v>0</v>
          </cell>
        </row>
        <row r="1368">
          <cell r="D1368">
            <v>300939</v>
          </cell>
          <cell r="E1368" t="str">
            <v>Tagulod High School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</row>
        <row r="1369">
          <cell r="D1369">
            <v>500026</v>
          </cell>
          <cell r="E1369" t="str">
            <v>CONCEPCION INTEGRATED SCHOOL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</row>
        <row r="1370">
          <cell r="D1370">
            <v>500148</v>
          </cell>
          <cell r="E1370" t="str">
            <v>Magliman IS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</row>
        <row r="1371">
          <cell r="D1371">
            <v>300783</v>
          </cell>
          <cell r="E1371" t="str">
            <v>Aliaga National High School</v>
          </cell>
          <cell r="F1371">
            <v>455</v>
          </cell>
          <cell r="G1371">
            <v>396</v>
          </cell>
          <cell r="H1371">
            <v>851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77</v>
          </cell>
          <cell r="P1371">
            <v>58</v>
          </cell>
          <cell r="Q1371">
            <v>135</v>
          </cell>
          <cell r="R1371">
            <v>317</v>
          </cell>
          <cell r="S1371">
            <v>341</v>
          </cell>
          <cell r="T1371">
            <v>658</v>
          </cell>
          <cell r="U1371">
            <v>27</v>
          </cell>
          <cell r="V1371">
            <v>32</v>
          </cell>
          <cell r="W1371">
            <v>59</v>
          </cell>
          <cell r="X1371">
            <v>0</v>
          </cell>
          <cell r="Y1371">
            <v>0</v>
          </cell>
          <cell r="Z1371">
            <v>0</v>
          </cell>
        </row>
        <row r="1372">
          <cell r="D1372">
            <v>500150</v>
          </cell>
          <cell r="E1372" t="str">
            <v>Sta. Lucia Integrated School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</row>
        <row r="1373">
          <cell r="D1373">
            <v>301011</v>
          </cell>
          <cell r="E1373" t="str">
            <v>Candelaria School of Fisheries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</row>
        <row r="1374">
          <cell r="D1374">
            <v>300708</v>
          </cell>
          <cell r="E1374" t="str">
            <v>Luakan NHS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</row>
        <row r="1375">
          <cell r="D1375">
            <v>306942</v>
          </cell>
          <cell r="E1375" t="str">
            <v>Santos Ventura National High School</v>
          </cell>
          <cell r="F1375">
            <v>160</v>
          </cell>
          <cell r="G1375">
            <v>124</v>
          </cell>
          <cell r="H1375">
            <v>284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</row>
        <row r="1376">
          <cell r="D1376">
            <v>301008</v>
          </cell>
          <cell r="E1376" t="str">
            <v>Baquilan Resettlement High School</v>
          </cell>
          <cell r="F1376">
            <v>20</v>
          </cell>
          <cell r="G1376">
            <v>35</v>
          </cell>
          <cell r="H1376">
            <v>55</v>
          </cell>
          <cell r="I1376">
            <v>11</v>
          </cell>
          <cell r="J1376">
            <v>18</v>
          </cell>
          <cell r="K1376">
            <v>29</v>
          </cell>
          <cell r="L1376">
            <v>9</v>
          </cell>
          <cell r="M1376">
            <v>17</v>
          </cell>
          <cell r="N1376">
            <v>26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</row>
        <row r="1377">
          <cell r="D1377">
            <v>500390</v>
          </cell>
          <cell r="E1377" t="str">
            <v>Armenia IS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</row>
        <row r="1378">
          <cell r="D1378">
            <v>500556</v>
          </cell>
          <cell r="E1378" t="str">
            <v>BUROT INTEGRATED SCHOOL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</row>
        <row r="1379">
          <cell r="D1379">
            <v>306937</v>
          </cell>
          <cell r="E1379" t="str">
            <v>Dalayap High School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</row>
        <row r="1380">
          <cell r="D1380">
            <v>307511</v>
          </cell>
          <cell r="E1380" t="str">
            <v>Marangal National High School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</row>
        <row r="1381">
          <cell r="D1381">
            <v>306614</v>
          </cell>
          <cell r="E1381" t="str">
            <v>Kanawan IS</v>
          </cell>
          <cell r="F1381">
            <v>8</v>
          </cell>
          <cell r="G1381">
            <v>0</v>
          </cell>
          <cell r="H1381">
            <v>8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</row>
        <row r="1382">
          <cell r="D1382">
            <v>321401</v>
          </cell>
          <cell r="E1382" t="str">
            <v>MATATALAIB HS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</row>
        <row r="1383">
          <cell r="D1383">
            <v>306935</v>
          </cell>
          <cell r="E1383" t="str">
            <v>Bacolor HS</v>
          </cell>
          <cell r="F1383">
            <v>0</v>
          </cell>
          <cell r="G1383">
            <v>0</v>
          </cell>
          <cell r="H1383">
            <v>0</v>
          </cell>
          <cell r="I1383">
            <v>23</v>
          </cell>
          <cell r="J1383">
            <v>15</v>
          </cell>
          <cell r="K1383">
            <v>38</v>
          </cell>
          <cell r="L1383">
            <v>23</v>
          </cell>
          <cell r="M1383">
            <v>15</v>
          </cell>
          <cell r="N1383">
            <v>38</v>
          </cell>
          <cell r="O1383">
            <v>1</v>
          </cell>
          <cell r="P1383">
            <v>0</v>
          </cell>
          <cell r="Q1383">
            <v>1</v>
          </cell>
          <cell r="R1383">
            <v>1</v>
          </cell>
          <cell r="S1383">
            <v>0</v>
          </cell>
          <cell r="T1383">
            <v>1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</row>
        <row r="1384">
          <cell r="D1384">
            <v>300896</v>
          </cell>
          <cell r="E1384" t="str">
            <v>Malino NHS</v>
          </cell>
          <cell r="F1384">
            <v>90</v>
          </cell>
          <cell r="G1384">
            <v>0</v>
          </cell>
          <cell r="H1384">
            <v>90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</row>
        <row r="1385">
          <cell r="D1385">
            <v>306602</v>
          </cell>
          <cell r="E1385" t="str">
            <v>Morong NHS-Annex (Mabayo)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</row>
        <row r="1386">
          <cell r="D1386">
            <v>300938</v>
          </cell>
          <cell r="E1386" t="str">
            <v>Sto. Tomas NHS, Sto. Tomas</v>
          </cell>
          <cell r="F1386">
            <v>65</v>
          </cell>
          <cell r="G1386">
            <v>59</v>
          </cell>
          <cell r="H1386">
            <v>124</v>
          </cell>
          <cell r="I1386">
            <v>65</v>
          </cell>
          <cell r="J1386">
            <v>59</v>
          </cell>
          <cell r="K1386">
            <v>124</v>
          </cell>
          <cell r="L1386">
            <v>65</v>
          </cell>
          <cell r="M1386">
            <v>59</v>
          </cell>
          <cell r="N1386">
            <v>124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</row>
        <row r="1387">
          <cell r="D1387">
            <v>306933</v>
          </cell>
          <cell r="E1387" t="str">
            <v>Planas High School</v>
          </cell>
          <cell r="F1387">
            <v>62</v>
          </cell>
          <cell r="G1387">
            <v>49</v>
          </cell>
          <cell r="H1387">
            <v>111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5</v>
          </cell>
          <cell r="V1387">
            <v>4</v>
          </cell>
          <cell r="W1387">
            <v>9</v>
          </cell>
          <cell r="X1387">
            <v>0</v>
          </cell>
          <cell r="Y1387">
            <v>0</v>
          </cell>
          <cell r="Z1387">
            <v>0</v>
          </cell>
        </row>
        <row r="1388">
          <cell r="D1388">
            <v>300920</v>
          </cell>
          <cell r="E1388" t="str">
            <v>San Jose High School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</row>
        <row r="1389">
          <cell r="D1389">
            <v>300914</v>
          </cell>
          <cell r="E1389" t="str">
            <v>Salapungan NHS - Annex Mandili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</row>
        <row r="1390">
          <cell r="D1390">
            <v>306920</v>
          </cell>
          <cell r="E1390" t="str">
            <v>Macabebe High School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</row>
        <row r="1391">
          <cell r="D1391">
            <v>300877</v>
          </cell>
          <cell r="E1391" t="str">
            <v>Balucuc High School</v>
          </cell>
          <cell r="F1391">
            <v>4</v>
          </cell>
          <cell r="G1391">
            <v>4</v>
          </cell>
          <cell r="H1391">
            <v>8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</row>
        <row r="1392">
          <cell r="D1392">
            <v>306909</v>
          </cell>
          <cell r="E1392" t="str">
            <v>Mabalacat Technical Vocational School</v>
          </cell>
          <cell r="F1392">
            <v>56</v>
          </cell>
          <cell r="G1392">
            <v>40</v>
          </cell>
          <cell r="H1392">
            <v>96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</row>
        <row r="1393">
          <cell r="D1393">
            <v>301045</v>
          </cell>
          <cell r="E1393" t="str">
            <v>Camp Tinio National High School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</row>
        <row r="1394">
          <cell r="D1394">
            <v>305633</v>
          </cell>
          <cell r="E1394" t="str">
            <v>Cabanatuan City Senior High School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</row>
        <row r="1395">
          <cell r="D1395">
            <v>300885</v>
          </cell>
          <cell r="E1395" t="str">
            <v>Cansinala NHS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</row>
        <row r="1396">
          <cell r="D1396">
            <v>306953</v>
          </cell>
          <cell r="E1396" t="str">
            <v>San Roque Arbol High School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</row>
        <row r="1397">
          <cell r="D1397">
            <v>306925</v>
          </cell>
          <cell r="E1397" t="str">
            <v>Don Antonio Lee Chi Uan IS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</row>
        <row r="1398">
          <cell r="D1398">
            <v>301012</v>
          </cell>
          <cell r="E1398" t="str">
            <v>Cawag High School (Resettlement School)</v>
          </cell>
          <cell r="F1398">
            <v>11</v>
          </cell>
          <cell r="G1398">
            <v>22</v>
          </cell>
          <cell r="H1398">
            <v>33</v>
          </cell>
          <cell r="I1398">
            <v>11</v>
          </cell>
          <cell r="J1398">
            <v>22</v>
          </cell>
          <cell r="K1398">
            <v>33</v>
          </cell>
          <cell r="L1398">
            <v>0</v>
          </cell>
          <cell r="M1398">
            <v>0</v>
          </cell>
          <cell r="N1398">
            <v>0</v>
          </cell>
          <cell r="O1398">
            <v>11</v>
          </cell>
          <cell r="P1398">
            <v>22</v>
          </cell>
          <cell r="Q1398">
            <v>33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</row>
        <row r="1399">
          <cell r="D1399">
            <v>306616</v>
          </cell>
          <cell r="E1399" t="str">
            <v>St. Francis NHS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</row>
        <row r="1400">
          <cell r="D1400">
            <v>300918</v>
          </cell>
          <cell r="E1400" t="str">
            <v>San Isidro NHS (San Luis)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</row>
        <row r="1401">
          <cell r="D1401">
            <v>306923</v>
          </cell>
          <cell r="E1401" t="str">
            <v>Sapang Kawayan High School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</row>
        <row r="1402">
          <cell r="D1402">
            <v>306948</v>
          </cell>
          <cell r="E1402" t="str">
            <v>Sebitanan NHS</v>
          </cell>
          <cell r="F1402">
            <v>7</v>
          </cell>
          <cell r="G1402">
            <v>20</v>
          </cell>
          <cell r="H1402">
            <v>27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</row>
        <row r="1403">
          <cell r="D1403">
            <v>300881</v>
          </cell>
          <cell r="E1403" t="str">
            <v>San Basilio HS (Becuran NHS Annex)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</row>
        <row r="1404">
          <cell r="D1404">
            <v>306906</v>
          </cell>
          <cell r="E1404" t="str">
            <v>Tarik Suliman High School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</row>
        <row r="1405">
          <cell r="D1405">
            <v>300924</v>
          </cell>
          <cell r="E1405" t="str">
            <v>San Matias NHS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</row>
        <row r="1406">
          <cell r="D1406">
            <v>300718</v>
          </cell>
          <cell r="E1406" t="str">
            <v>Pagalanggang NHS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</row>
        <row r="1407">
          <cell r="D1407">
            <v>300911</v>
          </cell>
          <cell r="E1407" t="str">
            <v>Eastern Porac National High School</v>
          </cell>
          <cell r="F1407">
            <v>15</v>
          </cell>
          <cell r="G1407">
            <v>10</v>
          </cell>
          <cell r="H1407">
            <v>25</v>
          </cell>
          <cell r="I1407">
            <v>12</v>
          </cell>
          <cell r="J1407">
            <v>7</v>
          </cell>
          <cell r="K1407">
            <v>19</v>
          </cell>
          <cell r="L1407">
            <v>12</v>
          </cell>
          <cell r="M1407">
            <v>7</v>
          </cell>
          <cell r="N1407">
            <v>19</v>
          </cell>
          <cell r="O1407">
            <v>12</v>
          </cell>
          <cell r="P1407">
            <v>7</v>
          </cell>
          <cell r="Q1407">
            <v>19</v>
          </cell>
          <cell r="R1407">
            <v>12</v>
          </cell>
          <cell r="S1407">
            <v>7</v>
          </cell>
          <cell r="T1407">
            <v>19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</row>
        <row r="1408">
          <cell r="D1408">
            <v>306955</v>
          </cell>
          <cell r="E1408" t="str">
            <v>Mangga High School</v>
          </cell>
          <cell r="F1408">
            <v>28</v>
          </cell>
          <cell r="G1408">
            <v>0</v>
          </cell>
          <cell r="H1408">
            <v>28</v>
          </cell>
          <cell r="I1408">
            <v>23</v>
          </cell>
          <cell r="J1408">
            <v>0</v>
          </cell>
          <cell r="K1408">
            <v>23</v>
          </cell>
          <cell r="L1408">
            <v>33</v>
          </cell>
          <cell r="M1408">
            <v>0</v>
          </cell>
          <cell r="N1408">
            <v>33</v>
          </cell>
          <cell r="O1408">
            <v>4</v>
          </cell>
          <cell r="P1408">
            <v>0</v>
          </cell>
          <cell r="Q1408">
            <v>4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</row>
        <row r="1409">
          <cell r="D1409">
            <v>306918</v>
          </cell>
          <cell r="E1409" t="str">
            <v>San Simon High School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</row>
        <row r="1410">
          <cell r="D1410">
            <v>345530</v>
          </cell>
          <cell r="E1410" t="str">
            <v>SHS in Apalit, Pampanga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</row>
        <row r="1411">
          <cell r="D1411">
            <v>306919</v>
          </cell>
          <cell r="E1411" t="str">
            <v>Sampaga High School</v>
          </cell>
          <cell r="F1411">
            <v>19</v>
          </cell>
          <cell r="G1411">
            <v>0</v>
          </cell>
          <cell r="H1411">
            <v>19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</row>
        <row r="1412">
          <cell r="D1412">
            <v>500513</v>
          </cell>
          <cell r="E1412" t="str">
            <v>Bancal Integrated School</v>
          </cell>
          <cell r="F1412">
            <v>36</v>
          </cell>
          <cell r="G1412">
            <v>30</v>
          </cell>
          <cell r="H1412">
            <v>66</v>
          </cell>
          <cell r="I1412">
            <v>11</v>
          </cell>
          <cell r="J1412">
            <v>12</v>
          </cell>
          <cell r="K1412">
            <v>23</v>
          </cell>
          <cell r="L1412">
            <v>13</v>
          </cell>
          <cell r="M1412">
            <v>15</v>
          </cell>
          <cell r="N1412">
            <v>28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</row>
        <row r="1413">
          <cell r="D1413">
            <v>306902</v>
          </cell>
          <cell r="E1413" t="str">
            <v>San isidro National High School (San Jose Integrated)</v>
          </cell>
          <cell r="F1413">
            <v>23</v>
          </cell>
          <cell r="G1413">
            <v>0</v>
          </cell>
          <cell r="H1413">
            <v>23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</row>
        <row r="1414">
          <cell r="D1414">
            <v>306612</v>
          </cell>
          <cell r="E1414" t="str">
            <v>Roosevelt National High School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</row>
        <row r="1415">
          <cell r="D1415">
            <v>300714</v>
          </cell>
          <cell r="E1415" t="str">
            <v>Nagbalayong NHS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</row>
        <row r="1416">
          <cell r="D1416">
            <v>345349</v>
          </cell>
          <cell r="E1416" t="str">
            <v>City of Meycauayan Vocational Senior High School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</row>
        <row r="1417">
          <cell r="D1417">
            <v>300800</v>
          </cell>
          <cell r="E1417" t="str">
            <v>San Jose City National High School (formerly Constancio Padilla National High School)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</row>
        <row r="1418">
          <cell r="D1418">
            <v>306805</v>
          </cell>
          <cell r="E1418" t="str">
            <v>Sto. Nino 3rd National High School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</row>
        <row r="1419">
          <cell r="D1419">
            <v>300712</v>
          </cell>
          <cell r="E1419" t="str">
            <v>Mariveles NHS Malaya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</row>
        <row r="1420">
          <cell r="D1420">
            <v>301035</v>
          </cell>
          <cell r="E1420" t="str">
            <v>Sta. Fe NHS</v>
          </cell>
          <cell r="F1420">
            <v>32</v>
          </cell>
          <cell r="G1420">
            <v>33</v>
          </cell>
          <cell r="H1420">
            <v>65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</row>
        <row r="1421">
          <cell r="D1421">
            <v>307301</v>
          </cell>
          <cell r="E1421" t="str">
            <v>Cesar E. Vergara Memorial High School</v>
          </cell>
          <cell r="F1421">
            <v>81</v>
          </cell>
          <cell r="G1421">
            <v>63</v>
          </cell>
          <cell r="H1421">
            <v>144</v>
          </cell>
          <cell r="I1421">
            <v>18</v>
          </cell>
          <cell r="J1421">
            <v>13</v>
          </cell>
          <cell r="K1421">
            <v>31</v>
          </cell>
          <cell r="L1421">
            <v>31</v>
          </cell>
          <cell r="M1421">
            <v>19</v>
          </cell>
          <cell r="N1421">
            <v>50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</row>
        <row r="1422">
          <cell r="D1422">
            <v>306611</v>
          </cell>
          <cell r="E1422" t="str">
            <v>Luakan NHS - Annex</v>
          </cell>
          <cell r="F1422">
            <v>19</v>
          </cell>
          <cell r="G1422">
            <v>0</v>
          </cell>
          <cell r="H1422">
            <v>19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</row>
        <row r="1423">
          <cell r="D1423">
            <v>300868</v>
          </cell>
          <cell r="E1423" t="str">
            <v>Tondod National High School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</row>
        <row r="1424">
          <cell r="D1424">
            <v>306817</v>
          </cell>
          <cell r="E1424" t="str">
            <v>Caanawan National High School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</row>
        <row r="1425">
          <cell r="D1425">
            <v>307505</v>
          </cell>
          <cell r="E1425" t="str">
            <v>Minuyan NHS (Golden Ville HS)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</row>
        <row r="1426">
          <cell r="D1426">
            <v>301046</v>
          </cell>
          <cell r="E1426" t="str">
            <v>Mayapyap National High School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</row>
        <row r="1427">
          <cell r="D1427">
            <v>307507</v>
          </cell>
          <cell r="E1427" t="str">
            <v>San Martin National HS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</row>
        <row r="1428">
          <cell r="D1428">
            <v>500979</v>
          </cell>
          <cell r="E1428" t="str">
            <v>Pandaras Integrated High School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</row>
        <row r="1429">
          <cell r="D1429">
            <v>300751</v>
          </cell>
          <cell r="E1429" t="str">
            <v>Marcelo H. del Pilar National HS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</row>
        <row r="1430">
          <cell r="D1430">
            <v>330513</v>
          </cell>
          <cell r="E1430" t="str">
            <v>Philippine Science High School - Central Luzon Campus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</row>
        <row r="1431">
          <cell r="D1431">
            <v>300849</v>
          </cell>
          <cell r="E1431" t="str">
            <v>San Nicolas NHS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</row>
        <row r="1432">
          <cell r="D1432">
            <v>300833</v>
          </cell>
          <cell r="E1432" t="str">
            <v>Porais National High School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</row>
        <row r="1433">
          <cell r="D1433">
            <v>301154</v>
          </cell>
          <cell r="E1433" t="str">
            <v>Tanauan School of Fisheries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</row>
        <row r="1434">
          <cell r="D1434">
            <v>321602</v>
          </cell>
          <cell r="E1434" t="str">
            <v>Balele Integrated High School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</row>
        <row r="1435">
          <cell r="D1435">
            <v>321502</v>
          </cell>
          <cell r="E1435" t="str">
            <v>Canumay NHS</v>
          </cell>
          <cell r="F1435">
            <v>14</v>
          </cell>
          <cell r="G1435">
            <v>21</v>
          </cell>
          <cell r="H1435">
            <v>35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3</v>
          </cell>
          <cell r="P1435">
            <v>2</v>
          </cell>
          <cell r="Q1435">
            <v>5</v>
          </cell>
          <cell r="R1435">
            <v>5</v>
          </cell>
          <cell r="S1435">
            <v>3</v>
          </cell>
          <cell r="T1435">
            <v>8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</row>
        <row r="1436">
          <cell r="D1436">
            <v>342351</v>
          </cell>
          <cell r="E1436" t="str">
            <v>Stand Alone SHS No. 9 Lalakay</v>
          </cell>
          <cell r="F1436">
            <v>108</v>
          </cell>
          <cell r="G1436">
            <v>0</v>
          </cell>
          <cell r="H1436">
            <v>108</v>
          </cell>
          <cell r="I1436">
            <v>42</v>
          </cell>
          <cell r="J1436">
            <v>0</v>
          </cell>
          <cell r="K1436">
            <v>42</v>
          </cell>
          <cell r="L1436">
            <v>42</v>
          </cell>
          <cell r="M1436">
            <v>0</v>
          </cell>
          <cell r="N1436">
            <v>42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</row>
        <row r="1437">
          <cell r="D1437">
            <v>307933</v>
          </cell>
          <cell r="E1437" t="str">
            <v>Tuntungin-Putho NHS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</row>
        <row r="1438">
          <cell r="D1438">
            <v>321601</v>
          </cell>
          <cell r="E1438" t="str">
            <v>Tanauan City Integrated High School</v>
          </cell>
          <cell r="F1438">
            <v>22</v>
          </cell>
          <cell r="G1438">
            <v>52</v>
          </cell>
          <cell r="H1438">
            <v>74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</row>
        <row r="1439">
          <cell r="D1439">
            <v>301496</v>
          </cell>
          <cell r="E1439" t="str">
            <v>Pinagkawitan Integrated National Hgh School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</row>
        <row r="1440">
          <cell r="D1440">
            <v>301133</v>
          </cell>
          <cell r="E1440" t="str">
            <v>Pantay Integrated HS</v>
          </cell>
          <cell r="F1440">
            <v>4</v>
          </cell>
          <cell r="G1440">
            <v>9</v>
          </cell>
          <cell r="H1440">
            <v>13</v>
          </cell>
          <cell r="I1440">
            <v>4</v>
          </cell>
          <cell r="J1440">
            <v>9</v>
          </cell>
          <cell r="K1440">
            <v>13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2</v>
          </cell>
          <cell r="Z1440">
            <v>2</v>
          </cell>
        </row>
        <row r="1441">
          <cell r="D1441">
            <v>342350</v>
          </cell>
          <cell r="E1441" t="str">
            <v>Stand Alone SHS No. 8 Bambang</v>
          </cell>
          <cell r="F1441">
            <v>30</v>
          </cell>
          <cell r="G1441">
            <v>38</v>
          </cell>
          <cell r="H1441">
            <v>68</v>
          </cell>
          <cell r="I1441">
            <v>28</v>
          </cell>
          <cell r="J1441">
            <v>33</v>
          </cell>
          <cell r="K1441">
            <v>61</v>
          </cell>
          <cell r="L1441">
            <v>164</v>
          </cell>
          <cell r="M1441">
            <v>163</v>
          </cell>
          <cell r="N1441">
            <v>327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28</v>
          </cell>
          <cell r="Y1441">
            <v>33</v>
          </cell>
          <cell r="Z1441">
            <v>61</v>
          </cell>
        </row>
        <row r="1442">
          <cell r="D1442">
            <v>301450</v>
          </cell>
          <cell r="E1442" t="str">
            <v>Maximo L. Gatlabayan Memorial NHS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</row>
        <row r="1443">
          <cell r="D1443">
            <v>301488</v>
          </cell>
          <cell r="E1443" t="str">
            <v>Bugtongnapulo Integrated National High School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</row>
        <row r="1444">
          <cell r="D1444">
            <v>342213</v>
          </cell>
          <cell r="E1444" t="str">
            <v>SHS within Calumpang Elementary School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</row>
        <row r="1445">
          <cell r="D1445">
            <v>301494</v>
          </cell>
          <cell r="E1445" t="str">
            <v>Lodlod Integrated National High School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</row>
        <row r="1446">
          <cell r="D1446">
            <v>342219</v>
          </cell>
          <cell r="E1446" t="str">
            <v>SHS in Sto. Tomas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</row>
        <row r="1447">
          <cell r="D1447">
            <v>307926</v>
          </cell>
          <cell r="E1447" t="str">
            <v>Cavinti NHS (Calminue Ext.)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</row>
        <row r="1448">
          <cell r="D1448">
            <v>301509</v>
          </cell>
          <cell r="E1448" t="str">
            <v>Santisimo Rosario Integrated High School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</row>
        <row r="1449">
          <cell r="D1449">
            <v>301393</v>
          </cell>
          <cell r="E1449" t="str">
            <v>San Isidro NHS, Gen. Luna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</row>
        <row r="1450">
          <cell r="D1450">
            <v>301279</v>
          </cell>
          <cell r="E1450" t="str">
            <v>Lumban National High School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</row>
        <row r="1451">
          <cell r="D1451">
            <v>342235</v>
          </cell>
          <cell r="E1451" t="str">
            <v>Alangilan Senior High School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</row>
        <row r="1452">
          <cell r="D1452">
            <v>342357</v>
          </cell>
          <cell r="E1452" t="str">
            <v>LUIS C. OBIAL SENIOR HIGH SCHOOL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</row>
        <row r="1453">
          <cell r="D1453">
            <v>342358</v>
          </cell>
          <cell r="E1453" t="str">
            <v>Stand Alone SHS No. 16 Pila</v>
          </cell>
          <cell r="F1453">
            <v>187</v>
          </cell>
          <cell r="G1453">
            <v>181</v>
          </cell>
          <cell r="H1453">
            <v>368</v>
          </cell>
          <cell r="I1453">
            <v>5</v>
          </cell>
          <cell r="J1453">
            <v>3</v>
          </cell>
          <cell r="K1453">
            <v>8</v>
          </cell>
          <cell r="L1453">
            <v>7</v>
          </cell>
          <cell r="M1453">
            <v>3</v>
          </cell>
          <cell r="N1453">
            <v>10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</row>
        <row r="1454">
          <cell r="D1454">
            <v>301426</v>
          </cell>
          <cell r="E1454" t="str">
            <v>San Isidro NHS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</row>
        <row r="1455">
          <cell r="D1455">
            <v>301344</v>
          </cell>
          <cell r="E1455" t="str">
            <v>Libo NHS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</row>
        <row r="1456">
          <cell r="D1456">
            <v>301396</v>
          </cell>
          <cell r="E1456" t="str">
            <v>Panukulan NHS (Formerly San Juan NHS)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</row>
        <row r="1457">
          <cell r="D1457">
            <v>301499</v>
          </cell>
          <cell r="E1457" t="str">
            <v>San Celestino Integrated National High School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</row>
        <row r="1458">
          <cell r="D1458">
            <v>301377</v>
          </cell>
          <cell r="E1458" t="str">
            <v>Polillo National High School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</row>
        <row r="1459">
          <cell r="D1459">
            <v>342346</v>
          </cell>
          <cell r="E1459" t="str">
            <v>LAGUNA SENIOR HIGH SCHOOL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</row>
        <row r="1460">
          <cell r="D1460">
            <v>307935</v>
          </cell>
          <cell r="E1460" t="str">
            <v>San Buenaventura NHS Annex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</row>
        <row r="1461">
          <cell r="D1461">
            <v>301263</v>
          </cell>
          <cell r="E1461" t="str">
            <v>San Buenaventura NHS</v>
          </cell>
          <cell r="F1461">
            <v>24</v>
          </cell>
          <cell r="G1461">
            <v>21</v>
          </cell>
          <cell r="H1461">
            <v>45</v>
          </cell>
          <cell r="I1461">
            <v>22</v>
          </cell>
          <cell r="J1461">
            <v>19</v>
          </cell>
          <cell r="K1461">
            <v>41</v>
          </cell>
          <cell r="L1461">
            <v>70</v>
          </cell>
          <cell r="M1461">
            <v>101</v>
          </cell>
          <cell r="N1461">
            <v>171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</row>
        <row r="1462">
          <cell r="D1462">
            <v>307911</v>
          </cell>
          <cell r="E1462" t="str">
            <v>Cavinti NHS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</row>
        <row r="1463">
          <cell r="D1463">
            <v>342205</v>
          </cell>
          <cell r="E1463" t="str">
            <v>Calaca Senior High School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</row>
        <row r="1464">
          <cell r="D1464">
            <v>308032</v>
          </cell>
          <cell r="E1464" t="str">
            <v>Pili NHS (Formerly Lutucan NHS Pili Ext.)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</row>
        <row r="1465">
          <cell r="D1465">
            <v>301253</v>
          </cell>
          <cell r="E1465" t="str">
            <v>Pagsanjan National High School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</row>
        <row r="1466">
          <cell r="D1466">
            <v>301430</v>
          </cell>
          <cell r="E1466" t="str">
            <v>Bayugo NHS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</row>
        <row r="1467">
          <cell r="D1467">
            <v>342363</v>
          </cell>
          <cell r="E1467" t="str">
            <v>Stand Alone SHS No. 21 Papatahan</v>
          </cell>
          <cell r="F1467">
            <v>21</v>
          </cell>
          <cell r="G1467">
            <v>19</v>
          </cell>
          <cell r="H1467">
            <v>40</v>
          </cell>
          <cell r="I1467">
            <v>5</v>
          </cell>
          <cell r="J1467">
            <v>6</v>
          </cell>
          <cell r="K1467">
            <v>11</v>
          </cell>
          <cell r="L1467">
            <v>15</v>
          </cell>
          <cell r="M1467">
            <v>14</v>
          </cell>
          <cell r="N1467">
            <v>29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</row>
        <row r="1468">
          <cell r="D1468">
            <v>301226</v>
          </cell>
          <cell r="E1468" t="str">
            <v>Balian NHS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</row>
        <row r="1469">
          <cell r="D1469">
            <v>307708</v>
          </cell>
          <cell r="E1469" t="str">
            <v>Sico 1.0 National High School (Grade 7-12)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</row>
        <row r="1470">
          <cell r="D1470">
            <v>308202</v>
          </cell>
          <cell r="E1470" t="str">
            <v>Tinga Sorosoro  Integrated School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</row>
        <row r="1471">
          <cell r="D1471">
            <v>307714</v>
          </cell>
          <cell r="E1471" t="str">
            <v>Dr. Bonifacio A. Masilungan National High School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</row>
        <row r="1472">
          <cell r="D1472">
            <v>301374</v>
          </cell>
          <cell r="E1472" t="str">
            <v>Patnanungan NHS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</row>
        <row r="1473">
          <cell r="D1473">
            <v>301515</v>
          </cell>
          <cell r="E1473" t="str">
            <v>Calamba Integrated School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</row>
        <row r="1474">
          <cell r="D1474">
            <v>342199</v>
          </cell>
          <cell r="E1474" t="str">
            <v>SHS within Tingloy Central School</v>
          </cell>
          <cell r="F1474">
            <v>158</v>
          </cell>
          <cell r="G1474">
            <v>167</v>
          </cell>
          <cell r="H1474">
            <v>325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</row>
        <row r="1475">
          <cell r="D1475">
            <v>301516</v>
          </cell>
          <cell r="E1475" t="str">
            <v>Camp Vicente Lim Integrated School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</row>
        <row r="1476">
          <cell r="D1476">
            <v>307716</v>
          </cell>
          <cell r="E1476" t="str">
            <v>Maximo T. Hernandez Memorial Integrated High School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</row>
        <row r="1477">
          <cell r="D1477">
            <v>301500</v>
          </cell>
          <cell r="E1477" t="str">
            <v>San Isidro Integrated National High School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</row>
        <row r="1478">
          <cell r="D1478">
            <v>301514</v>
          </cell>
          <cell r="E1478" t="str">
            <v>Calamba Bayside  Integrated  School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</row>
        <row r="1479">
          <cell r="D1479">
            <v>301523</v>
          </cell>
          <cell r="E1479" t="str">
            <v>Makiling Integrated School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</row>
        <row r="1480">
          <cell r="D1480">
            <v>308029</v>
          </cell>
          <cell r="E1480" t="str">
            <v>Bonbon National High School (Formerly Libo NHS-Bonbon Annex)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</row>
        <row r="1481">
          <cell r="D1481">
            <v>301137</v>
          </cell>
          <cell r="E1481" t="str">
            <v>Pinagbayanan Integrated National High School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</row>
        <row r="1482">
          <cell r="D1482">
            <v>307713</v>
          </cell>
          <cell r="E1482" t="str">
            <v>San Nicolas National High School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</row>
        <row r="1483">
          <cell r="D1483">
            <v>301524</v>
          </cell>
          <cell r="E1483" t="str">
            <v>Palo Alto Integrated School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</row>
        <row r="1484">
          <cell r="D1484">
            <v>301413</v>
          </cell>
          <cell r="E1484" t="str">
            <v>Ungos National High School Extension - Llavac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</row>
        <row r="1485">
          <cell r="D1485">
            <v>301082</v>
          </cell>
          <cell r="E1485" t="str">
            <v>Baybayin NHS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</row>
        <row r="1486">
          <cell r="D1486">
            <v>342216</v>
          </cell>
          <cell r="E1486" t="str">
            <v>Agoncillo Senior High School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</row>
        <row r="1487">
          <cell r="D1487">
            <v>342200</v>
          </cell>
          <cell r="E1487" t="str">
            <v>SHS within Alitagtag Central School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</row>
        <row r="1488">
          <cell r="D1488">
            <v>301521</v>
          </cell>
          <cell r="E1488" t="str">
            <v>Kapayapaan Integrated School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</row>
        <row r="1489">
          <cell r="D1489">
            <v>342202</v>
          </cell>
          <cell r="E1489" t="str">
            <v>SHS within Cuenca Central School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</row>
        <row r="1490">
          <cell r="D1490">
            <v>301160</v>
          </cell>
          <cell r="E1490" t="str">
            <v>Tipas National High School (Grade 7-12)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</row>
        <row r="1491">
          <cell r="D1491">
            <v>301139</v>
          </cell>
          <cell r="E1491" t="str">
            <v>Rosario NHS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</row>
        <row r="1492">
          <cell r="D1492">
            <v>342214</v>
          </cell>
          <cell r="E1492" t="str">
            <v>SHS within San Antonio Elementary School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</row>
        <row r="1493">
          <cell r="D1493">
            <v>342221</v>
          </cell>
          <cell r="E1493" t="str">
            <v>SHS in Taysan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</row>
        <row r="1494">
          <cell r="D1494">
            <v>342215</v>
          </cell>
          <cell r="E1494" t="str">
            <v>San Pascual Senior High School 2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</row>
        <row r="1495">
          <cell r="D1495">
            <v>301129</v>
          </cell>
          <cell r="E1495" t="str">
            <v>Padre Garcia NHS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</row>
        <row r="1496">
          <cell r="D1496">
            <v>301512</v>
          </cell>
          <cell r="E1496" t="str">
            <v>Bunggo Integrated School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</row>
        <row r="1497">
          <cell r="D1497">
            <v>342198</v>
          </cell>
          <cell r="E1497" t="str">
            <v>SHS within Nasugbu East Central School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</row>
        <row r="1498">
          <cell r="D1498">
            <v>301130</v>
          </cell>
          <cell r="E1498" t="str">
            <v>Palahanan NHS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</row>
        <row r="1499">
          <cell r="D1499">
            <v>301115</v>
          </cell>
          <cell r="E1499" t="str">
            <v>Anselmo Sandoval MNHS (Mabini NHS)</v>
          </cell>
          <cell r="F1499">
            <v>130</v>
          </cell>
          <cell r="G1499">
            <v>130</v>
          </cell>
          <cell r="H1499">
            <v>260</v>
          </cell>
          <cell r="I1499">
            <v>47</v>
          </cell>
          <cell r="J1499">
            <v>61</v>
          </cell>
          <cell r="K1499">
            <v>108</v>
          </cell>
          <cell r="L1499">
            <v>47</v>
          </cell>
          <cell r="M1499">
            <v>61</v>
          </cell>
          <cell r="N1499">
            <v>108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18</v>
          </cell>
          <cell r="V1499">
            <v>27</v>
          </cell>
          <cell r="W1499">
            <v>45</v>
          </cell>
          <cell r="X1499">
            <v>10</v>
          </cell>
          <cell r="Y1499">
            <v>22</v>
          </cell>
          <cell r="Z1499">
            <v>32</v>
          </cell>
        </row>
        <row r="1500">
          <cell r="D1500">
            <v>301522</v>
          </cell>
          <cell r="E1500" t="str">
            <v>Majada In Integrated School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</row>
        <row r="1501">
          <cell r="D1501">
            <v>301132</v>
          </cell>
          <cell r="E1501" t="str">
            <v>Pansol Integrated National High School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</row>
        <row r="1502">
          <cell r="D1502">
            <v>301087</v>
          </cell>
          <cell r="E1502" t="str">
            <v>Bilogo Integrated National High School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</row>
        <row r="1503">
          <cell r="D1503">
            <v>301511</v>
          </cell>
          <cell r="E1503" t="str">
            <v>Bubuyan Integrated School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</row>
        <row r="1504">
          <cell r="D1504">
            <v>308701</v>
          </cell>
          <cell r="E1504" t="str">
            <v>Integrated School of Lawa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</row>
        <row r="1505">
          <cell r="D1505">
            <v>301153</v>
          </cell>
          <cell r="E1505" t="str">
            <v>Dr. Juan A. Pastor MNHS (Talaibon NHS)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</row>
        <row r="1506">
          <cell r="D1506">
            <v>301525</v>
          </cell>
          <cell r="E1506" t="str">
            <v>Punta Integrated School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</row>
        <row r="1507">
          <cell r="D1507">
            <v>342253</v>
          </cell>
          <cell r="E1507" t="str">
            <v>Calamba City Senior High School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</row>
        <row r="1508">
          <cell r="D1508">
            <v>301105</v>
          </cell>
          <cell r="E1508" t="str">
            <v>Itlugan National High School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</row>
        <row r="1509">
          <cell r="D1509">
            <v>301155</v>
          </cell>
          <cell r="E1509" t="str">
            <v>Taysan National High School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</row>
        <row r="1510">
          <cell r="D1510">
            <v>305481</v>
          </cell>
          <cell r="E1510" t="str">
            <v>Lemery Senior High School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</row>
        <row r="1511">
          <cell r="D1511">
            <v>305561</v>
          </cell>
          <cell r="E1511" t="str">
            <v>Calamba City School for the Arts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</row>
        <row r="1512">
          <cell r="D1512">
            <v>301079</v>
          </cell>
          <cell r="E1512" t="str">
            <v>Bauan National Agricultural and Vocational High School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</row>
        <row r="1513">
          <cell r="D1513">
            <v>342196</v>
          </cell>
          <cell r="E1513" t="str">
            <v>SHS within Pantalan Elementary School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</row>
        <row r="1514">
          <cell r="D1514">
            <v>342222</v>
          </cell>
          <cell r="E1514" t="str">
            <v>SHS in Rosario, Batangas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</row>
        <row r="1515">
          <cell r="D1515">
            <v>342197</v>
          </cell>
          <cell r="E1515" t="str">
            <v>SHS within Tala Elementary School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</row>
        <row r="1516">
          <cell r="D1516">
            <v>342217</v>
          </cell>
          <cell r="E1516" t="str">
            <v>SHS in Malvar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</row>
        <row r="1517">
          <cell r="D1517">
            <v>342212</v>
          </cell>
          <cell r="E1517" t="str">
            <v>SHS in Lobo</v>
          </cell>
          <cell r="F1517">
            <v>462</v>
          </cell>
          <cell r="G1517">
            <v>409</v>
          </cell>
          <cell r="H1517">
            <v>871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</row>
        <row r="1518">
          <cell r="D1518">
            <v>301489</v>
          </cell>
          <cell r="E1518" t="str">
            <v>Bulacnin Integrated NHS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</row>
        <row r="1519">
          <cell r="D1519">
            <v>301080</v>
          </cell>
          <cell r="E1519" t="str">
            <v>Bauan Technical High School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</row>
        <row r="1520">
          <cell r="D1520">
            <v>342206</v>
          </cell>
          <cell r="E1520" t="str">
            <v>SHS in Lian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</row>
        <row r="1521">
          <cell r="D1521">
            <v>301069</v>
          </cell>
          <cell r="E1521" t="str">
            <v>Alupay NHS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</row>
        <row r="1522">
          <cell r="D1522">
            <v>301398</v>
          </cell>
          <cell r="E1522" t="str">
            <v>Sanmandelcar National High School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</row>
        <row r="1523">
          <cell r="D1523">
            <v>301149</v>
          </cell>
          <cell r="E1523" t="str">
            <v>Santa Teresita NHS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</row>
        <row r="1524">
          <cell r="D1524">
            <v>301517</v>
          </cell>
          <cell r="E1524" t="str">
            <v>Canlubang Integrated School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</row>
        <row r="1525">
          <cell r="D1525">
            <v>301519</v>
          </cell>
          <cell r="E1525" t="str">
            <v>Looc  Integrated School</v>
          </cell>
          <cell r="F1525">
            <v>0</v>
          </cell>
          <cell r="G1525">
            <v>156</v>
          </cell>
          <cell r="H1525">
            <v>156</v>
          </cell>
          <cell r="I1525">
            <v>0</v>
          </cell>
          <cell r="J1525">
            <v>1</v>
          </cell>
          <cell r="K1525">
            <v>1</v>
          </cell>
          <cell r="L1525">
            <v>0</v>
          </cell>
          <cell r="M1525">
            <v>7</v>
          </cell>
          <cell r="N1525">
            <v>7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</row>
        <row r="1526">
          <cell r="D1526">
            <v>302159</v>
          </cell>
          <cell r="E1526" t="str">
            <v>Lumban Senior High School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</row>
        <row r="1527">
          <cell r="D1527">
            <v>301237</v>
          </cell>
          <cell r="E1527" t="str">
            <v>Lowland Integrated National High School</v>
          </cell>
          <cell r="F1527">
            <v>36</v>
          </cell>
          <cell r="G1527">
            <v>34</v>
          </cell>
          <cell r="H1527">
            <v>70</v>
          </cell>
          <cell r="I1527">
            <v>0</v>
          </cell>
          <cell r="J1527">
            <v>15</v>
          </cell>
          <cell r="K1527">
            <v>15</v>
          </cell>
          <cell r="L1527">
            <v>0</v>
          </cell>
          <cell r="M1527">
            <v>15</v>
          </cell>
          <cell r="N1527">
            <v>15</v>
          </cell>
          <cell r="O1527">
            <v>36</v>
          </cell>
          <cell r="P1527">
            <v>34</v>
          </cell>
          <cell r="Q1527">
            <v>70</v>
          </cell>
          <cell r="R1527">
            <v>0</v>
          </cell>
          <cell r="S1527">
            <v>10</v>
          </cell>
          <cell r="T1527">
            <v>10</v>
          </cell>
          <cell r="U1527">
            <v>0</v>
          </cell>
          <cell r="V1527">
            <v>10</v>
          </cell>
          <cell r="W1527">
            <v>10</v>
          </cell>
          <cell r="X1527">
            <v>0</v>
          </cell>
          <cell r="Y1527">
            <v>0</v>
          </cell>
          <cell r="Z1527">
            <v>0</v>
          </cell>
        </row>
        <row r="1528">
          <cell r="D1528">
            <v>301468</v>
          </cell>
          <cell r="E1528" t="str">
            <v>Tuna-Balibago NHS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</row>
        <row r="1529">
          <cell r="D1529">
            <v>308704</v>
          </cell>
          <cell r="E1529" t="str">
            <v>Calamba City Science High School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</row>
        <row r="1530">
          <cell r="D1530">
            <v>301313</v>
          </cell>
          <cell r="E1530" t="str">
            <v>Evaristo R. Macalintal MNHS (Formerly Cometa NHS)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</row>
        <row r="1531">
          <cell r="D1531">
            <v>308045</v>
          </cell>
          <cell r="E1531" t="str">
            <v>MANSILAY NHS</v>
          </cell>
          <cell r="F1531">
            <v>30</v>
          </cell>
          <cell r="G1531">
            <v>8</v>
          </cell>
          <cell r="H1531">
            <v>38</v>
          </cell>
          <cell r="I1531">
            <v>5</v>
          </cell>
          <cell r="J1531">
            <v>0</v>
          </cell>
          <cell r="K1531">
            <v>5</v>
          </cell>
          <cell r="L1531">
            <v>4</v>
          </cell>
          <cell r="M1531">
            <v>0</v>
          </cell>
          <cell r="N1531">
            <v>4</v>
          </cell>
          <cell r="O1531">
            <v>6</v>
          </cell>
          <cell r="P1531">
            <v>0</v>
          </cell>
          <cell r="Q1531">
            <v>6</v>
          </cell>
          <cell r="R1531">
            <v>3</v>
          </cell>
          <cell r="S1531">
            <v>0</v>
          </cell>
          <cell r="T1531">
            <v>3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5</v>
          </cell>
          <cell r="Z1531">
            <v>5</v>
          </cell>
        </row>
        <row r="1532">
          <cell r="D1532">
            <v>305485</v>
          </cell>
          <cell r="E1532" t="str">
            <v>MAYURO SENIOR HIGH SCHOOL</v>
          </cell>
          <cell r="F1532">
            <v>64</v>
          </cell>
          <cell r="G1532">
            <v>0</v>
          </cell>
          <cell r="H1532">
            <v>64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</row>
        <row r="1533">
          <cell r="D1533">
            <v>342356</v>
          </cell>
          <cell r="E1533" t="str">
            <v>Stand Alone SHS No. 14 Santa Maria</v>
          </cell>
          <cell r="F1533">
            <v>19</v>
          </cell>
          <cell r="G1533">
            <v>14</v>
          </cell>
          <cell r="H1533">
            <v>33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</row>
        <row r="1534">
          <cell r="D1534">
            <v>301481</v>
          </cell>
          <cell r="E1534" t="str">
            <v>Tabangao Integrated School</v>
          </cell>
          <cell r="F1534">
            <v>100</v>
          </cell>
          <cell r="G1534">
            <v>116</v>
          </cell>
          <cell r="H1534">
            <v>216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</row>
        <row r="1535">
          <cell r="D1535">
            <v>307927</v>
          </cell>
          <cell r="E1535" t="str">
            <v>Dayap National Integrated High School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</row>
        <row r="1536">
          <cell r="D1536">
            <v>301504</v>
          </cell>
          <cell r="E1536" t="str">
            <v>San Pablo City Integrated High School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</row>
        <row r="1537">
          <cell r="D1537">
            <v>301490</v>
          </cell>
          <cell r="E1537" t="str">
            <v>Fernando Air Base Integrated National High School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</row>
        <row r="1538">
          <cell r="D1538">
            <v>342362</v>
          </cell>
          <cell r="E1538" t="str">
            <v>SANTA CRUZ INTEGRATED NATIONAL HIGH SCHOOL (Stand Alone SHS No. 20 Santa Cruz)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</row>
        <row r="1539">
          <cell r="D1539">
            <v>301098</v>
          </cell>
          <cell r="E1539" t="str">
            <v>Dagatan National High School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</row>
        <row r="1540">
          <cell r="D1540">
            <v>301348</v>
          </cell>
          <cell r="E1540" t="str">
            <v>Lusacan National High School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</row>
        <row r="1541">
          <cell r="D1541">
            <v>301469</v>
          </cell>
          <cell r="E1541" t="str">
            <v>Vicente Madrigal NHS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</row>
        <row r="1542">
          <cell r="D1542">
            <v>305472</v>
          </cell>
          <cell r="E1542" t="str">
            <v>Lumangbayan National High School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</row>
        <row r="1543">
          <cell r="D1543">
            <v>301508</v>
          </cell>
          <cell r="E1543" t="str">
            <v>San Bartolome Integrated High School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</row>
        <row r="1544">
          <cell r="D1544">
            <v>301108</v>
          </cell>
          <cell r="E1544" t="str">
            <v>Laiya NHS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</row>
        <row r="1545">
          <cell r="D1545">
            <v>301090</v>
          </cell>
          <cell r="E1545" t="str">
            <v>Buhaynasapa NHS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</row>
        <row r="1546">
          <cell r="D1546">
            <v>301258</v>
          </cell>
          <cell r="E1546" t="str">
            <v>Plaridel Integrated National High School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</row>
        <row r="1547">
          <cell r="D1547">
            <v>307920</v>
          </cell>
          <cell r="E1547" t="str">
            <v>San Antonio Integrated National High School</v>
          </cell>
          <cell r="F1547">
            <v>43</v>
          </cell>
          <cell r="G1547">
            <v>51</v>
          </cell>
          <cell r="H1547">
            <v>94</v>
          </cell>
          <cell r="I1547">
            <v>19</v>
          </cell>
          <cell r="J1547">
            <v>33</v>
          </cell>
          <cell r="K1547">
            <v>52</v>
          </cell>
          <cell r="L1547">
            <v>1</v>
          </cell>
          <cell r="M1547">
            <v>3</v>
          </cell>
          <cell r="N1547">
            <v>4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</row>
        <row r="1548">
          <cell r="D1548">
            <v>308133</v>
          </cell>
          <cell r="E1548" t="str">
            <v>Laiban National High School</v>
          </cell>
          <cell r="F1548">
            <v>21</v>
          </cell>
          <cell r="G1548">
            <v>9</v>
          </cell>
          <cell r="H1548">
            <v>30</v>
          </cell>
          <cell r="I1548">
            <v>21</v>
          </cell>
          <cell r="J1548">
            <v>9</v>
          </cell>
          <cell r="K1548">
            <v>30</v>
          </cell>
          <cell r="L1548">
            <v>29</v>
          </cell>
          <cell r="M1548">
            <v>13</v>
          </cell>
          <cell r="N1548">
            <v>42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</row>
        <row r="1549">
          <cell r="D1549">
            <v>342344</v>
          </cell>
          <cell r="E1549" t="str">
            <v>PAKIL SENIOR HIGH SCHOOL (Stand Alone SHS No. 2 Pakil)</v>
          </cell>
          <cell r="F1549">
            <v>46</v>
          </cell>
          <cell r="G1549">
            <v>55</v>
          </cell>
          <cell r="H1549">
            <v>101</v>
          </cell>
          <cell r="I1549">
            <v>1</v>
          </cell>
          <cell r="J1549">
            <v>1</v>
          </cell>
          <cell r="K1549">
            <v>2</v>
          </cell>
          <cell r="L1549">
            <v>1</v>
          </cell>
          <cell r="M1549">
            <v>1</v>
          </cell>
          <cell r="N1549">
            <v>2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</row>
        <row r="1550">
          <cell r="D1550">
            <v>301092</v>
          </cell>
          <cell r="E1550" t="str">
            <v>Bulihan Integrated Senior High School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</row>
        <row r="1551">
          <cell r="D1551">
            <v>308017</v>
          </cell>
          <cell r="E1551" t="str">
            <v>Apad NHS (Formerly Sto. Domingo NHS - Apad Ext. Classes)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</row>
        <row r="1552">
          <cell r="D1552">
            <v>301491</v>
          </cell>
          <cell r="E1552" t="str">
            <v>Inosloban-Marawoy Integrated National High School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</row>
        <row r="1553">
          <cell r="D1553">
            <v>301505</v>
          </cell>
          <cell r="E1553" t="str">
            <v>Col. Lauro D. Dizon Memorial Integrated High School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</row>
        <row r="1554">
          <cell r="D1554">
            <v>342204</v>
          </cell>
          <cell r="E1554" t="str">
            <v>SHS in Brgy. Bugaan East, Laurel, Batangas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</row>
        <row r="1555">
          <cell r="D1555">
            <v>301364</v>
          </cell>
          <cell r="E1555" t="str">
            <v>Paaralang Sek. Ng Lukban Integrated(formerly Paaralang Sekundarya ng Lucban)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</row>
        <row r="1556">
          <cell r="D1556">
            <v>342575</v>
          </cell>
          <cell r="E1556" t="str">
            <v>Crecencia Drucila Lopez Senior High School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</row>
        <row r="1557">
          <cell r="D1557">
            <v>308601</v>
          </cell>
          <cell r="E1557" t="str">
            <v>San Vicente Integrated High School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</row>
        <row r="1558">
          <cell r="D1558">
            <v>301269</v>
          </cell>
          <cell r="E1558" t="str">
            <v>Sta. Maria NHS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</row>
        <row r="1559">
          <cell r="D1559">
            <v>301483</v>
          </cell>
          <cell r="E1559" t="str">
            <v>Talumpok Integrated School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</row>
        <row r="1560">
          <cell r="D1560">
            <v>301338</v>
          </cell>
          <cell r="E1560" t="str">
            <v>Kinatakutan NHS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</row>
        <row r="1561">
          <cell r="D1561">
            <v>301242</v>
          </cell>
          <cell r="E1561" t="str">
            <v>Ibayiw Integrated National High School</v>
          </cell>
          <cell r="F1561">
            <v>85</v>
          </cell>
          <cell r="G1561">
            <v>53</v>
          </cell>
          <cell r="H1561">
            <v>138</v>
          </cell>
          <cell r="I1561">
            <v>51</v>
          </cell>
          <cell r="J1561">
            <v>32</v>
          </cell>
          <cell r="K1561">
            <v>83</v>
          </cell>
          <cell r="L1561">
            <v>69</v>
          </cell>
          <cell r="M1561">
            <v>52</v>
          </cell>
          <cell r="N1561">
            <v>121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</row>
        <row r="1562">
          <cell r="D1562">
            <v>342209</v>
          </cell>
          <cell r="E1562" t="str">
            <v>SHS within Caloocan ES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</row>
        <row r="1563">
          <cell r="D1563">
            <v>301474</v>
          </cell>
          <cell r="E1563" t="str">
            <v>Paharang Integrated School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</row>
        <row r="1564">
          <cell r="D1564">
            <v>342234</v>
          </cell>
          <cell r="E1564" t="str">
            <v>Gulod Senior High School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</row>
        <row r="1565">
          <cell r="D1565">
            <v>342208</v>
          </cell>
          <cell r="E1565" t="str">
            <v>SHS within Canda ES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</row>
        <row r="1566">
          <cell r="D1566">
            <v>301321</v>
          </cell>
          <cell r="E1566" t="str">
            <v>Elias A. Salvador NHS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</row>
        <row r="1567">
          <cell r="D1567">
            <v>301271</v>
          </cell>
          <cell r="E1567" t="str">
            <v>Santa Maria NHS - J. Santiago Annex</v>
          </cell>
          <cell r="F1567">
            <v>22</v>
          </cell>
          <cell r="G1567">
            <v>48</v>
          </cell>
          <cell r="H1567">
            <v>70</v>
          </cell>
          <cell r="I1567">
            <v>10</v>
          </cell>
          <cell r="J1567">
            <v>11</v>
          </cell>
          <cell r="K1567">
            <v>21</v>
          </cell>
          <cell r="L1567">
            <v>5</v>
          </cell>
          <cell r="M1567">
            <v>9</v>
          </cell>
          <cell r="N1567">
            <v>14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</row>
        <row r="1568">
          <cell r="D1568">
            <v>301323</v>
          </cell>
          <cell r="E1568" t="str">
            <v>Guinayangan NHS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</row>
        <row r="1569">
          <cell r="D1569">
            <v>301503</v>
          </cell>
          <cell r="E1569" t="str">
            <v>San Cristobal Integrated High School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</row>
        <row r="1570">
          <cell r="D1570">
            <v>308605</v>
          </cell>
          <cell r="E1570" t="str">
            <v>San Pablo City Science Integrated High School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</row>
        <row r="1571">
          <cell r="D1571">
            <v>301287</v>
          </cell>
          <cell r="E1571" t="str">
            <v>Bagong Silang NHS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</row>
        <row r="1572">
          <cell r="D1572">
            <v>305684</v>
          </cell>
          <cell r="E1572" t="str">
            <v>Felix Amante Senior High School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</row>
        <row r="1573">
          <cell r="D1573">
            <v>301272</v>
          </cell>
          <cell r="E1573" t="str">
            <v>Sto. Domingo Integrated School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</row>
        <row r="1574">
          <cell r="D1574">
            <v>321501</v>
          </cell>
          <cell r="E1574" t="str">
            <v>Marcelino M. Santos NHS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</row>
        <row r="1575">
          <cell r="D1575">
            <v>301273</v>
          </cell>
          <cell r="E1575" t="str">
            <v>Siniloan Integrated National High School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</row>
        <row r="1576">
          <cell r="D1576">
            <v>301485</v>
          </cell>
          <cell r="E1576" t="str">
            <v>Sangley Point NHS</v>
          </cell>
          <cell r="F1576">
            <v>329</v>
          </cell>
          <cell r="G1576">
            <v>205</v>
          </cell>
          <cell r="H1576">
            <v>534</v>
          </cell>
          <cell r="I1576">
            <v>186</v>
          </cell>
          <cell r="J1576">
            <v>92</v>
          </cell>
          <cell r="K1576">
            <v>278</v>
          </cell>
          <cell r="L1576">
            <v>1023</v>
          </cell>
          <cell r="M1576">
            <v>506</v>
          </cell>
          <cell r="N1576">
            <v>1529</v>
          </cell>
          <cell r="O1576">
            <v>17</v>
          </cell>
          <cell r="P1576">
            <v>11</v>
          </cell>
          <cell r="Q1576">
            <v>28</v>
          </cell>
          <cell r="R1576">
            <v>322</v>
          </cell>
          <cell r="S1576">
            <v>194</v>
          </cell>
          <cell r="T1576">
            <v>516</v>
          </cell>
          <cell r="U1576">
            <v>4</v>
          </cell>
          <cell r="V1576">
            <v>2</v>
          </cell>
          <cell r="W1576">
            <v>6</v>
          </cell>
          <cell r="X1576">
            <v>48</v>
          </cell>
          <cell r="Y1576">
            <v>9</v>
          </cell>
          <cell r="Z1576">
            <v>57</v>
          </cell>
        </row>
        <row r="1577">
          <cell r="D1577">
            <v>301459</v>
          </cell>
          <cell r="E1577" t="str">
            <v>Pintong Bukawe National High School</v>
          </cell>
          <cell r="F1577">
            <v>50</v>
          </cell>
          <cell r="G1577">
            <v>42</v>
          </cell>
          <cell r="H1577">
            <v>92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</row>
        <row r="1578">
          <cell r="D1578">
            <v>342599</v>
          </cell>
          <cell r="E1578" t="str">
            <v>SHS in Progressive, Bacoor City</v>
          </cell>
          <cell r="F1578">
            <v>120</v>
          </cell>
          <cell r="G1578">
            <v>100</v>
          </cell>
          <cell r="H1578">
            <v>220</v>
          </cell>
          <cell r="I1578">
            <v>5</v>
          </cell>
          <cell r="J1578">
            <v>10</v>
          </cell>
          <cell r="K1578">
            <v>15</v>
          </cell>
          <cell r="L1578">
            <v>0</v>
          </cell>
          <cell r="M1578">
            <v>0</v>
          </cell>
          <cell r="N1578">
            <v>0</v>
          </cell>
          <cell r="O1578">
            <v>50</v>
          </cell>
          <cell r="P1578">
            <v>60</v>
          </cell>
          <cell r="Q1578">
            <v>110</v>
          </cell>
          <cell r="R1578">
            <v>15</v>
          </cell>
          <cell r="S1578">
            <v>30</v>
          </cell>
          <cell r="T1578">
            <v>45</v>
          </cell>
          <cell r="U1578">
            <v>10</v>
          </cell>
          <cell r="V1578">
            <v>12</v>
          </cell>
          <cell r="W1578">
            <v>22</v>
          </cell>
          <cell r="X1578">
            <v>3</v>
          </cell>
          <cell r="Y1578">
            <v>7</v>
          </cell>
          <cell r="Z1578">
            <v>10</v>
          </cell>
        </row>
        <row r="1579">
          <cell r="D1579">
            <v>301243</v>
          </cell>
          <cell r="E1579" t="str">
            <v>Kabulusan Integrated National High School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</row>
        <row r="1580">
          <cell r="D1580">
            <v>307918</v>
          </cell>
          <cell r="E1580" t="str">
            <v>Balian NHS (Galalan Annex)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</row>
        <row r="1581">
          <cell r="D1581">
            <v>342353</v>
          </cell>
          <cell r="E1581" t="str">
            <v>B.N. Calara Integrated National High School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</row>
        <row r="1582">
          <cell r="D1582">
            <v>307906</v>
          </cell>
          <cell r="E1582" t="str">
            <v>Gov. Felicisimo T. San Luis Memorial National High School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</row>
        <row r="1583">
          <cell r="D1583">
            <v>342286</v>
          </cell>
          <cell r="E1583" t="str">
            <v>Pedro Alegre Aure Senior High School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</row>
        <row r="1584">
          <cell r="D1584">
            <v>301228</v>
          </cell>
          <cell r="E1584" t="str">
            <v>Banca-Banca Integrated National High School</v>
          </cell>
          <cell r="F1584">
            <v>49</v>
          </cell>
          <cell r="G1584">
            <v>55</v>
          </cell>
          <cell r="H1584">
            <v>104</v>
          </cell>
          <cell r="I1584">
            <v>49</v>
          </cell>
          <cell r="J1584">
            <v>45</v>
          </cell>
          <cell r="K1584">
            <v>94</v>
          </cell>
          <cell r="L1584">
            <v>149</v>
          </cell>
          <cell r="M1584">
            <v>140</v>
          </cell>
          <cell r="N1584">
            <v>289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</row>
        <row r="1585">
          <cell r="D1585">
            <v>301264</v>
          </cell>
          <cell r="E1585" t="str">
            <v>San Francisco Integrated NHS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</row>
        <row r="1586">
          <cell r="D1586">
            <v>301334</v>
          </cell>
          <cell r="E1586" t="str">
            <v>Burdeos NHS (Judith NHS)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</row>
        <row r="1587">
          <cell r="D1587">
            <v>301270</v>
          </cell>
          <cell r="E1587" t="str">
            <v>Gaudencio Octavio National High School</v>
          </cell>
          <cell r="F1587">
            <v>21</v>
          </cell>
          <cell r="G1587">
            <v>19</v>
          </cell>
          <cell r="H1587">
            <v>40</v>
          </cell>
          <cell r="I1587">
            <v>16</v>
          </cell>
          <cell r="J1587">
            <v>19</v>
          </cell>
          <cell r="K1587">
            <v>35</v>
          </cell>
          <cell r="L1587">
            <v>53</v>
          </cell>
          <cell r="M1587">
            <v>135</v>
          </cell>
          <cell r="N1587">
            <v>188</v>
          </cell>
          <cell r="O1587">
            <v>16</v>
          </cell>
          <cell r="P1587">
            <v>19</v>
          </cell>
          <cell r="Q1587">
            <v>35</v>
          </cell>
          <cell r="R1587">
            <v>53</v>
          </cell>
          <cell r="S1587">
            <v>135</v>
          </cell>
          <cell r="T1587">
            <v>188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</row>
        <row r="1588">
          <cell r="D1588">
            <v>301335</v>
          </cell>
          <cell r="E1588" t="str">
            <v>Bonifacio National High School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</row>
        <row r="1589">
          <cell r="D1589">
            <v>301312</v>
          </cell>
          <cell r="E1589" t="str">
            <v>Tagbacan NHS (Formerly Tagbacan Ilaya IS)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</row>
        <row r="1590">
          <cell r="D1590">
            <v>301240</v>
          </cell>
          <cell r="E1590" t="str">
            <v>Famy National Integrated High School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</row>
        <row r="1591">
          <cell r="D1591">
            <v>301217</v>
          </cell>
          <cell r="E1591" t="str">
            <v>Talon National High School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</row>
        <row r="1592">
          <cell r="D1592">
            <v>342588</v>
          </cell>
          <cell r="E1592" t="str">
            <v>GEN. FLAVIANO YENGKO SHS (SHS in Pasong Buaya)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</row>
        <row r="1593">
          <cell r="D1593">
            <v>301286</v>
          </cell>
          <cell r="E1593" t="str">
            <v>Atimonan NCHS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</row>
        <row r="1594">
          <cell r="D1594">
            <v>301232</v>
          </cell>
          <cell r="E1594" t="str">
            <v>Buenavista NHS</v>
          </cell>
          <cell r="F1594">
            <v>96</v>
          </cell>
          <cell r="G1594">
            <v>62</v>
          </cell>
          <cell r="H1594">
            <v>158</v>
          </cell>
          <cell r="I1594">
            <v>5</v>
          </cell>
          <cell r="J1594">
            <v>4</v>
          </cell>
          <cell r="K1594">
            <v>9</v>
          </cell>
          <cell r="L1594">
            <v>5</v>
          </cell>
          <cell r="M1594">
            <v>4</v>
          </cell>
          <cell r="N1594">
            <v>9</v>
          </cell>
          <cell r="O1594">
            <v>9</v>
          </cell>
          <cell r="P1594">
            <v>8</v>
          </cell>
          <cell r="Q1594">
            <v>17</v>
          </cell>
          <cell r="R1594">
            <v>9</v>
          </cell>
          <cell r="S1594">
            <v>8</v>
          </cell>
          <cell r="T1594">
            <v>17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</row>
        <row r="1595">
          <cell r="D1595">
            <v>342218</v>
          </cell>
          <cell r="E1595" t="str">
            <v>Talisay Senior High School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</row>
        <row r="1596">
          <cell r="D1596">
            <v>301268</v>
          </cell>
          <cell r="E1596" t="str">
            <v>Sta. Catalina Integrated National High School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</row>
        <row r="1597">
          <cell r="D1597">
            <v>301166</v>
          </cell>
          <cell r="E1597" t="str">
            <v>Amadeo National High School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</row>
        <row r="1598">
          <cell r="D1598">
            <v>301434</v>
          </cell>
          <cell r="E1598" t="str">
            <v>Catalino D. Salazar NHS-Senior High School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</row>
        <row r="1599">
          <cell r="D1599">
            <v>301221</v>
          </cell>
          <cell r="E1599" t="str">
            <v>Ternate National High School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</row>
        <row r="1600">
          <cell r="D1600">
            <v>342343</v>
          </cell>
          <cell r="E1600" t="str">
            <v>Barangay Longos Senior High School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</row>
        <row r="1601">
          <cell r="D1601">
            <v>301471</v>
          </cell>
          <cell r="E1601" t="str">
            <v>Banaba West Integrated School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</row>
        <row r="1602">
          <cell r="D1602">
            <v>301278</v>
          </cell>
          <cell r="E1602" t="str">
            <v>Upland Integrated National High School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</row>
        <row r="1603">
          <cell r="D1603">
            <v>342284</v>
          </cell>
          <cell r="E1603" t="str">
            <v>Senior High School in Carmona</v>
          </cell>
          <cell r="F1603">
            <v>935</v>
          </cell>
          <cell r="G1603">
            <v>664</v>
          </cell>
          <cell r="H1603">
            <v>1599</v>
          </cell>
          <cell r="I1603">
            <v>724</v>
          </cell>
          <cell r="J1603">
            <v>542</v>
          </cell>
          <cell r="K1603">
            <v>1266</v>
          </cell>
          <cell r="L1603">
            <v>724</v>
          </cell>
          <cell r="M1603">
            <v>542</v>
          </cell>
          <cell r="N1603">
            <v>1266</v>
          </cell>
          <cell r="O1603">
            <v>42</v>
          </cell>
          <cell r="P1603">
            <v>38</v>
          </cell>
          <cell r="Q1603">
            <v>80</v>
          </cell>
          <cell r="R1603">
            <v>41</v>
          </cell>
          <cell r="S1603">
            <v>25</v>
          </cell>
          <cell r="T1603">
            <v>66</v>
          </cell>
          <cell r="U1603">
            <v>8</v>
          </cell>
          <cell r="V1603">
            <v>12</v>
          </cell>
          <cell r="W1603">
            <v>20</v>
          </cell>
          <cell r="X1603">
            <v>0</v>
          </cell>
          <cell r="Y1603">
            <v>0</v>
          </cell>
          <cell r="Z1603">
            <v>0</v>
          </cell>
        </row>
        <row r="1604">
          <cell r="D1604">
            <v>301333</v>
          </cell>
          <cell r="E1604" t="str">
            <v>Jomalig NHS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</row>
        <row r="1605">
          <cell r="D1605">
            <v>342347</v>
          </cell>
          <cell r="E1605" t="str">
            <v>Nagcarlan Senior High School</v>
          </cell>
          <cell r="F1605">
            <v>50</v>
          </cell>
          <cell r="G1605">
            <v>32</v>
          </cell>
          <cell r="H1605">
            <v>82</v>
          </cell>
          <cell r="I1605">
            <v>5</v>
          </cell>
          <cell r="J1605">
            <v>5</v>
          </cell>
          <cell r="K1605">
            <v>10</v>
          </cell>
          <cell r="L1605">
            <v>5</v>
          </cell>
          <cell r="M1605">
            <v>5</v>
          </cell>
          <cell r="N1605">
            <v>10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</row>
        <row r="1606">
          <cell r="D1606">
            <v>301295</v>
          </cell>
          <cell r="E1606" t="str">
            <v>Bondoc Peninsula Agri. HS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</row>
        <row r="1607">
          <cell r="D1607">
            <v>301211</v>
          </cell>
          <cell r="E1607" t="str">
            <v>Pulo ni Sara National High School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</row>
        <row r="1608">
          <cell r="D1608">
            <v>342242</v>
          </cell>
          <cell r="E1608" t="str">
            <v>Biñan City Senior High School-San Antonio Campus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</row>
        <row r="1609">
          <cell r="D1609">
            <v>301360</v>
          </cell>
          <cell r="E1609" t="str">
            <v>Olongtao National High School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</row>
        <row r="1610">
          <cell r="D1610">
            <v>301403</v>
          </cell>
          <cell r="E1610" t="str">
            <v>Sta. Catalina National High School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</row>
        <row r="1611">
          <cell r="D1611">
            <v>301147</v>
          </cell>
          <cell r="E1611" t="str">
            <v>Sta. Clara Senior High School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</row>
        <row r="1612">
          <cell r="D1612">
            <v>301410</v>
          </cell>
          <cell r="E1612" t="str">
            <v>Tongohin NHS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</row>
        <row r="1613">
          <cell r="D1613">
            <v>301192</v>
          </cell>
          <cell r="E1613" t="str">
            <v>Gen. Mariano Alvarez Technology High School</v>
          </cell>
          <cell r="F1613">
            <v>878</v>
          </cell>
          <cell r="G1613">
            <v>749</v>
          </cell>
          <cell r="H1613">
            <v>1627</v>
          </cell>
          <cell r="I1613">
            <v>780</v>
          </cell>
          <cell r="J1613">
            <v>657</v>
          </cell>
          <cell r="K1613">
            <v>1437</v>
          </cell>
          <cell r="L1613">
            <v>4868</v>
          </cell>
          <cell r="M1613">
            <v>3531</v>
          </cell>
          <cell r="N1613">
            <v>8399</v>
          </cell>
          <cell r="O1613">
            <v>114</v>
          </cell>
          <cell r="P1613">
            <v>145</v>
          </cell>
          <cell r="Q1613">
            <v>259</v>
          </cell>
          <cell r="R1613">
            <v>49</v>
          </cell>
          <cell r="S1613">
            <v>30</v>
          </cell>
          <cell r="T1613">
            <v>79</v>
          </cell>
          <cell r="U1613">
            <v>10</v>
          </cell>
          <cell r="V1613">
            <v>11</v>
          </cell>
          <cell r="W1613">
            <v>21</v>
          </cell>
          <cell r="X1613">
            <v>28</v>
          </cell>
          <cell r="Y1613">
            <v>4</v>
          </cell>
          <cell r="Z1613">
            <v>32</v>
          </cell>
        </row>
        <row r="1614">
          <cell r="D1614">
            <v>301193</v>
          </cell>
          <cell r="E1614" t="str">
            <v>Gen. Vito Belarmino National High School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</row>
        <row r="1615">
          <cell r="D1615">
            <v>342292</v>
          </cell>
          <cell r="E1615" t="str">
            <v>Trece Martires City Senior High School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</row>
        <row r="1616">
          <cell r="D1616">
            <v>301207</v>
          </cell>
          <cell r="E1616" t="str">
            <v>Naic National High School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</row>
        <row r="1617">
          <cell r="D1617">
            <v>301497</v>
          </cell>
          <cell r="E1617" t="str">
            <v>Pinagtongulan Integrated National High School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</row>
        <row r="1618">
          <cell r="D1618">
            <v>301454</v>
          </cell>
          <cell r="E1618" t="str">
            <v>Quisao NHS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</row>
        <row r="1619">
          <cell r="D1619">
            <v>301178</v>
          </cell>
          <cell r="E1619" t="str">
            <v>Cavite National Science High School</v>
          </cell>
          <cell r="F1619">
            <v>156</v>
          </cell>
          <cell r="G1619">
            <v>187</v>
          </cell>
          <cell r="H1619">
            <v>343</v>
          </cell>
          <cell r="I1619">
            <v>6</v>
          </cell>
          <cell r="J1619">
            <v>6</v>
          </cell>
          <cell r="K1619">
            <v>12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</row>
        <row r="1620">
          <cell r="D1620">
            <v>342241</v>
          </cell>
          <cell r="E1620" t="str">
            <v>Stand Alone 3 (BSC)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</row>
        <row r="1621">
          <cell r="D1621">
            <v>342564</v>
          </cell>
          <cell r="E1621" t="str">
            <v>Cainta Senior High School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</row>
        <row r="1622">
          <cell r="D1622">
            <v>301201</v>
          </cell>
          <cell r="E1622" t="str">
            <v>Indang National High School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</row>
        <row r="1623">
          <cell r="D1623">
            <v>342590</v>
          </cell>
          <cell r="E1623" t="str">
            <v>GEN. JUAN CASTAÑEDA SHS (SHS in Anabu)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</row>
        <row r="1624">
          <cell r="D1624">
            <v>301317</v>
          </cell>
          <cell r="E1624" t="str">
            <v>Dagatan National High School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</row>
        <row r="1625">
          <cell r="D1625">
            <v>342211</v>
          </cell>
          <cell r="E1625" t="str">
            <v>SHS in Calatagan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</row>
        <row r="1626">
          <cell r="D1626">
            <v>301283</v>
          </cell>
          <cell r="E1626" t="str">
            <v>Magsaysay NHS (Formerly Ajos NHS - Magsaysay Extension)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</row>
        <row r="1627">
          <cell r="D1627">
            <v>301205</v>
          </cell>
          <cell r="E1627" t="str">
            <v>Munting Ilog National High School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</row>
        <row r="1628">
          <cell r="D1628">
            <v>301216</v>
          </cell>
          <cell r="E1628" t="str">
            <v>Tagaytay City National High School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</row>
        <row r="1629">
          <cell r="D1629">
            <v>301191</v>
          </cell>
          <cell r="E1629" t="str">
            <v>Gen. Emilio Aguinaldo National High School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</row>
        <row r="1630">
          <cell r="D1630">
            <v>301404</v>
          </cell>
          <cell r="E1630" t="str">
            <v>Sto. Domingo NHS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</row>
        <row r="1631">
          <cell r="D1631">
            <v>301175</v>
          </cell>
          <cell r="E1631" t="str">
            <v>Bucal National High School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</row>
        <row r="1632">
          <cell r="D1632">
            <v>342287</v>
          </cell>
          <cell r="E1632" t="str">
            <v>Noveleta Senior High School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</row>
        <row r="1633">
          <cell r="D1633">
            <v>308108</v>
          </cell>
          <cell r="E1633" t="str">
            <v>Antonio C. Esguerra Mem. NHS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</row>
        <row r="1634">
          <cell r="D1634">
            <v>301202</v>
          </cell>
          <cell r="E1634" t="str">
            <v>Lumil National High School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</row>
        <row r="1635">
          <cell r="D1635">
            <v>307902</v>
          </cell>
          <cell r="E1635" t="str">
            <v>Santa Rosa Science and Technology High School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</row>
        <row r="1636">
          <cell r="D1636">
            <v>308115</v>
          </cell>
          <cell r="E1636" t="str">
            <v>San Guillermo NHS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</row>
        <row r="1637">
          <cell r="D1637">
            <v>301167</v>
          </cell>
          <cell r="E1637" t="str">
            <v>Amaya School of Home Industries</v>
          </cell>
          <cell r="F1637">
            <v>745</v>
          </cell>
          <cell r="G1637">
            <v>747</v>
          </cell>
          <cell r="H1637">
            <v>1492</v>
          </cell>
          <cell r="I1637">
            <v>506</v>
          </cell>
          <cell r="J1637">
            <v>607</v>
          </cell>
          <cell r="K1637">
            <v>1113</v>
          </cell>
          <cell r="L1637">
            <v>506</v>
          </cell>
          <cell r="M1637">
            <v>607</v>
          </cell>
          <cell r="N1637">
            <v>1113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</row>
        <row r="1638">
          <cell r="D1638">
            <v>342207</v>
          </cell>
          <cell r="E1638" t="str">
            <v>SHS in Tuy</v>
          </cell>
          <cell r="F1638">
            <v>589</v>
          </cell>
          <cell r="G1638">
            <v>430</v>
          </cell>
          <cell r="H1638">
            <v>1019</v>
          </cell>
          <cell r="I1638">
            <v>202</v>
          </cell>
          <cell r="J1638">
            <v>120</v>
          </cell>
          <cell r="K1638">
            <v>322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2</v>
          </cell>
          <cell r="V1638">
            <v>1</v>
          </cell>
          <cell r="W1638">
            <v>3</v>
          </cell>
          <cell r="X1638">
            <v>0</v>
          </cell>
          <cell r="Y1638">
            <v>0</v>
          </cell>
          <cell r="Z1638">
            <v>0</v>
          </cell>
        </row>
        <row r="1639">
          <cell r="D1639">
            <v>301213</v>
          </cell>
          <cell r="E1639" t="str">
            <v>San Jose Community High School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</row>
        <row r="1640">
          <cell r="D1640">
            <v>342565</v>
          </cell>
          <cell r="E1640" t="str">
            <v>Tanay Senior High School</v>
          </cell>
          <cell r="F1640">
            <v>220</v>
          </cell>
          <cell r="G1640">
            <v>185</v>
          </cell>
          <cell r="H1640">
            <v>405</v>
          </cell>
          <cell r="I1640">
            <v>60</v>
          </cell>
          <cell r="J1640">
            <v>117</v>
          </cell>
          <cell r="K1640">
            <v>177</v>
          </cell>
          <cell r="L1640">
            <v>60</v>
          </cell>
          <cell r="M1640">
            <v>117</v>
          </cell>
          <cell r="N1640">
            <v>177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</row>
        <row r="1641">
          <cell r="D1641">
            <v>301195</v>
          </cell>
          <cell r="E1641" t="str">
            <v>Halang Banaybanay National High School</v>
          </cell>
          <cell r="F1641">
            <v>15</v>
          </cell>
          <cell r="G1641">
            <v>5</v>
          </cell>
          <cell r="H1641">
            <v>20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9</v>
          </cell>
          <cell r="P1641">
            <v>3</v>
          </cell>
          <cell r="Q1641">
            <v>12</v>
          </cell>
          <cell r="R1641">
            <v>10</v>
          </cell>
          <cell r="S1641">
            <v>5</v>
          </cell>
          <cell r="T1641">
            <v>15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</row>
        <row r="1642">
          <cell r="D1642">
            <v>301168</v>
          </cell>
          <cell r="E1642" t="str">
            <v>Anuling National High School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</row>
        <row r="1643">
          <cell r="D1643">
            <v>301165</v>
          </cell>
          <cell r="E1643" t="str">
            <v>Alfonso National High School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</row>
        <row r="1644">
          <cell r="D1644">
            <v>301198</v>
          </cell>
          <cell r="E1644" t="str">
            <v>Kaytitinga National High School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</row>
        <row r="1645">
          <cell r="D1645">
            <v>301199</v>
          </cell>
          <cell r="E1645" t="str">
            <v>Lucsuhin National High School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</row>
        <row r="1646">
          <cell r="D1646">
            <v>301172</v>
          </cell>
          <cell r="E1646" t="str">
            <v>Bagbag National High School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</row>
        <row r="1647">
          <cell r="D1647">
            <v>301200</v>
          </cell>
          <cell r="E1647" t="str">
            <v>Lumampong National High School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</row>
        <row r="1648">
          <cell r="D1648">
            <v>301173</v>
          </cell>
          <cell r="E1648" t="str">
            <v>Bendita National High School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</row>
        <row r="1649">
          <cell r="D1649">
            <v>342195</v>
          </cell>
          <cell r="E1649" t="str">
            <v>Taal Senior High School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</row>
        <row r="1650">
          <cell r="D1650">
            <v>301366</v>
          </cell>
          <cell r="E1650" t="str">
            <v>Nagsinamo NHS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</row>
        <row r="1651">
          <cell r="D1651">
            <v>307928</v>
          </cell>
          <cell r="E1651" t="str">
            <v>Matalatala Integrated National High School</v>
          </cell>
          <cell r="F1651">
            <v>32</v>
          </cell>
          <cell r="G1651">
            <v>0</v>
          </cell>
          <cell r="H1651">
            <v>32</v>
          </cell>
          <cell r="I1651">
            <v>28</v>
          </cell>
          <cell r="J1651">
            <v>0</v>
          </cell>
          <cell r="K1651">
            <v>28</v>
          </cell>
          <cell r="L1651">
            <v>84</v>
          </cell>
          <cell r="M1651">
            <v>0</v>
          </cell>
          <cell r="N1651">
            <v>84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</row>
        <row r="1652">
          <cell r="D1652">
            <v>500028</v>
          </cell>
          <cell r="E1652" t="str">
            <v>Binulasan IS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</row>
        <row r="1653">
          <cell r="D1653">
            <v>301354</v>
          </cell>
          <cell r="E1653" t="str">
            <v>Malaya NHS</v>
          </cell>
          <cell r="F1653">
            <v>32</v>
          </cell>
          <cell r="G1653">
            <v>39</v>
          </cell>
          <cell r="H1653">
            <v>71</v>
          </cell>
          <cell r="I1653">
            <v>8</v>
          </cell>
          <cell r="J1653">
            <v>11</v>
          </cell>
          <cell r="K1653">
            <v>19</v>
          </cell>
          <cell r="L1653">
            <v>8</v>
          </cell>
          <cell r="M1653">
            <v>11</v>
          </cell>
          <cell r="N1653">
            <v>19</v>
          </cell>
          <cell r="O1653">
            <v>2</v>
          </cell>
          <cell r="P1653">
            <v>0</v>
          </cell>
          <cell r="Q1653">
            <v>2</v>
          </cell>
          <cell r="R1653">
            <v>2</v>
          </cell>
          <cell r="S1653">
            <v>0</v>
          </cell>
          <cell r="T1653">
            <v>2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</row>
        <row r="1654">
          <cell r="D1654">
            <v>342288</v>
          </cell>
          <cell r="E1654" t="str">
            <v>Escuela Secondaria Senor de Salinas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</row>
        <row r="1655">
          <cell r="D1655">
            <v>307808</v>
          </cell>
          <cell r="E1655" t="str">
            <v>Francisco Osorio National High School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</row>
        <row r="1656">
          <cell r="D1656">
            <v>307806</v>
          </cell>
          <cell r="E1656" t="str">
            <v>Francisco P. Tolentino Integrated High School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</row>
        <row r="1657">
          <cell r="D1657">
            <v>301402</v>
          </cell>
          <cell r="E1657" t="str">
            <v>San Roque-Ilaya NHS, Calauag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</row>
        <row r="1658">
          <cell r="D1658">
            <v>308022</v>
          </cell>
          <cell r="E1658" t="str">
            <v>Rufina P. Trinidad Mem. NHS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</row>
        <row r="1659">
          <cell r="D1659">
            <v>307807</v>
          </cell>
          <cell r="E1659" t="str">
            <v>Ternate West National High School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</row>
        <row r="1660">
          <cell r="D1660">
            <v>301476</v>
          </cell>
          <cell r="E1660" t="str">
            <v>Pinamukan Integrated School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</row>
        <row r="1661">
          <cell r="D1661">
            <v>301341</v>
          </cell>
          <cell r="E1661" t="str">
            <v>Lamon Bay SOF Annex - Capaluhan, Calauag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</row>
        <row r="1662">
          <cell r="D1662">
            <v>301219</v>
          </cell>
          <cell r="E1662" t="str">
            <v>Tanza National Trade School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</row>
        <row r="1663">
          <cell r="D1663">
            <v>301406</v>
          </cell>
          <cell r="E1663" t="str">
            <v>Tagkawayan NHS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</row>
        <row r="1664">
          <cell r="D1664">
            <v>342601</v>
          </cell>
          <cell r="E1664" t="str">
            <v>SHS within Sinenguelasan Elementary School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</row>
        <row r="1665">
          <cell r="D1665">
            <v>342602</v>
          </cell>
          <cell r="E1665" t="str">
            <v>SHS within Bacoor Elementary School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</row>
        <row r="1666">
          <cell r="D1666">
            <v>342598</v>
          </cell>
          <cell r="E1666" t="str">
            <v>Senior High School-Dulong Bayan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</row>
        <row r="1667">
          <cell r="D1667">
            <v>301417</v>
          </cell>
          <cell r="E1667" t="str">
            <v>Angono NHS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</row>
        <row r="1668">
          <cell r="D1668">
            <v>301255</v>
          </cell>
          <cell r="E1668" t="str">
            <v>Paagahan Integrated National High School</v>
          </cell>
          <cell r="F1668">
            <v>32</v>
          </cell>
          <cell r="G1668">
            <v>0</v>
          </cell>
          <cell r="H1668">
            <v>32</v>
          </cell>
          <cell r="I1668">
            <v>25</v>
          </cell>
          <cell r="J1668">
            <v>0</v>
          </cell>
          <cell r="K1668">
            <v>25</v>
          </cell>
          <cell r="L1668">
            <v>78</v>
          </cell>
          <cell r="M1668">
            <v>0</v>
          </cell>
          <cell r="N1668">
            <v>78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</row>
        <row r="1669">
          <cell r="D1669">
            <v>301218</v>
          </cell>
          <cell r="E1669" t="str">
            <v>Tanza National Comprehensive High School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</row>
        <row r="1670">
          <cell r="D1670">
            <v>301189</v>
          </cell>
          <cell r="E1670" t="str">
            <v>Emiliano T. Tirona Memorial National High School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</row>
        <row r="1671">
          <cell r="D1671">
            <v>301249</v>
          </cell>
          <cell r="E1671" t="str">
            <v>Mabitac NHS</v>
          </cell>
          <cell r="F1671">
            <v>96</v>
          </cell>
          <cell r="G1671">
            <v>81</v>
          </cell>
          <cell r="H1671">
            <v>177</v>
          </cell>
          <cell r="I1671">
            <v>34</v>
          </cell>
          <cell r="J1671">
            <v>42</v>
          </cell>
          <cell r="K1671">
            <v>76</v>
          </cell>
          <cell r="L1671">
            <v>0</v>
          </cell>
          <cell r="M1671">
            <v>0</v>
          </cell>
          <cell r="N1671">
            <v>0</v>
          </cell>
          <cell r="O1671">
            <v>9</v>
          </cell>
          <cell r="P1671">
            <v>3</v>
          </cell>
          <cell r="Q1671">
            <v>12</v>
          </cell>
          <cell r="R1671">
            <v>0</v>
          </cell>
          <cell r="S1671">
            <v>0</v>
          </cell>
          <cell r="T1671">
            <v>0</v>
          </cell>
          <cell r="U1671">
            <v>1</v>
          </cell>
          <cell r="V1671">
            <v>1</v>
          </cell>
          <cell r="W1671">
            <v>2</v>
          </cell>
          <cell r="X1671">
            <v>3</v>
          </cell>
          <cell r="Y1671">
            <v>5</v>
          </cell>
          <cell r="Z1671">
            <v>8</v>
          </cell>
        </row>
        <row r="1672">
          <cell r="D1672">
            <v>301372</v>
          </cell>
          <cell r="E1672" t="str">
            <v>Panikihan NHS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</row>
        <row r="1673">
          <cell r="D1673">
            <v>301414</v>
          </cell>
          <cell r="E1673" t="str">
            <v>Unisan Integrated High School (Formerly Unisan NHS)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</row>
        <row r="1674">
          <cell r="D1674">
            <v>301180</v>
          </cell>
          <cell r="E1674" t="str">
            <v>Bulihan National High School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</row>
        <row r="1675">
          <cell r="D1675">
            <v>301408</v>
          </cell>
          <cell r="E1675" t="str">
            <v>Taluong NHS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</row>
        <row r="1676">
          <cell r="D1676">
            <v>301357</v>
          </cell>
          <cell r="E1676" t="str">
            <v>Malusak National High School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</row>
        <row r="1677">
          <cell r="D1677">
            <v>301297</v>
          </cell>
          <cell r="E1677" t="str">
            <v>Bukal Sur National High School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</row>
        <row r="1678">
          <cell r="D1678">
            <v>308001</v>
          </cell>
          <cell r="E1678" t="str">
            <v>Matandang Sabang National High School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</row>
        <row r="1679">
          <cell r="D1679">
            <v>308040</v>
          </cell>
          <cell r="E1679" t="str">
            <v>Dr. Panfilo Castro NHS - Masalukot I Annex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</row>
        <row r="1680">
          <cell r="D1680">
            <v>301382</v>
          </cell>
          <cell r="E1680" t="str">
            <v>Sabang National High School</v>
          </cell>
          <cell r="F1680">
            <v>10</v>
          </cell>
          <cell r="G1680">
            <v>2</v>
          </cell>
          <cell r="H1680">
            <v>12</v>
          </cell>
          <cell r="I1680">
            <v>10</v>
          </cell>
          <cell r="J1680">
            <v>2</v>
          </cell>
          <cell r="K1680">
            <v>12</v>
          </cell>
          <cell r="L1680">
            <v>10</v>
          </cell>
          <cell r="M1680">
            <v>2</v>
          </cell>
          <cell r="N1680">
            <v>12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</row>
        <row r="1681">
          <cell r="D1681">
            <v>301292</v>
          </cell>
          <cell r="E1681" t="str">
            <v>Batangan National High School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</row>
        <row r="1682">
          <cell r="D1682">
            <v>301391</v>
          </cell>
          <cell r="E1682" t="str">
            <v>San Isidro National High School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</row>
        <row r="1683">
          <cell r="D1683">
            <v>308010</v>
          </cell>
          <cell r="E1683" t="str">
            <v>San Vicente Kanluran NHS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</row>
        <row r="1684">
          <cell r="D1684">
            <v>301322</v>
          </cell>
          <cell r="E1684" t="str">
            <v>Gregorio Reyes NHS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</row>
        <row r="1685">
          <cell r="D1685">
            <v>301311</v>
          </cell>
          <cell r="E1685" t="str">
            <v>Doongan Ilaya National High School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</row>
        <row r="1686">
          <cell r="D1686">
            <v>301392</v>
          </cell>
          <cell r="E1686" t="str">
            <v>Tagabas Ibaba NHS (Formerly San Isidro NHS - Tagabas Ibaba Ext)</v>
          </cell>
          <cell r="F1686">
            <v>10</v>
          </cell>
          <cell r="G1686">
            <v>6</v>
          </cell>
          <cell r="H1686">
            <v>16</v>
          </cell>
          <cell r="I1686">
            <v>6</v>
          </cell>
          <cell r="J1686">
            <v>5</v>
          </cell>
          <cell r="K1686">
            <v>11</v>
          </cell>
          <cell r="L1686">
            <v>6</v>
          </cell>
          <cell r="M1686">
            <v>5</v>
          </cell>
          <cell r="N1686">
            <v>11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2</v>
          </cell>
          <cell r="V1686">
            <v>0</v>
          </cell>
          <cell r="W1686">
            <v>2</v>
          </cell>
          <cell r="X1686">
            <v>0</v>
          </cell>
          <cell r="Y1686">
            <v>0</v>
          </cell>
          <cell r="Z1686">
            <v>0</v>
          </cell>
        </row>
        <row r="1687">
          <cell r="D1687">
            <v>301077</v>
          </cell>
          <cell r="E1687" t="str">
            <v>Batangas Province High School for Culture and Arts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</row>
        <row r="1688">
          <cell r="D1688">
            <v>301373</v>
          </cell>
          <cell r="E1688" t="str">
            <v>Doña Francisca Alvarez Rejano Integrated School (Formerly Patabog NHS)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</row>
        <row r="1689">
          <cell r="D1689">
            <v>301337</v>
          </cell>
          <cell r="E1689" t="str">
            <v>Lina Gayeta-Lasquety NHS (Formerly Kinagunan Ibaba NHS)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</row>
        <row r="1690">
          <cell r="D1690">
            <v>301326</v>
          </cell>
          <cell r="E1690" t="str">
            <v>Hinguiwin National High School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</row>
        <row r="1691">
          <cell r="D1691">
            <v>308023</v>
          </cell>
          <cell r="E1691" t="str">
            <v>Danlagan NHS (Formerly Kinagunan Ibaba NHS Ext. Classes)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</row>
        <row r="1692">
          <cell r="D1692">
            <v>301484</v>
          </cell>
          <cell r="E1692" t="str">
            <v>Cavite National High School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</row>
        <row r="1693">
          <cell r="D1693">
            <v>301300</v>
          </cell>
          <cell r="E1693" t="str">
            <v>Cabulihan NHS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</row>
        <row r="1694">
          <cell r="D1694">
            <v>301343</v>
          </cell>
          <cell r="E1694" t="str">
            <v>Langgas NHS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</row>
        <row r="1695">
          <cell r="D1695">
            <v>301375</v>
          </cell>
          <cell r="E1695" t="str">
            <v>Perez National High School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</row>
        <row r="1696">
          <cell r="D1696">
            <v>301378</v>
          </cell>
          <cell r="E1696" t="str">
            <v>Balesin IS (Formerly Polillo NHS Extension)</v>
          </cell>
          <cell r="F1696">
            <v>10</v>
          </cell>
          <cell r="G1696">
            <v>10</v>
          </cell>
          <cell r="H1696">
            <v>20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</row>
        <row r="1697">
          <cell r="D1697">
            <v>301371</v>
          </cell>
          <cell r="E1697" t="str">
            <v>Leonarda D. Vera Cruz NHS (Formerly Panaon NHS)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</row>
        <row r="1698">
          <cell r="D1698">
            <v>301285</v>
          </cell>
          <cell r="E1698" t="str">
            <v>Amontay National High School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</row>
        <row r="1699">
          <cell r="D1699">
            <v>301376</v>
          </cell>
          <cell r="E1699" t="str">
            <v>Pitogo Community High School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</row>
        <row r="1700">
          <cell r="D1700">
            <v>308002</v>
          </cell>
          <cell r="E1700" t="str">
            <v>Mapulot National High School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</row>
        <row r="1701">
          <cell r="D1701">
            <v>301306</v>
          </cell>
          <cell r="E1701" t="str">
            <v>Camflora NHS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</row>
        <row r="1702">
          <cell r="D1702">
            <v>342600</v>
          </cell>
          <cell r="E1702" t="str">
            <v>SHS in San Nicholas III, Bacoor City</v>
          </cell>
          <cell r="F1702">
            <v>200</v>
          </cell>
          <cell r="G1702">
            <v>300</v>
          </cell>
          <cell r="H1702">
            <v>500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</row>
        <row r="1703">
          <cell r="D1703">
            <v>301318</v>
          </cell>
          <cell r="E1703" t="str">
            <v>Sta. Lucia NHS (Formerly Dagatan NHS Annex - Sta. Lucia)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</row>
        <row r="1704">
          <cell r="D1704">
            <v>301332</v>
          </cell>
          <cell r="E1704" t="str">
            <v>Infanta NHS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</row>
        <row r="1705">
          <cell r="D1705">
            <v>308038</v>
          </cell>
          <cell r="E1705" t="str">
            <v>Cabibihan National High School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</row>
        <row r="1706">
          <cell r="D1706">
            <v>301307</v>
          </cell>
          <cell r="E1706" t="str">
            <v>Camohaguin National High School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</row>
        <row r="1707">
          <cell r="D1707">
            <v>301394</v>
          </cell>
          <cell r="E1707" t="str">
            <v>SAN ISIDRO NATIONAL HIGH SCHOOL, PADRE BURGOS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</row>
        <row r="1708">
          <cell r="D1708">
            <v>301309</v>
          </cell>
          <cell r="E1708" t="str">
            <v>Casay National High School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</row>
        <row r="1709">
          <cell r="D1709">
            <v>301370</v>
          </cell>
          <cell r="E1709" t="str">
            <v>Paiisa NHS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</row>
        <row r="1710">
          <cell r="D1710">
            <v>308044</v>
          </cell>
          <cell r="E1710" t="str">
            <v>Huyon-Uyon National High School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</row>
        <row r="1711">
          <cell r="D1711">
            <v>301379</v>
          </cell>
          <cell r="E1711" t="str">
            <v>Pugon NHS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</row>
        <row r="1712">
          <cell r="D1712">
            <v>308003</v>
          </cell>
          <cell r="E1712" t="str">
            <v>Sto. Niño National High School (Formerly Pagsangahan NHS Ext. Sto. Niño)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</row>
        <row r="1713">
          <cell r="D1713">
            <v>308048</v>
          </cell>
          <cell r="E1713" t="str">
            <v>Sta. Catalina National High School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</row>
        <row r="1714">
          <cell r="D1714">
            <v>308009</v>
          </cell>
          <cell r="E1714" t="str">
            <v>Pamampangin NHS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</row>
        <row r="1715">
          <cell r="D1715">
            <v>301495</v>
          </cell>
          <cell r="E1715" t="str">
            <v>Lumbang Integrated NHS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</row>
        <row r="1716">
          <cell r="D1716">
            <v>301389</v>
          </cell>
          <cell r="E1716" t="str">
            <v>Sto. Nino Ilaya NHS (Formerly San Francisco B NHS Sto. NiÃ±o Ilaya Ext.)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</row>
        <row r="1717">
          <cell r="D1717">
            <v>308104</v>
          </cell>
          <cell r="E1717" t="str">
            <v>Margarito A. Duavit MNHS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</row>
        <row r="1718">
          <cell r="D1718">
            <v>301324</v>
          </cell>
          <cell r="E1718" t="str">
            <v>STA. CRUZ NATIONAL HIGH SCHOOL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</row>
        <row r="1719">
          <cell r="D1719">
            <v>301310</v>
          </cell>
          <cell r="E1719" t="str">
            <v>Catanauan National High School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</row>
        <row r="1720">
          <cell r="D1720">
            <v>301299</v>
          </cell>
          <cell r="E1720" t="str">
            <v>Cabay NHS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</row>
        <row r="1721">
          <cell r="D1721">
            <v>301342</v>
          </cell>
          <cell r="E1721" t="str">
            <v>Aloneros NHS (Formerly LBS of Fisheries Ext. - Aloneros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</row>
        <row r="1722">
          <cell r="D1722">
            <v>301384</v>
          </cell>
          <cell r="E1722" t="str">
            <v>Sampaloc NHS, Sampaloc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</row>
        <row r="1723">
          <cell r="D1723">
            <v>301353</v>
          </cell>
          <cell r="E1723" t="str">
            <v>Veronica NHS (Formerly Magallanes NHS Veronica Extension)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</row>
        <row r="1724">
          <cell r="D1724">
            <v>301284</v>
          </cell>
          <cell r="E1724" t="str">
            <v>Alabat Island National High School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</row>
        <row r="1725">
          <cell r="D1725">
            <v>301308</v>
          </cell>
          <cell r="E1725" t="str">
            <v>Canda National High School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</row>
        <row r="1726">
          <cell r="D1726">
            <v>308041</v>
          </cell>
          <cell r="E1726" t="str">
            <v>Castañas NHS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</row>
        <row r="1727">
          <cell r="D1727">
            <v>308020</v>
          </cell>
          <cell r="E1727" t="str">
            <v>GOV. ANACLETO C. ALCALA NATIONAL HIGH SCHOOL</v>
          </cell>
          <cell r="F1727">
            <v>3</v>
          </cell>
          <cell r="G1727">
            <v>3</v>
          </cell>
          <cell r="H1727">
            <v>6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</row>
        <row r="1728">
          <cell r="D1728">
            <v>308043</v>
          </cell>
          <cell r="E1728" t="str">
            <v>Bignay National High School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</row>
        <row r="1729">
          <cell r="D1729">
            <v>301349</v>
          </cell>
          <cell r="E1729" t="str">
            <v>Lutucan Integrated National High School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</row>
        <row r="1730">
          <cell r="D1730">
            <v>301412</v>
          </cell>
          <cell r="E1730" t="str">
            <v>Ungos  Integrated NHS</v>
          </cell>
          <cell r="F1730">
            <v>158</v>
          </cell>
          <cell r="G1730">
            <v>114</v>
          </cell>
          <cell r="H1730">
            <v>272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</row>
        <row r="1731">
          <cell r="D1731">
            <v>301401</v>
          </cell>
          <cell r="E1731" t="str">
            <v>San Roque NHS, Catanauan</v>
          </cell>
          <cell r="F1731">
            <v>84</v>
          </cell>
          <cell r="G1731">
            <v>66</v>
          </cell>
          <cell r="H1731">
            <v>150</v>
          </cell>
          <cell r="I1731">
            <v>0</v>
          </cell>
          <cell r="J1731">
            <v>2</v>
          </cell>
          <cell r="K1731">
            <v>2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</row>
        <row r="1732">
          <cell r="D1732">
            <v>301316</v>
          </cell>
          <cell r="E1732" t="str">
            <v>Concepcion National High School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</row>
        <row r="1733">
          <cell r="D1733">
            <v>301280</v>
          </cell>
          <cell r="E1733" t="str">
            <v>Abuyon NHS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</row>
        <row r="1734">
          <cell r="D1734">
            <v>308504</v>
          </cell>
          <cell r="E1734" t="str">
            <v>Ibabang Talim Integrated High School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</row>
        <row r="1735">
          <cell r="D1735">
            <v>308025</v>
          </cell>
          <cell r="E1735" t="str">
            <v>San Jose NHS (Formerly Tagbacan Ilaya Integ. Sec. Ext. Classes)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</row>
        <row r="1736">
          <cell r="D1736">
            <v>301305</v>
          </cell>
          <cell r="E1736" t="str">
            <v>Callejon NHS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</row>
        <row r="1737">
          <cell r="D1737">
            <v>301230</v>
          </cell>
          <cell r="E1737" t="str">
            <v>BiÃ±an National High School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</row>
        <row r="1738">
          <cell r="D1738">
            <v>301325</v>
          </cell>
          <cell r="E1738" t="str">
            <v>Gumaca National High School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</row>
        <row r="1739">
          <cell r="D1739">
            <v>301365</v>
          </cell>
          <cell r="E1739" t="str">
            <v>JOEL B. ARQUIZA NHS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</row>
        <row r="1740">
          <cell r="D1740">
            <v>301385</v>
          </cell>
          <cell r="E1740" t="str">
            <v>San Antonio NHS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</row>
        <row r="1741">
          <cell r="D1741">
            <v>308026</v>
          </cell>
          <cell r="E1741" t="str">
            <v>Lubayat National High School (Formerly Ungos NHS - Lubayat Extension Class)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</row>
        <row r="1742">
          <cell r="D1742">
            <v>301361</v>
          </cell>
          <cell r="E1742" t="str">
            <v>Paaralang Sek. Ng Hen. Nakar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</row>
        <row r="1743">
          <cell r="D1743">
            <v>301390</v>
          </cell>
          <cell r="E1743" t="str">
            <v>Marcial B. Villanueva NHS (Formerly San Francisco NHS, San Francisco)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</row>
        <row r="1744">
          <cell r="D1744">
            <v>342175</v>
          </cell>
          <cell r="E1744" t="str">
            <v>Antipolo City SHS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</row>
        <row r="1745">
          <cell r="D1745">
            <v>301405</v>
          </cell>
          <cell r="E1745" t="str">
            <v>Tabason NHS</v>
          </cell>
          <cell r="F1745">
            <v>15</v>
          </cell>
          <cell r="G1745">
            <v>16</v>
          </cell>
          <cell r="H1745">
            <v>31</v>
          </cell>
          <cell r="I1745">
            <v>3</v>
          </cell>
          <cell r="J1745">
            <v>2</v>
          </cell>
          <cell r="K1745">
            <v>5</v>
          </cell>
          <cell r="L1745">
            <v>2</v>
          </cell>
          <cell r="M1745">
            <v>2</v>
          </cell>
          <cell r="N1745">
            <v>4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</row>
        <row r="1746">
          <cell r="D1746">
            <v>301330</v>
          </cell>
          <cell r="E1746" t="str">
            <v>PAKIING NATIONAL HIGH SCHOOL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</row>
        <row r="1747">
          <cell r="D1747">
            <v>301336</v>
          </cell>
          <cell r="E1747" t="str">
            <v>Katimo NHS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</row>
        <row r="1748">
          <cell r="D1748">
            <v>308034</v>
          </cell>
          <cell r="E1748" t="str">
            <v>Butanguiad NHS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</row>
        <row r="1749">
          <cell r="D1749">
            <v>301502</v>
          </cell>
          <cell r="E1749" t="str">
            <v>Quezon National High School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</row>
        <row r="1750">
          <cell r="D1750">
            <v>301345</v>
          </cell>
          <cell r="E1750" t="str">
            <v>Lopez National Comprehensive High School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</row>
        <row r="1751">
          <cell r="D1751">
            <v>301340</v>
          </cell>
          <cell r="E1751" t="str">
            <v>Lamon Bay SOF - Main Gumaca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</row>
        <row r="1752">
          <cell r="D1752">
            <v>308012</v>
          </cell>
          <cell r="E1752" t="str">
            <v>Gloria Umali Integrated NHS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</row>
        <row r="1753">
          <cell r="D1753">
            <v>301320</v>
          </cell>
          <cell r="E1753" t="str">
            <v>Dungawan NHS</v>
          </cell>
          <cell r="F1753">
            <v>23</v>
          </cell>
          <cell r="G1753">
            <v>27</v>
          </cell>
          <cell r="H1753">
            <v>50</v>
          </cell>
          <cell r="I1753">
            <v>15</v>
          </cell>
          <cell r="J1753">
            <v>20</v>
          </cell>
          <cell r="K1753">
            <v>35</v>
          </cell>
          <cell r="L1753">
            <v>21</v>
          </cell>
          <cell r="M1753">
            <v>25</v>
          </cell>
          <cell r="N1753">
            <v>46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</row>
        <row r="1754">
          <cell r="D1754">
            <v>301386</v>
          </cell>
          <cell r="E1754" t="str">
            <v>San Francisco B NHS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</row>
        <row r="1755">
          <cell r="D1755">
            <v>308008</v>
          </cell>
          <cell r="E1755" t="str">
            <v>Maligaya NHS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</row>
        <row r="1756">
          <cell r="D1756">
            <v>301359</v>
          </cell>
          <cell r="E1756" t="str">
            <v>Nabangka NHS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</row>
        <row r="1757">
          <cell r="D1757">
            <v>301387</v>
          </cell>
          <cell r="E1757" t="str">
            <v>Ilayang Ilog-A NHS (Formerly San Francisco B NHS Ilayang Ilog A Ext.)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</row>
        <row r="1758">
          <cell r="D1758">
            <v>301388</v>
          </cell>
          <cell r="E1758" t="str">
            <v>Dao National High School (Formerly San Francisco B NHS - San Miguel Dao II Ext.)</v>
          </cell>
          <cell r="F1758">
            <v>0</v>
          </cell>
          <cell r="G1758">
            <v>20</v>
          </cell>
          <cell r="H1758">
            <v>20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</row>
        <row r="1759">
          <cell r="D1759">
            <v>301328</v>
          </cell>
          <cell r="E1759" t="str">
            <v>Guites NHS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</row>
        <row r="1760">
          <cell r="D1760">
            <v>301288</v>
          </cell>
          <cell r="E1760" t="str">
            <v>Bagupaye NHS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</row>
        <row r="1761">
          <cell r="D1761">
            <v>301224</v>
          </cell>
          <cell r="E1761" t="str">
            <v>Aplaya NHS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</row>
        <row r="1762">
          <cell r="D1762">
            <v>301291</v>
          </cell>
          <cell r="E1762" t="str">
            <v>Bantulinao Integrated School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</row>
        <row r="1763">
          <cell r="D1763">
            <v>308042</v>
          </cell>
          <cell r="E1763" t="str">
            <v>Jongo National High School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</row>
        <row r="1764">
          <cell r="D1764">
            <v>308031</v>
          </cell>
          <cell r="E1764" t="str">
            <v>White Cliff NHS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</row>
        <row r="1765">
          <cell r="D1765">
            <v>301319</v>
          </cell>
          <cell r="E1765" t="str">
            <v>Dr. Maria D. Pastrana National  High School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</row>
        <row r="1766">
          <cell r="D1766">
            <v>301329</v>
          </cell>
          <cell r="E1766" t="str">
            <v>Ilayang Yuni NHS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</row>
        <row r="1767">
          <cell r="D1767">
            <v>301289</v>
          </cell>
          <cell r="E1767" t="str">
            <v>Bamban National High School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</row>
        <row r="1768">
          <cell r="D1768">
            <v>301352</v>
          </cell>
          <cell r="E1768" t="str">
            <v>Pisipis NHS (Formerly Magallanes NHS Pisipis Extension)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</row>
        <row r="1769">
          <cell r="D1769">
            <v>308019</v>
          </cell>
          <cell r="E1769" t="str">
            <v>Dr. Panfilo Castro NHS (Formerly Bukal Sur NHS-Mangilag Annex)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</row>
        <row r="1770">
          <cell r="D1770">
            <v>308016</v>
          </cell>
          <cell r="E1770" t="str">
            <v>Dolores Macasaet National High School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</row>
        <row r="1771">
          <cell r="D1771">
            <v>308006</v>
          </cell>
          <cell r="E1771" t="str">
            <v>Hagonghong Integrated HS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</row>
        <row r="1772">
          <cell r="D1772">
            <v>301362</v>
          </cell>
          <cell r="E1772" t="str">
            <v>Paaralang Sek. Ng Hen. Nakar - Maligaya Extension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</row>
        <row r="1773">
          <cell r="D1773">
            <v>308007</v>
          </cell>
          <cell r="E1773" t="str">
            <v>Liwayway National High School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</row>
        <row r="1774">
          <cell r="D1774">
            <v>307924</v>
          </cell>
          <cell r="E1774" t="str">
            <v>Buenaventura E. Fandialan Memo. NHS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</row>
        <row r="1775">
          <cell r="D1775">
            <v>301351</v>
          </cell>
          <cell r="E1775" t="str">
            <v>Magallanes NHS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</row>
        <row r="1776">
          <cell r="D1776">
            <v>301290</v>
          </cell>
          <cell r="E1776" t="str">
            <v>Bantad National High School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</row>
        <row r="1777">
          <cell r="D1777">
            <v>342587</v>
          </cell>
          <cell r="E1777" t="str">
            <v>GOV. JUANITO REYES REMULLA SHS (SHS in Toclong)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</row>
        <row r="1778">
          <cell r="D1778">
            <v>301363</v>
          </cell>
          <cell r="E1778" t="str">
            <v>Paaralang Sekundarya ng Hen. Nakar-Umiray Ext.</v>
          </cell>
          <cell r="F1778">
            <v>41</v>
          </cell>
          <cell r="G1778">
            <v>0</v>
          </cell>
          <cell r="H1778">
            <v>41</v>
          </cell>
          <cell r="I1778">
            <v>24</v>
          </cell>
          <cell r="J1778">
            <v>0</v>
          </cell>
          <cell r="K1778">
            <v>24</v>
          </cell>
          <cell r="L1778">
            <v>24</v>
          </cell>
          <cell r="M1778">
            <v>0</v>
          </cell>
          <cell r="N1778">
            <v>24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</row>
        <row r="1779">
          <cell r="D1779">
            <v>301395</v>
          </cell>
          <cell r="E1779" t="str">
            <v>San Isidro NHS, Tagkawayan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</row>
        <row r="1780">
          <cell r="D1780">
            <v>308027</v>
          </cell>
          <cell r="E1780" t="str">
            <v>Ananias A. Diamante Integrated National High School (Formerly Dr. Arsenio C. Nicolas NHS - Dominlog Ext.)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</row>
        <row r="1781">
          <cell r="D1781">
            <v>342567</v>
          </cell>
          <cell r="E1781" t="str">
            <v>Southville 8B Senior High School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</row>
        <row r="1782">
          <cell r="D1782">
            <v>500444</v>
          </cell>
          <cell r="E1782" t="str">
            <v>Gumaca Integrated School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</row>
        <row r="1783">
          <cell r="D1783">
            <v>308036</v>
          </cell>
          <cell r="E1783" t="str">
            <v>Quezon Science High School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</row>
        <row r="1784">
          <cell r="D1784">
            <v>301456</v>
          </cell>
          <cell r="E1784" t="str">
            <v>Sampaloc NHS</v>
          </cell>
          <cell r="F1784">
            <v>300</v>
          </cell>
          <cell r="G1784">
            <v>262</v>
          </cell>
          <cell r="H1784">
            <v>562</v>
          </cell>
          <cell r="I1784">
            <v>205</v>
          </cell>
          <cell r="J1784">
            <v>109</v>
          </cell>
          <cell r="K1784">
            <v>314</v>
          </cell>
          <cell r="L1784">
            <v>205</v>
          </cell>
          <cell r="M1784">
            <v>109</v>
          </cell>
          <cell r="N1784">
            <v>314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</row>
        <row r="1785">
          <cell r="D1785">
            <v>301327</v>
          </cell>
          <cell r="E1785" t="str">
            <v>Hondagua NHS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</row>
        <row r="1786">
          <cell r="D1786">
            <v>308013</v>
          </cell>
          <cell r="E1786" t="str">
            <v>Villa San Isidro NHS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</row>
        <row r="1787">
          <cell r="D1787">
            <v>342596</v>
          </cell>
          <cell r="E1787" t="str">
            <v>LABAS SENIOR HIGH SCHOOL STAND ALONE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</row>
        <row r="1788">
          <cell r="D1788">
            <v>301368</v>
          </cell>
          <cell r="E1788" t="str">
            <v>Renato Edaño Vicencio NHS (Formerly Pagsangahan NHS-Don Juan Vercelos Annex)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</row>
        <row r="1789">
          <cell r="D1789">
            <v>301415</v>
          </cell>
          <cell r="E1789" t="str">
            <v>Villa Perez NHS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</row>
        <row r="1790">
          <cell r="D1790">
            <v>342359</v>
          </cell>
          <cell r="E1790" t="str">
            <v>Sto. Tomas Integrated High School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</row>
        <row r="1791">
          <cell r="D1791">
            <v>308011</v>
          </cell>
          <cell r="E1791" t="str">
            <v>Sto. Angel National High School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</row>
        <row r="1792">
          <cell r="D1792">
            <v>301339</v>
          </cell>
          <cell r="E1792" t="str">
            <v>Lagay NHS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</row>
        <row r="1793">
          <cell r="D1793">
            <v>301399</v>
          </cell>
          <cell r="E1793" t="str">
            <v>Godofredo M. Tan Memorial Integrated School of Arts and Trades (Formerly San Narciso Voc. HS)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</row>
        <row r="1794">
          <cell r="D1794">
            <v>301315</v>
          </cell>
          <cell r="E1794" t="str">
            <v>Pablo D. Maningas National High School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</row>
        <row r="1795">
          <cell r="D1795">
            <v>301346</v>
          </cell>
          <cell r="E1795" t="str">
            <v>Cogorin Ibaba NHS (Formerly Lopez NCHSl - Cogorin Ibaba Extension)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</row>
        <row r="1796">
          <cell r="D1796">
            <v>301303</v>
          </cell>
          <cell r="E1796" t="str">
            <v>Calantas NHS</v>
          </cell>
          <cell r="F1796">
            <v>0</v>
          </cell>
          <cell r="G1796">
            <v>22</v>
          </cell>
          <cell r="H1796">
            <v>22</v>
          </cell>
          <cell r="I1796">
            <v>0</v>
          </cell>
          <cell r="J1796">
            <v>5</v>
          </cell>
          <cell r="K1796">
            <v>5</v>
          </cell>
          <cell r="L1796">
            <v>0</v>
          </cell>
          <cell r="M1796">
            <v>5</v>
          </cell>
          <cell r="N1796">
            <v>5</v>
          </cell>
          <cell r="O1796">
            <v>6</v>
          </cell>
          <cell r="P1796">
            <v>13</v>
          </cell>
          <cell r="Q1796">
            <v>19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</row>
        <row r="1797">
          <cell r="D1797">
            <v>301367</v>
          </cell>
          <cell r="E1797" t="str">
            <v>Pagbilao Grande Island NHS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</row>
        <row r="1798">
          <cell r="D1798">
            <v>301380</v>
          </cell>
          <cell r="E1798" t="str">
            <v>Recto MNHS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</row>
        <row r="1799">
          <cell r="D1799">
            <v>308028</v>
          </cell>
          <cell r="E1799" t="str">
            <v>Busdak NHS (Formerly Busdak NHS - Patnanungan NHS Annex)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</row>
        <row r="1800">
          <cell r="D1800">
            <v>301296</v>
          </cell>
          <cell r="E1800" t="str">
            <v>Buenavista NHS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</row>
        <row r="1801">
          <cell r="D1801">
            <v>308024</v>
          </cell>
          <cell r="E1801" t="str">
            <v>Camflora National High School (Annex)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</row>
        <row r="1802">
          <cell r="D1802">
            <v>301301</v>
          </cell>
          <cell r="E1802" t="str">
            <v>Cagbalete Island National High School</v>
          </cell>
          <cell r="F1802">
            <v>44</v>
          </cell>
          <cell r="G1802">
            <v>52</v>
          </cell>
          <cell r="H1802">
            <v>96</v>
          </cell>
          <cell r="I1802">
            <v>5</v>
          </cell>
          <cell r="J1802">
            <v>10</v>
          </cell>
          <cell r="K1802">
            <v>15</v>
          </cell>
          <cell r="L1802">
            <v>2</v>
          </cell>
          <cell r="M1802">
            <v>2</v>
          </cell>
          <cell r="N1802">
            <v>4</v>
          </cell>
          <cell r="O1802">
            <v>3</v>
          </cell>
          <cell r="P1802">
            <v>7</v>
          </cell>
          <cell r="Q1802">
            <v>10</v>
          </cell>
          <cell r="R1802">
            <v>2</v>
          </cell>
          <cell r="S1802">
            <v>3</v>
          </cell>
          <cell r="T1802">
            <v>5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</row>
        <row r="1803">
          <cell r="D1803">
            <v>308030</v>
          </cell>
          <cell r="E1803" t="str">
            <v>Silangang Malicboy NHS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</row>
        <row r="1804">
          <cell r="D1804">
            <v>301409</v>
          </cell>
          <cell r="E1804" t="str">
            <v>Jacinto G. Esplana National High School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</row>
        <row r="1805">
          <cell r="D1805">
            <v>308503</v>
          </cell>
          <cell r="E1805" t="str">
            <v>Gulang-gulang National High School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</row>
        <row r="1806">
          <cell r="D1806">
            <v>342589</v>
          </cell>
          <cell r="E1806" t="str">
            <v>GEN. PANTALEON GARCIA SHS (SHS in Pedro Reyes)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</row>
        <row r="1807">
          <cell r="D1807">
            <v>301215</v>
          </cell>
          <cell r="E1807" t="str">
            <v>Tagaytay City Science National High School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</row>
        <row r="1808">
          <cell r="D1808">
            <v>308501</v>
          </cell>
          <cell r="E1808" t="str">
            <v>Lucena Dalahican National High School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</row>
        <row r="1809">
          <cell r="D1809">
            <v>301425</v>
          </cell>
          <cell r="E1809" t="str">
            <v>San Roque NHS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</row>
        <row r="1810">
          <cell r="D1810">
            <v>301501</v>
          </cell>
          <cell r="E1810" t="str">
            <v>Lucena City National High School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</row>
        <row r="1811">
          <cell r="D1811">
            <v>308123</v>
          </cell>
          <cell r="E1811" t="str">
            <v>Pantay NHS (Teresa NHS - Pantay Annex)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</row>
        <row r="1812">
          <cell r="D1812">
            <v>301453</v>
          </cell>
          <cell r="E1812" t="str">
            <v>Pililla NHS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</row>
        <row r="1813">
          <cell r="D1813">
            <v>308101</v>
          </cell>
          <cell r="E1813" t="str">
            <v>Old Boso-boso NHS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</row>
        <row r="1814">
          <cell r="D1814">
            <v>308502</v>
          </cell>
          <cell r="E1814" t="str">
            <v>Cotta National High School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</row>
        <row r="1815">
          <cell r="D1815">
            <v>321504</v>
          </cell>
          <cell r="E1815" t="str">
            <v>Rizza NHS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</row>
        <row r="1816">
          <cell r="D1816">
            <v>301298</v>
          </cell>
          <cell r="E1816" t="str">
            <v>Dr. Vivencio V. Marquez National High School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</row>
        <row r="1817">
          <cell r="D1817">
            <v>308131</v>
          </cell>
          <cell r="E1817" t="str">
            <v>Dr. Vivencio B. Villamayor NHS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</row>
        <row r="1818">
          <cell r="D1818">
            <v>342597</v>
          </cell>
          <cell r="E1818" t="str">
            <v>Sinalhan Integrated High School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</row>
        <row r="1819">
          <cell r="D1819">
            <v>308121</v>
          </cell>
          <cell r="E1819" t="str">
            <v>Hulo National High School</v>
          </cell>
          <cell r="F1819">
            <v>17</v>
          </cell>
          <cell r="G1819">
            <v>14</v>
          </cell>
          <cell r="H1819">
            <v>31</v>
          </cell>
          <cell r="I1819">
            <v>15</v>
          </cell>
          <cell r="J1819">
            <v>12</v>
          </cell>
          <cell r="K1819">
            <v>27</v>
          </cell>
          <cell r="L1819">
            <v>29</v>
          </cell>
          <cell r="M1819">
            <v>17</v>
          </cell>
          <cell r="N1819">
            <v>46</v>
          </cell>
          <cell r="O1819">
            <v>15</v>
          </cell>
          <cell r="P1819">
            <v>12</v>
          </cell>
          <cell r="Q1819">
            <v>27</v>
          </cell>
          <cell r="R1819">
            <v>29</v>
          </cell>
          <cell r="S1819">
            <v>17</v>
          </cell>
          <cell r="T1819">
            <v>46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</row>
        <row r="1820">
          <cell r="D1820">
            <v>301470</v>
          </cell>
          <cell r="E1820" t="str">
            <v>Balete Integrated School</v>
          </cell>
          <cell r="F1820">
            <v>60</v>
          </cell>
          <cell r="G1820">
            <v>85</v>
          </cell>
          <cell r="H1820">
            <v>145</v>
          </cell>
          <cell r="I1820">
            <v>10</v>
          </cell>
          <cell r="J1820">
            <v>10</v>
          </cell>
          <cell r="K1820">
            <v>20</v>
          </cell>
          <cell r="L1820">
            <v>10</v>
          </cell>
          <cell r="M1820">
            <v>10</v>
          </cell>
          <cell r="N1820">
            <v>20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</row>
        <row r="1821">
          <cell r="D1821">
            <v>301250</v>
          </cell>
          <cell r="E1821" t="str">
            <v>Masapang NHS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</row>
        <row r="1822">
          <cell r="D1822">
            <v>308505</v>
          </cell>
          <cell r="E1822" t="str">
            <v>Lucena City National High School -Mayao Parada Extension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</row>
        <row r="1823">
          <cell r="D1823">
            <v>342349</v>
          </cell>
          <cell r="E1823" t="str">
            <v>LOS BAÑOS SENIOR HIGH SCHOOL (SHS) STAND ALONE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</row>
        <row r="1824">
          <cell r="D1824">
            <v>321505</v>
          </cell>
          <cell r="E1824" t="str">
            <v>Dela Paz NHS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</row>
        <row r="1825">
          <cell r="D1825">
            <v>301422</v>
          </cell>
          <cell r="E1825" t="str">
            <v>Mayamot NHS</v>
          </cell>
          <cell r="F1825">
            <v>19</v>
          </cell>
          <cell r="G1825">
            <v>15</v>
          </cell>
          <cell r="H1825">
            <v>34</v>
          </cell>
          <cell r="I1825">
            <v>19</v>
          </cell>
          <cell r="J1825">
            <v>15</v>
          </cell>
          <cell r="K1825">
            <v>34</v>
          </cell>
          <cell r="L1825">
            <v>19</v>
          </cell>
          <cell r="M1825">
            <v>15</v>
          </cell>
          <cell r="N1825">
            <v>34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19</v>
          </cell>
          <cell r="V1825">
            <v>15</v>
          </cell>
          <cell r="W1825">
            <v>34</v>
          </cell>
          <cell r="X1825">
            <v>19</v>
          </cell>
          <cell r="Y1825">
            <v>15</v>
          </cell>
          <cell r="Z1825">
            <v>34</v>
          </cell>
        </row>
        <row r="1826">
          <cell r="D1826">
            <v>308005</v>
          </cell>
          <cell r="E1826" t="str">
            <v>Cagsiay I National High School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</row>
        <row r="1827">
          <cell r="D1827">
            <v>321507</v>
          </cell>
          <cell r="E1827" t="str">
            <v>Antipolo City National Science and Technology HS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</row>
        <row r="1828">
          <cell r="D1828">
            <v>301304</v>
          </cell>
          <cell r="E1828" t="str">
            <v>Calauag NHS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</row>
        <row r="1829">
          <cell r="D1829">
            <v>342563</v>
          </cell>
          <cell r="E1829" t="str">
            <v>San Mateo SHS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</row>
        <row r="1830">
          <cell r="D1830">
            <v>308004</v>
          </cell>
          <cell r="E1830" t="str">
            <v>Pagbilao NHS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</row>
        <row r="1831">
          <cell r="D1831">
            <v>342571</v>
          </cell>
          <cell r="E1831" t="str">
            <v>Rizal Sports Academy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</row>
        <row r="1832">
          <cell r="D1832">
            <v>308021</v>
          </cell>
          <cell r="E1832" t="str">
            <v>Dr. Arsenio C. Nicolas Integrated National High School (Formerly Dr. Arsenio C. Nicolas NHS)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</row>
        <row r="1833">
          <cell r="D1833">
            <v>301350</v>
          </cell>
          <cell r="E1833" t="str">
            <v>Manuel S. Enverga Memorial School of Arts and Trades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</row>
        <row r="1834">
          <cell r="D1834">
            <v>321506</v>
          </cell>
          <cell r="E1834" t="str">
            <v>Dalig NHS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</row>
        <row r="1835">
          <cell r="D1835">
            <v>301435</v>
          </cell>
          <cell r="E1835" t="str">
            <v>Daraetan Integrated School</v>
          </cell>
          <cell r="F1835">
            <v>5</v>
          </cell>
          <cell r="G1835">
            <v>5</v>
          </cell>
          <cell r="H1835">
            <v>10</v>
          </cell>
          <cell r="I1835">
            <v>5</v>
          </cell>
          <cell r="J1835">
            <v>5</v>
          </cell>
          <cell r="K1835">
            <v>10</v>
          </cell>
          <cell r="L1835">
            <v>5</v>
          </cell>
          <cell r="M1835">
            <v>5</v>
          </cell>
          <cell r="N1835">
            <v>10</v>
          </cell>
          <cell r="O1835">
            <v>5</v>
          </cell>
          <cell r="P1835">
            <v>5</v>
          </cell>
          <cell r="Q1835">
            <v>10</v>
          </cell>
          <cell r="R1835">
            <v>5</v>
          </cell>
          <cell r="S1835">
            <v>5</v>
          </cell>
          <cell r="T1835">
            <v>10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</row>
        <row r="1836">
          <cell r="D1836">
            <v>301369</v>
          </cell>
          <cell r="E1836" t="str">
            <v>Pagsangahan NHS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</row>
        <row r="1837">
          <cell r="D1837">
            <v>308039</v>
          </cell>
          <cell r="E1837" t="str">
            <v>LUALHATI D. EDAÑO NHS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</row>
        <row r="1838">
          <cell r="D1838">
            <v>308015</v>
          </cell>
          <cell r="E1838" t="str">
            <v>Cagsiay III NHS</v>
          </cell>
          <cell r="F1838">
            <v>0</v>
          </cell>
          <cell r="G1838">
            <v>0</v>
          </cell>
          <cell r="H1838">
            <v>0</v>
          </cell>
          <cell r="I1838">
            <v>1</v>
          </cell>
          <cell r="J1838">
            <v>1</v>
          </cell>
          <cell r="K1838">
            <v>2</v>
          </cell>
          <cell r="L1838">
            <v>4</v>
          </cell>
          <cell r="M1838">
            <v>4</v>
          </cell>
          <cell r="N1838">
            <v>8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</row>
        <row r="1839">
          <cell r="D1839">
            <v>308124</v>
          </cell>
          <cell r="E1839" t="str">
            <v>Baras-Pinugay NHS</v>
          </cell>
          <cell r="F1839">
            <v>150</v>
          </cell>
          <cell r="G1839">
            <v>0</v>
          </cell>
          <cell r="H1839">
            <v>150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</row>
        <row r="1840">
          <cell r="D1840">
            <v>301314</v>
          </cell>
          <cell r="E1840" t="str">
            <v>Cesar C. Tan Memorial National High School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</row>
        <row r="1841">
          <cell r="D1841">
            <v>301407</v>
          </cell>
          <cell r="E1841" t="str">
            <v>Talipan National High School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</row>
        <row r="1842">
          <cell r="D1842">
            <v>301475</v>
          </cell>
          <cell r="E1842" t="str">
            <v>Pedro S. Tolentino MNHS</v>
          </cell>
          <cell r="F1842">
            <v>104</v>
          </cell>
          <cell r="G1842">
            <v>120</v>
          </cell>
          <cell r="H1842">
            <v>224</v>
          </cell>
          <cell r="I1842">
            <v>20</v>
          </cell>
          <cell r="J1842">
            <v>15</v>
          </cell>
          <cell r="K1842">
            <v>35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</row>
        <row r="1843">
          <cell r="D1843">
            <v>301227</v>
          </cell>
          <cell r="E1843" t="str">
            <v>Balibago National High School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</row>
        <row r="1844">
          <cell r="D1844">
            <v>301239</v>
          </cell>
          <cell r="E1844" t="str">
            <v>Don Jose National High School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</row>
        <row r="1845">
          <cell r="D1845">
            <v>301397</v>
          </cell>
          <cell r="E1845" t="str">
            <v>Calasumanga NHS (Formerly San Juan NHS - Calasumanga Ext.)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</row>
        <row r="1846">
          <cell r="D1846">
            <v>301421</v>
          </cell>
          <cell r="E1846" t="str">
            <v>Kaysakat NHS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</row>
        <row r="1847">
          <cell r="D1847">
            <v>301274</v>
          </cell>
          <cell r="E1847" t="str">
            <v>GOV. FELICISIMO T. SAN LUIS NATIONAL AGRO-INDUSTRIAL HIGH SCHOOL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1</v>
          </cell>
          <cell r="T1847">
            <v>1</v>
          </cell>
          <cell r="U1847">
            <v>0</v>
          </cell>
          <cell r="V1847">
            <v>2</v>
          </cell>
          <cell r="W1847">
            <v>2</v>
          </cell>
          <cell r="X1847">
            <v>0</v>
          </cell>
          <cell r="Y1847">
            <v>3</v>
          </cell>
          <cell r="Z1847">
            <v>3</v>
          </cell>
        </row>
        <row r="1848">
          <cell r="D1848">
            <v>308103</v>
          </cell>
          <cell r="E1848" t="str">
            <v>Abuyod NHS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</row>
        <row r="1849">
          <cell r="D1849">
            <v>301487</v>
          </cell>
          <cell r="E1849" t="str">
            <v>BOLBOK INTEGRATED NATIONAL HIGH SCHOOL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</row>
        <row r="1850">
          <cell r="D1850">
            <v>308201</v>
          </cell>
          <cell r="E1850" t="str">
            <v>Natalia V. Ramos Memorial Integrated School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</row>
        <row r="1851">
          <cell r="D1851">
            <v>308014</v>
          </cell>
          <cell r="E1851" t="str">
            <v>Cabong NHS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</row>
        <row r="1852">
          <cell r="D1852">
            <v>301467</v>
          </cell>
          <cell r="E1852" t="str">
            <v>Teresa National High School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</row>
        <row r="1853">
          <cell r="D1853">
            <v>301452</v>
          </cell>
          <cell r="E1853" t="str">
            <v>Morong National High School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</row>
        <row r="1854">
          <cell r="D1854">
            <v>307934</v>
          </cell>
          <cell r="E1854" t="str">
            <v>SOUTHVILLE 5-A NATIONAL HIGH SCHOOL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</row>
        <row r="1855">
          <cell r="D1855">
            <v>301492</v>
          </cell>
          <cell r="E1855" t="str">
            <v>Lipa City Science Integrated National High School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</row>
        <row r="1856">
          <cell r="D1856">
            <v>301131</v>
          </cell>
          <cell r="E1856" t="str">
            <v>Palakpak Integrated National High School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</row>
        <row r="1857">
          <cell r="D1857">
            <v>342201</v>
          </cell>
          <cell r="E1857" t="str">
            <v>Balete Senior High School</v>
          </cell>
          <cell r="F1857">
            <v>116</v>
          </cell>
          <cell r="G1857">
            <v>111</v>
          </cell>
          <cell r="H1857">
            <v>227</v>
          </cell>
          <cell r="I1857">
            <v>63</v>
          </cell>
          <cell r="J1857">
            <v>62</v>
          </cell>
          <cell r="K1857">
            <v>125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</row>
        <row r="1858">
          <cell r="D1858">
            <v>307728</v>
          </cell>
          <cell r="E1858" t="str">
            <v>Angeles Luistro Integrated Senior High School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</row>
        <row r="1859">
          <cell r="D1859">
            <v>301462</v>
          </cell>
          <cell r="E1859" t="str">
            <v>Silangan National High School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</row>
        <row r="1860">
          <cell r="D1860">
            <v>305473</v>
          </cell>
          <cell r="E1860" t="str">
            <v>Calubcub I Senior High School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</row>
        <row r="1861">
          <cell r="D1861">
            <v>342203</v>
          </cell>
          <cell r="E1861" t="str">
            <v>Mataasnakahoy Senior High School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</row>
        <row r="1862">
          <cell r="D1862">
            <v>342355</v>
          </cell>
          <cell r="E1862" t="str">
            <v>Mamatid Senior High School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</row>
        <row r="1863">
          <cell r="D1863">
            <v>361016</v>
          </cell>
          <cell r="E1863" t="str">
            <v>San Juan Senior High School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</row>
        <row r="1864">
          <cell r="D1864">
            <v>301262</v>
          </cell>
          <cell r="E1864" t="str">
            <v>Nicolas L. Galvez Memorial National High School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</row>
        <row r="1865">
          <cell r="D1865">
            <v>307931</v>
          </cell>
          <cell r="E1865" t="str">
            <v>Saint Francis NHS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</row>
        <row r="1866">
          <cell r="D1866">
            <v>342354</v>
          </cell>
          <cell r="E1866" t="str">
            <v>Stand Alone SHS No. 12 Pulo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</row>
        <row r="1867">
          <cell r="D1867">
            <v>307707</v>
          </cell>
          <cell r="E1867" t="str">
            <v>Nagsaulay National High School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</row>
        <row r="1868">
          <cell r="D1868">
            <v>307914</v>
          </cell>
          <cell r="E1868" t="str">
            <v>San Pedro Relocation CNHS - Landayan Annex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</row>
        <row r="1869">
          <cell r="D1869">
            <v>301179</v>
          </cell>
          <cell r="E1869" t="str">
            <v>Congressional Integrated High School</v>
          </cell>
          <cell r="F1869">
            <v>580</v>
          </cell>
          <cell r="G1869">
            <v>0</v>
          </cell>
          <cell r="H1869">
            <v>580</v>
          </cell>
          <cell r="I1869">
            <v>528</v>
          </cell>
          <cell r="J1869">
            <v>0</v>
          </cell>
          <cell r="K1869">
            <v>528</v>
          </cell>
          <cell r="L1869">
            <v>529</v>
          </cell>
          <cell r="M1869">
            <v>0</v>
          </cell>
          <cell r="N1869">
            <v>529</v>
          </cell>
          <cell r="O1869">
            <v>11</v>
          </cell>
          <cell r="P1869">
            <v>0</v>
          </cell>
          <cell r="Q1869">
            <v>11</v>
          </cell>
          <cell r="R1869">
            <v>17</v>
          </cell>
          <cell r="S1869">
            <v>0</v>
          </cell>
          <cell r="T1869">
            <v>17</v>
          </cell>
          <cell r="U1869">
            <v>3</v>
          </cell>
          <cell r="V1869">
            <v>0</v>
          </cell>
          <cell r="W1869">
            <v>3</v>
          </cell>
          <cell r="X1869">
            <v>1</v>
          </cell>
          <cell r="Y1869">
            <v>0</v>
          </cell>
          <cell r="Z1869">
            <v>1</v>
          </cell>
        </row>
        <row r="1870">
          <cell r="D1870">
            <v>301457</v>
          </cell>
          <cell r="E1870" t="str">
            <v>San Jose NHS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</row>
        <row r="1871">
          <cell r="D1871">
            <v>301427</v>
          </cell>
          <cell r="E1871" t="str">
            <v>San Juan NHS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</row>
        <row r="1872">
          <cell r="D1872">
            <v>301431</v>
          </cell>
          <cell r="E1872" t="str">
            <v>Calawis NHS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</row>
        <row r="1873">
          <cell r="D1873">
            <v>301423</v>
          </cell>
          <cell r="E1873" t="str">
            <v>Muntindilaw NHS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</row>
        <row r="1874">
          <cell r="D1874">
            <v>308120</v>
          </cell>
          <cell r="E1874" t="str">
            <v>Jalajala NHS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</row>
        <row r="1875">
          <cell r="D1875">
            <v>307712</v>
          </cell>
          <cell r="E1875" t="str">
            <v>Sampiro Integrated Senior High School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</row>
        <row r="1876">
          <cell r="D1876">
            <v>301477</v>
          </cell>
          <cell r="E1876" t="str">
            <v>San Agapito NHS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</row>
        <row r="1877">
          <cell r="D1877">
            <v>305553</v>
          </cell>
          <cell r="E1877" t="str">
            <v>PHILIPPINE SCIENCE HIGH SCHOOL-CALABARZON Region Campus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</row>
        <row r="1878">
          <cell r="D1878">
            <v>301347</v>
          </cell>
          <cell r="E1878" t="str">
            <v>Luis Palad Integrated High School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</row>
        <row r="1879">
          <cell r="D1879">
            <v>301479</v>
          </cell>
          <cell r="E1879" t="str">
            <v>San Agustin Integrated School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</row>
        <row r="1880">
          <cell r="D1880">
            <v>342240</v>
          </cell>
          <cell r="E1880" t="str">
            <v>Stand Alone 2 (AFP-PNP)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</row>
        <row r="1881">
          <cell r="D1881">
            <v>301234</v>
          </cell>
          <cell r="E1881" t="str">
            <v>Cabuyao NHS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</row>
        <row r="1882">
          <cell r="D1882">
            <v>342576</v>
          </cell>
          <cell r="E1882" t="str">
            <v>Tayabas City Division Stand Alone SHS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</row>
        <row r="1883">
          <cell r="D1883">
            <v>301416</v>
          </cell>
          <cell r="E1883" t="str">
            <v>West Palale National High School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</row>
        <row r="1884">
          <cell r="D1884">
            <v>342569</v>
          </cell>
          <cell r="E1884" t="str">
            <v>Taytay Senior High School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</row>
        <row r="1885">
          <cell r="D1885">
            <v>305621</v>
          </cell>
          <cell r="E1885" t="str">
            <v>Mahabang Dahilig Senior High School - Stand Alone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</row>
        <row r="1886">
          <cell r="D1886">
            <v>301473</v>
          </cell>
          <cell r="E1886" t="str">
            <v>Conde Labac Integrated School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</row>
        <row r="1887">
          <cell r="D1887">
            <v>301231</v>
          </cell>
          <cell r="E1887" t="str">
            <v>Bitin NHS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</row>
        <row r="1888">
          <cell r="D1888">
            <v>307903</v>
          </cell>
          <cell r="E1888" t="str">
            <v>Cristobal S. Conducto Memorial National High School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</row>
        <row r="1889">
          <cell r="D1889">
            <v>501149</v>
          </cell>
          <cell r="E1889" t="str">
            <v>Sto. Niño Integrated School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</row>
        <row r="1890">
          <cell r="D1890">
            <v>342345</v>
          </cell>
          <cell r="E1890" t="str">
            <v>Stand Alone SHS No. 3 Pagsanjan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</row>
        <row r="1891">
          <cell r="D1891">
            <v>301106</v>
          </cell>
          <cell r="E1891" t="str">
            <v>Jaybanga Integrated National High School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</row>
        <row r="1892">
          <cell r="D1892">
            <v>342352</v>
          </cell>
          <cell r="E1892" t="str">
            <v>Stand Alone SHS No. 10 Bayog</v>
          </cell>
          <cell r="F1892">
            <v>112</v>
          </cell>
          <cell r="G1892">
            <v>108</v>
          </cell>
          <cell r="H1892">
            <v>220</v>
          </cell>
          <cell r="I1892">
            <v>74</v>
          </cell>
          <cell r="J1892">
            <v>66</v>
          </cell>
          <cell r="K1892">
            <v>140</v>
          </cell>
          <cell r="L1892">
            <v>222</v>
          </cell>
          <cell r="M1892">
            <v>198</v>
          </cell>
          <cell r="N1892">
            <v>420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3</v>
          </cell>
          <cell r="V1892">
            <v>1</v>
          </cell>
          <cell r="W1892">
            <v>4</v>
          </cell>
          <cell r="X1892">
            <v>0</v>
          </cell>
          <cell r="Y1892">
            <v>0</v>
          </cell>
          <cell r="Z1892">
            <v>0</v>
          </cell>
        </row>
        <row r="1893">
          <cell r="D1893">
            <v>305538</v>
          </cell>
          <cell r="E1893" t="str">
            <v>Cardona Senior High School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</row>
        <row r="1894">
          <cell r="D1894">
            <v>307937</v>
          </cell>
          <cell r="E1894" t="str">
            <v>Magdalena NHS (Buenavista Annex)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</row>
        <row r="1895">
          <cell r="D1895">
            <v>301445</v>
          </cell>
          <cell r="E1895" t="str">
            <v>Janosa National High School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</row>
        <row r="1896">
          <cell r="D1896">
            <v>308113</v>
          </cell>
          <cell r="E1896" t="str">
            <v>Regional Lead School for the Arts in Angono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</row>
        <row r="1897">
          <cell r="D1897">
            <v>307908</v>
          </cell>
          <cell r="E1897" t="str">
            <v>Cuyab Integrated National High School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</row>
        <row r="1898">
          <cell r="D1898">
            <v>301186</v>
          </cell>
          <cell r="E1898" t="str">
            <v>Dasmariñas Integrated High School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</row>
        <row r="1899">
          <cell r="D1899">
            <v>342361</v>
          </cell>
          <cell r="E1899" t="str">
            <v>Stand Alone SHS No. 19 San Pedro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</row>
        <row r="1900">
          <cell r="D1900">
            <v>342298</v>
          </cell>
          <cell r="E1900" t="str">
            <v>Paliparan III SHS</v>
          </cell>
          <cell r="F1900">
            <v>702</v>
          </cell>
          <cell r="G1900">
            <v>0</v>
          </cell>
          <cell r="H1900">
            <v>702</v>
          </cell>
          <cell r="I1900">
            <v>569</v>
          </cell>
          <cell r="J1900">
            <v>0</v>
          </cell>
          <cell r="K1900">
            <v>569</v>
          </cell>
          <cell r="L1900">
            <v>1283</v>
          </cell>
          <cell r="M1900">
            <v>0</v>
          </cell>
          <cell r="N1900">
            <v>1283</v>
          </cell>
          <cell r="O1900">
            <v>3</v>
          </cell>
          <cell r="P1900">
            <v>0</v>
          </cell>
          <cell r="Q1900">
            <v>3</v>
          </cell>
          <cell r="R1900">
            <v>8</v>
          </cell>
          <cell r="S1900">
            <v>0</v>
          </cell>
          <cell r="T1900">
            <v>8</v>
          </cell>
          <cell r="U1900">
            <v>38</v>
          </cell>
          <cell r="V1900">
            <v>0</v>
          </cell>
          <cell r="W1900">
            <v>38</v>
          </cell>
          <cell r="X1900">
            <v>2</v>
          </cell>
          <cell r="Y1900">
            <v>0</v>
          </cell>
          <cell r="Z1900">
            <v>2</v>
          </cell>
        </row>
        <row r="1901">
          <cell r="D1901">
            <v>325902</v>
          </cell>
          <cell r="E1901" t="str">
            <v>Paliparan II Integrated High School</v>
          </cell>
          <cell r="F1901">
            <v>55</v>
          </cell>
          <cell r="G1901">
            <v>0</v>
          </cell>
          <cell r="H1901">
            <v>55</v>
          </cell>
          <cell r="I1901">
            <v>43</v>
          </cell>
          <cell r="J1901">
            <v>0</v>
          </cell>
          <cell r="K1901">
            <v>43</v>
          </cell>
          <cell r="L1901">
            <v>47</v>
          </cell>
          <cell r="M1901">
            <v>0</v>
          </cell>
          <cell r="N1901">
            <v>47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</row>
        <row r="1902">
          <cell r="D1902">
            <v>342299</v>
          </cell>
          <cell r="E1902" t="str">
            <v>New Era SHS</v>
          </cell>
          <cell r="F1902">
            <v>98</v>
          </cell>
          <cell r="G1902">
            <v>0</v>
          </cell>
          <cell r="H1902">
            <v>98</v>
          </cell>
          <cell r="I1902">
            <v>76</v>
          </cell>
          <cell r="J1902">
            <v>0</v>
          </cell>
          <cell r="K1902">
            <v>76</v>
          </cell>
          <cell r="L1902">
            <v>79</v>
          </cell>
          <cell r="M1902">
            <v>0</v>
          </cell>
          <cell r="N1902">
            <v>79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</row>
        <row r="1903">
          <cell r="D1903">
            <v>301183</v>
          </cell>
          <cell r="E1903" t="str">
            <v>Dasmariñas East Integrated High School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</row>
        <row r="1904">
          <cell r="D1904">
            <v>342300</v>
          </cell>
          <cell r="E1904" t="str">
            <v>Dr. Jose P. Rizal SHS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</row>
        <row r="1905">
          <cell r="D1905">
            <v>342568</v>
          </cell>
          <cell r="E1905" t="str">
            <v>Baras Senior High School</v>
          </cell>
          <cell r="F1905">
            <v>111</v>
          </cell>
          <cell r="G1905">
            <v>108</v>
          </cell>
          <cell r="H1905">
            <v>219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</row>
        <row r="1906">
          <cell r="D1906">
            <v>342285</v>
          </cell>
          <cell r="E1906" t="str">
            <v>Luis Y. Ferrer Jr. Senior High School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</row>
        <row r="1907">
          <cell r="D1907">
            <v>342562</v>
          </cell>
          <cell r="E1907" t="str">
            <v>Kasiglahan Village Senior High School</v>
          </cell>
          <cell r="F1907">
            <v>293</v>
          </cell>
          <cell r="G1907">
            <v>0</v>
          </cell>
          <cell r="H1907">
            <v>293</v>
          </cell>
          <cell r="I1907">
            <v>36</v>
          </cell>
          <cell r="J1907">
            <v>0</v>
          </cell>
          <cell r="K1907">
            <v>36</v>
          </cell>
          <cell r="L1907">
            <v>0</v>
          </cell>
          <cell r="M1907">
            <v>0</v>
          </cell>
          <cell r="N1907">
            <v>0</v>
          </cell>
          <cell r="O1907">
            <v>36</v>
          </cell>
          <cell r="P1907">
            <v>0</v>
          </cell>
          <cell r="Q1907">
            <v>36</v>
          </cell>
          <cell r="R1907">
            <v>36</v>
          </cell>
          <cell r="S1907">
            <v>0</v>
          </cell>
          <cell r="T1907">
            <v>36</v>
          </cell>
          <cell r="U1907">
            <v>36</v>
          </cell>
          <cell r="V1907">
            <v>0</v>
          </cell>
          <cell r="W1907">
            <v>36</v>
          </cell>
          <cell r="X1907">
            <v>36</v>
          </cell>
          <cell r="Y1907">
            <v>0</v>
          </cell>
          <cell r="Z1907">
            <v>36</v>
          </cell>
        </row>
        <row r="1908">
          <cell r="D1908">
            <v>301463</v>
          </cell>
          <cell r="E1908" t="str">
            <v>Talim Point NHS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</row>
        <row r="1909">
          <cell r="D1909">
            <v>301428</v>
          </cell>
          <cell r="E1909" t="str">
            <v>Bagumbong NHS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</row>
        <row r="1910">
          <cell r="D1910">
            <v>328201</v>
          </cell>
          <cell r="E1910" t="str">
            <v>Francisco E. Barzaga Integrated High School</v>
          </cell>
          <cell r="F1910">
            <v>188</v>
          </cell>
          <cell r="G1910">
            <v>0</v>
          </cell>
          <cell r="H1910">
            <v>188</v>
          </cell>
          <cell r="I1910">
            <v>164</v>
          </cell>
          <cell r="J1910">
            <v>0</v>
          </cell>
          <cell r="K1910">
            <v>164</v>
          </cell>
          <cell r="L1910">
            <v>168</v>
          </cell>
          <cell r="M1910">
            <v>0</v>
          </cell>
          <cell r="N1910">
            <v>168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2</v>
          </cell>
          <cell r="V1910">
            <v>0</v>
          </cell>
          <cell r="W1910">
            <v>2</v>
          </cell>
          <cell r="X1910">
            <v>0</v>
          </cell>
          <cell r="Y1910">
            <v>0</v>
          </cell>
          <cell r="Z1910">
            <v>0</v>
          </cell>
        </row>
        <row r="1911">
          <cell r="D1911">
            <v>301455</v>
          </cell>
          <cell r="E1911" t="str">
            <v>Rizal National Science HS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</row>
        <row r="1912">
          <cell r="D1912">
            <v>342566</v>
          </cell>
          <cell r="E1912" t="str">
            <v>Stand alone SHS 5</v>
          </cell>
          <cell r="F1912">
            <v>0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</row>
        <row r="1913">
          <cell r="D1913">
            <v>308128</v>
          </cell>
          <cell r="E1913" t="str">
            <v>TANAY EAST NATIONAL HIGH SCHOOL</v>
          </cell>
          <cell r="F1913">
            <v>30</v>
          </cell>
          <cell r="G1913">
            <v>13</v>
          </cell>
          <cell r="H1913">
            <v>43</v>
          </cell>
          <cell r="I1913">
            <v>1</v>
          </cell>
          <cell r="J1913">
            <v>1</v>
          </cell>
          <cell r="K1913">
            <v>2</v>
          </cell>
          <cell r="L1913">
            <v>1</v>
          </cell>
          <cell r="M1913">
            <v>1</v>
          </cell>
          <cell r="N1913">
            <v>2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</row>
        <row r="1914">
          <cell r="D1914">
            <v>342613</v>
          </cell>
          <cell r="E1914" t="str">
            <v>Lipa City Sports Academy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</row>
        <row r="1915">
          <cell r="D1915">
            <v>307907</v>
          </cell>
          <cell r="E1915" t="str">
            <v>San Pedro Relocation Center National High School, Main (Langgam) Campus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</row>
        <row r="1916">
          <cell r="D1916">
            <v>301447</v>
          </cell>
          <cell r="E1916" t="str">
            <v>Malaya NHS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</row>
        <row r="1917">
          <cell r="D1917">
            <v>307941</v>
          </cell>
          <cell r="E1917" t="str">
            <v>PHILIPPINE HIGH SCHOOL FOR THE  ARTS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</row>
        <row r="1918">
          <cell r="D1918">
            <v>301436</v>
          </cell>
          <cell r="E1918" t="str">
            <v>Don Jose M. Ynares,Sr. Memorial National High School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</row>
        <row r="1919">
          <cell r="D1919">
            <v>308132</v>
          </cell>
          <cell r="E1919" t="str">
            <v>Bugarin NHS</v>
          </cell>
          <cell r="F1919">
            <v>18</v>
          </cell>
          <cell r="G1919">
            <v>28</v>
          </cell>
          <cell r="H1919">
            <v>46</v>
          </cell>
          <cell r="I1919">
            <v>0</v>
          </cell>
          <cell r="J1919">
            <v>0</v>
          </cell>
          <cell r="K1919">
            <v>0</v>
          </cell>
          <cell r="L1919">
            <v>10</v>
          </cell>
          <cell r="M1919">
            <v>4</v>
          </cell>
          <cell r="N1919">
            <v>14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</row>
        <row r="1920">
          <cell r="D1920">
            <v>342348</v>
          </cell>
          <cell r="E1920" t="str">
            <v>Victoria Senior High School</v>
          </cell>
          <cell r="F1920">
            <v>82</v>
          </cell>
          <cell r="G1920">
            <v>108</v>
          </cell>
          <cell r="H1920">
            <v>190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</row>
        <row r="1921">
          <cell r="D1921">
            <v>308138</v>
          </cell>
          <cell r="E1921" t="str">
            <v>Tanay West NHS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</row>
        <row r="1922">
          <cell r="D1922">
            <v>308040</v>
          </cell>
          <cell r="E1922" t="str">
            <v>Dr. Panfilo Castro NHS - Masalukot I Annex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</row>
        <row r="1923">
          <cell r="D1923">
            <v>307923</v>
          </cell>
          <cell r="E1923" t="str">
            <v>Southville I Integrated National High School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</row>
        <row r="1924">
          <cell r="D1924">
            <v>304846</v>
          </cell>
          <cell r="E1924" t="str">
            <v>Liliw Senior High School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</row>
        <row r="1925">
          <cell r="D1925">
            <v>342570</v>
          </cell>
          <cell r="E1925" t="str">
            <v>San Isidro Senior High School</v>
          </cell>
          <cell r="F1925">
            <v>251</v>
          </cell>
          <cell r="G1925">
            <v>330</v>
          </cell>
          <cell r="H1925">
            <v>581</v>
          </cell>
          <cell r="I1925">
            <v>201</v>
          </cell>
          <cell r="J1925">
            <v>289</v>
          </cell>
          <cell r="K1925">
            <v>490</v>
          </cell>
          <cell r="L1925">
            <v>186</v>
          </cell>
          <cell r="M1925">
            <v>207</v>
          </cell>
          <cell r="N1925">
            <v>393</v>
          </cell>
          <cell r="O1925">
            <v>50</v>
          </cell>
          <cell r="P1925">
            <v>41</v>
          </cell>
          <cell r="Q1925">
            <v>91</v>
          </cell>
          <cell r="R1925">
            <v>26</v>
          </cell>
          <cell r="S1925">
            <v>18</v>
          </cell>
          <cell r="T1925">
            <v>44</v>
          </cell>
          <cell r="U1925">
            <v>0</v>
          </cell>
          <cell r="V1925">
            <v>0</v>
          </cell>
          <cell r="W1925">
            <v>0</v>
          </cell>
          <cell r="X1925">
            <v>1</v>
          </cell>
          <cell r="Y1925">
            <v>1</v>
          </cell>
          <cell r="Z1925">
            <v>2</v>
          </cell>
        </row>
        <row r="1926">
          <cell r="D1926">
            <v>301433</v>
          </cell>
          <cell r="E1926" t="str">
            <v>Carlos "Botong"  V. Francisco MNHS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</row>
        <row r="1927">
          <cell r="D1927">
            <v>307930</v>
          </cell>
          <cell r="E1927" t="str">
            <v>Laguna Science NHS (Masaya NHS Annex)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</row>
        <row r="1928">
          <cell r="D1928">
            <v>301235</v>
          </cell>
          <cell r="E1928" t="str">
            <v>Casile Integrated National High School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</row>
        <row r="1929">
          <cell r="D1929">
            <v>301229</v>
          </cell>
          <cell r="E1929" t="str">
            <v>Bigaa Integrated National High School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</row>
        <row r="1930">
          <cell r="D1930">
            <v>303491</v>
          </cell>
          <cell r="E1930" t="str">
            <v>Lipa City Senior High School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</row>
        <row r="1931">
          <cell r="D1931">
            <v>301531</v>
          </cell>
          <cell r="E1931" t="str">
            <v>Bangbang National High School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</row>
        <row r="1932">
          <cell r="D1932">
            <v>301530</v>
          </cell>
          <cell r="E1932" t="str">
            <v>Balanacan NHS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</row>
        <row r="1933">
          <cell r="D1933">
            <v>301549</v>
          </cell>
          <cell r="E1933" t="str">
            <v>Makapuyat NHS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</row>
        <row r="1934">
          <cell r="D1934">
            <v>301536</v>
          </cell>
          <cell r="E1934" t="str">
            <v>Buenavista NHS - Bagacay Annex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</row>
        <row r="1935">
          <cell r="D1935">
            <v>301533</v>
          </cell>
          <cell r="E1935" t="str">
            <v>Bonliw National High School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</row>
        <row r="1936">
          <cell r="D1936">
            <v>301560</v>
          </cell>
          <cell r="E1936" t="str">
            <v>Punong NHS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</row>
        <row r="1937">
          <cell r="D1937">
            <v>301548</v>
          </cell>
          <cell r="E1937" t="str">
            <v>Landy National High School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</row>
        <row r="1938">
          <cell r="D1938">
            <v>301566</v>
          </cell>
          <cell r="E1938" t="str">
            <v>Tigwi NHS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</row>
        <row r="1939">
          <cell r="D1939">
            <v>342646</v>
          </cell>
          <cell r="E1939" t="str">
            <v>TORRIJOS SENIOR HIGH SCHOOL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</row>
        <row r="1940">
          <cell r="D1940">
            <v>301535</v>
          </cell>
          <cell r="E1940" t="str">
            <v>Buenavista NHS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</row>
        <row r="1941">
          <cell r="D1941">
            <v>301534</v>
          </cell>
          <cell r="E1941" t="str">
            <v>Botilao NHS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</row>
        <row r="1942">
          <cell r="D1942">
            <v>301545</v>
          </cell>
          <cell r="E1942" t="str">
            <v>Ipil National High School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</row>
        <row r="1943">
          <cell r="D1943">
            <v>301542</v>
          </cell>
          <cell r="E1943" t="str">
            <v>Dolores NHS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</row>
        <row r="1944">
          <cell r="D1944">
            <v>301550</v>
          </cell>
          <cell r="E1944" t="str">
            <v>Makapuyat NHS - Masaguisi Annex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</row>
        <row r="1945">
          <cell r="D1945">
            <v>308804</v>
          </cell>
          <cell r="E1945" t="str">
            <v>Paciano A. Sena Mem. HS (Tabionan NHS)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</row>
        <row r="1946">
          <cell r="D1946">
            <v>301568</v>
          </cell>
          <cell r="E1946" t="str">
            <v>Yook NHS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</row>
        <row r="1947">
          <cell r="D1947">
            <v>301562</v>
          </cell>
          <cell r="E1947" t="str">
            <v>Sibuyao NHS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</row>
        <row r="1948">
          <cell r="D1948">
            <v>301567</v>
          </cell>
          <cell r="E1948" t="str">
            <v>Tiguion National High School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</row>
        <row r="1949">
          <cell r="D1949">
            <v>308801</v>
          </cell>
          <cell r="E1949" t="str">
            <v>Poctoy NHS (Bonliw NHS-Poctoy Annex)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</row>
        <row r="1950">
          <cell r="D1950">
            <v>301555</v>
          </cell>
          <cell r="E1950" t="str">
            <v>Matalaba NHS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</row>
        <row r="1951">
          <cell r="D1951">
            <v>301538</v>
          </cell>
          <cell r="E1951" t="str">
            <v>Buenavista NHS - Lipata-Tungib Annex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</row>
        <row r="1952">
          <cell r="D1952">
            <v>301552</v>
          </cell>
          <cell r="E1952" t="str">
            <v>Maniwaya National High School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</row>
        <row r="1953">
          <cell r="D1953">
            <v>301547</v>
          </cell>
          <cell r="E1953" t="str">
            <v>Kilo-Kilo National High School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</row>
        <row r="1954">
          <cell r="D1954">
            <v>301557</v>
          </cell>
          <cell r="E1954" t="str">
            <v>Mogpog National Comprehensive High School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</row>
        <row r="1955">
          <cell r="D1955">
            <v>301556</v>
          </cell>
          <cell r="E1955" t="str">
            <v>Matuyatuya National High School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</row>
        <row r="1956">
          <cell r="D1956">
            <v>301563</v>
          </cell>
          <cell r="E1956" t="str">
            <v>Tagum National High School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</row>
        <row r="1957">
          <cell r="D1957">
            <v>301543</v>
          </cell>
          <cell r="E1957" t="str">
            <v>Hupi National High School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2</v>
          </cell>
          <cell r="Y1957">
            <v>2</v>
          </cell>
          <cell r="Z1957">
            <v>4</v>
          </cell>
        </row>
        <row r="1958">
          <cell r="D1958">
            <v>301553</v>
          </cell>
          <cell r="E1958" t="str">
            <v>Maranlig National High School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</row>
        <row r="1959">
          <cell r="D1959">
            <v>301565</v>
          </cell>
          <cell r="E1959" t="str">
            <v>Tapuyan NHS</v>
          </cell>
          <cell r="F1959">
            <v>33</v>
          </cell>
          <cell r="G1959">
            <v>40</v>
          </cell>
          <cell r="H1959">
            <v>73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</row>
        <row r="1960">
          <cell r="D1960">
            <v>301541</v>
          </cell>
          <cell r="E1960" t="str">
            <v>Cawit National Comprehensive High School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</row>
        <row r="1961">
          <cell r="D1961">
            <v>301561</v>
          </cell>
          <cell r="E1961" t="str">
            <v>Sayao National High School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</row>
        <row r="1962">
          <cell r="D1962">
            <v>301532</v>
          </cell>
          <cell r="E1962" t="str">
            <v>Bognuyan NHS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</row>
        <row r="1963">
          <cell r="D1963">
            <v>301544</v>
          </cell>
          <cell r="E1963" t="str">
            <v>Ilaya NHS</v>
          </cell>
          <cell r="F1963">
            <v>0</v>
          </cell>
          <cell r="G1963">
            <v>26</v>
          </cell>
          <cell r="H1963">
            <v>26</v>
          </cell>
          <cell r="I1963">
            <v>0</v>
          </cell>
          <cell r="J1963">
            <v>26</v>
          </cell>
          <cell r="K1963">
            <v>26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</row>
        <row r="1964">
          <cell r="D1964">
            <v>301551</v>
          </cell>
          <cell r="E1964" t="str">
            <v>Malibago National High School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</row>
        <row r="1965">
          <cell r="D1965">
            <v>301558</v>
          </cell>
          <cell r="E1965" t="str">
            <v>Mongpong NHS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</row>
        <row r="1966">
          <cell r="D1966">
            <v>301554</v>
          </cell>
          <cell r="E1966" t="str">
            <v>Marinduque NHS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</row>
        <row r="1967">
          <cell r="D1967">
            <v>301589</v>
          </cell>
          <cell r="E1967" t="str">
            <v>Mapaya National High School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</row>
        <row r="1968">
          <cell r="D1968">
            <v>301595</v>
          </cell>
          <cell r="E1968" t="str">
            <v>RIZAL NATIONAL HIGH SCHOOL</v>
          </cell>
          <cell r="F1968">
            <v>5</v>
          </cell>
          <cell r="G1968">
            <v>5</v>
          </cell>
          <cell r="H1968">
            <v>10</v>
          </cell>
          <cell r="I1968">
            <v>3</v>
          </cell>
          <cell r="J1968">
            <v>2</v>
          </cell>
          <cell r="K1968">
            <v>5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</row>
        <row r="1969">
          <cell r="D1969">
            <v>301605</v>
          </cell>
          <cell r="E1969" t="str">
            <v>Sta Teresa NHS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</row>
        <row r="1970">
          <cell r="D1970">
            <v>308908</v>
          </cell>
          <cell r="E1970" t="str">
            <v>Mangarin National Highschool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</row>
        <row r="1971">
          <cell r="D1971">
            <v>500029</v>
          </cell>
          <cell r="E1971" t="str">
            <v>Lubang IS</v>
          </cell>
          <cell r="F1971">
            <v>110</v>
          </cell>
          <cell r="G1971">
            <v>98</v>
          </cell>
          <cell r="H1971">
            <v>208</v>
          </cell>
          <cell r="I1971">
            <v>98</v>
          </cell>
          <cell r="J1971">
            <v>88</v>
          </cell>
          <cell r="K1971">
            <v>186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</row>
        <row r="1972">
          <cell r="D1972">
            <v>301600</v>
          </cell>
          <cell r="E1972" t="str">
            <v>Central NHS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</row>
        <row r="1973">
          <cell r="D1973">
            <v>301603</v>
          </cell>
          <cell r="E1973" t="str">
            <v>Santa Cruz NHS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</row>
        <row r="1974">
          <cell r="D1974">
            <v>301596</v>
          </cell>
          <cell r="E1974" t="str">
            <v>Sablayan NATIONAL COMPREHENSIVE HIGH SCHOOL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</row>
        <row r="1975">
          <cell r="D1975">
            <v>301569</v>
          </cell>
          <cell r="E1975" t="str">
            <v>Abra de Ilog NHS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</row>
        <row r="1976">
          <cell r="D1976">
            <v>301599</v>
          </cell>
          <cell r="E1976" t="str">
            <v>San Jose NHS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</row>
        <row r="1977">
          <cell r="D1977">
            <v>301573</v>
          </cell>
          <cell r="E1977" t="str">
            <v>Barahan NHS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</row>
        <row r="1978">
          <cell r="D1978">
            <v>301578</v>
          </cell>
          <cell r="E1978" t="str">
            <v>Iling NHS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</row>
        <row r="1979">
          <cell r="D1979">
            <v>301586</v>
          </cell>
          <cell r="E1979" t="str">
            <v>LUBANG VOCATIONAL HIGH SCHOOL</v>
          </cell>
          <cell r="F1979">
            <v>21</v>
          </cell>
          <cell r="G1979">
            <v>26</v>
          </cell>
          <cell r="H1979">
            <v>47</v>
          </cell>
          <cell r="I1979">
            <v>21</v>
          </cell>
          <cell r="J1979">
            <v>26</v>
          </cell>
          <cell r="K1979">
            <v>47</v>
          </cell>
          <cell r="L1979">
            <v>21</v>
          </cell>
          <cell r="M1979">
            <v>26</v>
          </cell>
          <cell r="N1979">
            <v>47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</row>
        <row r="1980">
          <cell r="D1980">
            <v>301580</v>
          </cell>
          <cell r="E1980" t="str">
            <v>Iriron NHS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</row>
        <row r="1981">
          <cell r="D1981">
            <v>301606</v>
          </cell>
          <cell r="E1981" t="str">
            <v>Tanyag NHS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</row>
        <row r="1982">
          <cell r="D1982">
            <v>308904</v>
          </cell>
          <cell r="E1982" t="str">
            <v>Manoot National High School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</row>
        <row r="1983">
          <cell r="D1983">
            <v>301583</v>
          </cell>
          <cell r="E1983" t="str">
            <v>Looc National School Of Fisheries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</row>
        <row r="1984">
          <cell r="D1984">
            <v>301574</v>
          </cell>
          <cell r="E1984" t="str">
            <v>CALINTAAN NATIONAL HIGH SCHOOL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</row>
        <row r="1985">
          <cell r="D1985">
            <v>301601</v>
          </cell>
          <cell r="E1985" t="str">
            <v>San Vicente NHS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</row>
        <row r="1986">
          <cell r="D1986">
            <v>301604</v>
          </cell>
          <cell r="E1986" t="str">
            <v>Pinagturilan National High School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</row>
        <row r="1987">
          <cell r="D1987">
            <v>301577</v>
          </cell>
          <cell r="E1987" t="str">
            <v>Concepcion NHS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</row>
        <row r="1988">
          <cell r="D1988">
            <v>301582</v>
          </cell>
          <cell r="E1988" t="str">
            <v>Paulino Legaspi, Sr. Memorial. NHS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</row>
        <row r="1989">
          <cell r="D1989">
            <v>301588</v>
          </cell>
          <cell r="E1989" t="str">
            <v>Magsaysay National High School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</row>
        <row r="1990">
          <cell r="D1990">
            <v>301594</v>
          </cell>
          <cell r="E1990" t="str">
            <v>Paluan NHS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</row>
        <row r="1991">
          <cell r="D1991">
            <v>301593</v>
          </cell>
          <cell r="E1991" t="str">
            <v>Occidental Mindoro NHS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</row>
        <row r="1992">
          <cell r="D1992">
            <v>308901</v>
          </cell>
          <cell r="E1992" t="str">
            <v>San Jose National Agricultural and Industrial High School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</row>
        <row r="1993">
          <cell r="D1993">
            <v>301592</v>
          </cell>
          <cell r="E1993" t="str">
            <v>Pedro T. Mendiola Sr. Memorial National High School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</row>
        <row r="1994">
          <cell r="D1994">
            <v>301602</v>
          </cell>
          <cell r="E1994" t="str">
            <v>San Vicente NHS - Yapang Annex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</row>
        <row r="1995">
          <cell r="D1995">
            <v>301581</v>
          </cell>
          <cell r="E1995" t="str">
            <v>Ligaya NHS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</row>
        <row r="1996">
          <cell r="D1996">
            <v>301609</v>
          </cell>
          <cell r="E1996" t="str">
            <v>Victoria NHS - Ilvita Annex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</row>
        <row r="1997">
          <cell r="D1997">
            <v>301597</v>
          </cell>
          <cell r="E1997" t="str">
            <v>Sablayan NCHS - Claudio Salgado Annex</v>
          </cell>
          <cell r="F1997">
            <v>30</v>
          </cell>
          <cell r="G1997">
            <v>28</v>
          </cell>
          <cell r="H1997">
            <v>58</v>
          </cell>
          <cell r="I1997">
            <v>5</v>
          </cell>
          <cell r="J1997">
            <v>5</v>
          </cell>
          <cell r="K1997">
            <v>10</v>
          </cell>
          <cell r="L1997">
            <v>6</v>
          </cell>
          <cell r="M1997">
            <v>4</v>
          </cell>
          <cell r="N1997">
            <v>10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</row>
        <row r="1998">
          <cell r="D1998">
            <v>301598</v>
          </cell>
          <cell r="E1998" t="str">
            <v>Prudencio L. Gadiano National High School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</row>
        <row r="1999">
          <cell r="D1999">
            <v>301652</v>
          </cell>
          <cell r="E1999" t="str">
            <v>San Mariano NHS</v>
          </cell>
          <cell r="F1999">
            <v>212</v>
          </cell>
          <cell r="G1999">
            <v>174</v>
          </cell>
          <cell r="H1999">
            <v>386</v>
          </cell>
          <cell r="I1999">
            <v>106</v>
          </cell>
          <cell r="J1999">
            <v>55</v>
          </cell>
          <cell r="K1999">
            <v>161</v>
          </cell>
          <cell r="L1999">
            <v>106</v>
          </cell>
          <cell r="M1999">
            <v>55</v>
          </cell>
          <cell r="N1999">
            <v>161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</row>
        <row r="2000">
          <cell r="D2000">
            <v>309035</v>
          </cell>
          <cell r="E2000" t="str">
            <v>Puerto Galera NHS - San Isidro Ext.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</row>
        <row r="2001">
          <cell r="D2001">
            <v>301640</v>
          </cell>
          <cell r="E2001" t="str">
            <v>Dangay NHS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</row>
        <row r="2002">
          <cell r="D2002">
            <v>309006</v>
          </cell>
          <cell r="E2002" t="str">
            <v>Carmundo NHS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</row>
        <row r="2003">
          <cell r="D2003">
            <v>301636</v>
          </cell>
          <cell r="E2003" t="str">
            <v>Malamig NHS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</row>
        <row r="2004">
          <cell r="D2004">
            <v>301642</v>
          </cell>
          <cell r="E2004" t="str">
            <v>Melgar NHS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</row>
        <row r="2005">
          <cell r="D2005">
            <v>309019</v>
          </cell>
          <cell r="E2005" t="str">
            <v>Pag-asa NHS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</row>
        <row r="2006">
          <cell r="D2006">
            <v>301648</v>
          </cell>
          <cell r="E2006" t="str">
            <v>Porfirio Comia MNHS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</row>
        <row r="2007">
          <cell r="D2007">
            <v>301649</v>
          </cell>
          <cell r="E2007" t="str">
            <v>Quinabigan NHS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</row>
        <row r="2008">
          <cell r="D2008">
            <v>301654</v>
          </cell>
          <cell r="E2008" t="str">
            <v>Vicente B. Ylagan NHS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</row>
        <row r="2009">
          <cell r="D2009">
            <v>301641</v>
          </cell>
          <cell r="E2009" t="str">
            <v>Masaguisi NHS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</row>
        <row r="2010">
          <cell r="D2010">
            <v>301633</v>
          </cell>
          <cell r="E2010" t="str">
            <v>Kaligtasan NHS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</row>
        <row r="2011">
          <cell r="D2011">
            <v>309023</v>
          </cell>
          <cell r="E2011" t="str">
            <v>Guillermo Raymundo - Calima High School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</row>
        <row r="2012">
          <cell r="D2012">
            <v>309004</v>
          </cell>
          <cell r="E2012" t="str">
            <v>Puerto Galera NHS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</row>
        <row r="2013">
          <cell r="D2013">
            <v>301612</v>
          </cell>
          <cell r="E2013" t="str">
            <v>Macatoc NHS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</row>
        <row r="2014">
          <cell r="D2014">
            <v>301627</v>
          </cell>
          <cell r="E2014" t="str">
            <v>Domingo Yu Chu NHS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</row>
        <row r="2015">
          <cell r="D2015">
            <v>301614</v>
          </cell>
          <cell r="E2015" t="str">
            <v>Aurora NHS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</row>
        <row r="2016">
          <cell r="D2016">
            <v>301621</v>
          </cell>
          <cell r="E2016" t="str">
            <v>Maujao NHS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</row>
        <row r="2017">
          <cell r="D2017">
            <v>301645</v>
          </cell>
          <cell r="E2017" t="str">
            <v>Naujan Municipal High School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</row>
        <row r="2018">
          <cell r="D2018">
            <v>301631</v>
          </cell>
          <cell r="E2018" t="str">
            <v>Fe del Mundo NHS</v>
          </cell>
          <cell r="F2018">
            <v>0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</row>
        <row r="2019">
          <cell r="D2019">
            <v>301634</v>
          </cell>
          <cell r="E2019" t="str">
            <v>Leuteboro NHS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</row>
        <row r="2020">
          <cell r="D2020">
            <v>301619</v>
          </cell>
          <cell r="E2020" t="str">
            <v>Bayuin NHS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</row>
        <row r="2021">
          <cell r="D2021">
            <v>301644</v>
          </cell>
          <cell r="E2021" t="str">
            <v>Nabuslot NHS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</row>
        <row r="2022">
          <cell r="D2022">
            <v>309002</v>
          </cell>
          <cell r="E2022" t="str">
            <v>President Diosdado Macapagal MNHS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</row>
        <row r="2023">
          <cell r="D2023">
            <v>301624</v>
          </cell>
          <cell r="E2023" t="str">
            <v>Cawayan NHS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</row>
        <row r="2024">
          <cell r="D2024">
            <v>309001</v>
          </cell>
          <cell r="E2024" t="str">
            <v>Inarawan NHS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</row>
        <row r="2025">
          <cell r="D2025">
            <v>309008</v>
          </cell>
          <cell r="E2025" t="str">
            <v>Anastacio Dela Chica High School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</row>
        <row r="2026">
          <cell r="D2026">
            <v>309011</v>
          </cell>
          <cell r="E2026" t="str">
            <v>Rufino Asi National High School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</row>
        <row r="2027">
          <cell r="D2027">
            <v>301611</v>
          </cell>
          <cell r="E2027" t="str">
            <v>Apitong NHS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</row>
        <row r="2028">
          <cell r="D2028">
            <v>301639</v>
          </cell>
          <cell r="E2028" t="str">
            <v>Marcelo I. Cabrera Vocational High School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</row>
        <row r="2029">
          <cell r="D2029">
            <v>301630</v>
          </cell>
          <cell r="E2029" t="str">
            <v>Doroteo S. Mendoza Sr. MNHS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</row>
        <row r="2030">
          <cell r="D2030">
            <v>301628</v>
          </cell>
          <cell r="E2030" t="str">
            <v>Araceli B. Pantilanan - Bacawan High  School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</row>
        <row r="2031">
          <cell r="D2031">
            <v>301629</v>
          </cell>
          <cell r="E2031" t="str">
            <v>Matulatula High School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</row>
        <row r="2032">
          <cell r="D2032">
            <v>301643</v>
          </cell>
          <cell r="E2032" t="str">
            <v>Morente NHS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</row>
        <row r="2033">
          <cell r="D2033">
            <v>301638</v>
          </cell>
          <cell r="E2033" t="str">
            <v>Manaul National High School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</row>
        <row r="2034">
          <cell r="D2034">
            <v>301623</v>
          </cell>
          <cell r="E2034" t="str">
            <v>Bulbugan NHS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</row>
        <row r="2035">
          <cell r="D2035">
            <v>301647</v>
          </cell>
          <cell r="E2035" t="str">
            <v>Pili NHS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</row>
        <row r="2036">
          <cell r="D2036">
            <v>309025</v>
          </cell>
          <cell r="E2036" t="str">
            <v>Leandro Panganiban Sr. - Tagumpay High School</v>
          </cell>
          <cell r="F2036">
            <v>0</v>
          </cell>
          <cell r="G2036">
            <v>0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</row>
        <row r="2037">
          <cell r="D2037">
            <v>301610</v>
          </cell>
          <cell r="E2037" t="str">
            <v>Alcadesma NHS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</row>
        <row r="2038">
          <cell r="D2038">
            <v>301615</v>
          </cell>
          <cell r="E2038" t="str">
            <v>Evangelista NHS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</row>
        <row r="2039">
          <cell r="D2039">
            <v>309027</v>
          </cell>
          <cell r="E2039" t="str">
            <v>Felimon M. Salcedo Sr. MNHS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</row>
        <row r="2040">
          <cell r="D2040">
            <v>309033</v>
          </cell>
          <cell r="E2040" t="str">
            <v>Cabugao National High School</v>
          </cell>
          <cell r="F2040">
            <v>2</v>
          </cell>
          <cell r="G2040">
            <v>0</v>
          </cell>
          <cell r="H2040">
            <v>2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</row>
        <row r="2041">
          <cell r="D2041">
            <v>301632</v>
          </cell>
          <cell r="E2041" t="str">
            <v>Formon NHS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</row>
        <row r="2042">
          <cell r="D2042">
            <v>309022</v>
          </cell>
          <cell r="E2042" t="str">
            <v>Benli NHS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</row>
        <row r="2043">
          <cell r="D2043">
            <v>309005</v>
          </cell>
          <cell r="E2043" t="str">
            <v>Labasan National High School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</row>
        <row r="2044">
          <cell r="D2044">
            <v>301635</v>
          </cell>
          <cell r="E2044" t="str">
            <v>Fortuna NHS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</row>
        <row r="2045">
          <cell r="D2045">
            <v>301651</v>
          </cell>
          <cell r="E2045" t="str">
            <v>San Agustin NHS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</row>
        <row r="2046">
          <cell r="D2046">
            <v>301620</v>
          </cell>
          <cell r="E2046" t="str">
            <v>Bulalacao NHS</v>
          </cell>
          <cell r="F2046">
            <v>11</v>
          </cell>
          <cell r="G2046">
            <v>9</v>
          </cell>
          <cell r="H2046">
            <v>20</v>
          </cell>
          <cell r="I2046">
            <v>11</v>
          </cell>
          <cell r="J2046">
            <v>9</v>
          </cell>
          <cell r="K2046">
            <v>20</v>
          </cell>
          <cell r="L2046">
            <v>11</v>
          </cell>
          <cell r="M2046">
            <v>9</v>
          </cell>
          <cell r="N2046">
            <v>20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</row>
        <row r="2047">
          <cell r="D2047">
            <v>309020</v>
          </cell>
          <cell r="E2047" t="str">
            <v>Villapagasa NHS - Apnagan Ext.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</row>
        <row r="2048">
          <cell r="D2048">
            <v>301625</v>
          </cell>
          <cell r="E2048" t="str">
            <v>Dayhagan NHS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</row>
        <row r="2049">
          <cell r="D2049">
            <v>301653</v>
          </cell>
          <cell r="E2049" t="str">
            <v>San Teodoro NHS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</row>
        <row r="2050">
          <cell r="D2050">
            <v>309009</v>
          </cell>
          <cell r="E2050" t="str">
            <v>Jose D. Udasco Mangangan I NHS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</row>
        <row r="2051">
          <cell r="D2051">
            <v>301646</v>
          </cell>
          <cell r="E2051" t="str">
            <v>Pambisan NHS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</row>
        <row r="2052">
          <cell r="D2052">
            <v>309013</v>
          </cell>
          <cell r="E2052" t="str">
            <v>Conrazon High School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</row>
        <row r="2053">
          <cell r="D2053">
            <v>301613</v>
          </cell>
          <cell r="E2053" t="str">
            <v>Aurelio Arago MNHS</v>
          </cell>
          <cell r="F2053">
            <v>10</v>
          </cell>
          <cell r="G2053">
            <v>8</v>
          </cell>
          <cell r="H2053">
            <v>18</v>
          </cell>
          <cell r="I2053">
            <v>10</v>
          </cell>
          <cell r="J2053">
            <v>8</v>
          </cell>
          <cell r="K2053">
            <v>18</v>
          </cell>
          <cell r="L2053">
            <v>12</v>
          </cell>
          <cell r="M2053">
            <v>10</v>
          </cell>
          <cell r="N2053">
            <v>22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</row>
        <row r="2054">
          <cell r="D2054">
            <v>301617</v>
          </cell>
          <cell r="E2054" t="str">
            <v>Balugo NHS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</row>
        <row r="2055">
          <cell r="D2055">
            <v>301616</v>
          </cell>
          <cell r="E2055" t="str">
            <v>Baco NHS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</row>
        <row r="2056">
          <cell r="D2056">
            <v>301655</v>
          </cell>
          <cell r="E2056" t="str">
            <v>Villapagasa NHS</v>
          </cell>
          <cell r="F2056">
            <v>63</v>
          </cell>
          <cell r="G2056">
            <v>54</v>
          </cell>
          <cell r="H2056">
            <v>117</v>
          </cell>
          <cell r="I2056">
            <v>7</v>
          </cell>
          <cell r="J2056">
            <v>4</v>
          </cell>
          <cell r="K2056">
            <v>11</v>
          </cell>
          <cell r="L2056">
            <v>8</v>
          </cell>
          <cell r="M2056">
            <v>6</v>
          </cell>
          <cell r="N2056">
            <v>14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</row>
        <row r="2057">
          <cell r="D2057">
            <v>301622</v>
          </cell>
          <cell r="E2057" t="str">
            <v>San Roque NHS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</row>
        <row r="2058">
          <cell r="D2058">
            <v>309018</v>
          </cell>
          <cell r="E2058" t="str">
            <v>Sabang High School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</row>
        <row r="2059">
          <cell r="D2059">
            <v>301618</v>
          </cell>
          <cell r="E2059" t="str">
            <v>Bansud NHS - Regional Science High School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</row>
        <row r="2060">
          <cell r="D2060">
            <v>301687</v>
          </cell>
          <cell r="E2060" t="str">
            <v>Culion Sanitarium Special National High School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</row>
        <row r="2061">
          <cell r="D2061">
            <v>309165</v>
          </cell>
          <cell r="E2061" t="str">
            <v>Nangalao National High School</v>
          </cell>
          <cell r="F2061">
            <v>24</v>
          </cell>
          <cell r="G2061">
            <v>16</v>
          </cell>
          <cell r="H2061">
            <v>40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</row>
        <row r="2062">
          <cell r="D2062">
            <v>309149</v>
          </cell>
          <cell r="E2062" t="str">
            <v>Taburi National High School</v>
          </cell>
          <cell r="F2062">
            <v>28</v>
          </cell>
          <cell r="G2062">
            <v>15</v>
          </cell>
          <cell r="H2062">
            <v>43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</row>
        <row r="2063">
          <cell r="D2063">
            <v>309146</v>
          </cell>
          <cell r="E2063" t="str">
            <v>Panalingaan National High School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</row>
        <row r="2064">
          <cell r="D2064">
            <v>301661</v>
          </cell>
          <cell r="E2064" t="str">
            <v>Apurawan National High School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</row>
        <row r="2065">
          <cell r="D2065">
            <v>309109</v>
          </cell>
          <cell r="E2065" t="str">
            <v>Bacao National High School (Dumaran NHS - Bacao NHS)</v>
          </cell>
          <cell r="F2065">
            <v>59</v>
          </cell>
          <cell r="G2065">
            <v>39</v>
          </cell>
          <cell r="H2065">
            <v>98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</row>
        <row r="2066">
          <cell r="D2066">
            <v>301667</v>
          </cell>
          <cell r="E2066" t="str">
            <v>Barotuan National High School</v>
          </cell>
          <cell r="F2066">
            <v>211</v>
          </cell>
          <cell r="G2066">
            <v>251</v>
          </cell>
          <cell r="H2066">
            <v>462</v>
          </cell>
          <cell r="I2066">
            <v>17</v>
          </cell>
          <cell r="J2066">
            <v>7</v>
          </cell>
          <cell r="K2066">
            <v>24</v>
          </cell>
          <cell r="L2066">
            <v>19</v>
          </cell>
          <cell r="M2066">
            <v>7</v>
          </cell>
          <cell r="N2066">
            <v>26</v>
          </cell>
          <cell r="O2066">
            <v>4</v>
          </cell>
          <cell r="P2066">
            <v>3</v>
          </cell>
          <cell r="Q2066">
            <v>7</v>
          </cell>
          <cell r="R2066">
            <v>4</v>
          </cell>
          <cell r="S2066">
            <v>3</v>
          </cell>
          <cell r="T2066">
            <v>7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</row>
        <row r="2067">
          <cell r="D2067">
            <v>301692</v>
          </cell>
          <cell r="E2067" t="str">
            <v>Dumaran Mainland National High School</v>
          </cell>
          <cell r="F2067">
            <v>45</v>
          </cell>
          <cell r="G2067">
            <v>46</v>
          </cell>
          <cell r="H2067">
            <v>91</v>
          </cell>
          <cell r="I2067">
            <v>10</v>
          </cell>
          <cell r="J2067">
            <v>7</v>
          </cell>
          <cell r="K2067">
            <v>17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</row>
        <row r="2068">
          <cell r="D2068">
            <v>309107</v>
          </cell>
          <cell r="E2068" t="str">
            <v>Pancol National High School</v>
          </cell>
          <cell r="F2068">
            <v>12</v>
          </cell>
          <cell r="G2068">
            <v>25</v>
          </cell>
          <cell r="H2068">
            <v>37</v>
          </cell>
          <cell r="I2068">
            <v>12</v>
          </cell>
          <cell r="J2068">
            <v>25</v>
          </cell>
          <cell r="K2068">
            <v>37</v>
          </cell>
          <cell r="L2068">
            <v>102</v>
          </cell>
          <cell r="M2068">
            <v>229</v>
          </cell>
          <cell r="N2068">
            <v>331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</row>
        <row r="2069">
          <cell r="D2069">
            <v>301738</v>
          </cell>
          <cell r="E2069" t="str">
            <v>San Vicente National High School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</row>
        <row r="2070">
          <cell r="D2070">
            <v>301713</v>
          </cell>
          <cell r="E2070" t="str">
            <v>New Ibajay National High School</v>
          </cell>
          <cell r="F2070">
            <v>62</v>
          </cell>
          <cell r="G2070">
            <v>68</v>
          </cell>
          <cell r="H2070">
            <v>130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62</v>
          </cell>
          <cell r="P2070">
            <v>66</v>
          </cell>
          <cell r="Q2070">
            <v>128</v>
          </cell>
          <cell r="R2070">
            <v>236</v>
          </cell>
          <cell r="S2070">
            <v>653</v>
          </cell>
          <cell r="T2070">
            <v>889</v>
          </cell>
          <cell r="U2070">
            <v>0</v>
          </cell>
          <cell r="V2070">
            <v>0</v>
          </cell>
          <cell r="W2070">
            <v>0</v>
          </cell>
          <cell r="X2070">
            <v>1</v>
          </cell>
          <cell r="Y2070">
            <v>0</v>
          </cell>
          <cell r="Z2070">
            <v>1</v>
          </cell>
        </row>
        <row r="2071">
          <cell r="D2071">
            <v>301703</v>
          </cell>
          <cell r="E2071" t="str">
            <v>Liminangcong National High School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</row>
        <row r="2072">
          <cell r="D2072">
            <v>301683</v>
          </cell>
          <cell r="E2072" t="str">
            <v>Sandoval National High School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</row>
        <row r="2073">
          <cell r="D2073">
            <v>301731</v>
          </cell>
          <cell r="E2073" t="str">
            <v>Roxas National Comprehensive High School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</row>
        <row r="2074">
          <cell r="D2074">
            <v>309108</v>
          </cell>
          <cell r="E2074" t="str">
            <v>New Canipo National High School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</row>
        <row r="2075">
          <cell r="D2075">
            <v>301734</v>
          </cell>
          <cell r="E2075" t="str">
            <v>Salvacion National High School</v>
          </cell>
          <cell r="F2075">
            <v>133</v>
          </cell>
          <cell r="G2075">
            <v>107</v>
          </cell>
          <cell r="H2075">
            <v>240</v>
          </cell>
          <cell r="I2075">
            <v>35</v>
          </cell>
          <cell r="J2075">
            <v>26</v>
          </cell>
          <cell r="K2075">
            <v>61</v>
          </cell>
          <cell r="L2075">
            <v>48</v>
          </cell>
          <cell r="M2075">
            <v>38</v>
          </cell>
          <cell r="N2075">
            <v>86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2</v>
          </cell>
          <cell r="V2075">
            <v>0</v>
          </cell>
          <cell r="W2075">
            <v>2</v>
          </cell>
          <cell r="X2075">
            <v>0</v>
          </cell>
          <cell r="Y2075">
            <v>0</v>
          </cell>
          <cell r="Z2075">
            <v>0</v>
          </cell>
        </row>
        <row r="2076">
          <cell r="D2076">
            <v>309126</v>
          </cell>
          <cell r="E2076" t="str">
            <v>Tarusan National High School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</row>
        <row r="2077">
          <cell r="D2077">
            <v>301681</v>
          </cell>
          <cell r="E2077" t="str">
            <v>Caruray National High School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</row>
        <row r="2078">
          <cell r="D2078">
            <v>342752</v>
          </cell>
          <cell r="E2078" t="str">
            <v>Central Taytay Senior High School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</row>
        <row r="2079">
          <cell r="D2079">
            <v>309134</v>
          </cell>
          <cell r="E2079" t="str">
            <v>Cheey National High School</v>
          </cell>
          <cell r="F2079">
            <v>24</v>
          </cell>
          <cell r="G2079">
            <v>11</v>
          </cell>
          <cell r="H2079">
            <v>35</v>
          </cell>
          <cell r="I2079">
            <v>20</v>
          </cell>
          <cell r="J2079">
            <v>10</v>
          </cell>
          <cell r="K2079">
            <v>30</v>
          </cell>
          <cell r="L2079">
            <v>191</v>
          </cell>
          <cell r="M2079">
            <v>99</v>
          </cell>
          <cell r="N2079">
            <v>290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</row>
        <row r="2080">
          <cell r="D2080">
            <v>301708</v>
          </cell>
          <cell r="E2080" t="str">
            <v>Manamoc National High School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</row>
        <row r="2081">
          <cell r="D2081">
            <v>301693</v>
          </cell>
          <cell r="E2081" t="str">
            <v>El Nido National High School</v>
          </cell>
          <cell r="F2081">
            <v>133</v>
          </cell>
          <cell r="G2081">
            <v>100</v>
          </cell>
          <cell r="H2081">
            <v>233</v>
          </cell>
          <cell r="I2081">
            <v>133</v>
          </cell>
          <cell r="J2081">
            <v>100</v>
          </cell>
          <cell r="K2081">
            <v>233</v>
          </cell>
          <cell r="L2081">
            <v>1093</v>
          </cell>
          <cell r="M2081">
            <v>1254</v>
          </cell>
          <cell r="N2081">
            <v>2347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</row>
        <row r="2082">
          <cell r="D2082">
            <v>301732</v>
          </cell>
          <cell r="E2082" t="str">
            <v>San Jose (Roxas) National High School</v>
          </cell>
          <cell r="F2082">
            <v>124</v>
          </cell>
          <cell r="G2082">
            <v>93</v>
          </cell>
          <cell r="H2082">
            <v>217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</row>
        <row r="2083">
          <cell r="D2083">
            <v>309129</v>
          </cell>
          <cell r="E2083" t="str">
            <v>Southern Bataraza National High School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</row>
        <row r="2084">
          <cell r="D2084">
            <v>301684</v>
          </cell>
          <cell r="E2084" t="str">
            <v>Coron School of Fisheries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</row>
        <row r="2085">
          <cell r="D2085">
            <v>301745</v>
          </cell>
          <cell r="E2085" t="str">
            <v>Tumarbong National High School</v>
          </cell>
          <cell r="F2085">
            <v>60</v>
          </cell>
          <cell r="G2085">
            <v>56</v>
          </cell>
          <cell r="H2085">
            <v>116</v>
          </cell>
          <cell r="I2085">
            <v>22</v>
          </cell>
          <cell r="J2085">
            <v>30</v>
          </cell>
          <cell r="K2085">
            <v>52</v>
          </cell>
          <cell r="L2085">
            <v>28</v>
          </cell>
          <cell r="M2085">
            <v>39</v>
          </cell>
          <cell r="N2085">
            <v>67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</row>
        <row r="2086">
          <cell r="D2086">
            <v>301711</v>
          </cell>
          <cell r="E2086" t="str">
            <v>New Busuanga National High School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</row>
        <row r="2087">
          <cell r="D2087">
            <v>301662</v>
          </cell>
          <cell r="E2087" t="str">
            <v>Araceli National High School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</row>
        <row r="2088">
          <cell r="D2088">
            <v>301677</v>
          </cell>
          <cell r="E2088" t="str">
            <v>Cagayancillo National High School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</row>
        <row r="2089">
          <cell r="D2089">
            <v>301690</v>
          </cell>
          <cell r="E2089" t="str">
            <v>Dumangeña National High School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</row>
        <row r="2090">
          <cell r="D2090">
            <v>301726</v>
          </cell>
          <cell r="E2090" t="str">
            <v>Quezon National High School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</row>
        <row r="2091">
          <cell r="D2091">
            <v>301685</v>
          </cell>
          <cell r="E2091" t="str">
            <v>Borac National High School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</row>
        <row r="2092">
          <cell r="D2092">
            <v>301743</v>
          </cell>
          <cell r="E2092" t="str">
            <v>Tagusao National High School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</row>
        <row r="2093">
          <cell r="D2093">
            <v>309113</v>
          </cell>
          <cell r="E2093" t="str">
            <v>Bancalaan National High School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</row>
        <row r="2094">
          <cell r="D2094">
            <v>301701</v>
          </cell>
          <cell r="E2094" t="str">
            <v>Isaub National High School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</row>
        <row r="2095">
          <cell r="D2095">
            <v>301695</v>
          </cell>
          <cell r="E2095" t="str">
            <v>Gaudencio E. Abordo Mem. National High School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</row>
        <row r="2096">
          <cell r="D2096">
            <v>301691</v>
          </cell>
          <cell r="E2096" t="str">
            <v>Dumaran National High School</v>
          </cell>
          <cell r="F2096">
            <v>65</v>
          </cell>
          <cell r="G2096">
            <v>40</v>
          </cell>
          <cell r="H2096">
            <v>105</v>
          </cell>
          <cell r="I2096">
            <v>58</v>
          </cell>
          <cell r="J2096">
            <v>35</v>
          </cell>
          <cell r="K2096">
            <v>93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</row>
        <row r="2097">
          <cell r="D2097">
            <v>301666</v>
          </cell>
          <cell r="E2097" t="str">
            <v>Balabac National High School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</row>
        <row r="2098">
          <cell r="D2098">
            <v>301663</v>
          </cell>
          <cell r="E2098" t="str">
            <v>Aramaywan National High School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</row>
        <row r="2099">
          <cell r="D2099">
            <v>301680</v>
          </cell>
          <cell r="E2099" t="str">
            <v>Candawaga National High School</v>
          </cell>
          <cell r="F2099">
            <v>129</v>
          </cell>
          <cell r="G2099">
            <v>96</v>
          </cell>
          <cell r="H2099">
            <v>225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</row>
        <row r="2100">
          <cell r="D2100">
            <v>301722</v>
          </cell>
          <cell r="E2100" t="str">
            <v>Plaridel National High School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</row>
        <row r="2101">
          <cell r="D2101">
            <v>301688</v>
          </cell>
          <cell r="E2101" t="str">
            <v>Cuyo National High School</v>
          </cell>
          <cell r="F2101">
            <v>33</v>
          </cell>
          <cell r="G2101">
            <v>95</v>
          </cell>
          <cell r="H2101">
            <v>128</v>
          </cell>
          <cell r="I2101">
            <v>1</v>
          </cell>
          <cell r="J2101">
            <v>104</v>
          </cell>
          <cell r="K2101">
            <v>105</v>
          </cell>
          <cell r="L2101">
            <v>186</v>
          </cell>
          <cell r="M2101">
            <v>828</v>
          </cell>
          <cell r="N2101">
            <v>1014</v>
          </cell>
          <cell r="O2101">
            <v>1</v>
          </cell>
          <cell r="P2101">
            <v>2</v>
          </cell>
          <cell r="Q2101">
            <v>3</v>
          </cell>
          <cell r="R2101">
            <v>1</v>
          </cell>
          <cell r="S2101">
            <v>3</v>
          </cell>
          <cell r="T2101">
            <v>4</v>
          </cell>
          <cell r="U2101">
            <v>0</v>
          </cell>
          <cell r="V2101">
            <v>9</v>
          </cell>
          <cell r="W2101">
            <v>9</v>
          </cell>
          <cell r="X2101">
            <v>3</v>
          </cell>
          <cell r="Y2101">
            <v>18</v>
          </cell>
          <cell r="Z2101">
            <v>21</v>
          </cell>
        </row>
        <row r="2102">
          <cell r="D2102">
            <v>301725</v>
          </cell>
          <cell r="E2102" t="str">
            <v>Pulot National High School</v>
          </cell>
          <cell r="F2102">
            <v>100</v>
          </cell>
          <cell r="G2102">
            <v>111</v>
          </cell>
          <cell r="H2102">
            <v>211</v>
          </cell>
          <cell r="I2102">
            <v>15</v>
          </cell>
          <cell r="J2102">
            <v>10</v>
          </cell>
          <cell r="K2102">
            <v>25</v>
          </cell>
          <cell r="L2102">
            <v>20</v>
          </cell>
          <cell r="M2102">
            <v>25</v>
          </cell>
          <cell r="N2102">
            <v>45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</row>
        <row r="2103">
          <cell r="D2103">
            <v>301724</v>
          </cell>
          <cell r="E2103" t="str">
            <v>Princess Urduja National High School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</row>
        <row r="2104">
          <cell r="D2104">
            <v>301719</v>
          </cell>
          <cell r="E2104" t="str">
            <v>Panitian National High School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</row>
        <row r="2105">
          <cell r="D2105">
            <v>309114</v>
          </cell>
          <cell r="E2105" t="str">
            <v>Berong BHS (Quezon-Aramaywan NHS - Berong Brgy. HS)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</row>
        <row r="2106">
          <cell r="D2106">
            <v>301659</v>
          </cell>
          <cell r="E2106" t="str">
            <v>Aborlan National High School</v>
          </cell>
          <cell r="F2106">
            <v>150</v>
          </cell>
          <cell r="G2106">
            <v>0</v>
          </cell>
          <cell r="H2106">
            <v>150</v>
          </cell>
          <cell r="I2106">
            <v>100</v>
          </cell>
          <cell r="J2106">
            <v>0</v>
          </cell>
          <cell r="K2106">
            <v>100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</row>
        <row r="2107">
          <cell r="D2107">
            <v>301730</v>
          </cell>
          <cell r="E2107" t="str">
            <v>Rio Tuba National High School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</row>
        <row r="2108">
          <cell r="D2108">
            <v>301678</v>
          </cell>
          <cell r="E2108" t="str">
            <v>Calandagan National High School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</row>
        <row r="2109">
          <cell r="D2109">
            <v>301729</v>
          </cell>
          <cell r="E2109" t="str">
            <v>Quinlogan National High School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</row>
        <row r="2110">
          <cell r="D2110">
            <v>301720</v>
          </cell>
          <cell r="E2110" t="str">
            <v>Panlaitan National High School</v>
          </cell>
          <cell r="F2110">
            <v>34</v>
          </cell>
          <cell r="G2110">
            <v>22</v>
          </cell>
          <cell r="H2110">
            <v>56</v>
          </cell>
          <cell r="I2110">
            <v>5</v>
          </cell>
          <cell r="J2110">
            <v>3</v>
          </cell>
          <cell r="K2110">
            <v>8</v>
          </cell>
          <cell r="L2110">
            <v>3</v>
          </cell>
          <cell r="M2110">
            <v>2</v>
          </cell>
          <cell r="N2110">
            <v>5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</row>
        <row r="2111">
          <cell r="D2111">
            <v>301705</v>
          </cell>
          <cell r="E2111" t="str">
            <v>Magara School for Philippine Craftsmen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</row>
        <row r="2112">
          <cell r="D2112">
            <v>301727</v>
          </cell>
          <cell r="E2112" t="str">
            <v>Quezon-Aramaywan National High School</v>
          </cell>
          <cell r="F2112">
            <v>46</v>
          </cell>
          <cell r="G2112">
            <v>52</v>
          </cell>
          <cell r="H2112">
            <v>98</v>
          </cell>
          <cell r="I2112">
            <v>16</v>
          </cell>
          <cell r="J2112">
            <v>12</v>
          </cell>
          <cell r="K2112">
            <v>28</v>
          </cell>
          <cell r="L2112">
            <v>22</v>
          </cell>
          <cell r="M2112">
            <v>18</v>
          </cell>
          <cell r="N2112">
            <v>40</v>
          </cell>
          <cell r="O2112">
            <v>8</v>
          </cell>
          <cell r="P2112">
            <v>11</v>
          </cell>
          <cell r="Q2112">
            <v>19</v>
          </cell>
          <cell r="R2112">
            <v>13</v>
          </cell>
          <cell r="S2112">
            <v>15</v>
          </cell>
          <cell r="T2112">
            <v>28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</row>
        <row r="2113">
          <cell r="D2113">
            <v>301728</v>
          </cell>
          <cell r="E2113" t="str">
            <v>Quezon-Panitian National High School</v>
          </cell>
          <cell r="F2113">
            <v>0</v>
          </cell>
          <cell r="G2113">
            <v>0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</row>
        <row r="2114">
          <cell r="D2114">
            <v>309120</v>
          </cell>
          <cell r="E2114" t="str">
            <v>Concepcion National High School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</row>
        <row r="2115">
          <cell r="D2115">
            <v>309168</v>
          </cell>
          <cell r="E2115" t="str">
            <v>Decalachao National High School</v>
          </cell>
          <cell r="F2115">
            <v>29</v>
          </cell>
          <cell r="G2115">
            <v>19</v>
          </cell>
          <cell r="H2115">
            <v>48</v>
          </cell>
          <cell r="I2115">
            <v>29</v>
          </cell>
          <cell r="J2115">
            <v>19</v>
          </cell>
          <cell r="K2115">
            <v>48</v>
          </cell>
          <cell r="L2115">
            <v>203</v>
          </cell>
          <cell r="M2115">
            <v>125</v>
          </cell>
          <cell r="N2115">
            <v>328</v>
          </cell>
          <cell r="O2115">
            <v>9</v>
          </cell>
          <cell r="P2115">
            <v>7</v>
          </cell>
          <cell r="Q2115">
            <v>16</v>
          </cell>
          <cell r="R2115">
            <v>17</v>
          </cell>
          <cell r="S2115">
            <v>21</v>
          </cell>
          <cell r="T2115">
            <v>38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</row>
        <row r="2116">
          <cell r="D2116">
            <v>309128</v>
          </cell>
          <cell r="E2116" t="str">
            <v>Bulawit National High School (Gaudencio Abordo NHS R.A.6992)</v>
          </cell>
          <cell r="F2116">
            <v>24</v>
          </cell>
          <cell r="G2116">
            <v>6</v>
          </cell>
          <cell r="H2116">
            <v>30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</row>
        <row r="2117">
          <cell r="D2117">
            <v>301669</v>
          </cell>
          <cell r="E2117" t="str">
            <v>Bato National High School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</row>
        <row r="2118">
          <cell r="D2118">
            <v>309140</v>
          </cell>
          <cell r="E2118" t="str">
            <v>Caponayan National High School</v>
          </cell>
          <cell r="F2118">
            <v>30</v>
          </cell>
          <cell r="G2118">
            <v>30</v>
          </cell>
          <cell r="H2118">
            <v>60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</row>
        <row r="2119">
          <cell r="D2119">
            <v>301660</v>
          </cell>
          <cell r="E2119" t="str">
            <v>Alimanguan National High School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</row>
        <row r="2120">
          <cell r="D2120">
            <v>301702</v>
          </cell>
          <cell r="E2120" t="str">
            <v>Jose P. Rizal National High School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</row>
        <row r="2121">
          <cell r="D2121">
            <v>301737</v>
          </cell>
          <cell r="E2121" t="str">
            <v>San Miguel National High School (Gaudencio Abordo NHS)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</row>
        <row r="2122">
          <cell r="D2122">
            <v>301710</v>
          </cell>
          <cell r="E2122" t="str">
            <v>Narra National High School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</row>
        <row r="2123">
          <cell r="D2123">
            <v>301740</v>
          </cell>
          <cell r="E2123" t="str">
            <v>Sta. Teresita National High School</v>
          </cell>
          <cell r="F2123">
            <v>56</v>
          </cell>
          <cell r="G2123">
            <v>91</v>
          </cell>
          <cell r="H2123">
            <v>147</v>
          </cell>
          <cell r="I2123">
            <v>53</v>
          </cell>
          <cell r="J2123">
            <v>90</v>
          </cell>
          <cell r="K2123">
            <v>143</v>
          </cell>
          <cell r="L2123">
            <v>341</v>
          </cell>
          <cell r="M2123">
            <v>622</v>
          </cell>
          <cell r="N2123">
            <v>963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</row>
        <row r="2124">
          <cell r="D2124">
            <v>301668</v>
          </cell>
          <cell r="E2124" t="str">
            <v>Bataraza National High School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</row>
        <row r="2125">
          <cell r="D2125">
            <v>301699</v>
          </cell>
          <cell r="E2125" t="str">
            <v>Gov. Alfredo Abueg Sr. National Technology &amp; Vocational Memorial High School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</row>
        <row r="2126">
          <cell r="D2126">
            <v>301674</v>
          </cell>
          <cell r="E2126" t="str">
            <v>Mangsee National High School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</row>
        <row r="2127">
          <cell r="D2127">
            <v>309127</v>
          </cell>
          <cell r="E2127" t="str">
            <v>Sibaring National High School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</row>
        <row r="2128">
          <cell r="D2128">
            <v>301739</v>
          </cell>
          <cell r="E2128" t="str">
            <v>Sandoval National High School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</row>
        <row r="2129">
          <cell r="D2129">
            <v>309136</v>
          </cell>
          <cell r="E2129" t="str">
            <v>Inil U. Taha National High School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</row>
        <row r="2130">
          <cell r="D2130">
            <v>301723</v>
          </cell>
          <cell r="E2130" t="str">
            <v>Port Barton National High School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</row>
        <row r="2131">
          <cell r="D2131">
            <v>301700</v>
          </cell>
          <cell r="E2131" t="str">
            <v>Ipilan National High School</v>
          </cell>
          <cell r="F2131">
            <v>131</v>
          </cell>
          <cell r="G2131">
            <v>108</v>
          </cell>
          <cell r="H2131">
            <v>239</v>
          </cell>
          <cell r="I2131">
            <v>20</v>
          </cell>
          <cell r="J2131">
            <v>15</v>
          </cell>
          <cell r="K2131">
            <v>35</v>
          </cell>
          <cell r="L2131">
            <v>10</v>
          </cell>
          <cell r="M2131">
            <v>8</v>
          </cell>
          <cell r="N2131">
            <v>18</v>
          </cell>
          <cell r="O2131">
            <v>0</v>
          </cell>
          <cell r="P2131">
            <v>2</v>
          </cell>
          <cell r="Q2131">
            <v>2</v>
          </cell>
          <cell r="R2131">
            <v>1</v>
          </cell>
          <cell r="S2131">
            <v>0</v>
          </cell>
          <cell r="T2131">
            <v>1</v>
          </cell>
          <cell r="U2131">
            <v>3</v>
          </cell>
          <cell r="V2131">
            <v>2</v>
          </cell>
          <cell r="W2131">
            <v>5</v>
          </cell>
          <cell r="X2131">
            <v>0</v>
          </cell>
          <cell r="Y2131">
            <v>0</v>
          </cell>
          <cell r="Z2131">
            <v>0</v>
          </cell>
        </row>
        <row r="2132">
          <cell r="D2132">
            <v>301657</v>
          </cell>
          <cell r="E2132" t="str">
            <v>Abo-Abo National High School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</row>
        <row r="2133">
          <cell r="D2133">
            <v>301682</v>
          </cell>
          <cell r="E2133" t="str">
            <v>Casian National High School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</row>
        <row r="2134">
          <cell r="D2134">
            <v>301671</v>
          </cell>
          <cell r="E2134" t="str">
            <v>Brooke's Point National High School - Pangobilian NHS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</row>
        <row r="2135">
          <cell r="D2135">
            <v>309115</v>
          </cell>
          <cell r="E2135" t="str">
            <v>Sumbiling National High School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</row>
        <row r="2136">
          <cell r="D2136">
            <v>309160</v>
          </cell>
          <cell r="E2136" t="str">
            <v>Canipaan National High School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</row>
        <row r="2137">
          <cell r="D2137">
            <v>309201</v>
          </cell>
          <cell r="E2137" t="str">
            <v>Calatrava National High School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</row>
        <row r="2138">
          <cell r="D2138">
            <v>301752</v>
          </cell>
          <cell r="E2138" t="str">
            <v>Cajidiocan National High School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</row>
        <row r="2139">
          <cell r="D2139">
            <v>301771</v>
          </cell>
          <cell r="E2139" t="str">
            <v>San Andres NHS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</row>
        <row r="2140">
          <cell r="D2140">
            <v>301761</v>
          </cell>
          <cell r="E2140" t="str">
            <v>Ferrol National High School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</row>
        <row r="2141">
          <cell r="D2141">
            <v>301768</v>
          </cell>
          <cell r="E2141" t="str">
            <v>Magdiwang NHS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</row>
        <row r="2142">
          <cell r="D2142">
            <v>301750</v>
          </cell>
          <cell r="E2142" t="str">
            <v>Banton NHS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</row>
        <row r="2143">
          <cell r="D2143">
            <v>301774</v>
          </cell>
          <cell r="E2143" t="str">
            <v>Santa Maria NHS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</row>
        <row r="2144">
          <cell r="D2144">
            <v>301756</v>
          </cell>
          <cell r="E2144" t="str">
            <v>Concepcion NHS (Main)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</row>
        <row r="2145">
          <cell r="D2145">
            <v>301763</v>
          </cell>
          <cell r="E2145" t="str">
            <v>Sta. Fe NHS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</row>
        <row r="2146">
          <cell r="D2146">
            <v>301772</v>
          </cell>
          <cell r="E2146" t="str">
            <v>San Jose Agricultural HS</v>
          </cell>
          <cell r="F2146">
            <v>157</v>
          </cell>
          <cell r="G2146">
            <v>115</v>
          </cell>
          <cell r="H2146">
            <v>272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</row>
        <row r="2147">
          <cell r="D2147">
            <v>301749</v>
          </cell>
          <cell r="E2147" t="str">
            <v>Esteban Madrona National High School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</row>
        <row r="2148">
          <cell r="D2148">
            <v>301764</v>
          </cell>
          <cell r="E2148" t="str">
            <v>Libertad National High School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</row>
        <row r="2149">
          <cell r="D2149">
            <v>301747</v>
          </cell>
          <cell r="E2149" t="str">
            <v>Alcantara National High School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</row>
        <row r="2150">
          <cell r="D2150">
            <v>301765</v>
          </cell>
          <cell r="E2150" t="str">
            <v>LOOC NATIONAL HIGH SCHOOL</v>
          </cell>
          <cell r="F2150">
            <v>411</v>
          </cell>
          <cell r="G2150">
            <v>422</v>
          </cell>
          <cell r="H2150">
            <v>833</v>
          </cell>
          <cell r="I2150">
            <v>201</v>
          </cell>
          <cell r="J2150">
            <v>166</v>
          </cell>
          <cell r="K2150">
            <v>367</v>
          </cell>
          <cell r="L2150">
            <v>198</v>
          </cell>
          <cell r="M2150">
            <v>150</v>
          </cell>
          <cell r="N2150">
            <v>348</v>
          </cell>
          <cell r="O2150">
            <v>3</v>
          </cell>
          <cell r="P2150">
            <v>16</v>
          </cell>
          <cell r="Q2150">
            <v>19</v>
          </cell>
          <cell r="R2150">
            <v>4</v>
          </cell>
          <cell r="S2150">
            <v>17</v>
          </cell>
          <cell r="T2150">
            <v>21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</row>
        <row r="2151">
          <cell r="D2151">
            <v>301755</v>
          </cell>
          <cell r="E2151" t="str">
            <v>Cambalo NHS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</row>
        <row r="2152">
          <cell r="D2152">
            <v>301767</v>
          </cell>
          <cell r="E2152" t="str">
            <v>Macario Molina NHS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</row>
        <row r="2153">
          <cell r="D2153">
            <v>301769</v>
          </cell>
          <cell r="E2153" t="str">
            <v>Odiongan National High School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</row>
        <row r="2154">
          <cell r="D2154">
            <v>301757</v>
          </cell>
          <cell r="E2154" t="str">
            <v>Corcuera National High School</v>
          </cell>
          <cell r="F2154">
            <v>0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</row>
        <row r="2155">
          <cell r="D2155">
            <v>301760</v>
          </cell>
          <cell r="E2155" t="str">
            <v>España National High School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</row>
        <row r="2156">
          <cell r="D2156">
            <v>309205</v>
          </cell>
          <cell r="E2156" t="str">
            <v>Carmen NHS (Cabolutan NHS Ext.)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</row>
        <row r="2157">
          <cell r="D2157">
            <v>301766</v>
          </cell>
          <cell r="E2157" t="str">
            <v>Mabini NHS</v>
          </cell>
          <cell r="F2157">
            <v>53</v>
          </cell>
          <cell r="G2157">
            <v>41</v>
          </cell>
          <cell r="H2157">
            <v>94</v>
          </cell>
          <cell r="I2157">
            <v>53</v>
          </cell>
          <cell r="J2157">
            <v>41</v>
          </cell>
          <cell r="K2157">
            <v>94</v>
          </cell>
          <cell r="L2157">
            <v>53</v>
          </cell>
          <cell r="M2157">
            <v>41</v>
          </cell>
          <cell r="N2157">
            <v>94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</row>
        <row r="2158">
          <cell r="D2158">
            <v>301759</v>
          </cell>
          <cell r="E2158" t="str">
            <v>Don Carlos M. Mejias Memorial NHS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</row>
        <row r="2159">
          <cell r="D2159">
            <v>301753</v>
          </cell>
          <cell r="E2159" t="str">
            <v>Lumbang East National High School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</row>
        <row r="2160">
          <cell r="D2160">
            <v>301746</v>
          </cell>
          <cell r="E2160" t="str">
            <v>Agnipa National High School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</row>
        <row r="2161">
          <cell r="D2161">
            <v>301780</v>
          </cell>
          <cell r="E2161" t="str">
            <v>Bahile NHS</v>
          </cell>
          <cell r="F2161">
            <v>0</v>
          </cell>
          <cell r="G2161">
            <v>0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</row>
        <row r="2162">
          <cell r="D2162">
            <v>301787</v>
          </cell>
          <cell r="E2162" t="str">
            <v>Babuyan NHS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</row>
        <row r="2163">
          <cell r="D2163">
            <v>301793</v>
          </cell>
          <cell r="E2163" t="str">
            <v>San Jose NHS</v>
          </cell>
          <cell r="F2163">
            <v>0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</row>
        <row r="2164">
          <cell r="D2164">
            <v>301785</v>
          </cell>
          <cell r="E2164" t="str">
            <v>Macarascas NHS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</row>
        <row r="2165">
          <cell r="D2165">
            <v>301789</v>
          </cell>
          <cell r="E2165" t="str">
            <v>Mangingisda NHS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</row>
        <row r="2166">
          <cell r="D2166">
            <v>330506</v>
          </cell>
          <cell r="E2166" t="str">
            <v>Sta. Monica High School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</row>
        <row r="2167">
          <cell r="D2167">
            <v>301779</v>
          </cell>
          <cell r="E2167" t="str">
            <v>Bacungan National High School</v>
          </cell>
          <cell r="F2167">
            <v>45</v>
          </cell>
          <cell r="G2167">
            <v>38</v>
          </cell>
          <cell r="H2167">
            <v>83</v>
          </cell>
          <cell r="I2167">
            <v>40</v>
          </cell>
          <cell r="J2167">
            <v>31</v>
          </cell>
          <cell r="K2167">
            <v>71</v>
          </cell>
          <cell r="L2167">
            <v>48</v>
          </cell>
          <cell r="M2167">
            <v>58</v>
          </cell>
          <cell r="N2167">
            <v>106</v>
          </cell>
          <cell r="O2167">
            <v>1</v>
          </cell>
          <cell r="P2167">
            <v>0</v>
          </cell>
          <cell r="Q2167">
            <v>1</v>
          </cell>
          <cell r="R2167">
            <v>3</v>
          </cell>
          <cell r="S2167">
            <v>0</v>
          </cell>
          <cell r="T2167">
            <v>3</v>
          </cell>
          <cell r="U2167">
            <v>6</v>
          </cell>
          <cell r="V2167">
            <v>8</v>
          </cell>
          <cell r="W2167">
            <v>14</v>
          </cell>
          <cell r="X2167">
            <v>0</v>
          </cell>
          <cell r="Y2167">
            <v>0</v>
          </cell>
          <cell r="Z2167">
            <v>0</v>
          </cell>
        </row>
        <row r="2168">
          <cell r="D2168">
            <v>301792</v>
          </cell>
          <cell r="E2168" t="str">
            <v>Marcelino Abadiano Javarez National High School</v>
          </cell>
          <cell r="F2168">
            <v>0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</row>
        <row r="2169">
          <cell r="D2169">
            <v>301784</v>
          </cell>
          <cell r="E2169" t="str">
            <v>LANGOGAN NATIONAL HIGH SCHOOL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</row>
        <row r="2170">
          <cell r="D2170">
            <v>342797</v>
          </cell>
          <cell r="E2170" t="str">
            <v>SHS in Puerto Princesa City</v>
          </cell>
          <cell r="F2170">
            <v>200</v>
          </cell>
          <cell r="G2170">
            <v>150</v>
          </cell>
          <cell r="H2170">
            <v>350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130</v>
          </cell>
          <cell r="Y2170">
            <v>100</v>
          </cell>
          <cell r="Z2170">
            <v>230</v>
          </cell>
        </row>
        <row r="2171">
          <cell r="D2171">
            <v>301795</v>
          </cell>
          <cell r="E2171" t="str">
            <v>San Rafael National High School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</row>
        <row r="2172">
          <cell r="D2172">
            <v>309301</v>
          </cell>
          <cell r="E2172" t="str">
            <v>PALAWAN NATIONAL SCHOOL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</row>
        <row r="2173">
          <cell r="D2173">
            <v>301796</v>
          </cell>
          <cell r="E2173" t="str">
            <v>Sicsican NHS</v>
          </cell>
          <cell r="F2173">
            <v>0</v>
          </cell>
          <cell r="G2173">
            <v>0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</row>
        <row r="2174">
          <cell r="D2174">
            <v>301783</v>
          </cell>
          <cell r="E2174" t="str">
            <v>Irawan NHS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</row>
        <row r="2175">
          <cell r="D2175">
            <v>301790</v>
          </cell>
          <cell r="E2175" t="str">
            <v>Sta. Lourdes NHS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</row>
        <row r="2176">
          <cell r="D2176">
            <v>301781</v>
          </cell>
          <cell r="E2176" t="str">
            <v>Cabayugan NHS</v>
          </cell>
          <cell r="F2176">
            <v>51</v>
          </cell>
          <cell r="G2176">
            <v>39</v>
          </cell>
          <cell r="H2176">
            <v>90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</row>
        <row r="2177">
          <cell r="D2177">
            <v>301782</v>
          </cell>
          <cell r="E2177" t="str">
            <v>Inagawan NHS</v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</row>
        <row r="2178">
          <cell r="D2178">
            <v>301786</v>
          </cell>
          <cell r="E2178" t="str">
            <v>Napsan National High School</v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</row>
        <row r="2179">
          <cell r="D2179">
            <v>301791</v>
          </cell>
          <cell r="E2179" t="str">
            <v>Pto. Princesa City Nat. Sci. HS</v>
          </cell>
          <cell r="F2179">
            <v>15</v>
          </cell>
          <cell r="G2179">
            <v>12</v>
          </cell>
          <cell r="H2179">
            <v>27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</row>
        <row r="2180">
          <cell r="D2180">
            <v>309302</v>
          </cell>
          <cell r="E2180" t="str">
            <v>Simpucan NHS (Napsan NHS - Simpucan Annex)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</row>
        <row r="2181">
          <cell r="D2181">
            <v>301788</v>
          </cell>
          <cell r="E2181" t="str">
            <v>Luzviminda National High School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</row>
        <row r="2182">
          <cell r="D2182">
            <v>301802</v>
          </cell>
          <cell r="E2182" t="str">
            <v>Nag-iba National High School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</row>
        <row r="2183">
          <cell r="D2183">
            <v>301803</v>
          </cell>
          <cell r="E2183" t="str">
            <v>Pedro V. Panaligan Memorial National High School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</row>
        <row r="2184">
          <cell r="D2184">
            <v>301805</v>
          </cell>
          <cell r="E2184" t="str">
            <v>Managpi National High School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</row>
        <row r="2185">
          <cell r="D2185">
            <v>301798</v>
          </cell>
          <cell r="E2185" t="str">
            <v>Canubing National High School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</row>
        <row r="2186">
          <cell r="D2186">
            <v>301800</v>
          </cell>
          <cell r="E2186" t="str">
            <v>Oriental Mindoro National High School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</row>
        <row r="2187">
          <cell r="D2187">
            <v>301804</v>
          </cell>
          <cell r="E2187" t="str">
            <v>Parang National High School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</row>
        <row r="2188">
          <cell r="D2188">
            <v>309402</v>
          </cell>
          <cell r="E2188" t="str">
            <v>Bucayao National High School</v>
          </cell>
          <cell r="F2188">
            <v>0</v>
          </cell>
          <cell r="G2188">
            <v>0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</row>
        <row r="2189">
          <cell r="D2189">
            <v>301801</v>
          </cell>
          <cell r="E2189" t="str">
            <v>Ceriaco A. Abes Memorial National High School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</row>
        <row r="2190">
          <cell r="D2190">
            <v>301797</v>
          </cell>
          <cell r="E2190" t="str">
            <v>Community Vocational High School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</row>
        <row r="2191">
          <cell r="D2191">
            <v>309705</v>
          </cell>
          <cell r="E2191" t="str">
            <v>Pinamasagan National High School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</row>
        <row r="2192">
          <cell r="D2192">
            <v>302192</v>
          </cell>
          <cell r="E2192" t="str">
            <v>Bulusan NHS</v>
          </cell>
          <cell r="F2192">
            <v>0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</row>
        <row r="2193">
          <cell r="D2193">
            <v>309514</v>
          </cell>
          <cell r="E2193" t="str">
            <v>Macabugos High School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</row>
        <row r="2194">
          <cell r="D2194">
            <v>302266</v>
          </cell>
          <cell r="E2194" t="str">
            <v>Carolina National High School</v>
          </cell>
          <cell r="F2194">
            <v>128</v>
          </cell>
          <cell r="G2194">
            <v>93</v>
          </cell>
          <cell r="H2194">
            <v>221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</row>
        <row r="2195">
          <cell r="D2195">
            <v>301990</v>
          </cell>
          <cell r="E2195" t="str">
            <v>Malansad Nuevo High School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</row>
        <row r="2196">
          <cell r="D2196">
            <v>301988</v>
          </cell>
          <cell r="E2196" t="str">
            <v>Lupi-Iligan National High School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</row>
        <row r="2197">
          <cell r="D2197">
            <v>302162</v>
          </cell>
          <cell r="E2197" t="str">
            <v>PURO NATIONAL HIGH SCHOOL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</row>
        <row r="2198">
          <cell r="D2198">
            <v>500917</v>
          </cell>
          <cell r="E2198" t="str">
            <v>Sumaoy ES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</row>
        <row r="2199">
          <cell r="D2199">
            <v>301929</v>
          </cell>
          <cell r="E2199" t="str">
            <v>Simeon Tycangco Memorial High School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</row>
        <row r="2200">
          <cell r="D2200">
            <v>301886</v>
          </cell>
          <cell r="E2200" t="str">
            <v>Bagong Silang I HS</v>
          </cell>
          <cell r="F2200">
            <v>16</v>
          </cell>
          <cell r="G2200">
            <v>11</v>
          </cell>
          <cell r="H2200">
            <v>27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</row>
        <row r="2201">
          <cell r="D2201">
            <v>309762</v>
          </cell>
          <cell r="E2201" t="str">
            <v>Binanuaanan NHS - Sagurong  Annex HS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</row>
        <row r="2202">
          <cell r="D2202">
            <v>302032</v>
          </cell>
          <cell r="E2202" t="str">
            <v>Maura N. Sibulo National High School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</row>
        <row r="2203">
          <cell r="D2203">
            <v>301823</v>
          </cell>
          <cell r="E2203" t="str">
            <v>Ilawod National High School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</row>
        <row r="2204">
          <cell r="D2204">
            <v>309770</v>
          </cell>
          <cell r="E2204" t="str">
            <v>San  Pablo Integrated School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</row>
        <row r="2205">
          <cell r="D2205">
            <v>301851</v>
          </cell>
          <cell r="E2205" t="str">
            <v>Masarawag National High School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</row>
        <row r="2206">
          <cell r="D2206">
            <v>302028</v>
          </cell>
          <cell r="E2206" t="str">
            <v>Dr. Rodolfo V. Pamor, Jr. MNHS (frmer: Salvacion NHS, Tigaon)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</row>
        <row r="2207">
          <cell r="D2207">
            <v>302058</v>
          </cell>
          <cell r="E2207" t="str">
            <v>Tandoc HS</v>
          </cell>
          <cell r="F2207">
            <v>50</v>
          </cell>
          <cell r="G2207">
            <v>35</v>
          </cell>
          <cell r="H2207">
            <v>85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</row>
        <row r="2208">
          <cell r="D2208">
            <v>301998</v>
          </cell>
          <cell r="E2208" t="str">
            <v>Medroso-Mendoza NHS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</row>
        <row r="2209">
          <cell r="D2209">
            <v>500468</v>
          </cell>
          <cell r="E2209" t="str">
            <v>Harrison Integrated School</v>
          </cell>
          <cell r="F2209">
            <v>30</v>
          </cell>
          <cell r="G2209">
            <v>0</v>
          </cell>
          <cell r="H2209">
            <v>30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</row>
        <row r="2210">
          <cell r="D2210">
            <v>309748</v>
          </cell>
          <cell r="E2210" t="str">
            <v>Milaor NHS - Dalipay Annex HS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</row>
        <row r="2211">
          <cell r="D2211">
            <v>302090</v>
          </cell>
          <cell r="E2211" t="str">
            <v>Magnesia National High School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</row>
        <row r="2212">
          <cell r="D2212">
            <v>330529</v>
          </cell>
          <cell r="E2212" t="str">
            <v>Marangi High School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</row>
        <row r="2213">
          <cell r="D2213">
            <v>309745</v>
          </cell>
          <cell r="E2213" t="str">
            <v>Northern Plain HS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</row>
        <row r="2214">
          <cell r="D2214">
            <v>500158</v>
          </cell>
          <cell r="E2214" t="str">
            <v>Antipolo Heights Integrated School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</row>
        <row r="2215">
          <cell r="D2215">
            <v>301970</v>
          </cell>
          <cell r="E2215" t="str">
            <v>Don Teofilo H. Dilanco MHS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</row>
        <row r="2216">
          <cell r="D2216">
            <v>301933</v>
          </cell>
          <cell r="E2216" t="str">
            <v>Eusebia Paz Arroyo Mem. NHS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</row>
        <row r="2217">
          <cell r="D2217">
            <v>302040</v>
          </cell>
          <cell r="E2217" t="str">
            <v>Panagan National High School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</row>
        <row r="2218">
          <cell r="D2218">
            <v>301937</v>
          </cell>
          <cell r="E2218" t="str">
            <v>Bahi National HS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</row>
        <row r="2219">
          <cell r="D2219">
            <v>302068</v>
          </cell>
          <cell r="E2219" t="str">
            <v>Villazar National High School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</row>
        <row r="2220">
          <cell r="D2220">
            <v>301939</v>
          </cell>
          <cell r="E2220" t="str">
            <v>Balaton National High School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</row>
        <row r="2221">
          <cell r="D2221">
            <v>302056</v>
          </cell>
          <cell r="E2221" t="str">
            <v>Tamban NHS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</row>
        <row r="2222">
          <cell r="D2222">
            <v>301831</v>
          </cell>
          <cell r="E2222" t="str">
            <v>Labnig National High School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</row>
        <row r="2223">
          <cell r="D2223">
            <v>309703</v>
          </cell>
          <cell r="E2223" t="str">
            <v>Bitaogan National High School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</row>
        <row r="2224">
          <cell r="D2224">
            <v>309752</v>
          </cell>
          <cell r="E2224" t="str">
            <v>Tinorongan National High School (Formerly SagÃ±ay Western  HS)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</row>
        <row r="2225">
          <cell r="D2225">
            <v>301819</v>
          </cell>
          <cell r="E2225" t="str">
            <v>Caguiba National High School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</row>
        <row r="2226">
          <cell r="D2226">
            <v>302009</v>
          </cell>
          <cell r="E2226" t="str">
            <v>Palangon High School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</row>
        <row r="2227">
          <cell r="D2227">
            <v>301857</v>
          </cell>
          <cell r="E2227" t="str">
            <v>Sabino Rebagay Memorial High School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</row>
        <row r="2228">
          <cell r="D2228">
            <v>301822</v>
          </cell>
          <cell r="E2228" t="str">
            <v>Cotmon National High School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</row>
        <row r="2229">
          <cell r="D2229">
            <v>301813</v>
          </cell>
          <cell r="E2229" t="str">
            <v>Batan National High School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</row>
        <row r="2230">
          <cell r="D2230">
            <v>301966</v>
          </cell>
          <cell r="E2230" t="str">
            <v>Del Gallego National High School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</row>
        <row r="2231">
          <cell r="D2231">
            <v>301959</v>
          </cell>
          <cell r="E2231" t="str">
            <v>Casugad High School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</row>
        <row r="2232">
          <cell r="D2232">
            <v>301836</v>
          </cell>
          <cell r="E2232" t="str">
            <v>San Pascual National High School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</row>
        <row r="2233">
          <cell r="D2233">
            <v>301881</v>
          </cell>
          <cell r="E2233" t="str">
            <v>Joroan High School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</row>
        <row r="2234">
          <cell r="D2234">
            <v>301879</v>
          </cell>
          <cell r="E2234" t="str">
            <v>Sto. Domingo National High School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</row>
        <row r="2235">
          <cell r="D2235">
            <v>309731</v>
          </cell>
          <cell r="E2235" t="str">
            <v>Antipolo HS, Minalabac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</row>
        <row r="2236">
          <cell r="D2236">
            <v>302064</v>
          </cell>
          <cell r="E2236" t="str">
            <v>Tomas A. Andaya, Sr. National High School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</row>
        <row r="2237">
          <cell r="D2237">
            <v>301861</v>
          </cell>
          <cell r="E2237" t="str">
            <v>Pariaan National High School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</row>
        <row r="2238">
          <cell r="D2238">
            <v>301821</v>
          </cell>
          <cell r="E2238" t="str">
            <v>Cawayan National High School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</row>
        <row r="2239">
          <cell r="D2239">
            <v>301812</v>
          </cell>
          <cell r="E2239" t="str">
            <v>Bariw National High School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</row>
        <row r="2240">
          <cell r="D2240">
            <v>301871</v>
          </cell>
          <cell r="E2240" t="str">
            <v>San Antonio National High School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</row>
        <row r="2241">
          <cell r="D2241">
            <v>309520</v>
          </cell>
          <cell r="E2241" t="str">
            <v>Malabiga High School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</row>
        <row r="2242">
          <cell r="D2242">
            <v>500155</v>
          </cell>
          <cell r="E2242" t="str">
            <v>San Agustin Elementary School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</row>
        <row r="2243">
          <cell r="D2243">
            <v>343238</v>
          </cell>
          <cell r="E2243" t="str">
            <v>San Agustin (Stand Alone) Senior High School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</row>
        <row r="2244">
          <cell r="D2244">
            <v>302277</v>
          </cell>
          <cell r="E2244" t="str">
            <v>San Isidro National High School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</row>
        <row r="2245">
          <cell r="D2245">
            <v>302046</v>
          </cell>
          <cell r="E2245" t="str">
            <v>Sinuknipan NHS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</row>
        <row r="2246">
          <cell r="D2246">
            <v>500167</v>
          </cell>
          <cell r="E2246" t="str">
            <v>Cristo Rey IS</v>
          </cell>
          <cell r="F2246">
            <v>28</v>
          </cell>
          <cell r="G2246">
            <v>24</v>
          </cell>
          <cell r="H2246">
            <v>52</v>
          </cell>
          <cell r="I2246">
            <v>6</v>
          </cell>
          <cell r="J2246">
            <v>4</v>
          </cell>
          <cell r="K2246">
            <v>10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4</v>
          </cell>
          <cell r="V2246">
            <v>2</v>
          </cell>
          <cell r="W2246">
            <v>6</v>
          </cell>
          <cell r="X2246">
            <v>3</v>
          </cell>
          <cell r="Y2246">
            <v>2</v>
          </cell>
          <cell r="Z2246">
            <v>5</v>
          </cell>
        </row>
        <row r="2247">
          <cell r="D2247">
            <v>302250</v>
          </cell>
          <cell r="E2247" t="str">
            <v>Sta. Maria HS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</row>
        <row r="2248">
          <cell r="D2248">
            <v>301826</v>
          </cell>
          <cell r="E2248" t="str">
            <v>BaÃ±adero High School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</row>
        <row r="2249">
          <cell r="D2249">
            <v>500154</v>
          </cell>
          <cell r="E2249" t="str">
            <v>Alimsog Integrated School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</row>
        <row r="2250">
          <cell r="D2250">
            <v>301815</v>
          </cell>
          <cell r="E2250" t="str">
            <v>Bical High School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</row>
        <row r="2251">
          <cell r="D2251">
            <v>302017</v>
          </cell>
          <cell r="E2251" t="str">
            <v>Pili NHS, Pili - Gov.Mariano E. Villafuerte Annex HS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</row>
        <row r="2252">
          <cell r="D2252">
            <v>302044</v>
          </cell>
          <cell r="E2252" t="str">
            <v>Bato National High School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</row>
        <row r="2253">
          <cell r="D2253">
            <v>309502</v>
          </cell>
          <cell r="E2253" t="str">
            <v>San Pablo High School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</row>
        <row r="2254">
          <cell r="D2254">
            <v>302020</v>
          </cell>
          <cell r="E2254" t="str">
            <v>Ragay National Agricultural and Fisheries School (RNAFS)</v>
          </cell>
          <cell r="F2254">
            <v>125</v>
          </cell>
          <cell r="G2254">
            <v>136</v>
          </cell>
          <cell r="H2254">
            <v>261</v>
          </cell>
          <cell r="I2254">
            <v>10</v>
          </cell>
          <cell r="J2254">
            <v>8</v>
          </cell>
          <cell r="K2254">
            <v>18</v>
          </cell>
          <cell r="L2254">
            <v>15</v>
          </cell>
          <cell r="M2254">
            <v>10</v>
          </cell>
          <cell r="N2254">
            <v>25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</row>
        <row r="2255">
          <cell r="D2255">
            <v>309519</v>
          </cell>
          <cell r="E2255" t="str">
            <v>Tinopan High School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</row>
        <row r="2256">
          <cell r="D2256">
            <v>301961</v>
          </cell>
          <cell r="E2256" t="str">
            <v>Colacling National High School</v>
          </cell>
          <cell r="F2256">
            <v>11</v>
          </cell>
          <cell r="G2256">
            <v>4</v>
          </cell>
          <cell r="H2256">
            <v>15</v>
          </cell>
          <cell r="I2256">
            <v>10</v>
          </cell>
          <cell r="J2256">
            <v>4</v>
          </cell>
          <cell r="K2256">
            <v>14</v>
          </cell>
          <cell r="L2256">
            <v>12</v>
          </cell>
          <cell r="M2256">
            <v>7</v>
          </cell>
          <cell r="N2256">
            <v>19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</row>
        <row r="2257">
          <cell r="D2257">
            <v>301882</v>
          </cell>
          <cell r="E2257" t="str">
            <v>Villahermosa National High School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</row>
        <row r="2258">
          <cell r="D2258">
            <v>301872</v>
          </cell>
          <cell r="E2258" t="str">
            <v>San Fernando National High School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</row>
        <row r="2259">
          <cell r="D2259">
            <v>302031</v>
          </cell>
          <cell r="E2259" t="str">
            <v>San Fernando NHS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</row>
        <row r="2260">
          <cell r="D2260">
            <v>301839</v>
          </cell>
          <cell r="E2260" t="str">
            <v>Malapay High School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</row>
        <row r="2261">
          <cell r="D2261">
            <v>309927</v>
          </cell>
          <cell r="E2261" t="str">
            <v>Buenasuerte Integrated School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</row>
        <row r="2262">
          <cell r="D2262">
            <v>302030</v>
          </cell>
          <cell r="E2262" t="str">
            <v>San Antonio NHS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</row>
        <row r="2263">
          <cell r="D2263">
            <v>302249</v>
          </cell>
          <cell r="E2263" t="str">
            <v>Perpetual Help NHS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</row>
        <row r="2264">
          <cell r="D2264">
            <v>301847</v>
          </cell>
          <cell r="E2264" t="str">
            <v>Nagotgot High School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</row>
        <row r="2265">
          <cell r="D2265">
            <v>301947</v>
          </cell>
          <cell r="E2265" t="str">
            <v>Bula NHS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</row>
        <row r="2266">
          <cell r="D2266">
            <v>301983</v>
          </cell>
          <cell r="E2266" t="str">
            <v>Jose De Villa NHS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</row>
        <row r="2267">
          <cell r="D2267">
            <v>302029</v>
          </cell>
          <cell r="E2267" t="str">
            <v>Tinawagan NHS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</row>
        <row r="2268">
          <cell r="D2268">
            <v>301816</v>
          </cell>
          <cell r="E2268" t="str">
            <v>Bonga National High School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</row>
        <row r="2269">
          <cell r="D2269">
            <v>301968</v>
          </cell>
          <cell r="E2269" t="str">
            <v>Don Mariano C. Veneracion NHS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</row>
        <row r="2270">
          <cell r="D2270">
            <v>309521</v>
          </cell>
          <cell r="E2270" t="str">
            <v>San Ramon High School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</row>
        <row r="2271">
          <cell r="D2271">
            <v>301842</v>
          </cell>
          <cell r="E2271" t="str">
            <v>Malipo National High School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</row>
        <row r="2272">
          <cell r="D2272">
            <v>301938</v>
          </cell>
          <cell r="E2272" t="str">
            <v>Balaogan National  High School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</row>
        <row r="2273">
          <cell r="D2273">
            <v>302176</v>
          </cell>
          <cell r="E2273" t="str">
            <v>Verdida-Sabrido National High School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</row>
        <row r="2274">
          <cell r="D2274">
            <v>309757</v>
          </cell>
          <cell r="E2274" t="str">
            <v>Cagbibi  National  High School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</row>
        <row r="2275">
          <cell r="D2275">
            <v>301902</v>
          </cell>
          <cell r="E2275" t="str">
            <v>Manguisoc NHS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</row>
        <row r="2276">
          <cell r="D2276">
            <v>309619</v>
          </cell>
          <cell r="E2276" t="str">
            <v>Gawad Kalinga HS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</row>
        <row r="2277">
          <cell r="D2277">
            <v>302055</v>
          </cell>
          <cell r="E2277" t="str">
            <v>Tabgon NHS, Caramoan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</row>
        <row r="2278">
          <cell r="D2278">
            <v>301844</v>
          </cell>
          <cell r="E2278" t="str">
            <v>Mauraro High School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</row>
        <row r="2279">
          <cell r="D2279">
            <v>301932</v>
          </cell>
          <cell r="E2279" t="str">
            <v>Nonito Paz Arroyo Memorial High School</v>
          </cell>
          <cell r="F2279">
            <v>30</v>
          </cell>
          <cell r="G2279">
            <v>24</v>
          </cell>
          <cell r="H2279">
            <v>54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</row>
        <row r="2280">
          <cell r="D2280">
            <v>301927</v>
          </cell>
          <cell r="E2280" t="str">
            <v>Anib National High School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</row>
        <row r="2281">
          <cell r="D2281">
            <v>301874</v>
          </cell>
          <cell r="E2281" t="str">
            <v>San Jose National High School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</row>
        <row r="2282">
          <cell r="D2282">
            <v>301905</v>
          </cell>
          <cell r="E2282" t="str">
            <v>Mercedes HS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</row>
        <row r="2283">
          <cell r="D2283">
            <v>301896</v>
          </cell>
          <cell r="E2283" t="str">
            <v>Gonzalo Aler NHS</v>
          </cell>
          <cell r="F2283">
            <v>0</v>
          </cell>
          <cell r="G2283">
            <v>0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</row>
        <row r="2284">
          <cell r="D2284">
            <v>302254</v>
          </cell>
          <cell r="E2284" t="str">
            <v>San Antonio NHS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</row>
        <row r="2285">
          <cell r="D2285">
            <v>309508</v>
          </cell>
          <cell r="E2285" t="str">
            <v>Anislag NHS - Bascaran HS Ext.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</row>
        <row r="2286">
          <cell r="D2286">
            <v>301867</v>
          </cell>
          <cell r="E2286" t="str">
            <v>La Medalla High School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</row>
        <row r="2287">
          <cell r="D2287">
            <v>309503</v>
          </cell>
          <cell r="E2287" t="str">
            <v>Alabangpuro High School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</row>
        <row r="2288">
          <cell r="D2288">
            <v>302258</v>
          </cell>
          <cell r="E2288" t="str">
            <v>Oro Site High School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</row>
        <row r="2289">
          <cell r="D2289">
            <v>301873</v>
          </cell>
          <cell r="E2289" t="str">
            <v>San Isidro National High School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</row>
        <row r="2290">
          <cell r="D2290">
            <v>301834</v>
          </cell>
          <cell r="E2290" t="str">
            <v>Bonbon National High School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</row>
        <row r="2291">
          <cell r="D2291">
            <v>302259</v>
          </cell>
          <cell r="E2291" t="str">
            <v>Homapon High School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</row>
        <row r="2292">
          <cell r="D2292">
            <v>301884</v>
          </cell>
          <cell r="E2292" t="str">
            <v>Mancao National High School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</row>
        <row r="2293">
          <cell r="D2293">
            <v>302256</v>
          </cell>
          <cell r="E2293" t="str">
            <v>Sto. Niño NHS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</row>
        <row r="2294">
          <cell r="D2294">
            <v>310206</v>
          </cell>
          <cell r="E2294" t="str">
            <v>Cagbacong High School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</row>
        <row r="2295">
          <cell r="D2295">
            <v>301841</v>
          </cell>
          <cell r="E2295" t="str">
            <v>Malabog National High School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</row>
        <row r="2296">
          <cell r="D2296">
            <v>301880</v>
          </cell>
          <cell r="E2296" t="str">
            <v>Tiwi Agro-Industrial School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</row>
        <row r="2297">
          <cell r="D2297">
            <v>301971</v>
          </cell>
          <cell r="E2297" t="str">
            <v>Fabrica HS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</row>
        <row r="2298">
          <cell r="D2298">
            <v>309518</v>
          </cell>
          <cell r="E2298" t="str">
            <v>Kilicao High School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</row>
        <row r="2299">
          <cell r="D2299">
            <v>309735</v>
          </cell>
          <cell r="E2299" t="str">
            <v>Sta. Cruz HS - Northern Canaman Annex HS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</row>
        <row r="2300">
          <cell r="D2300">
            <v>301840</v>
          </cell>
          <cell r="E2300" t="str">
            <v>Magpanambo NHS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</row>
        <row r="2301">
          <cell r="D2301">
            <v>309509</v>
          </cell>
          <cell r="E2301" t="str">
            <v>Bilbao National High School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</row>
        <row r="2302">
          <cell r="D2302">
            <v>301827</v>
          </cell>
          <cell r="E2302" t="str">
            <v>Estancia National High School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</row>
        <row r="2303">
          <cell r="D2303">
            <v>302118</v>
          </cell>
          <cell r="E2303" t="str">
            <v>G. Bangalisan National High School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</row>
        <row r="2304">
          <cell r="D2304">
            <v>500168</v>
          </cell>
          <cell r="E2304" t="str">
            <v>Santiago IS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</row>
        <row r="2305">
          <cell r="D2305">
            <v>302007</v>
          </cell>
          <cell r="E2305" t="str">
            <v>Ombao HS</v>
          </cell>
          <cell r="F2305">
            <v>31</v>
          </cell>
          <cell r="G2305">
            <v>31</v>
          </cell>
          <cell r="H2305">
            <v>62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</row>
        <row r="2306">
          <cell r="D2306">
            <v>302039</v>
          </cell>
          <cell r="E2306" t="str">
            <v>San Ramon Pilot NHS, Lagonoy (frmerly:Sn.Ramon Pilot HS)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</row>
        <row r="2307">
          <cell r="D2307">
            <v>309772</v>
          </cell>
          <cell r="E2307" t="str">
            <v>Lidong High School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</row>
        <row r="2308">
          <cell r="D2308">
            <v>302263</v>
          </cell>
          <cell r="E2308" t="str">
            <v>Pawa High School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</row>
        <row r="2309">
          <cell r="D2309">
            <v>302057</v>
          </cell>
          <cell r="E2309" t="str">
            <v>Tambo National High School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</row>
        <row r="2310">
          <cell r="D2310">
            <v>301901</v>
          </cell>
          <cell r="E2310" t="str">
            <v>Larap NHS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</row>
        <row r="2311">
          <cell r="D2311">
            <v>309510</v>
          </cell>
          <cell r="E2311" t="str">
            <v>Mamlad High School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</row>
        <row r="2312">
          <cell r="D2312">
            <v>301875</v>
          </cell>
          <cell r="E2312" t="str">
            <v>San Jose National High School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</row>
        <row r="2313">
          <cell r="D2313">
            <v>309516</v>
          </cell>
          <cell r="E2313" t="str">
            <v>Malidong National High School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</row>
        <row r="2314">
          <cell r="D2314">
            <v>302045</v>
          </cell>
          <cell r="E2314" t="str">
            <v>Sibaguan Agro-Industrial HS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</row>
        <row r="2315">
          <cell r="D2315">
            <v>302255</v>
          </cell>
          <cell r="E2315" t="str">
            <v>San Pedro NHS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</row>
        <row r="2316">
          <cell r="D2316">
            <v>302054</v>
          </cell>
          <cell r="E2316" t="str">
            <v>Tabgon HS, Goa</v>
          </cell>
          <cell r="F2316">
            <v>39</v>
          </cell>
          <cell r="G2316">
            <v>29</v>
          </cell>
          <cell r="H2316">
            <v>68</v>
          </cell>
          <cell r="I2316">
            <v>31</v>
          </cell>
          <cell r="J2316">
            <v>22</v>
          </cell>
          <cell r="K2316">
            <v>53</v>
          </cell>
          <cell r="L2316">
            <v>35</v>
          </cell>
          <cell r="M2316">
            <v>26</v>
          </cell>
          <cell r="N2316">
            <v>61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</row>
        <row r="2317">
          <cell r="D2317">
            <v>309517</v>
          </cell>
          <cell r="E2317" t="str">
            <v>Matara High School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</row>
        <row r="2318">
          <cell r="D2318">
            <v>301824</v>
          </cell>
          <cell r="E2318" t="str">
            <v>Panoypoy High School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</row>
        <row r="2319">
          <cell r="D2319">
            <v>309507</v>
          </cell>
          <cell r="E2319" t="str">
            <v>Manuel Andaya Bustamante High School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1</v>
          </cell>
          <cell r="Q2319">
            <v>1</v>
          </cell>
          <cell r="R2319">
            <v>0</v>
          </cell>
          <cell r="S2319">
            <v>4</v>
          </cell>
          <cell r="T2319">
            <v>4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</row>
        <row r="2320">
          <cell r="D2320">
            <v>301965</v>
          </cell>
          <cell r="E2320" t="str">
            <v>Rolando R. Andaya Sr. Memorial High School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</row>
        <row r="2321">
          <cell r="D2321">
            <v>310205</v>
          </cell>
          <cell r="E2321" t="str">
            <v>Maslog National High School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</row>
        <row r="2322">
          <cell r="D2322">
            <v>302127</v>
          </cell>
          <cell r="E2322" t="str">
            <v>Buyo NHS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</row>
        <row r="2323">
          <cell r="D2323">
            <v>301863</v>
          </cell>
          <cell r="E2323" t="str">
            <v>Pili National High School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</row>
        <row r="2324">
          <cell r="D2324">
            <v>301835</v>
          </cell>
          <cell r="E2324" t="str">
            <v>Buga National High School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</row>
        <row r="2325">
          <cell r="D2325">
            <v>302243</v>
          </cell>
          <cell r="E2325" t="str">
            <v>Siuton NHS</v>
          </cell>
          <cell r="F2325">
            <v>45</v>
          </cell>
          <cell r="G2325">
            <v>35</v>
          </cell>
          <cell r="H2325">
            <v>80</v>
          </cell>
          <cell r="I2325">
            <v>56</v>
          </cell>
          <cell r="J2325">
            <v>36</v>
          </cell>
          <cell r="K2325">
            <v>92</v>
          </cell>
          <cell r="L2325">
            <v>334</v>
          </cell>
          <cell r="M2325">
            <v>218</v>
          </cell>
          <cell r="N2325">
            <v>552</v>
          </cell>
          <cell r="O2325">
            <v>0</v>
          </cell>
          <cell r="P2325">
            <v>3</v>
          </cell>
          <cell r="Q2325">
            <v>3</v>
          </cell>
          <cell r="R2325">
            <v>0</v>
          </cell>
          <cell r="S2325">
            <v>4</v>
          </cell>
          <cell r="T2325">
            <v>4</v>
          </cell>
          <cell r="U2325">
            <v>0</v>
          </cell>
          <cell r="V2325">
            <v>1</v>
          </cell>
          <cell r="W2325">
            <v>1</v>
          </cell>
          <cell r="X2325">
            <v>8</v>
          </cell>
          <cell r="Y2325">
            <v>4</v>
          </cell>
          <cell r="Z2325">
            <v>12</v>
          </cell>
        </row>
        <row r="2326">
          <cell r="D2326">
            <v>302202</v>
          </cell>
          <cell r="E2326" t="str">
            <v>Dinapa NHS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</row>
        <row r="2327">
          <cell r="D2327">
            <v>500465</v>
          </cell>
          <cell r="E2327" t="str">
            <v>Pamurayan Integrated School</v>
          </cell>
          <cell r="F2327">
            <v>39</v>
          </cell>
          <cell r="G2327">
            <v>34</v>
          </cell>
          <cell r="H2327">
            <v>73</v>
          </cell>
          <cell r="I2327">
            <v>11</v>
          </cell>
          <cell r="J2327">
            <v>13</v>
          </cell>
          <cell r="K2327">
            <v>24</v>
          </cell>
          <cell r="L2327">
            <v>13</v>
          </cell>
          <cell r="M2327">
            <v>16</v>
          </cell>
          <cell r="N2327">
            <v>29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</row>
        <row r="2328">
          <cell r="D2328">
            <v>301957</v>
          </cell>
          <cell r="E2328" t="str">
            <v>Doroteo Federis, Sr. NHS (frmerly: Carangcang HS)</v>
          </cell>
          <cell r="F2328">
            <v>38</v>
          </cell>
          <cell r="G2328">
            <v>31</v>
          </cell>
          <cell r="H2328">
            <v>69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</row>
        <row r="2329">
          <cell r="D2329">
            <v>302179</v>
          </cell>
          <cell r="E2329" t="str">
            <v>Abucay National High School</v>
          </cell>
          <cell r="F2329">
            <v>172</v>
          </cell>
          <cell r="G2329">
            <v>0</v>
          </cell>
          <cell r="H2329">
            <v>172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</row>
        <row r="2330">
          <cell r="D2330">
            <v>302183</v>
          </cell>
          <cell r="E2330" t="str">
            <v>Bagatao NHS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</row>
        <row r="2331">
          <cell r="D2331">
            <v>310007</v>
          </cell>
          <cell r="E2331" t="str">
            <v>Biton High School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</row>
        <row r="2332">
          <cell r="D2332">
            <v>310008</v>
          </cell>
          <cell r="E2332" t="str">
            <v>San Rafael NHS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</row>
        <row r="2333">
          <cell r="D2333">
            <v>302207</v>
          </cell>
          <cell r="E2333" t="str">
            <v>Donsol Vocational HS</v>
          </cell>
          <cell r="F2333">
            <v>13</v>
          </cell>
          <cell r="G2333">
            <v>0</v>
          </cell>
          <cell r="H2333">
            <v>13</v>
          </cell>
          <cell r="I2333">
            <v>12</v>
          </cell>
          <cell r="J2333">
            <v>0</v>
          </cell>
          <cell r="K2333">
            <v>12</v>
          </cell>
          <cell r="L2333">
            <v>69</v>
          </cell>
          <cell r="M2333">
            <v>0</v>
          </cell>
          <cell r="N2333">
            <v>69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</row>
        <row r="2334">
          <cell r="D2334">
            <v>309747</v>
          </cell>
          <cell r="E2334" t="str">
            <v>Carmel National High School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</row>
        <row r="2335">
          <cell r="D2335">
            <v>302224</v>
          </cell>
          <cell r="E2335" t="str">
            <v>Manuel T. Sia NHS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</row>
        <row r="2336">
          <cell r="D2336">
            <v>309505</v>
          </cell>
          <cell r="E2336" t="str">
            <v>San Francisco National High School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</row>
        <row r="2337">
          <cell r="D2337">
            <v>302222</v>
          </cell>
          <cell r="E2337" t="str">
            <v>Magallanes National High School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</row>
        <row r="2338">
          <cell r="D2338">
            <v>302221</v>
          </cell>
          <cell r="E2338" t="str">
            <v>Cagbolo National Vocational HS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</row>
        <row r="2339">
          <cell r="D2339">
            <v>302195</v>
          </cell>
          <cell r="E2339" t="str">
            <v>Caditaan NHS</v>
          </cell>
          <cell r="F2339">
            <v>36</v>
          </cell>
          <cell r="G2339">
            <v>0</v>
          </cell>
          <cell r="H2339">
            <v>36</v>
          </cell>
          <cell r="I2339">
            <v>21</v>
          </cell>
          <cell r="J2339">
            <v>0</v>
          </cell>
          <cell r="K2339">
            <v>21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</row>
        <row r="2340">
          <cell r="D2340">
            <v>301870</v>
          </cell>
          <cell r="E2340" t="str">
            <v>Saban National High School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</row>
        <row r="2341">
          <cell r="D2341">
            <v>310005</v>
          </cell>
          <cell r="E2341" t="str">
            <v>Bagong Sirang NHS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</row>
        <row r="2342">
          <cell r="D2342">
            <v>302231</v>
          </cell>
          <cell r="E2342" t="str">
            <v>PILI NATIONAL HIGH SCHOOL</v>
          </cell>
          <cell r="F2342">
            <v>45</v>
          </cell>
          <cell r="G2342">
            <v>35</v>
          </cell>
          <cell r="H2342">
            <v>80</v>
          </cell>
          <cell r="I2342">
            <v>56</v>
          </cell>
          <cell r="J2342">
            <v>36</v>
          </cell>
          <cell r="K2342">
            <v>92</v>
          </cell>
          <cell r="L2342">
            <v>334</v>
          </cell>
          <cell r="M2342">
            <v>218</v>
          </cell>
          <cell r="N2342">
            <v>552</v>
          </cell>
          <cell r="O2342">
            <v>0</v>
          </cell>
          <cell r="P2342">
            <v>3</v>
          </cell>
          <cell r="Q2342">
            <v>3</v>
          </cell>
          <cell r="R2342">
            <v>0</v>
          </cell>
          <cell r="S2342">
            <v>4</v>
          </cell>
          <cell r="T2342">
            <v>4</v>
          </cell>
          <cell r="U2342">
            <v>0</v>
          </cell>
          <cell r="V2342">
            <v>1</v>
          </cell>
          <cell r="W2342">
            <v>1</v>
          </cell>
          <cell r="X2342">
            <v>8</v>
          </cell>
          <cell r="Y2342">
            <v>4</v>
          </cell>
          <cell r="Z2342">
            <v>12</v>
          </cell>
        </row>
        <row r="2343">
          <cell r="D2343">
            <v>301843</v>
          </cell>
          <cell r="E2343" t="str">
            <v>Batbat High School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</row>
        <row r="2344">
          <cell r="D2344">
            <v>302219</v>
          </cell>
          <cell r="E2344" t="str">
            <v>Macalaya NHS</v>
          </cell>
          <cell r="F2344">
            <v>28</v>
          </cell>
          <cell r="G2344">
            <v>0</v>
          </cell>
          <cell r="H2344">
            <v>28</v>
          </cell>
          <cell r="I2344">
            <v>24</v>
          </cell>
          <cell r="J2344">
            <v>0</v>
          </cell>
          <cell r="K2344">
            <v>24</v>
          </cell>
          <cell r="L2344">
            <v>162</v>
          </cell>
          <cell r="M2344">
            <v>0</v>
          </cell>
          <cell r="N2344">
            <v>162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</row>
        <row r="2345">
          <cell r="D2345">
            <v>302248</v>
          </cell>
          <cell r="E2345" t="str">
            <v>Tingco NHS</v>
          </cell>
          <cell r="F2345">
            <v>30</v>
          </cell>
          <cell r="G2345">
            <v>0</v>
          </cell>
          <cell r="H2345">
            <v>30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</row>
        <row r="2346">
          <cell r="D2346">
            <v>302220</v>
          </cell>
          <cell r="E2346" t="str">
            <v>Magallanes National Vocational HS</v>
          </cell>
          <cell r="F2346">
            <v>151</v>
          </cell>
          <cell r="G2346">
            <v>0</v>
          </cell>
          <cell r="H2346">
            <v>151</v>
          </cell>
          <cell r="I2346">
            <v>158</v>
          </cell>
          <cell r="J2346">
            <v>0</v>
          </cell>
          <cell r="K2346">
            <v>158</v>
          </cell>
          <cell r="L2346">
            <v>730</v>
          </cell>
          <cell r="M2346">
            <v>0</v>
          </cell>
          <cell r="N2346">
            <v>730</v>
          </cell>
          <cell r="O2346">
            <v>21</v>
          </cell>
          <cell r="P2346">
            <v>0</v>
          </cell>
          <cell r="Q2346">
            <v>21</v>
          </cell>
          <cell r="R2346">
            <v>60</v>
          </cell>
          <cell r="S2346">
            <v>0</v>
          </cell>
          <cell r="T2346">
            <v>60</v>
          </cell>
          <cell r="U2346">
            <v>4</v>
          </cell>
          <cell r="V2346">
            <v>0</v>
          </cell>
          <cell r="W2346">
            <v>4</v>
          </cell>
          <cell r="X2346">
            <v>29</v>
          </cell>
          <cell r="Y2346">
            <v>0</v>
          </cell>
          <cell r="Z2346">
            <v>29</v>
          </cell>
        </row>
        <row r="2347">
          <cell r="D2347">
            <v>302199</v>
          </cell>
          <cell r="E2347" t="str">
            <v>Buenavista NHS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</row>
        <row r="2348">
          <cell r="D2348">
            <v>302227</v>
          </cell>
          <cell r="E2348" t="str">
            <v>Milagrosa NHS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</row>
        <row r="2349">
          <cell r="D2349">
            <v>302206</v>
          </cell>
          <cell r="E2349" t="str">
            <v>Donsol National Comprehensive HS - Sta. Cruz Extension HS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</row>
        <row r="2350">
          <cell r="D2350">
            <v>302230</v>
          </cell>
          <cell r="E2350" t="str">
            <v>Pilar National Comprehensive HS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</row>
        <row r="2351">
          <cell r="D2351">
            <v>301869</v>
          </cell>
          <cell r="E2351" t="str">
            <v>Rapu-Rapu National High School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</row>
        <row r="2352">
          <cell r="D2352">
            <v>302198</v>
          </cell>
          <cell r="E2352" t="str">
            <v>Castilla NHS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</row>
        <row r="2353">
          <cell r="D2353">
            <v>302201</v>
          </cell>
          <cell r="E2353" t="str">
            <v>Cumadcad NHS</v>
          </cell>
          <cell r="F2353">
            <v>247</v>
          </cell>
          <cell r="G2353">
            <v>0</v>
          </cell>
          <cell r="H2353">
            <v>247</v>
          </cell>
          <cell r="I2353">
            <v>218</v>
          </cell>
          <cell r="J2353">
            <v>0</v>
          </cell>
          <cell r="K2353">
            <v>218</v>
          </cell>
          <cell r="L2353">
            <v>1281</v>
          </cell>
          <cell r="M2353">
            <v>0</v>
          </cell>
          <cell r="N2353">
            <v>1281</v>
          </cell>
          <cell r="O2353">
            <v>12</v>
          </cell>
          <cell r="P2353">
            <v>0</v>
          </cell>
          <cell r="Q2353">
            <v>12</v>
          </cell>
          <cell r="R2353">
            <v>60</v>
          </cell>
          <cell r="S2353">
            <v>0</v>
          </cell>
          <cell r="T2353">
            <v>60</v>
          </cell>
          <cell r="U2353">
            <v>4</v>
          </cell>
          <cell r="V2353">
            <v>0</v>
          </cell>
          <cell r="W2353">
            <v>4</v>
          </cell>
          <cell r="X2353">
            <v>0</v>
          </cell>
          <cell r="Y2353">
            <v>0</v>
          </cell>
          <cell r="Z2353">
            <v>0</v>
          </cell>
        </row>
        <row r="2354">
          <cell r="D2354">
            <v>302180</v>
          </cell>
          <cell r="E2354" t="str">
            <v>Bayasong NHS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</row>
        <row r="2355">
          <cell r="D2355">
            <v>302197</v>
          </cell>
          <cell r="E2355" t="str">
            <v>Casiguran Technical Vocational School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</row>
        <row r="2356">
          <cell r="D2356">
            <v>302187</v>
          </cell>
          <cell r="E2356" t="str">
            <v>Juban National High School</v>
          </cell>
          <cell r="F2356">
            <v>210</v>
          </cell>
          <cell r="G2356">
            <v>0</v>
          </cell>
          <cell r="H2356">
            <v>210</v>
          </cell>
          <cell r="I2356">
            <v>189</v>
          </cell>
          <cell r="J2356">
            <v>0</v>
          </cell>
          <cell r="K2356">
            <v>189</v>
          </cell>
          <cell r="L2356">
            <v>1148</v>
          </cell>
          <cell r="M2356">
            <v>0</v>
          </cell>
          <cell r="N2356">
            <v>1148</v>
          </cell>
          <cell r="O2356">
            <v>25</v>
          </cell>
          <cell r="P2356">
            <v>0</v>
          </cell>
          <cell r="Q2356">
            <v>25</v>
          </cell>
          <cell r="R2356">
            <v>44</v>
          </cell>
          <cell r="S2356">
            <v>0</v>
          </cell>
          <cell r="T2356">
            <v>44</v>
          </cell>
          <cell r="U2356">
            <v>5</v>
          </cell>
          <cell r="V2356">
            <v>0</v>
          </cell>
          <cell r="W2356">
            <v>5</v>
          </cell>
          <cell r="X2356">
            <v>40</v>
          </cell>
          <cell r="Y2356">
            <v>0</v>
          </cell>
          <cell r="Z2356">
            <v>40</v>
          </cell>
        </row>
        <row r="2357">
          <cell r="D2357">
            <v>301989</v>
          </cell>
          <cell r="E2357" t="str">
            <v>Federico P. Condat NHS (frmerly: Maangas HS )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</row>
        <row r="2358">
          <cell r="D2358">
            <v>302240</v>
          </cell>
          <cell r="E2358" t="str">
            <v>San Juan NHS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</row>
        <row r="2359">
          <cell r="D2359">
            <v>310004</v>
          </cell>
          <cell r="E2359" t="str">
            <v>Pandan HS</v>
          </cell>
          <cell r="F2359">
            <v>41</v>
          </cell>
          <cell r="G2359">
            <v>0</v>
          </cell>
          <cell r="H2359">
            <v>41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</row>
        <row r="2360">
          <cell r="D2360">
            <v>302229</v>
          </cell>
          <cell r="E2360" t="str">
            <v>Palanas NHS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</row>
        <row r="2361">
          <cell r="D2361">
            <v>302205</v>
          </cell>
          <cell r="E2361" t="str">
            <v>Banuang Gurang NHS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</row>
        <row r="2362">
          <cell r="D2362">
            <v>302251</v>
          </cell>
          <cell r="E2362" t="str">
            <v>Rinconada National Technical Vocational School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</row>
        <row r="2363">
          <cell r="D2363">
            <v>302241</v>
          </cell>
          <cell r="E2363" t="str">
            <v>San Rafael NHS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</row>
        <row r="2364">
          <cell r="D2364">
            <v>302000</v>
          </cell>
          <cell r="E2364" t="str">
            <v>Minalabac NHS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</row>
        <row r="2365">
          <cell r="D2365">
            <v>301876</v>
          </cell>
          <cell r="E2365" t="str">
            <v>San Isidro National High School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</row>
        <row r="2366">
          <cell r="D2366">
            <v>301877</v>
          </cell>
          <cell r="E2366" t="str">
            <v>San Vicente National High School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</row>
        <row r="2367">
          <cell r="D2367">
            <v>309613</v>
          </cell>
          <cell r="E2367" t="str">
            <v>Alawihao National High School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</row>
        <row r="2368">
          <cell r="D2368">
            <v>301916</v>
          </cell>
          <cell r="E2368" t="str">
            <v>San Francisco National High School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</row>
        <row r="2369">
          <cell r="D2369">
            <v>301832</v>
          </cell>
          <cell r="E2369" t="str">
            <v>Lacag National High School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</row>
        <row r="2370">
          <cell r="D2370">
            <v>302252</v>
          </cell>
          <cell r="E2370" t="str">
            <v>Sagrada NHS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</row>
        <row r="2371">
          <cell r="D2371">
            <v>301848</v>
          </cell>
          <cell r="E2371" t="str">
            <v>Maramba National High School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</row>
        <row r="2372">
          <cell r="D2372">
            <v>301907</v>
          </cell>
          <cell r="E2372" t="str">
            <v>Pablo S. Villafuerte HS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</row>
        <row r="2373">
          <cell r="D2373">
            <v>301845</v>
          </cell>
          <cell r="E2373" t="str">
            <v>Manito National High School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</row>
        <row r="2374">
          <cell r="D2374">
            <v>302184</v>
          </cell>
          <cell r="E2374" t="str">
            <v>Barcelona National Comprehensive High School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</row>
        <row r="2375">
          <cell r="D2375">
            <v>302226</v>
          </cell>
          <cell r="E2375" t="str">
            <v>Mayon National High School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</row>
        <row r="2376">
          <cell r="D2376">
            <v>302214</v>
          </cell>
          <cell r="E2376" t="str">
            <v>Gubat National High School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</row>
        <row r="2377">
          <cell r="D2377">
            <v>301829</v>
          </cell>
          <cell r="E2377" t="str">
            <v>Maysua High School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</row>
        <row r="2378">
          <cell r="D2378">
            <v>302188</v>
          </cell>
          <cell r="E2378" t="str">
            <v>Buhang National High School</v>
          </cell>
          <cell r="F2378">
            <v>73</v>
          </cell>
          <cell r="G2378">
            <v>0</v>
          </cell>
          <cell r="H2378">
            <v>73</v>
          </cell>
          <cell r="I2378">
            <v>87</v>
          </cell>
          <cell r="J2378">
            <v>0</v>
          </cell>
          <cell r="K2378">
            <v>87</v>
          </cell>
          <cell r="L2378">
            <v>597</v>
          </cell>
          <cell r="M2378">
            <v>0</v>
          </cell>
          <cell r="N2378">
            <v>597</v>
          </cell>
          <cell r="O2378">
            <v>3</v>
          </cell>
          <cell r="P2378">
            <v>0</v>
          </cell>
          <cell r="Q2378">
            <v>3</v>
          </cell>
          <cell r="R2378">
            <v>34</v>
          </cell>
          <cell r="S2378">
            <v>0</v>
          </cell>
          <cell r="T2378">
            <v>34</v>
          </cell>
          <cell r="U2378">
            <v>1</v>
          </cell>
          <cell r="V2378">
            <v>0</v>
          </cell>
          <cell r="W2378">
            <v>1</v>
          </cell>
          <cell r="X2378">
            <v>13</v>
          </cell>
          <cell r="Y2378">
            <v>0</v>
          </cell>
          <cell r="Z2378">
            <v>13</v>
          </cell>
        </row>
        <row r="2379">
          <cell r="D2379">
            <v>302234</v>
          </cell>
          <cell r="E2379" t="str">
            <v>Rizal NHS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</row>
        <row r="2380">
          <cell r="D2380">
            <v>302102</v>
          </cell>
          <cell r="E2380" t="str">
            <v>Supang-Datag National High  School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</row>
        <row r="2381">
          <cell r="D2381">
            <v>302218</v>
          </cell>
          <cell r="E2381" t="str">
            <v>Celso F. Falcotelo National High School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</row>
        <row r="2382">
          <cell r="D2382">
            <v>302232</v>
          </cell>
          <cell r="E2382" t="str">
            <v>Prieto Diaz National High School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</row>
        <row r="2383">
          <cell r="D2383">
            <v>302185</v>
          </cell>
          <cell r="E2383" t="str">
            <v>Bentuco NHS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</row>
        <row r="2384">
          <cell r="D2384">
            <v>310009</v>
          </cell>
          <cell r="E2384" t="str">
            <v>San Antonio National High School</v>
          </cell>
          <cell r="F2384">
            <v>18</v>
          </cell>
          <cell r="G2384">
            <v>0</v>
          </cell>
          <cell r="H2384">
            <v>18</v>
          </cell>
          <cell r="I2384">
            <v>2</v>
          </cell>
          <cell r="J2384">
            <v>0</v>
          </cell>
          <cell r="K2384">
            <v>2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</row>
        <row r="2385">
          <cell r="D2385">
            <v>302193</v>
          </cell>
          <cell r="E2385" t="str">
            <v>Butag NHS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</row>
        <row r="2386">
          <cell r="D2386">
            <v>302223</v>
          </cell>
          <cell r="E2386" t="str">
            <v>Manlabong NHS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</row>
        <row r="2387">
          <cell r="D2387">
            <v>302213</v>
          </cell>
          <cell r="E2387" t="str">
            <v>Gate NHS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</row>
        <row r="2388">
          <cell r="D2388">
            <v>302233</v>
          </cell>
          <cell r="E2388" t="str">
            <v>Quezon NHS</v>
          </cell>
          <cell r="F2388">
            <v>42</v>
          </cell>
          <cell r="G2388">
            <v>39</v>
          </cell>
          <cell r="H2388">
            <v>81</v>
          </cell>
          <cell r="I2388">
            <v>42</v>
          </cell>
          <cell r="J2388">
            <v>34</v>
          </cell>
          <cell r="K2388">
            <v>76</v>
          </cell>
          <cell r="L2388">
            <v>151</v>
          </cell>
          <cell r="M2388">
            <v>199</v>
          </cell>
          <cell r="N2388">
            <v>350</v>
          </cell>
          <cell r="O2388">
            <v>6</v>
          </cell>
          <cell r="P2388">
            <v>6</v>
          </cell>
          <cell r="Q2388">
            <v>12</v>
          </cell>
          <cell r="R2388">
            <v>12</v>
          </cell>
          <cell r="S2388">
            <v>7</v>
          </cell>
          <cell r="T2388">
            <v>19</v>
          </cell>
          <cell r="U2388">
            <v>1</v>
          </cell>
          <cell r="V2388">
            <v>1</v>
          </cell>
          <cell r="W2388">
            <v>2</v>
          </cell>
          <cell r="X2388">
            <v>16</v>
          </cell>
          <cell r="Y2388">
            <v>13</v>
          </cell>
          <cell r="Z2388">
            <v>29</v>
          </cell>
        </row>
        <row r="2389">
          <cell r="D2389">
            <v>310002</v>
          </cell>
          <cell r="E2389" t="str">
            <v>J. P. Laurel HS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</row>
        <row r="2390">
          <cell r="D2390">
            <v>302196</v>
          </cell>
          <cell r="E2390" t="str">
            <v>Calao NHS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</row>
        <row r="2391">
          <cell r="D2391">
            <v>302247</v>
          </cell>
          <cell r="E2391" t="str">
            <v>Talaonga National High School</v>
          </cell>
          <cell r="F2391">
            <v>119</v>
          </cell>
          <cell r="G2391">
            <v>93</v>
          </cell>
          <cell r="H2391">
            <v>212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</row>
        <row r="2392">
          <cell r="D2392">
            <v>302216</v>
          </cell>
          <cell r="E2392" t="str">
            <v>Lajong NHS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</row>
        <row r="2393">
          <cell r="D2393">
            <v>310003</v>
          </cell>
          <cell r="E2393" t="str">
            <v>Guruyan National High School</v>
          </cell>
          <cell r="F2393">
            <v>0</v>
          </cell>
          <cell r="G2393">
            <v>44</v>
          </cell>
          <cell r="H2393">
            <v>44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</row>
        <row r="2394">
          <cell r="D2394">
            <v>302238</v>
          </cell>
          <cell r="E2394" t="str">
            <v>Louella Gotladera Alcoba NHS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</row>
        <row r="2395">
          <cell r="D2395">
            <v>302215</v>
          </cell>
          <cell r="E2395" t="str">
            <v>Irosin North HS</v>
          </cell>
          <cell r="F2395">
            <v>9</v>
          </cell>
          <cell r="G2395">
            <v>10</v>
          </cell>
          <cell r="H2395">
            <v>19</v>
          </cell>
          <cell r="I2395">
            <v>9</v>
          </cell>
          <cell r="J2395">
            <v>9</v>
          </cell>
          <cell r="K2395">
            <v>18</v>
          </cell>
          <cell r="L2395">
            <v>71</v>
          </cell>
          <cell r="M2395">
            <v>31</v>
          </cell>
          <cell r="N2395">
            <v>102</v>
          </cell>
          <cell r="O2395">
            <v>0</v>
          </cell>
          <cell r="P2395">
            <v>3</v>
          </cell>
          <cell r="Q2395">
            <v>3</v>
          </cell>
          <cell r="R2395">
            <v>0</v>
          </cell>
          <cell r="S2395">
            <v>5</v>
          </cell>
          <cell r="T2395">
            <v>5</v>
          </cell>
          <cell r="U2395">
            <v>0</v>
          </cell>
          <cell r="V2395">
            <v>1</v>
          </cell>
          <cell r="W2395">
            <v>1</v>
          </cell>
          <cell r="X2395">
            <v>3</v>
          </cell>
          <cell r="Y2395">
            <v>3</v>
          </cell>
          <cell r="Z2395">
            <v>6</v>
          </cell>
        </row>
        <row r="2396">
          <cell r="D2396">
            <v>302191</v>
          </cell>
          <cell r="E2396" t="str">
            <v>Beguin NHS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</row>
        <row r="2397">
          <cell r="D2397">
            <v>302186</v>
          </cell>
          <cell r="E2397" t="str">
            <v>Biriran NHS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</row>
        <row r="2398">
          <cell r="D2398">
            <v>302246</v>
          </cell>
          <cell r="E2398" t="str">
            <v>Sua HS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</row>
        <row r="2399">
          <cell r="D2399">
            <v>302189</v>
          </cell>
          <cell r="E2399" t="str">
            <v>Bulacao NHS</v>
          </cell>
          <cell r="F2399">
            <v>42</v>
          </cell>
          <cell r="G2399">
            <v>18</v>
          </cell>
          <cell r="H2399">
            <v>60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</row>
        <row r="2400">
          <cell r="D2400">
            <v>302237</v>
          </cell>
          <cell r="E2400" t="str">
            <v>San Francisco NHS</v>
          </cell>
          <cell r="F2400">
            <v>156</v>
          </cell>
          <cell r="G2400">
            <v>0</v>
          </cell>
          <cell r="H2400">
            <v>156</v>
          </cell>
          <cell r="I2400">
            <v>121</v>
          </cell>
          <cell r="J2400">
            <v>0</v>
          </cell>
          <cell r="K2400">
            <v>121</v>
          </cell>
          <cell r="L2400">
            <v>675</v>
          </cell>
          <cell r="M2400">
            <v>0</v>
          </cell>
          <cell r="N2400">
            <v>675</v>
          </cell>
          <cell r="O2400">
            <v>40</v>
          </cell>
          <cell r="P2400">
            <v>0</v>
          </cell>
          <cell r="Q2400">
            <v>40</v>
          </cell>
          <cell r="R2400">
            <v>91</v>
          </cell>
          <cell r="S2400">
            <v>0</v>
          </cell>
          <cell r="T2400">
            <v>91</v>
          </cell>
          <cell r="U2400">
            <v>9</v>
          </cell>
          <cell r="V2400">
            <v>0</v>
          </cell>
          <cell r="W2400">
            <v>9</v>
          </cell>
          <cell r="X2400">
            <v>60</v>
          </cell>
          <cell r="Y2400">
            <v>0</v>
          </cell>
          <cell r="Z2400">
            <v>60</v>
          </cell>
        </row>
        <row r="2401">
          <cell r="D2401">
            <v>302211</v>
          </cell>
          <cell r="E2401" t="str">
            <v>Gabao NHS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</row>
        <row r="2402">
          <cell r="D2402">
            <v>310010</v>
          </cell>
          <cell r="E2402" t="str">
            <v>Tiong Hen So MHS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</row>
        <row r="2403">
          <cell r="D2403">
            <v>302200</v>
          </cell>
          <cell r="E2403" t="str">
            <v>Culasi NHS</v>
          </cell>
          <cell r="F2403">
            <v>85</v>
          </cell>
          <cell r="G2403">
            <v>77</v>
          </cell>
          <cell r="H2403">
            <v>162</v>
          </cell>
          <cell r="I2403">
            <v>18</v>
          </cell>
          <cell r="J2403">
            <v>14</v>
          </cell>
          <cell r="K2403">
            <v>32</v>
          </cell>
          <cell r="L2403">
            <v>18</v>
          </cell>
          <cell r="M2403">
            <v>14</v>
          </cell>
          <cell r="N2403">
            <v>32</v>
          </cell>
          <cell r="O2403">
            <v>28</v>
          </cell>
          <cell r="P2403">
            <v>14</v>
          </cell>
          <cell r="Q2403">
            <v>42</v>
          </cell>
          <cell r="R2403">
            <v>28</v>
          </cell>
          <cell r="S2403">
            <v>14</v>
          </cell>
          <cell r="T2403">
            <v>42</v>
          </cell>
          <cell r="U2403">
            <v>14</v>
          </cell>
          <cell r="V2403">
            <v>11</v>
          </cell>
          <cell r="W2403">
            <v>25</v>
          </cell>
          <cell r="X2403">
            <v>9</v>
          </cell>
          <cell r="Y2403">
            <v>10</v>
          </cell>
          <cell r="Z2403">
            <v>19</v>
          </cell>
        </row>
        <row r="2404">
          <cell r="D2404">
            <v>302190</v>
          </cell>
          <cell r="E2404" t="str">
            <v>Bulan NHS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</row>
        <row r="2405">
          <cell r="D2405">
            <v>302271</v>
          </cell>
          <cell r="E2405" t="str">
            <v>Buenavista National High School</v>
          </cell>
          <cell r="F2405">
            <v>22</v>
          </cell>
          <cell r="G2405">
            <v>26</v>
          </cell>
          <cell r="H2405">
            <v>48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</row>
        <row r="2406">
          <cell r="D2406">
            <v>302151</v>
          </cell>
          <cell r="E2406" t="str">
            <v>Mobo National High School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</row>
        <row r="2407">
          <cell r="D2407">
            <v>301807</v>
          </cell>
          <cell r="E2407" t="str">
            <v>Amtic HS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</row>
        <row r="2408">
          <cell r="D2408">
            <v>301864</v>
          </cell>
          <cell r="E2408" t="str">
            <v>Pio Duran National High School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</row>
        <row r="2409">
          <cell r="D2409">
            <v>301856</v>
          </cell>
          <cell r="E2409" t="str">
            <v>San Juan High School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</row>
        <row r="2410">
          <cell r="D2410">
            <v>302235</v>
          </cell>
          <cell r="E2410" t="str">
            <v>Jupi National High School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</row>
        <row r="2411">
          <cell r="D2411">
            <v>301894</v>
          </cell>
          <cell r="E2411" t="str">
            <v>Labo Science and Tech. HS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</row>
        <row r="2412">
          <cell r="D2412">
            <v>301945</v>
          </cell>
          <cell r="E2412" t="str">
            <v>Binagasbasan NHS - Denrica Annex HS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</row>
        <row r="2413">
          <cell r="D2413">
            <v>310201</v>
          </cell>
          <cell r="E2413" t="str">
            <v>Arimbay High School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</row>
        <row r="2414">
          <cell r="D2414">
            <v>302182</v>
          </cell>
          <cell r="E2414" t="str">
            <v>Bagacay NHS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</row>
        <row r="2415">
          <cell r="D2415">
            <v>301910</v>
          </cell>
          <cell r="E2415" t="str">
            <v>PARACALE NATIONAL HIGH SCHOOL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</row>
        <row r="2416">
          <cell r="D2416">
            <v>302270</v>
          </cell>
          <cell r="E2416" t="str">
            <v>Abuyog National High School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</row>
        <row r="2417">
          <cell r="D2417">
            <v>302278</v>
          </cell>
          <cell r="E2417" t="str">
            <v>Sawanga National High School</v>
          </cell>
          <cell r="F2417">
            <v>43</v>
          </cell>
          <cell r="G2417">
            <v>37</v>
          </cell>
          <cell r="H2417">
            <v>80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</row>
        <row r="2418">
          <cell r="D2418">
            <v>301911</v>
          </cell>
          <cell r="E2418" t="str">
            <v>Gumaus NHS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</row>
        <row r="2419">
          <cell r="D2419">
            <v>301890</v>
          </cell>
          <cell r="E2419" t="str">
            <v>Batobalani National High School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</row>
        <row r="2420">
          <cell r="D2420">
            <v>500462</v>
          </cell>
          <cell r="E2420" t="str">
            <v>Bogña Integrated School</v>
          </cell>
          <cell r="F2420">
            <v>62</v>
          </cell>
          <cell r="G2420">
            <v>47</v>
          </cell>
          <cell r="H2420">
            <v>109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</row>
        <row r="2421">
          <cell r="D2421">
            <v>302099</v>
          </cell>
          <cell r="E2421" t="str">
            <v>Mabato NHS (SMRDHS Annex)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</row>
        <row r="2422">
          <cell r="D2422">
            <v>302155</v>
          </cell>
          <cell r="E2422" t="str">
            <v>Palanas NHS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</row>
        <row r="2423">
          <cell r="D2423">
            <v>500160</v>
          </cell>
          <cell r="E2423" t="str">
            <v>Lictin IS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</row>
        <row r="2424">
          <cell r="D2424">
            <v>301833</v>
          </cell>
          <cell r="E2424" t="str">
            <v>Libon Agro-Industrial High School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</row>
        <row r="2425">
          <cell r="D2425">
            <v>302204</v>
          </cell>
          <cell r="E2425" t="str">
            <v>Donsol National Comprehensive HS</v>
          </cell>
          <cell r="F2425">
            <v>442</v>
          </cell>
          <cell r="G2425">
            <v>574</v>
          </cell>
          <cell r="H2425">
            <v>1016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</row>
        <row r="2426">
          <cell r="D2426">
            <v>302282</v>
          </cell>
          <cell r="E2426" t="str">
            <v>San Antonio NHS, Tabaco</v>
          </cell>
          <cell r="F2426">
            <v>267</v>
          </cell>
          <cell r="G2426">
            <v>162</v>
          </cell>
          <cell r="H2426">
            <v>429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</row>
        <row r="2427">
          <cell r="D2427">
            <v>301892</v>
          </cell>
          <cell r="E2427" t="str">
            <v>D. Q. Liwag NHS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</row>
        <row r="2428">
          <cell r="D2428">
            <v>301837</v>
          </cell>
          <cell r="E2428" t="str">
            <v>Ligao NHS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</row>
        <row r="2429">
          <cell r="D2429">
            <v>302253</v>
          </cell>
          <cell r="E2429" t="str">
            <v>Zeferino Arroyo HS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</row>
        <row r="2430">
          <cell r="D2430">
            <v>309602</v>
          </cell>
          <cell r="E2430" t="str">
            <v>Maulawin National High School</v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</row>
        <row r="2431">
          <cell r="D2431">
            <v>301955</v>
          </cell>
          <cell r="E2431" t="str">
            <v>West Coast High School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</row>
        <row r="2432">
          <cell r="D2432">
            <v>500466</v>
          </cell>
          <cell r="E2432" t="str">
            <v>Rizal Integrated National School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</row>
        <row r="2433">
          <cell r="D2433">
            <v>309612</v>
          </cell>
          <cell r="E2433" t="str">
            <v>Porfirio R. Ponayo HS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</row>
        <row r="2434">
          <cell r="D2434">
            <v>309621</v>
          </cell>
          <cell r="E2434" t="str">
            <v>MAXIMO MANARANG HIGH SCHOOL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</row>
        <row r="2435">
          <cell r="D2435">
            <v>309908</v>
          </cell>
          <cell r="E2435" t="str">
            <v>Mary Perpetua E. Brioso Memorial High School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</row>
        <row r="2436">
          <cell r="D2436">
            <v>302041</v>
          </cell>
          <cell r="E2436" t="str">
            <v>San Ramon HS</v>
          </cell>
          <cell r="F2436">
            <v>53</v>
          </cell>
          <cell r="G2436">
            <v>57</v>
          </cell>
          <cell r="H2436">
            <v>110</v>
          </cell>
          <cell r="I2436">
            <v>1</v>
          </cell>
          <cell r="J2436">
            <v>0</v>
          </cell>
          <cell r="K2436">
            <v>1</v>
          </cell>
          <cell r="L2436">
            <v>2</v>
          </cell>
          <cell r="M2436">
            <v>0</v>
          </cell>
          <cell r="N2436">
            <v>2</v>
          </cell>
          <cell r="O2436">
            <v>1</v>
          </cell>
          <cell r="P2436">
            <v>0</v>
          </cell>
          <cell r="Q2436">
            <v>1</v>
          </cell>
          <cell r="R2436">
            <v>4</v>
          </cell>
          <cell r="S2436">
            <v>0</v>
          </cell>
          <cell r="T2436">
            <v>4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</row>
        <row r="2437">
          <cell r="D2437">
            <v>301921</v>
          </cell>
          <cell r="E2437" t="str">
            <v>Tigbinan NHS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</row>
        <row r="2438">
          <cell r="D2438">
            <v>301828</v>
          </cell>
          <cell r="E2438" t="str">
            <v>Itaran National High School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</row>
        <row r="2439">
          <cell r="D2439">
            <v>309622</v>
          </cell>
          <cell r="E2439" t="str">
            <v>Camarines Norte NHS-Annex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</row>
        <row r="2440">
          <cell r="D2440">
            <v>302150</v>
          </cell>
          <cell r="E2440" t="str">
            <v>Milagros National High School</v>
          </cell>
          <cell r="F2440">
            <v>2</v>
          </cell>
          <cell r="G2440">
            <v>1</v>
          </cell>
          <cell r="H2440">
            <v>3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</row>
        <row r="2441">
          <cell r="D2441">
            <v>309765</v>
          </cell>
          <cell r="E2441" t="str">
            <v>Pag-Oring Nuevo National HS</v>
          </cell>
          <cell r="F2441">
            <v>5</v>
          </cell>
          <cell r="G2441">
            <v>7</v>
          </cell>
          <cell r="H2441">
            <v>12</v>
          </cell>
          <cell r="I2441">
            <v>0</v>
          </cell>
          <cell r="J2441">
            <v>0</v>
          </cell>
          <cell r="K2441">
            <v>0</v>
          </cell>
          <cell r="L2441">
            <v>5</v>
          </cell>
          <cell r="M2441">
            <v>7</v>
          </cell>
          <cell r="N2441">
            <v>12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</row>
        <row r="2442">
          <cell r="D2442">
            <v>302138</v>
          </cell>
          <cell r="E2442" t="str">
            <v>Ipil NHS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</row>
        <row r="2443">
          <cell r="D2443">
            <v>302228</v>
          </cell>
          <cell r="E2443" t="str">
            <v>Oras National High School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</row>
        <row r="2444">
          <cell r="D2444">
            <v>301855</v>
          </cell>
          <cell r="E2444" t="str">
            <v>Oas Polytechnic School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</row>
        <row r="2445">
          <cell r="D2445">
            <v>302038</v>
          </cell>
          <cell r="E2445" t="str">
            <v>San Rafael National High School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</row>
        <row r="2446">
          <cell r="D2446">
            <v>301846</v>
          </cell>
          <cell r="E2446" t="str">
            <v>Cawayan High School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</row>
        <row r="2447">
          <cell r="D2447">
            <v>302067</v>
          </cell>
          <cell r="E2447" t="str">
            <v>Villamayor HS - Bagolatao Annex HS</v>
          </cell>
          <cell r="F2447">
            <v>43</v>
          </cell>
          <cell r="G2447">
            <v>21</v>
          </cell>
          <cell r="H2447">
            <v>64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</row>
        <row r="2448">
          <cell r="D2448">
            <v>309723</v>
          </cell>
          <cell r="E2448" t="str">
            <v>Del Rosario National HS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</row>
        <row r="2449">
          <cell r="D2449">
            <v>301878</v>
          </cell>
          <cell r="E2449" t="str">
            <v>Sogod National High school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</row>
        <row r="2450">
          <cell r="D2450">
            <v>310402</v>
          </cell>
          <cell r="E2450" t="str">
            <v>Panlayaan Technical Vocational High School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</row>
        <row r="2451">
          <cell r="D2451">
            <v>309755</v>
          </cell>
          <cell r="E2451" t="str">
            <v>Sacred Heart High School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</row>
        <row r="2452">
          <cell r="D2452">
            <v>309604</v>
          </cell>
          <cell r="E2452" t="str">
            <v>Eugenia M. Quintela Memorial High School</v>
          </cell>
          <cell r="F2452">
            <v>43</v>
          </cell>
          <cell r="G2452">
            <v>46</v>
          </cell>
          <cell r="H2452">
            <v>89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</row>
        <row r="2453">
          <cell r="D2453">
            <v>301883</v>
          </cell>
          <cell r="E2453" t="str">
            <v>Bogtong National High School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</row>
        <row r="2454">
          <cell r="D2454">
            <v>301914</v>
          </cell>
          <cell r="E2454" t="str">
            <v>Sabang NHS</v>
          </cell>
          <cell r="F2454">
            <v>9</v>
          </cell>
          <cell r="G2454">
            <v>9</v>
          </cell>
          <cell r="H2454">
            <v>18</v>
          </cell>
          <cell r="I2454">
            <v>9</v>
          </cell>
          <cell r="J2454">
            <v>9</v>
          </cell>
          <cell r="K2454">
            <v>18</v>
          </cell>
          <cell r="L2454">
            <v>5</v>
          </cell>
          <cell r="M2454">
            <v>7</v>
          </cell>
          <cell r="N2454">
            <v>12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</row>
        <row r="2455">
          <cell r="D2455">
            <v>309934</v>
          </cell>
          <cell r="E2455" t="str">
            <v>Libertad National  High School</v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</row>
        <row r="2456">
          <cell r="D2456">
            <v>302083</v>
          </cell>
          <cell r="E2456" t="str">
            <v>Catanduanes NHS</v>
          </cell>
          <cell r="F2456">
            <v>394</v>
          </cell>
          <cell r="G2456">
            <v>427</v>
          </cell>
          <cell r="H2456">
            <v>821</v>
          </cell>
          <cell r="I2456">
            <v>373</v>
          </cell>
          <cell r="J2456">
            <v>425</v>
          </cell>
          <cell r="K2456">
            <v>798</v>
          </cell>
          <cell r="L2456">
            <v>1093</v>
          </cell>
          <cell r="M2456">
            <v>1129</v>
          </cell>
          <cell r="N2456">
            <v>2222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52</v>
          </cell>
          <cell r="V2456">
            <v>39</v>
          </cell>
          <cell r="W2456">
            <v>91</v>
          </cell>
          <cell r="X2456">
            <v>41</v>
          </cell>
          <cell r="Y2456">
            <v>26</v>
          </cell>
          <cell r="Z2456">
            <v>67</v>
          </cell>
        </row>
        <row r="2457">
          <cell r="D2457">
            <v>302010</v>
          </cell>
          <cell r="E2457" t="str">
            <v>Palsong NHS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</row>
        <row r="2458">
          <cell r="D2458">
            <v>301895</v>
          </cell>
          <cell r="E2458" t="str">
            <v>Gonzalez-Ascutia HS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</row>
        <row r="2459">
          <cell r="D2459">
            <v>302194</v>
          </cell>
          <cell r="E2459" t="str">
            <v>Cabugao NHS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</row>
        <row r="2460">
          <cell r="D2460">
            <v>309930</v>
          </cell>
          <cell r="E2460" t="str">
            <v>Gerardo C. CardiÃ±o Sr. HS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</row>
        <row r="2461">
          <cell r="D2461">
            <v>301810</v>
          </cell>
          <cell r="E2461" t="str">
            <v>Malinao National High School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</row>
        <row r="2462">
          <cell r="D2462">
            <v>302262</v>
          </cell>
          <cell r="E2462" t="str">
            <v>Gogon High School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</row>
        <row r="2463">
          <cell r="D2463">
            <v>302260</v>
          </cell>
          <cell r="E2463" t="str">
            <v>Cabangan High School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</row>
        <row r="2464">
          <cell r="D2464">
            <v>302217</v>
          </cell>
          <cell r="E2464" t="str">
            <v>Lungib National High School</v>
          </cell>
          <cell r="F2464">
            <v>39</v>
          </cell>
          <cell r="G2464">
            <v>0</v>
          </cell>
          <cell r="H2464">
            <v>39</v>
          </cell>
          <cell r="I2464">
            <v>38</v>
          </cell>
          <cell r="J2464">
            <v>0</v>
          </cell>
          <cell r="K2464">
            <v>38</v>
          </cell>
          <cell r="L2464">
            <v>189</v>
          </cell>
          <cell r="M2464">
            <v>0</v>
          </cell>
          <cell r="N2464">
            <v>189</v>
          </cell>
          <cell r="O2464">
            <v>4</v>
          </cell>
          <cell r="P2464">
            <v>0</v>
          </cell>
          <cell r="Q2464">
            <v>4</v>
          </cell>
          <cell r="R2464">
            <v>4</v>
          </cell>
          <cell r="S2464">
            <v>0</v>
          </cell>
          <cell r="T2464">
            <v>4</v>
          </cell>
          <cell r="U2464">
            <v>0</v>
          </cell>
          <cell r="V2464">
            <v>0</v>
          </cell>
          <cell r="W2464">
            <v>0</v>
          </cell>
          <cell r="X2464">
            <v>5</v>
          </cell>
          <cell r="Y2464">
            <v>0</v>
          </cell>
          <cell r="Z2464">
            <v>5</v>
          </cell>
        </row>
        <row r="2465">
          <cell r="D2465">
            <v>302245</v>
          </cell>
          <cell r="E2465" t="str">
            <v>Sta. Magdalena National High School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</row>
        <row r="2466">
          <cell r="D2466">
            <v>301814</v>
          </cell>
          <cell r="E2466" t="str">
            <v>Bicol Regional Science HS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</row>
        <row r="2467">
          <cell r="D2467">
            <v>302015</v>
          </cell>
          <cell r="E2467" t="str">
            <v>Partido Agro-Industrial NHS</v>
          </cell>
          <cell r="F2467">
            <v>12</v>
          </cell>
          <cell r="G2467">
            <v>10</v>
          </cell>
          <cell r="H2467">
            <v>22</v>
          </cell>
          <cell r="I2467">
            <v>7</v>
          </cell>
          <cell r="J2467">
            <v>6</v>
          </cell>
          <cell r="K2467">
            <v>13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5</v>
          </cell>
          <cell r="V2467">
            <v>7</v>
          </cell>
          <cell r="W2467">
            <v>12</v>
          </cell>
          <cell r="X2467">
            <v>8</v>
          </cell>
          <cell r="Y2467">
            <v>6</v>
          </cell>
          <cell r="Z2467">
            <v>14</v>
          </cell>
        </row>
        <row r="2468">
          <cell r="D2468">
            <v>500169</v>
          </cell>
          <cell r="E2468" t="str">
            <v>Taysan Resettlement Integrated School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</row>
        <row r="2469">
          <cell r="D2469">
            <v>301954</v>
          </cell>
          <cell r="E2469" t="str">
            <v>Sabang National High School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</row>
        <row r="2470">
          <cell r="D2470">
            <v>301820</v>
          </cell>
          <cell r="E2470" t="str">
            <v>Deogracias P. Princesa Memorial HS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</row>
        <row r="2471">
          <cell r="D2471">
            <v>301960</v>
          </cell>
          <cell r="E2471" t="str">
            <v>Coguit HS</v>
          </cell>
          <cell r="F2471">
            <v>92</v>
          </cell>
          <cell r="G2471">
            <v>53</v>
          </cell>
          <cell r="H2471">
            <v>145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</row>
        <row r="2472">
          <cell r="D2472">
            <v>302014</v>
          </cell>
          <cell r="E2472" t="str">
            <v>Pararao High School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</row>
        <row r="2473">
          <cell r="D2473">
            <v>309939</v>
          </cell>
          <cell r="E2473" t="str">
            <v>Lantangan High School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</row>
        <row r="2474">
          <cell r="D2474">
            <v>309763</v>
          </cell>
          <cell r="E2474" t="str">
            <v>Camarines Sur Sports Academy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</row>
        <row r="2475">
          <cell r="D2475">
            <v>321701</v>
          </cell>
          <cell r="E2475" t="str">
            <v>Ligao City National Technical -Vocational High School</v>
          </cell>
          <cell r="F2475">
            <v>15</v>
          </cell>
          <cell r="G2475">
            <v>20</v>
          </cell>
          <cell r="H2475">
            <v>35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</row>
        <row r="2476">
          <cell r="D2476">
            <v>309905</v>
          </cell>
          <cell r="E2476" t="str">
            <v>Osmeña NHS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</row>
        <row r="2477">
          <cell r="D2477">
            <v>301987</v>
          </cell>
          <cell r="E2477" t="str">
            <v>Lupi National High School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</row>
        <row r="2478">
          <cell r="D2478">
            <v>302163</v>
          </cell>
          <cell r="E2478" t="str">
            <v>Quezon National High School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</row>
        <row r="2479">
          <cell r="D2479">
            <v>309605</v>
          </cell>
          <cell r="E2479" t="str">
            <v>Fabrica HS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</row>
        <row r="2480">
          <cell r="D2480">
            <v>301817</v>
          </cell>
          <cell r="E2480" t="str">
            <v>Cabarian NHS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</row>
        <row r="2481">
          <cell r="D2481">
            <v>301818</v>
          </cell>
          <cell r="E2481" t="str">
            <v>Cabasan National High School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</row>
        <row r="2482">
          <cell r="D2482">
            <v>309903</v>
          </cell>
          <cell r="E2482" t="str">
            <v>Arriesgado-Sevilleno National High School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</row>
        <row r="2483">
          <cell r="D2483">
            <v>301809</v>
          </cell>
          <cell r="E2483" t="str">
            <v>San Vicente Grande High School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</row>
        <row r="2484">
          <cell r="D2484">
            <v>301859</v>
          </cell>
          <cell r="E2484" t="str">
            <v>Palapas National High School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</row>
        <row r="2485">
          <cell r="D2485">
            <v>302133</v>
          </cell>
          <cell r="E2485" t="str">
            <v>Capitolina O. Legaspi Memorial High School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</row>
        <row r="2486">
          <cell r="D2486">
            <v>301866</v>
          </cell>
          <cell r="E2486" t="str">
            <v>Balogo National High School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</row>
        <row r="2487">
          <cell r="D2487">
            <v>302003</v>
          </cell>
          <cell r="E2487" t="str">
            <v>Victor Bernal High School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</row>
        <row r="2488">
          <cell r="D2488">
            <v>301889</v>
          </cell>
          <cell r="E2488" t="str">
            <v>Basud National High School</v>
          </cell>
          <cell r="F2488">
            <v>252</v>
          </cell>
          <cell r="G2488">
            <v>209</v>
          </cell>
          <cell r="H2488">
            <v>461</v>
          </cell>
          <cell r="I2488">
            <v>188</v>
          </cell>
          <cell r="J2488">
            <v>172</v>
          </cell>
          <cell r="K2488">
            <v>360</v>
          </cell>
          <cell r="L2488">
            <v>188</v>
          </cell>
          <cell r="M2488">
            <v>172</v>
          </cell>
          <cell r="N2488">
            <v>360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6</v>
          </cell>
          <cell r="Y2488">
            <v>4</v>
          </cell>
          <cell r="Z2488">
            <v>10</v>
          </cell>
        </row>
        <row r="2489">
          <cell r="D2489">
            <v>500030</v>
          </cell>
          <cell r="E2489" t="str">
            <v>Moreno Integrated School</v>
          </cell>
          <cell r="F2489">
            <v>333</v>
          </cell>
          <cell r="G2489">
            <v>0</v>
          </cell>
          <cell r="H2489">
            <v>333</v>
          </cell>
          <cell r="I2489">
            <v>246</v>
          </cell>
          <cell r="J2489">
            <v>0</v>
          </cell>
          <cell r="K2489">
            <v>246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</row>
        <row r="2490">
          <cell r="D2490">
            <v>309721</v>
          </cell>
          <cell r="E2490" t="str">
            <v>Huyonhuyon HS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</row>
        <row r="2491">
          <cell r="D2491">
            <v>301885</v>
          </cell>
          <cell r="E2491" t="str">
            <v>Vinisitahan National High School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</row>
        <row r="2492">
          <cell r="D2492">
            <v>301887</v>
          </cell>
          <cell r="E2492" t="str">
            <v>Bagong Silang II NHS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</row>
        <row r="2493">
          <cell r="D2493">
            <v>302212</v>
          </cell>
          <cell r="E2493" t="str">
            <v>Gallanosa National High School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</row>
        <row r="2494">
          <cell r="D2494">
            <v>302212</v>
          </cell>
          <cell r="E2494" t="str">
            <v>Gallanosa National High School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</row>
        <row r="2495">
          <cell r="D2495">
            <v>309620</v>
          </cell>
          <cell r="E2495" t="str">
            <v>Sarah Jane Ferrer HS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</row>
        <row r="2496">
          <cell r="D2496">
            <v>301852</v>
          </cell>
          <cell r="E2496" t="str">
            <v>Matacon National High School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</row>
        <row r="2497">
          <cell r="D2497">
            <v>309512</v>
          </cell>
          <cell r="E2497" t="str">
            <v>San Miguel High School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</row>
        <row r="2498">
          <cell r="D2498">
            <v>309614</v>
          </cell>
          <cell r="E2498" t="str">
            <v>Magsaysay National High School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</row>
        <row r="2499">
          <cell r="D2499">
            <v>301893</v>
          </cell>
          <cell r="E2499" t="str">
            <v>Daguit NHS</v>
          </cell>
          <cell r="F2499">
            <v>5</v>
          </cell>
          <cell r="G2499">
            <v>4</v>
          </cell>
          <cell r="H2499">
            <v>9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</row>
        <row r="2500">
          <cell r="D2500">
            <v>500464</v>
          </cell>
          <cell r="E2500" t="str">
            <v>Buhatan Integrated National School</v>
          </cell>
          <cell r="F2500">
            <v>25</v>
          </cell>
          <cell r="G2500">
            <v>31</v>
          </cell>
          <cell r="H2500">
            <v>56</v>
          </cell>
          <cell r="I2500">
            <v>5</v>
          </cell>
          <cell r="J2500">
            <v>7</v>
          </cell>
          <cell r="K2500">
            <v>12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</row>
        <row r="2501">
          <cell r="D2501">
            <v>301849</v>
          </cell>
          <cell r="E2501" t="str">
            <v>Marcial O. RaÃ±ola Memorial School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</row>
        <row r="2502">
          <cell r="D2502">
            <v>301808</v>
          </cell>
          <cell r="E2502" t="str">
            <v>Anislag National High School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</row>
        <row r="2503">
          <cell r="D2503">
            <v>309732</v>
          </cell>
          <cell r="E2503" t="str">
            <v>Dr. Lorenzo P. Ziga Memorial High School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</row>
        <row r="2504">
          <cell r="D2504">
            <v>301899</v>
          </cell>
          <cell r="E2504" t="str">
            <v>Labo National High School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</row>
        <row r="2505">
          <cell r="D2505">
            <v>301825</v>
          </cell>
          <cell r="E2505" t="str">
            <v>Daraga National High School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</row>
        <row r="2506">
          <cell r="D2506">
            <v>301853</v>
          </cell>
          <cell r="E2506" t="str">
            <v>Naga National High School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</row>
        <row r="2507">
          <cell r="D2507">
            <v>321804</v>
          </cell>
          <cell r="E2507" t="str">
            <v>Bayombon High School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</row>
        <row r="2508">
          <cell r="D2508">
            <v>309610</v>
          </cell>
          <cell r="E2508" t="str">
            <v>Victoria J. Tuacar National HS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</row>
        <row r="2509">
          <cell r="D2509">
            <v>309943</v>
          </cell>
          <cell r="E2509" t="str">
            <v>Buenavista IS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</row>
        <row r="2510">
          <cell r="D2510">
            <v>302072</v>
          </cell>
          <cell r="E2510" t="str">
            <v>Bagamanoc Rural DHS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</row>
        <row r="2511">
          <cell r="D2511">
            <v>301897</v>
          </cell>
          <cell r="E2511" t="str">
            <v>Delia Diezmo National High School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</row>
        <row r="2512">
          <cell r="D2512">
            <v>321806</v>
          </cell>
          <cell r="E2512" t="str">
            <v>Nursery High School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</row>
        <row r="2513">
          <cell r="D2513">
            <v>309951</v>
          </cell>
          <cell r="E2513" t="str">
            <v>AMOTAG NATIONAL HIGH SCHOOL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</row>
        <row r="2514">
          <cell r="D2514">
            <v>309603</v>
          </cell>
          <cell r="E2514" t="str">
            <v>Caringo High School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</row>
        <row r="2515">
          <cell r="D2515">
            <v>301925</v>
          </cell>
          <cell r="E2515" t="str">
            <v>Vinzons Pilot High School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</row>
        <row r="2516">
          <cell r="D2516">
            <v>309616</v>
          </cell>
          <cell r="E2516" t="str">
            <v>Bulala HS</v>
          </cell>
          <cell r="F2516">
            <v>32</v>
          </cell>
          <cell r="G2516">
            <v>50</v>
          </cell>
          <cell r="H2516">
            <v>82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</row>
        <row r="2517">
          <cell r="D2517">
            <v>500156</v>
          </cell>
          <cell r="E2517" t="str">
            <v>Dumagmang IS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</row>
        <row r="2518">
          <cell r="D2518">
            <v>301854</v>
          </cell>
          <cell r="E2518" t="str">
            <v>Marigondon National High School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</row>
        <row r="2519">
          <cell r="D2519">
            <v>302172</v>
          </cell>
          <cell r="E2519" t="str">
            <v>Tanque National High School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</row>
        <row r="2520">
          <cell r="D2520">
            <v>302103</v>
          </cell>
          <cell r="E2520" t="str">
            <v>Leandro I.Verceles Sr. NHS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</row>
        <row r="2521">
          <cell r="D2521">
            <v>301912</v>
          </cell>
          <cell r="E2521" t="str">
            <v>Tabas National High School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</row>
        <row r="2522">
          <cell r="D2522">
            <v>500031</v>
          </cell>
          <cell r="E2522" t="str">
            <v>Buyo Integrated School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</row>
        <row r="2523">
          <cell r="D2523">
            <v>302225</v>
          </cell>
          <cell r="E2523" t="str">
            <v>Matnog NHS</v>
          </cell>
          <cell r="F2523">
            <v>167</v>
          </cell>
          <cell r="G2523">
            <v>0</v>
          </cell>
          <cell r="H2523">
            <v>167</v>
          </cell>
          <cell r="I2523">
            <v>142</v>
          </cell>
          <cell r="J2523">
            <v>0</v>
          </cell>
          <cell r="K2523">
            <v>142</v>
          </cell>
          <cell r="L2523">
            <v>707</v>
          </cell>
          <cell r="M2523">
            <v>0</v>
          </cell>
          <cell r="N2523">
            <v>707</v>
          </cell>
          <cell r="O2523">
            <v>35</v>
          </cell>
          <cell r="P2523">
            <v>0</v>
          </cell>
          <cell r="Q2523">
            <v>35</v>
          </cell>
          <cell r="R2523">
            <v>86</v>
          </cell>
          <cell r="S2523">
            <v>0</v>
          </cell>
          <cell r="T2523">
            <v>86</v>
          </cell>
          <cell r="U2523">
            <v>4</v>
          </cell>
          <cell r="V2523">
            <v>0</v>
          </cell>
          <cell r="W2523">
            <v>4</v>
          </cell>
          <cell r="X2523">
            <v>39</v>
          </cell>
          <cell r="Y2523">
            <v>0</v>
          </cell>
          <cell r="Z2523">
            <v>39</v>
          </cell>
        </row>
        <row r="2524">
          <cell r="D2524">
            <v>309801</v>
          </cell>
          <cell r="E2524" t="str">
            <v>Panganiban NHS (CAIC Compound)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</row>
        <row r="2525">
          <cell r="D2525">
            <v>301904</v>
          </cell>
          <cell r="E2525" t="str">
            <v>MATANGO NATIONAL HIGH SCHOOL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</row>
        <row r="2526">
          <cell r="D2526">
            <v>301984</v>
          </cell>
          <cell r="E2526" t="str">
            <v>Vivencio Obias - Kinalansan NHS (formerly: Kinalansan NHS)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</row>
        <row r="2527">
          <cell r="D2527">
            <v>301865</v>
          </cell>
          <cell r="E2527" t="str">
            <v>Polangui General Comprehensive High School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</row>
        <row r="2528">
          <cell r="D2528">
            <v>302161</v>
          </cell>
          <cell r="E2528" t="str">
            <v>Liberato P. Tacurda Sr. HS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</row>
        <row r="2529">
          <cell r="D2529">
            <v>302086</v>
          </cell>
          <cell r="E2529" t="str">
            <v>Dariao NHS</v>
          </cell>
          <cell r="F2529">
            <v>17</v>
          </cell>
          <cell r="G2529">
            <v>18</v>
          </cell>
          <cell r="H2529">
            <v>35</v>
          </cell>
          <cell r="I2529">
            <v>16</v>
          </cell>
          <cell r="J2529">
            <v>16</v>
          </cell>
          <cell r="K2529">
            <v>32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</row>
        <row r="2530">
          <cell r="D2530">
            <v>309611</v>
          </cell>
          <cell r="E2530" t="str">
            <v>Dominador Narido High School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</row>
        <row r="2531">
          <cell r="D2531">
            <v>301924</v>
          </cell>
          <cell r="E2531" t="str">
            <v>Vicente L. Basit Memorial High School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</row>
        <row r="2532">
          <cell r="D2532">
            <v>301952</v>
          </cell>
          <cell r="E2532" t="str">
            <v>Calabanga NHS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</row>
        <row r="2533">
          <cell r="D2533">
            <v>301909</v>
          </cell>
          <cell r="E2533" t="str">
            <v>Pambuhan National High School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</row>
        <row r="2534">
          <cell r="D2534">
            <v>301903</v>
          </cell>
          <cell r="E2534" t="str">
            <v>San Lorenzo Ruiz National High School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</row>
        <row r="2535">
          <cell r="D2535">
            <v>301920</v>
          </cell>
          <cell r="E2535" t="str">
            <v>Sta. Cruz NHS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</row>
        <row r="2536">
          <cell r="D2536">
            <v>301888</v>
          </cell>
          <cell r="E2536" t="str">
            <v>E.P. Borja HS (Basiad NHS)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</row>
        <row r="2537">
          <cell r="D2537">
            <v>309607</v>
          </cell>
          <cell r="E2537" t="str">
            <v>Lazaro Cabezudo High School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</row>
        <row r="2538">
          <cell r="D2538">
            <v>301908</v>
          </cell>
          <cell r="E2538" t="str">
            <v>Pag-Asa High School</v>
          </cell>
          <cell r="F2538">
            <v>18</v>
          </cell>
          <cell r="G2538">
            <v>18</v>
          </cell>
          <cell r="H2538">
            <v>36</v>
          </cell>
          <cell r="I2538">
            <v>12</v>
          </cell>
          <cell r="J2538">
            <v>10</v>
          </cell>
          <cell r="K2538">
            <v>22</v>
          </cell>
          <cell r="L2538">
            <v>49</v>
          </cell>
          <cell r="M2538">
            <v>38</v>
          </cell>
          <cell r="N2538">
            <v>87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</row>
        <row r="2539">
          <cell r="D2539">
            <v>301898</v>
          </cell>
          <cell r="E2539" t="str">
            <v>Jose Panganiban NHS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</row>
        <row r="2540">
          <cell r="D2540">
            <v>305403</v>
          </cell>
          <cell r="E2540" t="str">
            <v>Mercedes B. Peralta Senior High School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</row>
        <row r="2541">
          <cell r="D2541">
            <v>309920</v>
          </cell>
          <cell r="E2541" t="str">
            <v>Conrada Tero Kho Memorial High School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</row>
        <row r="2542">
          <cell r="D2542">
            <v>309606</v>
          </cell>
          <cell r="E2542" t="str">
            <v>San Isidro HS (Alcantara)</v>
          </cell>
          <cell r="F2542">
            <v>19</v>
          </cell>
          <cell r="G2542">
            <v>17</v>
          </cell>
          <cell r="H2542">
            <v>36</v>
          </cell>
          <cell r="I2542">
            <v>10</v>
          </cell>
          <cell r="J2542">
            <v>8</v>
          </cell>
          <cell r="K2542">
            <v>18</v>
          </cell>
          <cell r="L2542">
            <v>23</v>
          </cell>
          <cell r="M2542">
            <v>15</v>
          </cell>
          <cell r="N2542">
            <v>38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</row>
        <row r="2543">
          <cell r="D2543">
            <v>302071</v>
          </cell>
          <cell r="E2543" t="str">
            <v>Antipolo NHS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</row>
        <row r="2544">
          <cell r="D2544">
            <v>500463</v>
          </cell>
          <cell r="E2544" t="str">
            <v>Sto. Nino Integrated School</v>
          </cell>
          <cell r="F2544">
            <v>50</v>
          </cell>
          <cell r="G2544">
            <v>58</v>
          </cell>
          <cell r="H2544">
            <v>108</v>
          </cell>
          <cell r="I2544">
            <v>30</v>
          </cell>
          <cell r="J2544">
            <v>33</v>
          </cell>
          <cell r="K2544">
            <v>63</v>
          </cell>
          <cell r="L2544">
            <v>210</v>
          </cell>
          <cell r="M2544">
            <v>217</v>
          </cell>
          <cell r="N2544">
            <v>427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</row>
        <row r="2545">
          <cell r="D2545">
            <v>302257</v>
          </cell>
          <cell r="E2545" t="str">
            <v>Banquerohan NHS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</row>
        <row r="2546">
          <cell r="D2546">
            <v>309618</v>
          </cell>
          <cell r="E2546" t="str">
            <v>San Pedro-Domingo Llarena HS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</row>
        <row r="2547">
          <cell r="D2547">
            <v>321802</v>
          </cell>
          <cell r="E2547" t="str">
            <v>Usab High School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</row>
        <row r="2548">
          <cell r="D2548">
            <v>309707</v>
          </cell>
          <cell r="E2548" t="str">
            <v>Siembre High School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</row>
        <row r="2549">
          <cell r="D2549">
            <v>301994</v>
          </cell>
          <cell r="E2549" t="str">
            <v>Mambulo Nuevo High School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</row>
        <row r="2550">
          <cell r="D2550">
            <v>302242</v>
          </cell>
          <cell r="E2550" t="str">
            <v>San Roque NHS</v>
          </cell>
          <cell r="F2550">
            <v>55</v>
          </cell>
          <cell r="G2550">
            <v>36</v>
          </cell>
          <cell r="H2550">
            <v>91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</row>
        <row r="2551">
          <cell r="D2551">
            <v>301913</v>
          </cell>
          <cell r="E2551" t="str">
            <v>Rizal NATIONAL HIGH SCHOOL</v>
          </cell>
          <cell r="F2551">
            <v>25</v>
          </cell>
          <cell r="G2551">
            <v>36</v>
          </cell>
          <cell r="H2551">
            <v>61</v>
          </cell>
          <cell r="I2551">
            <v>18</v>
          </cell>
          <cell r="J2551">
            <v>28</v>
          </cell>
          <cell r="K2551">
            <v>46</v>
          </cell>
          <cell r="L2551">
            <v>0</v>
          </cell>
          <cell r="M2551">
            <v>0</v>
          </cell>
          <cell r="N2551">
            <v>0</v>
          </cell>
          <cell r="O2551">
            <v>7</v>
          </cell>
          <cell r="P2551">
            <v>8</v>
          </cell>
          <cell r="Q2551">
            <v>15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</row>
        <row r="2552">
          <cell r="D2552">
            <v>500034</v>
          </cell>
          <cell r="E2552" t="str">
            <v>Maximino S. Lazaro IS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</row>
        <row r="2553">
          <cell r="D2553">
            <v>302175</v>
          </cell>
          <cell r="E2553" t="str">
            <v>Uson National High School</v>
          </cell>
          <cell r="F2553">
            <v>0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</row>
        <row r="2554">
          <cell r="D2554">
            <v>301985</v>
          </cell>
          <cell r="E2554" t="str">
            <v>La Purisima National High School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</row>
        <row r="2555">
          <cell r="D2555">
            <v>302006</v>
          </cell>
          <cell r="E2555" t="str">
            <v>Ocampo NHS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</row>
        <row r="2556">
          <cell r="D2556">
            <v>302137</v>
          </cell>
          <cell r="E2556" t="str">
            <v>Halabangbaybay NHS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</row>
        <row r="2557">
          <cell r="D2557">
            <v>302261</v>
          </cell>
          <cell r="E2557" t="str">
            <v>Pag-asa National High School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</row>
        <row r="2558">
          <cell r="D2558">
            <v>301900</v>
          </cell>
          <cell r="E2558" t="str">
            <v>Lalawigan National High School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</row>
        <row r="2559">
          <cell r="D2559">
            <v>302098</v>
          </cell>
          <cell r="E2559" t="str">
            <v>San Miguel Rural DHS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</row>
        <row r="2560">
          <cell r="D2560">
            <v>301860</v>
          </cell>
          <cell r="E2560" t="str">
            <v>Pantao National High School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</row>
        <row r="2561">
          <cell r="D2561">
            <v>302160</v>
          </cell>
          <cell r="E2561" t="str">
            <v>Salvador Arollado, Sr. MHS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</row>
        <row r="2562">
          <cell r="D2562">
            <v>302053</v>
          </cell>
          <cell r="E2562" t="str">
            <v>Sulpicio A. Roco MHS</v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</row>
        <row r="2563">
          <cell r="D2563">
            <v>301918</v>
          </cell>
          <cell r="E2563" t="str">
            <v>San Roque National High School</v>
          </cell>
          <cell r="F2563">
            <v>0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</row>
        <row r="2564">
          <cell r="D2564">
            <v>302126</v>
          </cell>
          <cell r="E2564" t="str">
            <v>Tito R. Espinosa Memorial National Agricultural School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</row>
        <row r="2565">
          <cell r="D2565">
            <v>500157</v>
          </cell>
          <cell r="E2565" t="str">
            <v>Ponong Integrated School</v>
          </cell>
          <cell r="F2565">
            <v>23</v>
          </cell>
          <cell r="G2565">
            <v>11</v>
          </cell>
          <cell r="H2565">
            <v>34</v>
          </cell>
          <cell r="I2565">
            <v>23</v>
          </cell>
          <cell r="J2565">
            <v>11</v>
          </cell>
          <cell r="K2565">
            <v>34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</row>
        <row r="2566">
          <cell r="D2566">
            <v>309711</v>
          </cell>
          <cell r="E2566" t="str">
            <v>Mantalisay HS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</row>
        <row r="2567">
          <cell r="D2567">
            <v>302096</v>
          </cell>
          <cell r="E2567" t="str">
            <v>San Andres Vocational School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</row>
        <row r="2568">
          <cell r="D2568">
            <v>301923</v>
          </cell>
          <cell r="E2568" t="str">
            <v>Talobatib HS</v>
          </cell>
          <cell r="F2568">
            <v>34</v>
          </cell>
          <cell r="G2568">
            <v>40</v>
          </cell>
          <cell r="H2568">
            <v>74</v>
          </cell>
          <cell r="I2568">
            <v>35</v>
          </cell>
          <cell r="J2568">
            <v>35</v>
          </cell>
          <cell r="K2568">
            <v>70</v>
          </cell>
          <cell r="L2568">
            <v>35</v>
          </cell>
          <cell r="M2568">
            <v>35</v>
          </cell>
          <cell r="N2568">
            <v>70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</row>
        <row r="2569">
          <cell r="D2569">
            <v>309926</v>
          </cell>
          <cell r="E2569" t="str">
            <v>Maravilla National High School</v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</row>
        <row r="2570">
          <cell r="D2570">
            <v>309907</v>
          </cell>
          <cell r="E2570" t="str">
            <v>San Pablo National High School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</row>
        <row r="2571">
          <cell r="D2571">
            <v>302124</v>
          </cell>
          <cell r="E2571" t="str">
            <v>Burgos National High School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</row>
        <row r="2572">
          <cell r="D2572">
            <v>301999</v>
          </cell>
          <cell r="E2572" t="str">
            <v>Milaor National High School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</row>
        <row r="2573">
          <cell r="D2573">
            <v>301838</v>
          </cell>
          <cell r="E2573" t="str">
            <v>Bacong HS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</row>
        <row r="2574">
          <cell r="D2574">
            <v>301997</v>
          </cell>
          <cell r="E2574" t="str">
            <v>Masoli High School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</row>
        <row r="2575">
          <cell r="D2575">
            <v>301830</v>
          </cell>
          <cell r="E2575" t="str">
            <v>Jovellar National High School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</row>
        <row r="2576">
          <cell r="D2576">
            <v>301915</v>
          </cell>
          <cell r="E2576" t="str">
            <v>San Felipe NHS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</row>
        <row r="2577">
          <cell r="D2577">
            <v>302074</v>
          </cell>
          <cell r="E2577" t="str">
            <v>Bato Rural Development High School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</row>
        <row r="2578">
          <cell r="D2578">
            <v>302274</v>
          </cell>
          <cell r="E2578" t="str">
            <v>Osiao Paglingap National High School</v>
          </cell>
          <cell r="F2578">
            <v>55</v>
          </cell>
          <cell r="G2578">
            <v>54</v>
          </cell>
          <cell r="H2578">
            <v>109</v>
          </cell>
          <cell r="I2578">
            <v>7</v>
          </cell>
          <cell r="J2578">
            <v>5</v>
          </cell>
          <cell r="K2578">
            <v>12</v>
          </cell>
          <cell r="L2578">
            <v>0</v>
          </cell>
          <cell r="M2578">
            <v>0</v>
          </cell>
          <cell r="N2578">
            <v>0</v>
          </cell>
          <cell r="O2578">
            <v>1</v>
          </cell>
          <cell r="P2578">
            <v>1</v>
          </cell>
          <cell r="Q2578">
            <v>2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</row>
        <row r="2579">
          <cell r="D2579">
            <v>301944</v>
          </cell>
          <cell r="E2579" t="str">
            <v>Binagasbasan NHS</v>
          </cell>
          <cell r="F2579">
            <v>35</v>
          </cell>
          <cell r="G2579">
            <v>17</v>
          </cell>
          <cell r="H2579">
            <v>52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</row>
        <row r="2580">
          <cell r="D2580">
            <v>500161</v>
          </cell>
          <cell r="E2580" t="str">
            <v>Iniwaran Integrated School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</row>
        <row r="2581">
          <cell r="D2581">
            <v>309513</v>
          </cell>
          <cell r="E2581" t="str">
            <v>Lanigay High School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</row>
        <row r="2582">
          <cell r="D2582">
            <v>500163</v>
          </cell>
          <cell r="E2582" t="str">
            <v>Tigbao Integrated School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</row>
        <row r="2583">
          <cell r="D2583">
            <v>302112</v>
          </cell>
          <cell r="E2583" t="str">
            <v>Badiang National High School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</row>
        <row r="2584">
          <cell r="D2584">
            <v>500393</v>
          </cell>
          <cell r="E2584" t="str">
            <v>Alejandro Delos Reyes Integrated School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</row>
        <row r="2585">
          <cell r="D2585">
            <v>310202</v>
          </cell>
          <cell r="E2585" t="str">
            <v>Legazpi City Science High School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</row>
        <row r="2586">
          <cell r="D2586">
            <v>302108</v>
          </cell>
          <cell r="E2586" t="str">
            <v>Adelina P. Laurio National HS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</row>
        <row r="2587">
          <cell r="D2587">
            <v>309936</v>
          </cell>
          <cell r="E2587" t="str">
            <v>AMADO E. LAZARO HS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</row>
        <row r="2588">
          <cell r="D2588">
            <v>500164</v>
          </cell>
          <cell r="E2588" t="str">
            <v>Costa Rica Integrated School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</row>
        <row r="2589">
          <cell r="D2589">
            <v>301969</v>
          </cell>
          <cell r="E2589" t="str">
            <v>Don Servillano Platon Memorial NHS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</row>
        <row r="2590">
          <cell r="D2590">
            <v>302129</v>
          </cell>
          <cell r="E2590" t="str">
            <v>Cataingan National High School</v>
          </cell>
          <cell r="F2590">
            <v>0</v>
          </cell>
          <cell r="G2590">
            <v>0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</row>
        <row r="2591">
          <cell r="D2591">
            <v>301868</v>
          </cell>
          <cell r="E2591" t="str">
            <v>Ponso National HS</v>
          </cell>
          <cell r="F2591">
            <v>0</v>
          </cell>
          <cell r="G2591">
            <v>0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</row>
        <row r="2592">
          <cell r="D2592">
            <v>309938</v>
          </cell>
          <cell r="E2592" t="str">
            <v>Labangco National High School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</row>
        <row r="2593">
          <cell r="D2593">
            <v>309608</v>
          </cell>
          <cell r="E2593" t="str">
            <v>Tuaca HS</v>
          </cell>
          <cell r="F2593">
            <v>63</v>
          </cell>
          <cell r="G2593">
            <v>63</v>
          </cell>
          <cell r="H2593">
            <v>126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</row>
        <row r="2594">
          <cell r="D2594">
            <v>302047</v>
          </cell>
          <cell r="E2594" t="str">
            <v>Sipocot NHS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</row>
        <row r="2595">
          <cell r="D2595">
            <v>301963</v>
          </cell>
          <cell r="E2595" t="str">
            <v>Dahat National Vocational HS</v>
          </cell>
          <cell r="F2595">
            <v>106</v>
          </cell>
          <cell r="G2595">
            <v>68</v>
          </cell>
          <cell r="H2595">
            <v>174</v>
          </cell>
          <cell r="I2595">
            <v>23</v>
          </cell>
          <cell r="J2595">
            <v>35</v>
          </cell>
          <cell r="K2595">
            <v>58</v>
          </cell>
          <cell r="L2595">
            <v>30</v>
          </cell>
          <cell r="M2595">
            <v>46</v>
          </cell>
          <cell r="N2595">
            <v>76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</row>
        <row r="2596">
          <cell r="D2596">
            <v>309911</v>
          </cell>
          <cell r="E2596" t="str">
            <v>Miabas National High School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</row>
        <row r="2597">
          <cell r="D2597">
            <v>302178</v>
          </cell>
          <cell r="E2597" t="str">
            <v>Vivencio P. Casas Sr. Memorial High School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</row>
        <row r="2598">
          <cell r="D2598">
            <v>301858</v>
          </cell>
          <cell r="E2598" t="str">
            <v>Oma-Oma NHS</v>
          </cell>
          <cell r="F2598">
            <v>0</v>
          </cell>
          <cell r="G2598">
            <v>55</v>
          </cell>
          <cell r="H2598">
            <v>55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</row>
        <row r="2599">
          <cell r="D2599">
            <v>321801</v>
          </cell>
          <cell r="E2599" t="str">
            <v>Bolo National High School</v>
          </cell>
          <cell r="F2599">
            <v>89</v>
          </cell>
          <cell r="G2599">
            <v>91</v>
          </cell>
          <cell r="H2599">
            <v>180</v>
          </cell>
          <cell r="I2599">
            <v>11</v>
          </cell>
          <cell r="J2599">
            <v>6</v>
          </cell>
          <cell r="K2599">
            <v>17</v>
          </cell>
          <cell r="L2599">
            <v>14</v>
          </cell>
          <cell r="M2599">
            <v>6</v>
          </cell>
          <cell r="N2599">
            <v>20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</row>
        <row r="2600">
          <cell r="D2600">
            <v>305544</v>
          </cell>
          <cell r="E2600" t="str">
            <v>Sugod Senior High School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</row>
        <row r="2601">
          <cell r="D2601">
            <v>309929</v>
          </cell>
          <cell r="E2601" t="str">
            <v>Salvacion National High School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</row>
        <row r="2602">
          <cell r="D2602">
            <v>302130</v>
          </cell>
          <cell r="E2602" t="str">
            <v>Cawayan National High School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</row>
        <row r="2603">
          <cell r="D2603">
            <v>302132</v>
          </cell>
          <cell r="E2603" t="str">
            <v>Dimasalang National High School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</row>
        <row r="2604">
          <cell r="D2604">
            <v>500165</v>
          </cell>
          <cell r="E2604" t="str">
            <v>Antonio Lee Llacer Sr. Integrated School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</row>
        <row r="2605">
          <cell r="D2605">
            <v>302171</v>
          </cell>
          <cell r="E2605" t="str">
            <v>Santos E. Conag National High School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</row>
        <row r="2606">
          <cell r="D2606">
            <v>302168</v>
          </cell>
          <cell r="E2606" t="str">
            <v>San Pascual NHS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1</v>
          </cell>
          <cell r="Y2606">
            <v>1</v>
          </cell>
          <cell r="Z2606">
            <v>2</v>
          </cell>
        </row>
        <row r="2607">
          <cell r="D2607">
            <v>302115</v>
          </cell>
          <cell r="E2607" t="str">
            <v>Baleno National High School</v>
          </cell>
          <cell r="F2607">
            <v>3</v>
          </cell>
          <cell r="G2607">
            <v>2</v>
          </cell>
          <cell r="H2607">
            <v>5</v>
          </cell>
          <cell r="I2607">
            <v>1</v>
          </cell>
          <cell r="J2607">
            <v>0</v>
          </cell>
          <cell r="K2607">
            <v>1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</row>
        <row r="2608">
          <cell r="D2608">
            <v>302116</v>
          </cell>
          <cell r="E2608" t="str">
            <v>Balud NHS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</row>
        <row r="2609">
          <cell r="D2609">
            <v>309931</v>
          </cell>
          <cell r="E2609" t="str">
            <v>Amador-Bello HS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</row>
        <row r="2610">
          <cell r="D2610">
            <v>302140</v>
          </cell>
          <cell r="E2610" t="str">
            <v>Lagta National High School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</row>
        <row r="2611">
          <cell r="D2611">
            <v>309922</v>
          </cell>
          <cell r="E2611" t="str">
            <v>Floro L. Medina MHS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</row>
        <row r="2612">
          <cell r="D2612">
            <v>301850</v>
          </cell>
          <cell r="E2612" t="str">
            <v>Lower Binogsacan National High School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</row>
        <row r="2613">
          <cell r="D2613">
            <v>302049</v>
          </cell>
          <cell r="E2613" t="str">
            <v>Sta. Cruz National High School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</row>
        <row r="2614">
          <cell r="D2614">
            <v>321805</v>
          </cell>
          <cell r="E2614" t="str">
            <v>Bantigue High School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</row>
        <row r="2615">
          <cell r="D2615">
            <v>302125</v>
          </cell>
          <cell r="E2615" t="str">
            <v>Cleofe A. Arce Memorial High School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</row>
        <row r="2616">
          <cell r="D2616">
            <v>309901</v>
          </cell>
          <cell r="E2616" t="str">
            <v>Delavin-Rubia National High School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</row>
        <row r="2617">
          <cell r="D2617">
            <v>500162</v>
          </cell>
          <cell r="E2617" t="str">
            <v>Mataba Integrated School</v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</row>
        <row r="2618">
          <cell r="D2618">
            <v>302174</v>
          </cell>
          <cell r="E2618" t="str">
            <v>Tinigban National High School</v>
          </cell>
          <cell r="F2618">
            <v>3</v>
          </cell>
          <cell r="G2618">
            <v>1</v>
          </cell>
          <cell r="H2618">
            <v>4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</row>
        <row r="2619">
          <cell r="D2619">
            <v>302119</v>
          </cell>
          <cell r="E2619" t="str">
            <v>Melchor B. Burlaos Memorial High School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</row>
        <row r="2620">
          <cell r="D2620">
            <v>301862</v>
          </cell>
          <cell r="E2620" t="str">
            <v>Paulba NHS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</row>
        <row r="2621">
          <cell r="D2621">
            <v>302158</v>
          </cell>
          <cell r="E2621" t="str">
            <v>Pawican National High School</v>
          </cell>
          <cell r="F2621">
            <v>99</v>
          </cell>
          <cell r="G2621">
            <v>31</v>
          </cell>
          <cell r="H2621">
            <v>130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</row>
        <row r="2622">
          <cell r="D2622">
            <v>309910</v>
          </cell>
          <cell r="E2622" t="str">
            <v>Cabitan National High School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</row>
        <row r="2623">
          <cell r="D2623">
            <v>302139</v>
          </cell>
          <cell r="E2623" t="str">
            <v>Jamorawon National High School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</row>
        <row r="2624">
          <cell r="D2624">
            <v>309945</v>
          </cell>
          <cell r="E2624" t="str">
            <v>Rizal Integrated School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</row>
        <row r="2625">
          <cell r="D2625">
            <v>301941</v>
          </cell>
          <cell r="E2625" t="str">
            <v>Banga HS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</row>
        <row r="2626">
          <cell r="D2626">
            <v>309504</v>
          </cell>
          <cell r="E2626" t="str">
            <v>Rawis High School</v>
          </cell>
          <cell r="F2626">
            <v>10</v>
          </cell>
          <cell r="G2626">
            <v>8</v>
          </cell>
          <cell r="H2626">
            <v>18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1</v>
          </cell>
          <cell r="V2626">
            <v>0</v>
          </cell>
          <cell r="W2626">
            <v>1</v>
          </cell>
          <cell r="X2626">
            <v>2</v>
          </cell>
          <cell r="Y2626">
            <v>1</v>
          </cell>
          <cell r="Z2626">
            <v>3</v>
          </cell>
        </row>
        <row r="2627">
          <cell r="D2627">
            <v>302136</v>
          </cell>
          <cell r="E2627" t="str">
            <v>Matagangtang National High School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</row>
        <row r="2628">
          <cell r="D2628">
            <v>309924</v>
          </cell>
          <cell r="E2628" t="str">
            <v>Malbug National High School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</row>
        <row r="2629">
          <cell r="D2629">
            <v>302173</v>
          </cell>
          <cell r="E2629" t="str">
            <v>Tiburcio A. Berdida, Sr. NHS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</row>
        <row r="2630">
          <cell r="D2630">
            <v>309913</v>
          </cell>
          <cell r="E2630" t="str">
            <v>PATROCINIO DELA TORRE NATIONAL HIGH SCHOOL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</row>
        <row r="2631">
          <cell r="D2631">
            <v>302113</v>
          </cell>
          <cell r="E2631" t="str">
            <v>Bagahanglad NHS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</row>
        <row r="2632">
          <cell r="D2632">
            <v>302024</v>
          </cell>
          <cell r="E2632" t="str">
            <v>Magsaysay  National High School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</row>
        <row r="2633">
          <cell r="D2633">
            <v>302167</v>
          </cell>
          <cell r="E2633" t="str">
            <v>San Jacinto National High School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</row>
        <row r="2634">
          <cell r="D2634">
            <v>309904</v>
          </cell>
          <cell r="E2634" t="str">
            <v>Palanas National Agriculture High School</v>
          </cell>
          <cell r="F2634">
            <v>3</v>
          </cell>
          <cell r="G2634">
            <v>5</v>
          </cell>
          <cell r="H2634">
            <v>8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</row>
        <row r="2635">
          <cell r="D2635">
            <v>302110</v>
          </cell>
          <cell r="E2635" t="str">
            <v>Temistocles A. Merioles, Sr. Memorial High School</v>
          </cell>
          <cell r="F2635">
            <v>50</v>
          </cell>
          <cell r="G2635">
            <v>50</v>
          </cell>
          <cell r="H2635">
            <v>100</v>
          </cell>
          <cell r="I2635">
            <v>12</v>
          </cell>
          <cell r="J2635">
            <v>10</v>
          </cell>
          <cell r="K2635">
            <v>22</v>
          </cell>
          <cell r="L2635">
            <v>12</v>
          </cell>
          <cell r="M2635">
            <v>10</v>
          </cell>
          <cell r="N2635">
            <v>22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</row>
        <row r="2636">
          <cell r="D2636">
            <v>309906</v>
          </cell>
          <cell r="E2636" t="str">
            <v>Serafin C. Rosero Memorial High School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</row>
        <row r="2637">
          <cell r="D2637">
            <v>302177</v>
          </cell>
          <cell r="E2637" t="str">
            <v>Villahermosa National High School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</row>
        <row r="2638">
          <cell r="D2638">
            <v>309921</v>
          </cell>
          <cell r="E2638" t="str">
            <v>Feliciano S. Samonte Memorial High School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</row>
        <row r="2639">
          <cell r="D2639">
            <v>302037</v>
          </cell>
          <cell r="E2639" t="str">
            <v>San Juan National HS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</row>
        <row r="2640">
          <cell r="D2640">
            <v>309942</v>
          </cell>
          <cell r="E2640" t="str">
            <v>San Carlos NHS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</row>
        <row r="2641">
          <cell r="D2641">
            <v>302134</v>
          </cell>
          <cell r="E2641" t="str">
            <v>F. Alindogan National High School</v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</row>
        <row r="2642">
          <cell r="D2642">
            <v>309935</v>
          </cell>
          <cell r="E2642" t="str">
            <v>MABABANGBAYBAY NHS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</row>
        <row r="2643">
          <cell r="D2643">
            <v>309928</v>
          </cell>
          <cell r="E2643" t="str">
            <v>Emilio Lee-Llacer Sr. HS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</row>
        <row r="2644">
          <cell r="D2644">
            <v>309915</v>
          </cell>
          <cell r="E2644" t="str">
            <v>Francisca Conag Lavisto MHS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</row>
        <row r="2645">
          <cell r="D2645">
            <v>309932</v>
          </cell>
          <cell r="E2645" t="str">
            <v>Nabongsoran High School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</row>
        <row r="2646">
          <cell r="D2646">
            <v>300291</v>
          </cell>
          <cell r="E2646" t="str">
            <v>Cabangcalan High School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</row>
        <row r="2647">
          <cell r="D2647">
            <v>302170</v>
          </cell>
          <cell r="E2647" t="str">
            <v>San Ramon National High School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</row>
        <row r="2648">
          <cell r="D2648">
            <v>302144</v>
          </cell>
          <cell r="E2648" t="str">
            <v>Magdalena NHS</v>
          </cell>
          <cell r="F2648">
            <v>49</v>
          </cell>
          <cell r="G2648">
            <v>46</v>
          </cell>
          <cell r="H2648">
            <v>95</v>
          </cell>
          <cell r="I2648">
            <v>4</v>
          </cell>
          <cell r="J2648">
            <v>6</v>
          </cell>
          <cell r="K2648">
            <v>10</v>
          </cell>
          <cell r="L2648">
            <v>10</v>
          </cell>
          <cell r="M2648">
            <v>13</v>
          </cell>
          <cell r="N2648">
            <v>23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</row>
        <row r="2649">
          <cell r="D2649">
            <v>302122</v>
          </cell>
          <cell r="E2649" t="str">
            <v>Bugtong National High School</v>
          </cell>
          <cell r="F2649">
            <v>4</v>
          </cell>
          <cell r="G2649">
            <v>2</v>
          </cell>
          <cell r="H2649">
            <v>6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</row>
        <row r="2650">
          <cell r="D2650">
            <v>309940</v>
          </cell>
          <cell r="E2650" t="str">
            <v>Tumalaytay National High School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</row>
        <row r="2651">
          <cell r="D2651">
            <v>302128</v>
          </cell>
          <cell r="E2651" t="str">
            <v>Marcelo A. Anonuevo -Cadulawan National High School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</row>
        <row r="2652">
          <cell r="D2652">
            <v>309742</v>
          </cell>
          <cell r="E2652" t="str">
            <v>Canayonan National High School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</row>
        <row r="2653">
          <cell r="D2653">
            <v>309950</v>
          </cell>
          <cell r="E2653" t="str">
            <v>SIMAWA NATIONAL HIGH SCHOOL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</row>
        <row r="2654">
          <cell r="D2654">
            <v>302145</v>
          </cell>
          <cell r="E2654" t="str">
            <v>Federico A. Estipona Memorial High School</v>
          </cell>
          <cell r="F2654">
            <v>0</v>
          </cell>
          <cell r="G2654">
            <v>300</v>
          </cell>
          <cell r="H2654">
            <v>300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</row>
        <row r="2655">
          <cell r="D2655">
            <v>302156</v>
          </cell>
          <cell r="E2655" t="str">
            <v>Briccio A. Aninang Sr. Mem. HS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</row>
        <row r="2656">
          <cell r="D2656">
            <v>302095</v>
          </cell>
          <cell r="E2656" t="str">
            <v>Panganiban National High School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</row>
        <row r="2657">
          <cell r="D2657">
            <v>302142</v>
          </cell>
          <cell r="E2657" t="str">
            <v>Liong National High School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</row>
        <row r="2658">
          <cell r="D2658">
            <v>302131</v>
          </cell>
          <cell r="E2658" t="str">
            <v>Del Carmen National High School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</row>
        <row r="2659">
          <cell r="D2659">
            <v>309947</v>
          </cell>
          <cell r="E2659" t="str">
            <v>Eastern Capsay Integrated School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</row>
        <row r="2660">
          <cell r="D2660">
            <v>301992</v>
          </cell>
          <cell r="E2660" t="str">
            <v>Tandaay Provincial HS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</row>
        <row r="2661">
          <cell r="D2661">
            <v>301975</v>
          </cell>
          <cell r="E2661" t="str">
            <v>Goa National High School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</row>
        <row r="2662">
          <cell r="D2662">
            <v>301891</v>
          </cell>
          <cell r="E2662" t="str">
            <v>Camarines Norte National HS</v>
          </cell>
          <cell r="F2662">
            <v>331</v>
          </cell>
          <cell r="G2662">
            <v>0</v>
          </cell>
          <cell r="H2662">
            <v>331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</row>
        <row r="2663">
          <cell r="D2663">
            <v>301919</v>
          </cell>
          <cell r="E2663" t="str">
            <v>Froilan D. Lopez  HS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</row>
        <row r="2664">
          <cell r="D2664">
            <v>302147</v>
          </cell>
          <cell r="E2664" t="str">
            <v>Masbate School of Fisheries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</row>
        <row r="2665">
          <cell r="D2665">
            <v>301928</v>
          </cell>
          <cell r="E2665" t="str">
            <v>Antipolo  National High School, Tinambac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</row>
        <row r="2666">
          <cell r="D2666">
            <v>301940</v>
          </cell>
          <cell r="E2666" t="str">
            <v>Himanag  National High School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</row>
        <row r="2667">
          <cell r="D2667">
            <v>302001</v>
          </cell>
          <cell r="E2667" t="str">
            <v>Nabua National High School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</row>
        <row r="2668">
          <cell r="D2668">
            <v>302087</v>
          </cell>
          <cell r="E2668" t="str">
            <v>Dororian NHS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</row>
        <row r="2669">
          <cell r="D2669">
            <v>301943</v>
          </cell>
          <cell r="E2669" t="str">
            <v>Bikal Fisheries School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</row>
        <row r="2670">
          <cell r="D2670">
            <v>309944</v>
          </cell>
          <cell r="E2670" t="str">
            <v>Taisan HS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</row>
        <row r="2671">
          <cell r="D2671">
            <v>301980</v>
          </cell>
          <cell r="E2671" t="str">
            <v>San Jose (Alanao) HS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</row>
        <row r="2672">
          <cell r="D2672">
            <v>301949</v>
          </cell>
          <cell r="E2672" t="str">
            <v>Burabod NHS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</row>
        <row r="2673">
          <cell r="D2673">
            <v>301922</v>
          </cell>
          <cell r="E2673" t="str">
            <v>Tulay Na Lupa National High School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</row>
        <row r="2674">
          <cell r="D2674">
            <v>302033</v>
          </cell>
          <cell r="E2674" t="str">
            <v>San Isidro National High School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</row>
        <row r="2675">
          <cell r="D2675">
            <v>309743</v>
          </cell>
          <cell r="E2675" t="str">
            <v>Bolo Norte HS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</row>
        <row r="2676">
          <cell r="D2676">
            <v>302203</v>
          </cell>
          <cell r="E2676" t="str">
            <v>Danao NHS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</row>
        <row r="2677">
          <cell r="D2677">
            <v>309914</v>
          </cell>
          <cell r="E2677" t="str">
            <v>Mayor Tomas V. Rivera Memorial High School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</row>
        <row r="2678">
          <cell r="D2678">
            <v>500412</v>
          </cell>
          <cell r="E2678" t="str">
            <v>Bote IS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</row>
        <row r="2679">
          <cell r="D2679">
            <v>301986</v>
          </cell>
          <cell r="E2679" t="str">
            <v>La Salvacion NHS</v>
          </cell>
          <cell r="F2679">
            <v>0</v>
          </cell>
          <cell r="G2679">
            <v>0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</row>
        <row r="2680">
          <cell r="D2680">
            <v>302106</v>
          </cell>
          <cell r="E2680" t="str">
            <v>Tubli National High School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</row>
        <row r="2681">
          <cell r="D2681">
            <v>302089</v>
          </cell>
          <cell r="E2681" t="str">
            <v>Hawan National High School</v>
          </cell>
          <cell r="F2681">
            <v>28</v>
          </cell>
          <cell r="G2681">
            <v>13</v>
          </cell>
          <cell r="H2681">
            <v>41</v>
          </cell>
          <cell r="I2681">
            <v>12</v>
          </cell>
          <cell r="J2681">
            <v>12</v>
          </cell>
          <cell r="K2681">
            <v>24</v>
          </cell>
          <cell r="L2681">
            <v>32</v>
          </cell>
          <cell r="M2681">
            <v>40</v>
          </cell>
          <cell r="N2681">
            <v>72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7</v>
          </cell>
          <cell r="V2681">
            <v>0</v>
          </cell>
          <cell r="W2681">
            <v>7</v>
          </cell>
          <cell r="X2681">
            <v>1</v>
          </cell>
          <cell r="Y2681">
            <v>0</v>
          </cell>
          <cell r="Z2681">
            <v>1</v>
          </cell>
        </row>
        <row r="2682">
          <cell r="D2682">
            <v>302148</v>
          </cell>
          <cell r="E2682" t="str">
            <v>Masbate National Comprehensive High School</v>
          </cell>
          <cell r="F2682">
            <v>64</v>
          </cell>
          <cell r="G2682">
            <v>36</v>
          </cell>
          <cell r="H2682">
            <v>100</v>
          </cell>
          <cell r="I2682">
            <v>51</v>
          </cell>
          <cell r="J2682">
            <v>28</v>
          </cell>
          <cell r="K2682">
            <v>79</v>
          </cell>
          <cell r="L2682">
            <v>1393</v>
          </cell>
          <cell r="M2682">
            <v>984</v>
          </cell>
          <cell r="N2682">
            <v>2377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12</v>
          </cell>
          <cell r="V2682">
            <v>7</v>
          </cell>
          <cell r="W2682">
            <v>19</v>
          </cell>
          <cell r="X2682">
            <v>14</v>
          </cell>
          <cell r="Y2682">
            <v>6</v>
          </cell>
          <cell r="Z2682">
            <v>20</v>
          </cell>
        </row>
        <row r="2683">
          <cell r="D2683">
            <v>302264</v>
          </cell>
          <cell r="E2683" t="str">
            <v>Camarines Sur National High School</v>
          </cell>
          <cell r="F2683">
            <v>71</v>
          </cell>
          <cell r="G2683">
            <v>69</v>
          </cell>
          <cell r="H2683">
            <v>140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</row>
        <row r="2684">
          <cell r="D2684">
            <v>309902</v>
          </cell>
          <cell r="E2684" t="str">
            <v>Allanaraiz-Marfil National High School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</row>
        <row r="2685">
          <cell r="D2685">
            <v>302117</v>
          </cell>
          <cell r="E2685" t="str">
            <v>Pedro C. Sese, Sr. Mem. HS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</row>
        <row r="2686">
          <cell r="D2686">
            <v>302097</v>
          </cell>
          <cell r="E2686" t="str">
            <v>San Jose NHS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</row>
        <row r="2687">
          <cell r="D2687">
            <v>310301</v>
          </cell>
          <cell r="E2687" t="str">
            <v>Tinago National High School</v>
          </cell>
          <cell r="F2687">
            <v>79</v>
          </cell>
          <cell r="G2687">
            <v>64</v>
          </cell>
          <cell r="H2687">
            <v>143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</row>
        <row r="2688">
          <cell r="D2688">
            <v>301967</v>
          </cell>
          <cell r="E2688" t="str">
            <v>Don Mariano Gonzalvo MHS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</row>
        <row r="2689">
          <cell r="D2689">
            <v>302093</v>
          </cell>
          <cell r="E2689" t="str">
            <v>Palta NHS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</row>
        <row r="2690">
          <cell r="D2690">
            <v>301917</v>
          </cell>
          <cell r="E2690" t="str">
            <v>Leocadio Alejo Entienza HS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</row>
        <row r="2691">
          <cell r="D2691">
            <v>302157</v>
          </cell>
          <cell r="E2691" t="str">
            <v>Panique National High School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</row>
        <row r="2692">
          <cell r="D2692">
            <v>309909</v>
          </cell>
          <cell r="E2692" t="str">
            <v>Teresita C. Young Memorial High School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</row>
        <row r="2693">
          <cell r="D2693">
            <v>302273</v>
          </cell>
          <cell r="E2693" t="str">
            <v>Gatbo National High School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</row>
        <row r="2694">
          <cell r="D2694">
            <v>302121</v>
          </cell>
          <cell r="E2694" t="str">
            <v>Buenavista National High School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</row>
        <row r="2695">
          <cell r="D2695">
            <v>302267</v>
          </cell>
          <cell r="E2695" t="str">
            <v>Concepcion PequeÃ±a National High School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</row>
        <row r="2696">
          <cell r="D2696">
            <v>302143</v>
          </cell>
          <cell r="E2696" t="str">
            <v>Luy-a National High School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</row>
        <row r="2697">
          <cell r="D2697">
            <v>302085</v>
          </cell>
          <cell r="E2697" t="str">
            <v>Codon National High School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</row>
        <row r="2698">
          <cell r="D2698">
            <v>321702</v>
          </cell>
          <cell r="E2698" t="str">
            <v>Maonon High School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</row>
        <row r="2699">
          <cell r="D2699">
            <v>302146</v>
          </cell>
          <cell r="E2699" t="str">
            <v>Marintoc National High School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</row>
        <row r="2700">
          <cell r="D2700">
            <v>302153</v>
          </cell>
          <cell r="E2700" t="str">
            <v>Rondina-Atendido National High School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</row>
        <row r="2701">
          <cell r="D2701">
            <v>302166</v>
          </cell>
          <cell r="E2701" t="str">
            <v>San Isidro National High School</v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</row>
        <row r="2702">
          <cell r="D2702">
            <v>301979</v>
          </cell>
          <cell r="E2702" t="str">
            <v>Haluban NHS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</row>
        <row r="2703">
          <cell r="D2703">
            <v>309501</v>
          </cell>
          <cell r="E2703" t="str">
            <v>Tobog High School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</row>
        <row r="2704">
          <cell r="D2704">
            <v>309515</v>
          </cell>
          <cell r="E2704" t="str">
            <v>Malilipot National High School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</row>
        <row r="2705">
          <cell r="D2705">
            <v>305726</v>
          </cell>
          <cell r="E2705" t="str">
            <v>Rawis Senior High School</v>
          </cell>
          <cell r="F2705">
            <v>0</v>
          </cell>
          <cell r="G2705">
            <v>0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</row>
        <row r="2706">
          <cell r="D2706">
            <v>302114</v>
          </cell>
          <cell r="E2706" t="str">
            <v>Don Benito Maristela Mem. HS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</row>
        <row r="2707">
          <cell r="D2707">
            <v>302285</v>
          </cell>
          <cell r="E2707" t="str">
            <v>Tabaco National High School</v>
          </cell>
          <cell r="F2707">
            <v>161</v>
          </cell>
          <cell r="G2707">
            <v>286</v>
          </cell>
          <cell r="H2707">
            <v>447</v>
          </cell>
          <cell r="I2707">
            <v>157</v>
          </cell>
          <cell r="J2707">
            <v>279</v>
          </cell>
          <cell r="K2707">
            <v>436</v>
          </cell>
          <cell r="L2707">
            <v>204</v>
          </cell>
          <cell r="M2707">
            <v>253</v>
          </cell>
          <cell r="N2707">
            <v>457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</row>
        <row r="2708">
          <cell r="D2708">
            <v>301950</v>
          </cell>
          <cell r="E2708" t="str">
            <v>Gregorio Ocampo Bercasio MHS (frmerly: Cagliliog HS)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</row>
        <row r="2709">
          <cell r="D2709">
            <v>302023</v>
          </cell>
          <cell r="E2709" t="str">
            <v>Sagrada NHS, Tinambac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</row>
        <row r="2710">
          <cell r="D2710">
            <v>302059</v>
          </cell>
          <cell r="E2710" t="str">
            <v>Tapayas High School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</row>
        <row r="2711">
          <cell r="D2711">
            <v>301974</v>
          </cell>
          <cell r="E2711" t="str">
            <v>Gibgos National High School</v>
          </cell>
          <cell r="F2711">
            <v>0</v>
          </cell>
          <cell r="G2711">
            <v>36</v>
          </cell>
          <cell r="H2711">
            <v>36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</row>
        <row r="2712">
          <cell r="D2712">
            <v>302050</v>
          </cell>
          <cell r="E2712" t="str">
            <v>Sta. Justina High School</v>
          </cell>
          <cell r="F2712">
            <v>0</v>
          </cell>
          <cell r="G2712">
            <v>0</v>
          </cell>
          <cell r="H2712">
            <v>0</v>
          </cell>
          <cell r="I2712">
            <v>13</v>
          </cell>
          <cell r="J2712">
            <v>9</v>
          </cell>
          <cell r="K2712">
            <v>22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</row>
        <row r="2713">
          <cell r="D2713">
            <v>500469</v>
          </cell>
          <cell r="E2713" t="str">
            <v>Toytoy Integrated School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</row>
        <row r="2714">
          <cell r="D2714">
            <v>302011</v>
          </cell>
          <cell r="E2714" t="str">
            <v>Pambuhan National High School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</row>
        <row r="2715">
          <cell r="D2715">
            <v>301964</v>
          </cell>
          <cell r="E2715" t="str">
            <v>Dalupaon National High School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</row>
        <row r="2716">
          <cell r="D2716">
            <v>309708</v>
          </cell>
          <cell r="E2716" t="str">
            <v>Catalotoan HS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</row>
        <row r="2717">
          <cell r="D2717">
            <v>302265</v>
          </cell>
          <cell r="E2717" t="str">
            <v>Cararayan National High School</v>
          </cell>
          <cell r="F2717">
            <v>91</v>
          </cell>
          <cell r="G2717">
            <v>0</v>
          </cell>
          <cell r="H2717">
            <v>91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</row>
        <row r="2718">
          <cell r="D2718">
            <v>309702</v>
          </cell>
          <cell r="E2718" t="str">
            <v>Juan F. Trivino MHS (frmerly: Pasacao Sch. of Fisheries)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</row>
        <row r="2719">
          <cell r="D2719">
            <v>500159</v>
          </cell>
          <cell r="E2719" t="str">
            <v>Cobo Integrated School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</row>
        <row r="2720">
          <cell r="D2720">
            <v>309746</v>
          </cell>
          <cell r="E2720" t="str">
            <v>PAYAK HIGH SCHOOL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</row>
        <row r="2721">
          <cell r="D2721">
            <v>302236</v>
          </cell>
          <cell r="E2721" t="str">
            <v>Salvacion National High School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</row>
        <row r="2722">
          <cell r="D2722">
            <v>302111</v>
          </cell>
          <cell r="E2722" t="str">
            <v>Aroroy NHS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</row>
        <row r="2723">
          <cell r="D2723">
            <v>302021</v>
          </cell>
          <cell r="E2723" t="str">
            <v>Ramon B. Felipe Sr. NHS (frmerly: San Vicente HS)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</row>
        <row r="2724">
          <cell r="D2724">
            <v>302279</v>
          </cell>
          <cell r="E2724" t="str">
            <v>Sorsogon National High School</v>
          </cell>
          <cell r="F2724">
            <v>1211</v>
          </cell>
          <cell r="G2724">
            <v>985</v>
          </cell>
          <cell r="H2724">
            <v>2196</v>
          </cell>
          <cell r="I2724">
            <v>312</v>
          </cell>
          <cell r="J2724">
            <v>216</v>
          </cell>
          <cell r="K2724">
            <v>528</v>
          </cell>
          <cell r="L2724">
            <v>312</v>
          </cell>
          <cell r="M2724">
            <v>216</v>
          </cell>
          <cell r="N2724">
            <v>528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3</v>
          </cell>
          <cell r="Y2724">
            <v>2</v>
          </cell>
          <cell r="Z2724">
            <v>5</v>
          </cell>
        </row>
        <row r="2725">
          <cell r="D2725">
            <v>305545</v>
          </cell>
          <cell r="E2725" t="str">
            <v>Goa Science High School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</row>
        <row r="2726">
          <cell r="D2726">
            <v>309758</v>
          </cell>
          <cell r="E2726" t="str">
            <v>Eduardo V. Agomaa National High School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</row>
        <row r="2727">
          <cell r="D2727">
            <v>301942</v>
          </cell>
          <cell r="E2727" t="str">
            <v>Barcelonita Fisheries School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</row>
        <row r="2728">
          <cell r="D2728">
            <v>309734</v>
          </cell>
          <cell r="E2728" t="str">
            <v>Buenavista National HS</v>
          </cell>
          <cell r="F2728">
            <v>35</v>
          </cell>
          <cell r="G2728">
            <v>61</v>
          </cell>
          <cell r="H2728">
            <v>96</v>
          </cell>
          <cell r="I2728">
            <v>31</v>
          </cell>
          <cell r="J2728">
            <v>43</v>
          </cell>
          <cell r="K2728">
            <v>74</v>
          </cell>
          <cell r="L2728">
            <v>30</v>
          </cell>
          <cell r="M2728">
            <v>42</v>
          </cell>
          <cell r="N2728">
            <v>72</v>
          </cell>
          <cell r="O2728">
            <v>5</v>
          </cell>
          <cell r="P2728">
            <v>6</v>
          </cell>
          <cell r="Q2728">
            <v>11</v>
          </cell>
          <cell r="R2728">
            <v>4</v>
          </cell>
          <cell r="S2728">
            <v>2</v>
          </cell>
          <cell r="T2728">
            <v>6</v>
          </cell>
          <cell r="U2728">
            <v>15</v>
          </cell>
          <cell r="V2728">
            <v>18</v>
          </cell>
          <cell r="W2728">
            <v>33</v>
          </cell>
          <cell r="X2728">
            <v>15</v>
          </cell>
          <cell r="Y2728">
            <v>18</v>
          </cell>
          <cell r="Z2728">
            <v>33</v>
          </cell>
        </row>
        <row r="2729">
          <cell r="D2729">
            <v>310401</v>
          </cell>
          <cell r="E2729" t="str">
            <v>Buhatan National High School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</row>
        <row r="2730">
          <cell r="D2730">
            <v>302042</v>
          </cell>
          <cell r="E2730" t="str">
            <v>San Ramon Provincial High School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</row>
        <row r="2731">
          <cell r="D2731">
            <v>301982</v>
          </cell>
          <cell r="E2731" t="str">
            <v>FELIPE P. PANTON HIGH SCHOOL(Formerly:Inoyonan National HS)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</row>
        <row r="2732">
          <cell r="D2732">
            <v>301936</v>
          </cell>
          <cell r="E2732" t="str">
            <v>Homobono H. Gonzalez National High School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</row>
        <row r="2733">
          <cell r="D2733">
            <v>309759</v>
          </cell>
          <cell r="E2733" t="str">
            <v>Pulang Daga High School</v>
          </cell>
          <cell r="F2733">
            <v>20</v>
          </cell>
          <cell r="G2733">
            <v>20</v>
          </cell>
          <cell r="H2733">
            <v>40</v>
          </cell>
          <cell r="I2733">
            <v>8</v>
          </cell>
          <cell r="J2733">
            <v>10</v>
          </cell>
          <cell r="K2733">
            <v>18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</row>
        <row r="2734">
          <cell r="D2734">
            <v>500414</v>
          </cell>
          <cell r="E2734" t="str">
            <v>Palumbanes Integrated School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</row>
        <row r="2735">
          <cell r="D2735">
            <v>302088</v>
          </cell>
          <cell r="E2735" t="str">
            <v>Gigmoto Rural DHS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</row>
        <row r="2736">
          <cell r="D2736">
            <v>302100</v>
          </cell>
          <cell r="E2736" t="str">
            <v>San Vicente National High School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</row>
        <row r="2737">
          <cell r="D2737">
            <v>309724</v>
          </cell>
          <cell r="E2737" t="str">
            <v>Agay-ayan NHS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</row>
        <row r="2738">
          <cell r="D2738">
            <v>310502</v>
          </cell>
          <cell r="E2738" t="str">
            <v>Comon High School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</row>
        <row r="2739">
          <cell r="D2739">
            <v>309750</v>
          </cell>
          <cell r="E2739" t="str">
            <v>Cristobal D. Aquino Memorial High School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</row>
        <row r="2740">
          <cell r="D2740">
            <v>309764</v>
          </cell>
          <cell r="E2740" t="str">
            <v>R.T. Subastil Memorial HS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</row>
        <row r="2741">
          <cell r="D2741">
            <v>302081</v>
          </cell>
          <cell r="E2741" t="str">
            <v>Caramoran Rural Development High School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</row>
        <row r="2742">
          <cell r="D2742">
            <v>302084</v>
          </cell>
          <cell r="E2742" t="str">
            <v>Calatagan High School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</row>
        <row r="2743">
          <cell r="D2743">
            <v>302025</v>
          </cell>
          <cell r="E2743" t="str">
            <v>Sagrada Familia High School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</row>
        <row r="2744">
          <cell r="D2744">
            <v>302082</v>
          </cell>
          <cell r="E2744" t="str">
            <v>Caramoran School of Fisheries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</row>
        <row r="2745">
          <cell r="D2745">
            <v>302078</v>
          </cell>
          <cell r="E2745" t="str">
            <v>Cabcab NHS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</row>
        <row r="2746">
          <cell r="D2746">
            <v>302281</v>
          </cell>
          <cell r="E2746" t="str">
            <v>Bantayan NHS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</row>
        <row r="2747">
          <cell r="D2747">
            <v>309768</v>
          </cell>
          <cell r="E2747" t="str">
            <v>Cabotonan High School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</row>
        <row r="2748">
          <cell r="D2748">
            <v>302002</v>
          </cell>
          <cell r="E2748" t="str">
            <v>Lourdes PHS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</row>
        <row r="2749">
          <cell r="D2749">
            <v>301958</v>
          </cell>
          <cell r="E2749" t="str">
            <v>Casay National High School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</row>
        <row r="2750">
          <cell r="D2750">
            <v>302070</v>
          </cell>
          <cell r="E2750" t="str">
            <v>Agban NHS</v>
          </cell>
          <cell r="F2750">
            <v>0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</row>
        <row r="2751">
          <cell r="D2751">
            <v>302284</v>
          </cell>
          <cell r="E2751" t="str">
            <v>San Miguel NHS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</row>
        <row r="2752">
          <cell r="D2752">
            <v>301973</v>
          </cell>
          <cell r="E2752" t="str">
            <v>Gainza National HS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</row>
        <row r="2753">
          <cell r="D2753">
            <v>302043</v>
          </cell>
          <cell r="E2753" t="str">
            <v>San Vicente NHS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</row>
        <row r="2754">
          <cell r="D2754">
            <v>500415</v>
          </cell>
          <cell r="E2754" t="str">
            <v>Milaviga IS</v>
          </cell>
          <cell r="F2754">
            <v>30</v>
          </cell>
          <cell r="G2754">
            <v>26</v>
          </cell>
          <cell r="H2754">
            <v>56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</row>
        <row r="2755">
          <cell r="D2755">
            <v>302092</v>
          </cell>
          <cell r="E2755" t="str">
            <v>Mayngaway NHS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</row>
        <row r="2756">
          <cell r="D2756">
            <v>302107</v>
          </cell>
          <cell r="E2756" t="str">
            <v>Viga Rural DHS</v>
          </cell>
          <cell r="F2756">
            <v>159</v>
          </cell>
          <cell r="G2756">
            <v>129</v>
          </cell>
          <cell r="H2756">
            <v>288</v>
          </cell>
          <cell r="I2756">
            <v>107</v>
          </cell>
          <cell r="J2756">
            <v>85</v>
          </cell>
          <cell r="K2756">
            <v>192</v>
          </cell>
          <cell r="L2756">
            <v>472</v>
          </cell>
          <cell r="M2756">
            <v>313</v>
          </cell>
          <cell r="N2756">
            <v>785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5</v>
          </cell>
          <cell r="V2756">
            <v>6</v>
          </cell>
          <cell r="W2756">
            <v>11</v>
          </cell>
          <cell r="X2756">
            <v>8</v>
          </cell>
          <cell r="Y2756">
            <v>10</v>
          </cell>
          <cell r="Z2756">
            <v>18</v>
          </cell>
        </row>
        <row r="2757">
          <cell r="D2757">
            <v>500033</v>
          </cell>
          <cell r="E2757" t="str">
            <v>Sicmil Integrated School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</row>
        <row r="2758">
          <cell r="D2758">
            <v>302152</v>
          </cell>
          <cell r="E2758" t="str">
            <v>Monreal National High School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</row>
        <row r="2759">
          <cell r="D2759">
            <v>309923</v>
          </cell>
          <cell r="E2759" t="str">
            <v>Cogon High School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</row>
        <row r="2760">
          <cell r="D2760">
            <v>302105</v>
          </cell>
          <cell r="E2760" t="str">
            <v>Tinago NHS</v>
          </cell>
          <cell r="F2760">
            <v>47</v>
          </cell>
          <cell r="G2760">
            <v>36</v>
          </cell>
          <cell r="H2760">
            <v>83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</row>
        <row r="2761">
          <cell r="D2761">
            <v>302069</v>
          </cell>
          <cell r="E2761" t="str">
            <v>Vito HS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</row>
        <row r="2762">
          <cell r="D2762">
            <v>302165</v>
          </cell>
          <cell r="E2762" t="str">
            <v>Rodolfo Z. Titong National High School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</row>
        <row r="2763">
          <cell r="D2763">
            <v>302154</v>
          </cell>
          <cell r="E2763" t="str">
            <v>Naro National High School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</row>
        <row r="2764">
          <cell r="D2764">
            <v>309744</v>
          </cell>
          <cell r="E2764" t="str">
            <v>Don Mariano C. San Juan HS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</row>
        <row r="2765">
          <cell r="D2765">
            <v>301951</v>
          </cell>
          <cell r="E2765" t="str">
            <v>JAIME MACATANGAY SR. NHS (formerly: Caima NHS)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</row>
        <row r="2766">
          <cell r="D2766">
            <v>310503</v>
          </cell>
          <cell r="E2766" t="str">
            <v>Hacienda High School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</row>
        <row r="2767">
          <cell r="D2767">
            <v>310504</v>
          </cell>
          <cell r="E2767" t="str">
            <v>Mariroc High School</v>
          </cell>
          <cell r="F2767">
            <v>0</v>
          </cell>
          <cell r="G2767">
            <v>25</v>
          </cell>
          <cell r="H2767">
            <v>25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</row>
        <row r="2768">
          <cell r="D2768">
            <v>302026</v>
          </cell>
          <cell r="E2768" t="str">
            <v>Salvacion HS, Bato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</row>
        <row r="2769">
          <cell r="D2769">
            <v>309933</v>
          </cell>
          <cell r="E2769" t="str">
            <v>Dalipe National High School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</row>
        <row r="2770">
          <cell r="D2770">
            <v>309713</v>
          </cell>
          <cell r="E2770" t="str">
            <v>Buenavista National High School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</row>
        <row r="2771">
          <cell r="D2771">
            <v>302076</v>
          </cell>
          <cell r="E2771" t="str">
            <v>Bugao NHS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</row>
        <row r="2772">
          <cell r="D2772">
            <v>302283</v>
          </cell>
          <cell r="E2772" t="str">
            <v>San Lorenzo NHS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</row>
        <row r="2773">
          <cell r="D2773">
            <v>302091</v>
          </cell>
          <cell r="E2773" t="str">
            <v>Manambrag NHS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</row>
        <row r="2774">
          <cell r="D2774">
            <v>310501</v>
          </cell>
          <cell r="E2774" t="str">
            <v>BogÃ±abong High School</v>
          </cell>
          <cell r="F2774">
            <v>20</v>
          </cell>
          <cell r="G2774">
            <v>0</v>
          </cell>
          <cell r="H2774">
            <v>20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</row>
        <row r="2775">
          <cell r="D2775">
            <v>500032</v>
          </cell>
          <cell r="E2775" t="str">
            <v>Cabugao IS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</row>
        <row r="2776">
          <cell r="D2776">
            <v>309715</v>
          </cell>
          <cell r="E2776" t="str">
            <v>Nato National High School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</row>
        <row r="2777">
          <cell r="D2777">
            <v>309704</v>
          </cell>
          <cell r="E2777" t="str">
            <v>Hanawan  National HS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</row>
        <row r="2778">
          <cell r="D2778">
            <v>301995</v>
          </cell>
          <cell r="E2778" t="str">
            <v>Mangayawan High School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</row>
        <row r="2779">
          <cell r="D2779">
            <v>302066</v>
          </cell>
          <cell r="E2779" t="str">
            <v>Villamayor HS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</row>
        <row r="2780">
          <cell r="D2780">
            <v>309941</v>
          </cell>
          <cell r="E2780" t="str">
            <v>Cristeta Bagano MHS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</row>
        <row r="2781">
          <cell r="D2781">
            <v>309946</v>
          </cell>
          <cell r="E2781" t="str">
            <v>SULPICIO T. CONDOR, SR. NATIONAL HIGH SCHOOL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</row>
        <row r="2782">
          <cell r="D2782">
            <v>302073</v>
          </cell>
          <cell r="E2782" t="str">
            <v>Baras Rural DHS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</row>
        <row r="2783">
          <cell r="D2783">
            <v>301962</v>
          </cell>
          <cell r="E2783" t="str">
            <v>Altamarino-Clasio High School (formerly Curry High School)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</row>
        <row r="2784">
          <cell r="D2784">
            <v>302094</v>
          </cell>
          <cell r="E2784" t="str">
            <v>Pandan SAT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</row>
        <row r="2785">
          <cell r="D2785">
            <v>302123</v>
          </cell>
          <cell r="E2785" t="str">
            <v>Buracan National High School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</row>
        <row r="2786">
          <cell r="D2786">
            <v>301946</v>
          </cell>
          <cell r="E2786" t="str">
            <v>Binanuaanan NHS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</row>
        <row r="2787">
          <cell r="D2787">
            <v>310302</v>
          </cell>
          <cell r="E2787" t="str">
            <v>Leon Q. Mercado HS (Formerly CSNHS-Pacol Annex)</v>
          </cell>
          <cell r="F2787">
            <v>25</v>
          </cell>
          <cell r="G2787">
            <v>18</v>
          </cell>
          <cell r="H2787">
            <v>43</v>
          </cell>
          <cell r="I2787">
            <v>8</v>
          </cell>
          <cell r="J2787">
            <v>8</v>
          </cell>
          <cell r="K2787">
            <v>16</v>
          </cell>
          <cell r="L2787">
            <v>8</v>
          </cell>
          <cell r="M2787">
            <v>8</v>
          </cell>
          <cell r="N2787">
            <v>16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</row>
        <row r="2788">
          <cell r="D2788">
            <v>302104</v>
          </cell>
          <cell r="E2788" t="str">
            <v>Tambogñon NHS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</row>
        <row r="2789">
          <cell r="D2789">
            <v>302034</v>
          </cell>
          <cell r="E2789" t="str">
            <v>Magarao NHS (formerly: San Isidro NHS)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</row>
        <row r="2790">
          <cell r="D2790">
            <v>302268</v>
          </cell>
          <cell r="E2790" t="str">
            <v>Naga City Science High School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</row>
        <row r="2791">
          <cell r="D2791">
            <v>302269</v>
          </cell>
          <cell r="E2791" t="str">
            <v>Naga City School of Arts and Trades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</row>
        <row r="2792">
          <cell r="D2792">
            <v>301934</v>
          </cell>
          <cell r="E2792" t="str">
            <v>BAGACAY NATIONAL HIGH SCHOOL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</row>
        <row r="2793">
          <cell r="D2793">
            <v>309714</v>
          </cell>
          <cell r="E2793" t="str">
            <v>SagÃ±ay Southeastern  HS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</row>
        <row r="2794">
          <cell r="D2794">
            <v>309767</v>
          </cell>
          <cell r="E2794" t="str">
            <v>Manangle High School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</row>
        <row r="2795">
          <cell r="D2795">
            <v>309716</v>
          </cell>
          <cell r="E2795" t="str">
            <v>San Jose Pili National High School</v>
          </cell>
          <cell r="F2795">
            <v>252</v>
          </cell>
          <cell r="G2795">
            <v>272</v>
          </cell>
          <cell r="H2795">
            <v>524</v>
          </cell>
          <cell r="I2795">
            <v>156</v>
          </cell>
          <cell r="J2795">
            <v>182</v>
          </cell>
          <cell r="K2795">
            <v>338</v>
          </cell>
          <cell r="L2795">
            <v>624</v>
          </cell>
          <cell r="M2795">
            <v>228</v>
          </cell>
          <cell r="N2795">
            <v>852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12</v>
          </cell>
          <cell r="V2795">
            <v>24</v>
          </cell>
          <cell r="W2795">
            <v>36</v>
          </cell>
          <cell r="X2795">
            <v>3</v>
          </cell>
          <cell r="Y2795">
            <v>2</v>
          </cell>
          <cell r="Z2795">
            <v>5</v>
          </cell>
        </row>
        <row r="2796">
          <cell r="D2796">
            <v>309717</v>
          </cell>
          <cell r="E2796" t="str">
            <v>San Vicente HS, Sipocot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</row>
        <row r="2797">
          <cell r="D2797">
            <v>309718</v>
          </cell>
          <cell r="E2797" t="str">
            <v>Dalupaon NHS - Tinalmud  PHS Annex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</row>
        <row r="2798">
          <cell r="D2798">
            <v>302109</v>
          </cell>
          <cell r="E2798" t="str">
            <v>Andres Clemente Jr.National HS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</row>
        <row r="2799">
          <cell r="D2799">
            <v>301981</v>
          </cell>
          <cell r="E2799" t="str">
            <v>Hobo National High School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</row>
        <row r="2800">
          <cell r="D2800">
            <v>302164</v>
          </cell>
          <cell r="E2800" t="str">
            <v>Quinayangan National High School</v>
          </cell>
          <cell r="F2800">
            <v>47</v>
          </cell>
          <cell r="G2800">
            <v>41</v>
          </cell>
          <cell r="H2800">
            <v>88</v>
          </cell>
          <cell r="I2800">
            <v>5</v>
          </cell>
          <cell r="J2800">
            <v>20</v>
          </cell>
          <cell r="K2800">
            <v>25</v>
          </cell>
          <cell r="L2800">
            <v>2</v>
          </cell>
          <cell r="M2800">
            <v>7</v>
          </cell>
          <cell r="N2800">
            <v>9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3</v>
          </cell>
          <cell r="V2800">
            <v>0</v>
          </cell>
          <cell r="W2800">
            <v>3</v>
          </cell>
          <cell r="X2800">
            <v>0</v>
          </cell>
          <cell r="Y2800">
            <v>0</v>
          </cell>
          <cell r="Z2800">
            <v>0</v>
          </cell>
        </row>
        <row r="2801">
          <cell r="D2801">
            <v>309751</v>
          </cell>
          <cell r="E2801" t="str">
            <v>Ragay Science and Math Oriented High School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</row>
        <row r="2802">
          <cell r="D2802">
            <v>302141</v>
          </cell>
          <cell r="E2802" t="str">
            <v>Lahong National High School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</row>
        <row r="2803">
          <cell r="D2803">
            <v>309766</v>
          </cell>
          <cell r="E2803" t="str">
            <v>Cabalinadan High School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</row>
        <row r="2804">
          <cell r="D2804">
            <v>309736</v>
          </cell>
          <cell r="E2804" t="str">
            <v>Dr. Nelson A. Mejia HS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</row>
        <row r="2805">
          <cell r="D2805">
            <v>301977</v>
          </cell>
          <cell r="E2805" t="str">
            <v>Godofredo Reyes Sr. National HS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</row>
        <row r="2806">
          <cell r="D2806">
            <v>301993</v>
          </cell>
          <cell r="E2806" t="str">
            <v>Mambayawas HS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</row>
        <row r="2807">
          <cell r="D2807">
            <v>301935</v>
          </cell>
          <cell r="E2807" t="str">
            <v>Bahao HS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</row>
        <row r="2808">
          <cell r="D2808">
            <v>301956</v>
          </cell>
          <cell r="E2808" t="str">
            <v>Caranday HS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</row>
        <row r="2809">
          <cell r="D2809">
            <v>309925</v>
          </cell>
          <cell r="E2809" t="str">
            <v>Damaso R. Rubia MHS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</row>
        <row r="2810">
          <cell r="D2810">
            <v>309753</v>
          </cell>
          <cell r="E2810" t="str">
            <v>Salogon High School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</row>
        <row r="2811">
          <cell r="D2811">
            <v>302008</v>
          </cell>
          <cell r="E2811" t="str">
            <v>Oring National High School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</row>
        <row r="2812">
          <cell r="D2812">
            <v>301926</v>
          </cell>
          <cell r="E2812" t="str">
            <v>Agdangan National High School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</row>
        <row r="2813">
          <cell r="D2813">
            <v>301931</v>
          </cell>
          <cell r="E2813" t="str">
            <v>Baao National High School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</row>
        <row r="2814">
          <cell r="D2814">
            <v>301948</v>
          </cell>
          <cell r="E2814" t="str">
            <v>Bula NHS - Caorasan Annex HS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</row>
        <row r="2815">
          <cell r="D2815">
            <v>301953</v>
          </cell>
          <cell r="E2815" t="str">
            <v>Quipayo National High School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</row>
        <row r="2816">
          <cell r="D2816">
            <v>301976</v>
          </cell>
          <cell r="E2816" t="str">
            <v>Pinaglabanan High School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</row>
        <row r="2817">
          <cell r="D2817">
            <v>301978</v>
          </cell>
          <cell r="E2817" t="str">
            <v>Guijalo National High School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</row>
        <row r="2818">
          <cell r="D2818">
            <v>301991</v>
          </cell>
          <cell r="E2818" t="str">
            <v>Malawag National High School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</row>
        <row r="2819">
          <cell r="D2819">
            <v>301996</v>
          </cell>
          <cell r="E2819" t="str">
            <v>Mansalaya National High School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</row>
        <row r="2820">
          <cell r="D2820">
            <v>302027</v>
          </cell>
          <cell r="E2820" t="str">
            <v>San Roque High School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</row>
        <row r="2821">
          <cell r="D2821">
            <v>302036</v>
          </cell>
          <cell r="E2821" t="str">
            <v>San Jose NHS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</row>
        <row r="2822">
          <cell r="D2822">
            <v>302048</v>
          </cell>
          <cell r="E2822" t="str">
            <v>Siruma NHS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</row>
        <row r="2823">
          <cell r="D2823">
            <v>302061</v>
          </cell>
          <cell r="E2823" t="str">
            <v>Bonifacio D. Borebor Sr. HS  - Eastern Coast Annex HS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</row>
        <row r="2824">
          <cell r="D2824">
            <v>302065</v>
          </cell>
          <cell r="E2824" t="str">
            <v>Union National High School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</row>
        <row r="2825">
          <cell r="D2825">
            <v>309709</v>
          </cell>
          <cell r="E2825" t="str">
            <v>Buhi SPED Integrated School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</row>
        <row r="2826">
          <cell r="D2826">
            <v>309719</v>
          </cell>
          <cell r="E2826" t="str">
            <v>Doña Basilia S. Quilon Memorial High School (formerly:Bagong Sirang HS)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</row>
        <row r="2827">
          <cell r="D2827">
            <v>309725</v>
          </cell>
          <cell r="E2827" t="str">
            <v>Laganac  High School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</row>
        <row r="2828">
          <cell r="D2828">
            <v>309738</v>
          </cell>
          <cell r="E2828" t="str">
            <v>Payatan National High School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</row>
        <row r="2829">
          <cell r="D2829">
            <v>309739</v>
          </cell>
          <cell r="E2829" t="str">
            <v>Bantugan National High School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</row>
        <row r="2830">
          <cell r="D2830">
            <v>309740</v>
          </cell>
          <cell r="E2830" t="str">
            <v>Visita De Salog HS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</row>
        <row r="2831">
          <cell r="D2831">
            <v>309749</v>
          </cell>
          <cell r="E2831" t="str">
            <v>BINOBONG HIGH SCHOOL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</row>
        <row r="2832">
          <cell r="D2832">
            <v>300312</v>
          </cell>
          <cell r="E2832" t="str">
            <v>Calabnigan Green Meadows High School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</row>
        <row r="2833">
          <cell r="D2833">
            <v>301930</v>
          </cell>
          <cell r="E2833" t="str">
            <v>Sisa Feliciano MHS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</row>
        <row r="2834">
          <cell r="D2834">
            <v>301972</v>
          </cell>
          <cell r="E2834" t="str">
            <v>Siruma NHS - Fundado Annex High School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</row>
        <row r="2835">
          <cell r="D2835">
            <v>302063</v>
          </cell>
          <cell r="E2835" t="str">
            <v>Tierra Nevada HS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</row>
        <row r="2836">
          <cell r="D2836">
            <v>309741</v>
          </cell>
          <cell r="E2836" t="str">
            <v>Juan L. Filipino Memorial High School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</row>
        <row r="2837">
          <cell r="D2837">
            <v>309769</v>
          </cell>
          <cell r="E2837" t="str">
            <v>Pasacao Municipal High School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</row>
        <row r="2838">
          <cell r="D2838">
            <v>309760</v>
          </cell>
          <cell r="E2838" t="str">
            <v>Fabrica HS - La Victoria Annex HS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</row>
        <row r="2839">
          <cell r="D2839">
            <v>302013</v>
          </cell>
          <cell r="E2839" t="str">
            <v>PAMUKID NATIONAL HIGH SCHOOL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</row>
        <row r="2840">
          <cell r="D2840">
            <v>309771</v>
          </cell>
          <cell r="E2840" t="str">
            <v>Villafuerte-Peña High School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</row>
        <row r="2841">
          <cell r="D2841">
            <v>302019</v>
          </cell>
          <cell r="E2841" t="str">
            <v>Presentacion NHS (formerly:Pili NHS)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</row>
        <row r="2842">
          <cell r="D2842">
            <v>302135</v>
          </cell>
          <cell r="E2842" t="str">
            <v>Felixberto Del Rosario, Sr. Mem. HS</v>
          </cell>
          <cell r="F2842">
            <v>0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</row>
        <row r="2843">
          <cell r="D2843">
            <v>302035</v>
          </cell>
          <cell r="E2843" t="str">
            <v>Rangas-Ramos NHS (frmerly:Sn Jose Fish.Sch.)</v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</row>
        <row r="2844">
          <cell r="D2844">
            <v>302169</v>
          </cell>
          <cell r="E2844" t="str">
            <v>San Pedro NHS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</row>
        <row r="2845">
          <cell r="D2845">
            <v>309937</v>
          </cell>
          <cell r="E2845" t="str">
            <v>Vicente D. Alburo High School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</row>
        <row r="2846">
          <cell r="D2846">
            <v>302016</v>
          </cell>
          <cell r="E2846" t="str">
            <v>Pili NHS, Pili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</row>
        <row r="2847">
          <cell r="D2847">
            <v>302012</v>
          </cell>
          <cell r="E2847" t="str">
            <v>Pamplona NHS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</row>
        <row r="2848">
          <cell r="D2848">
            <v>302051</v>
          </cell>
          <cell r="E2848" t="str">
            <v>Sta. Lutgarda National High School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</row>
        <row r="2849">
          <cell r="D2849">
            <v>302062</v>
          </cell>
          <cell r="E2849" t="str">
            <v>Bonifacio D. Borebor Sr. HS - Northern Peninsula Annex HS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</row>
        <row r="2850">
          <cell r="D2850">
            <v>302052</v>
          </cell>
          <cell r="E2850" t="str">
            <v>Camaligan National High School (formerly: Santo Tomas NHS)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</row>
        <row r="2851">
          <cell r="D2851">
            <v>302022</v>
          </cell>
          <cell r="E2851" t="str">
            <v>Rodriguez NHS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</row>
        <row r="2852">
          <cell r="D2852">
            <v>302060</v>
          </cell>
          <cell r="E2852" t="str">
            <v>Bonifacio D. Borebor Sr. HS (formerly:Tawog NHS)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</row>
        <row r="2853">
          <cell r="D2853">
            <v>302684</v>
          </cell>
          <cell r="E2853" t="str">
            <v>Andres Gumban MNHS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</row>
        <row r="2854">
          <cell r="D2854">
            <v>302693</v>
          </cell>
          <cell r="E2854" t="str">
            <v>Toboso NHS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</row>
        <row r="2855">
          <cell r="D2855">
            <v>302690</v>
          </cell>
          <cell r="E2855" t="str">
            <v>Tanza NHS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</row>
        <row r="2856">
          <cell r="D2856">
            <v>302644</v>
          </cell>
          <cell r="E2856" t="str">
            <v>Guiljungan NHS - Talacdan Ext.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</row>
        <row r="2857">
          <cell r="D2857">
            <v>343897</v>
          </cell>
          <cell r="E2857" t="str">
            <v>SHS in Calatrava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</row>
        <row r="2858">
          <cell r="D2858">
            <v>310803</v>
          </cell>
          <cell r="E2858" t="str">
            <v>Tapaz NHS</v>
          </cell>
          <cell r="F2858">
            <v>24</v>
          </cell>
          <cell r="G2858">
            <v>23</v>
          </cell>
          <cell r="H2858">
            <v>47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11</v>
          </cell>
          <cell r="Y2858">
            <v>5</v>
          </cell>
          <cell r="Z2858">
            <v>16</v>
          </cell>
        </row>
        <row r="2859">
          <cell r="D2859">
            <v>302600</v>
          </cell>
          <cell r="E2859" t="str">
            <v>Bilbao Uybico NHS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</row>
        <row r="2860">
          <cell r="D2860">
            <v>302608</v>
          </cell>
          <cell r="E2860" t="str">
            <v>Quirico G. Manzano NHS</v>
          </cell>
          <cell r="F2860">
            <v>10</v>
          </cell>
          <cell r="G2860">
            <v>15</v>
          </cell>
          <cell r="H2860">
            <v>25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</row>
        <row r="2861">
          <cell r="D2861">
            <v>302688</v>
          </cell>
          <cell r="E2861" t="str">
            <v>Tabu NHS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</row>
        <row r="2862">
          <cell r="D2862">
            <v>302645</v>
          </cell>
          <cell r="E2862" t="str">
            <v>Tuyom NHS (Guiljungan NHS - Tuyom Ext.)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</row>
        <row r="2863">
          <cell r="D2863">
            <v>310815</v>
          </cell>
          <cell r="E2863" t="str">
            <v>Mianay NHS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</row>
        <row r="2864">
          <cell r="D2864">
            <v>302691</v>
          </cell>
          <cell r="E2864" t="str">
            <v>Tigbao NHS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</row>
        <row r="2865">
          <cell r="D2865">
            <v>310804</v>
          </cell>
          <cell r="E2865" t="str">
            <v>Maindang National High School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</row>
        <row r="2866">
          <cell r="D2866">
            <v>302424</v>
          </cell>
          <cell r="E2866" t="str">
            <v>Sapian National High School</v>
          </cell>
          <cell r="F2866">
            <v>12</v>
          </cell>
          <cell r="G2866">
            <v>20</v>
          </cell>
          <cell r="H2866">
            <v>32</v>
          </cell>
          <cell r="I2866">
            <v>3</v>
          </cell>
          <cell r="J2866">
            <v>4</v>
          </cell>
          <cell r="K2866">
            <v>7</v>
          </cell>
          <cell r="L2866">
            <v>7</v>
          </cell>
          <cell r="M2866">
            <v>10</v>
          </cell>
          <cell r="N2866">
            <v>17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</row>
        <row r="2867">
          <cell r="D2867">
            <v>302454</v>
          </cell>
          <cell r="E2867" t="str">
            <v>Balasan NHS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</row>
        <row r="2868">
          <cell r="D2868">
            <v>302467</v>
          </cell>
          <cell r="E2868" t="str">
            <v>Botong-Cabanbanan NHS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</row>
        <row r="2869">
          <cell r="D2869">
            <v>302569</v>
          </cell>
          <cell r="E2869" t="str">
            <v>San Rafael NHS (San Rafael)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</row>
        <row r="2870">
          <cell r="D2870">
            <v>302585</v>
          </cell>
          <cell r="E2870" t="str">
            <v>Zarraga National High School</v>
          </cell>
          <cell r="F2870">
            <v>413</v>
          </cell>
          <cell r="G2870">
            <v>260</v>
          </cell>
          <cell r="H2870">
            <v>673</v>
          </cell>
          <cell r="I2870">
            <v>21</v>
          </cell>
          <cell r="J2870">
            <v>15</v>
          </cell>
          <cell r="K2870">
            <v>36</v>
          </cell>
          <cell r="L2870">
            <v>6</v>
          </cell>
          <cell r="M2870">
            <v>18</v>
          </cell>
          <cell r="N2870">
            <v>24</v>
          </cell>
          <cell r="O2870">
            <v>12</v>
          </cell>
          <cell r="P2870">
            <v>10</v>
          </cell>
          <cell r="Q2870">
            <v>22</v>
          </cell>
          <cell r="R2870">
            <v>20</v>
          </cell>
          <cell r="S2870">
            <v>11</v>
          </cell>
          <cell r="T2870">
            <v>31</v>
          </cell>
          <cell r="U2870">
            <v>5</v>
          </cell>
          <cell r="V2870">
            <v>2</v>
          </cell>
          <cell r="W2870">
            <v>7</v>
          </cell>
          <cell r="X2870">
            <v>0</v>
          </cell>
          <cell r="Y2870">
            <v>0</v>
          </cell>
          <cell r="Z2870">
            <v>0</v>
          </cell>
        </row>
        <row r="2871">
          <cell r="D2871">
            <v>302457</v>
          </cell>
          <cell r="E2871" t="str">
            <v>Barotac Nuevo National Comprehensive High School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</row>
        <row r="2872">
          <cell r="D2872">
            <v>302507</v>
          </cell>
          <cell r="E2872" t="str">
            <v>Igbaras NHS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</row>
        <row r="2873">
          <cell r="D2873">
            <v>302443</v>
          </cell>
          <cell r="E2873" t="str">
            <v>Ajuy NHS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</row>
        <row r="2874">
          <cell r="D2874">
            <v>302542</v>
          </cell>
          <cell r="E2874" t="str">
            <v>Oton National High School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</row>
        <row r="2875">
          <cell r="D2875">
            <v>302583</v>
          </cell>
          <cell r="E2875" t="str">
            <v>Tubungan NHS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</row>
        <row r="2876">
          <cell r="D2876">
            <v>302495</v>
          </cell>
          <cell r="E2876" t="str">
            <v>Don Felix Serra NHS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</row>
        <row r="2877">
          <cell r="D2877">
            <v>302550</v>
          </cell>
          <cell r="E2877" t="str">
            <v>Pavia National High School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</row>
        <row r="2878">
          <cell r="D2878">
            <v>302578</v>
          </cell>
          <cell r="E2878" t="str">
            <v>Tigbauan NHS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</row>
        <row r="2879">
          <cell r="D2879">
            <v>302576</v>
          </cell>
          <cell r="E2879" t="str">
            <v>Tagsing-Buyo NHS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</row>
        <row r="2880">
          <cell r="D2880">
            <v>302516</v>
          </cell>
          <cell r="E2880" t="str">
            <v>Leonora S. Salapantan NHS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</row>
        <row r="2881">
          <cell r="D2881">
            <v>302484</v>
          </cell>
          <cell r="E2881" t="str">
            <v>Roberto H. Tirol High School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</row>
        <row r="2882">
          <cell r="D2882">
            <v>311022</v>
          </cell>
          <cell r="E2882" t="str">
            <v>CAMBITU NHS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</row>
        <row r="2883">
          <cell r="D2883">
            <v>302476</v>
          </cell>
          <cell r="E2883" t="str">
            <v>Batuan-Cadinglian NHS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</row>
        <row r="2884">
          <cell r="D2884">
            <v>302564</v>
          </cell>
          <cell r="E2884" t="str">
            <v>San Enrique NCHS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</row>
        <row r="2885">
          <cell r="D2885">
            <v>302574</v>
          </cell>
          <cell r="E2885" t="str">
            <v>Sta. Rita National High School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</row>
        <row r="2886">
          <cell r="D2886">
            <v>302498</v>
          </cell>
          <cell r="E2886" t="str">
            <v>Dumangas NHS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</row>
        <row r="2887">
          <cell r="D2887">
            <v>302573</v>
          </cell>
          <cell r="E2887" t="str">
            <v>Santa Barbara National Comprehensive High School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</row>
        <row r="2888">
          <cell r="D2888">
            <v>302452</v>
          </cell>
          <cell r="E2888" t="str">
            <v>Badiangan NHS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</row>
        <row r="2889">
          <cell r="D2889">
            <v>302473</v>
          </cell>
          <cell r="E2889" t="str">
            <v>Cabatuan NCHS</v>
          </cell>
          <cell r="F2889">
            <v>759</v>
          </cell>
          <cell r="G2889">
            <v>636</v>
          </cell>
          <cell r="H2889">
            <v>1395</v>
          </cell>
          <cell r="I2889">
            <v>366</v>
          </cell>
          <cell r="J2889">
            <v>290</v>
          </cell>
          <cell r="K2889">
            <v>656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416</v>
          </cell>
          <cell r="V2889">
            <v>376</v>
          </cell>
          <cell r="W2889">
            <v>792</v>
          </cell>
          <cell r="X2889">
            <v>0</v>
          </cell>
          <cell r="Y2889">
            <v>0</v>
          </cell>
          <cell r="Z2889">
            <v>0</v>
          </cell>
        </row>
        <row r="2890">
          <cell r="D2890">
            <v>302506</v>
          </cell>
          <cell r="E2890" t="str">
            <v>Guimbal NHS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</row>
        <row r="2891">
          <cell r="D2891">
            <v>311026</v>
          </cell>
          <cell r="E2891" t="str">
            <v>Vicente Aguilar NHS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</row>
        <row r="2892">
          <cell r="D2892">
            <v>302482</v>
          </cell>
          <cell r="E2892" t="str">
            <v>Cawayan NHS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</row>
        <row r="2893">
          <cell r="D2893">
            <v>302580</v>
          </cell>
          <cell r="E2893" t="str">
            <v>Tina National High School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</row>
        <row r="2894">
          <cell r="D2894">
            <v>302490</v>
          </cell>
          <cell r="E2894" t="str">
            <v>Dingle NHS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</row>
        <row r="2895">
          <cell r="D2895">
            <v>302520</v>
          </cell>
          <cell r="E2895" t="str">
            <v>Leganes National High School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</row>
        <row r="2896">
          <cell r="D2896">
            <v>311019</v>
          </cell>
          <cell r="E2896" t="str">
            <v>Binolusan Pequeño National High School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</row>
        <row r="2897">
          <cell r="D2897">
            <v>302548</v>
          </cell>
          <cell r="E2897" t="str">
            <v>Parara NHS</v>
          </cell>
          <cell r="F2897">
            <v>24</v>
          </cell>
          <cell r="G2897">
            <v>19</v>
          </cell>
          <cell r="H2897">
            <v>43</v>
          </cell>
          <cell r="I2897">
            <v>11</v>
          </cell>
          <cell r="J2897">
            <v>9</v>
          </cell>
          <cell r="K2897">
            <v>20</v>
          </cell>
          <cell r="L2897">
            <v>13</v>
          </cell>
          <cell r="M2897">
            <v>10</v>
          </cell>
          <cell r="N2897">
            <v>23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</row>
        <row r="2898">
          <cell r="D2898">
            <v>311018</v>
          </cell>
          <cell r="E2898" t="str">
            <v>Fernandez Perez MNHS</v>
          </cell>
          <cell r="F2898">
            <v>11</v>
          </cell>
          <cell r="G2898">
            <v>8</v>
          </cell>
          <cell r="H2898">
            <v>19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</row>
        <row r="2899">
          <cell r="D2899">
            <v>302604</v>
          </cell>
          <cell r="E2899" t="str">
            <v>Laga-an National High School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</row>
        <row r="2900">
          <cell r="D2900">
            <v>302533</v>
          </cell>
          <cell r="E2900" t="str">
            <v>Mina NHS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</row>
        <row r="2901">
          <cell r="D2901">
            <v>302539</v>
          </cell>
          <cell r="E2901" t="str">
            <v>New Lucena National Comprehensive High School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</row>
        <row r="2902">
          <cell r="D2902">
            <v>302477</v>
          </cell>
          <cell r="E2902" t="str">
            <v>Calinog NCHS</v>
          </cell>
          <cell r="F2902">
            <v>58</v>
          </cell>
          <cell r="G2902">
            <v>0</v>
          </cell>
          <cell r="H2902">
            <v>58</v>
          </cell>
          <cell r="I2902">
            <v>28</v>
          </cell>
          <cell r="J2902">
            <v>0</v>
          </cell>
          <cell r="K2902">
            <v>28</v>
          </cell>
          <cell r="L2902">
            <v>15</v>
          </cell>
          <cell r="M2902">
            <v>0</v>
          </cell>
          <cell r="N2902">
            <v>15</v>
          </cell>
          <cell r="O2902">
            <v>3</v>
          </cell>
          <cell r="P2902">
            <v>0</v>
          </cell>
          <cell r="Q2902">
            <v>3</v>
          </cell>
          <cell r="R2902">
            <v>2</v>
          </cell>
          <cell r="S2902">
            <v>0</v>
          </cell>
          <cell r="T2902">
            <v>2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</row>
        <row r="2903">
          <cell r="D2903">
            <v>311015</v>
          </cell>
          <cell r="E2903" t="str">
            <v>Calicuang NHS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</row>
        <row r="2904">
          <cell r="D2904">
            <v>302460</v>
          </cell>
          <cell r="E2904" t="str">
            <v>Batad National High School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</row>
        <row r="2905">
          <cell r="D2905">
            <v>302521</v>
          </cell>
          <cell r="E2905" t="str">
            <v>Lemery National High School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</row>
        <row r="2906">
          <cell r="D2906">
            <v>302561</v>
          </cell>
          <cell r="E2906" t="str">
            <v>Salihid NHS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</row>
        <row r="2907">
          <cell r="D2907">
            <v>302630</v>
          </cell>
          <cell r="E2907" t="str">
            <v>Florentina F. CaÃ±a Recto NHS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</row>
        <row r="2908">
          <cell r="D2908">
            <v>302491</v>
          </cell>
          <cell r="E2908" t="str">
            <v>Dominador Abang MNHS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</row>
        <row r="2909">
          <cell r="D2909">
            <v>302526</v>
          </cell>
          <cell r="E2909" t="str">
            <v>Malitbog National High School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</row>
        <row r="2910">
          <cell r="D2910">
            <v>311008</v>
          </cell>
          <cell r="E2910" t="str">
            <v>Rufino G. Palabrica, Sr. NHS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</row>
        <row r="2911">
          <cell r="D2911">
            <v>302487</v>
          </cell>
          <cell r="E2911" t="str">
            <v>Daga-Barasan NHS</v>
          </cell>
          <cell r="F2911">
            <v>28</v>
          </cell>
          <cell r="G2911">
            <v>24</v>
          </cell>
          <cell r="H2911">
            <v>52</v>
          </cell>
          <cell r="I2911">
            <v>23</v>
          </cell>
          <cell r="J2911">
            <v>22</v>
          </cell>
          <cell r="K2911">
            <v>45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</row>
        <row r="2912">
          <cell r="D2912">
            <v>302551</v>
          </cell>
          <cell r="E2912" t="str">
            <v>PAYAO NHS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</row>
        <row r="2913">
          <cell r="D2913">
            <v>302565</v>
          </cell>
          <cell r="E2913" t="str">
            <v>SAN FERNANDO NATIONAL HIGH SCHOOL</v>
          </cell>
          <cell r="F2913">
            <v>39</v>
          </cell>
          <cell r="G2913">
            <v>40</v>
          </cell>
          <cell r="H2913">
            <v>79</v>
          </cell>
          <cell r="I2913">
            <v>10</v>
          </cell>
          <cell r="J2913">
            <v>16</v>
          </cell>
          <cell r="K2913">
            <v>26</v>
          </cell>
          <cell r="L2913">
            <v>5</v>
          </cell>
          <cell r="M2913">
            <v>7</v>
          </cell>
          <cell r="N2913">
            <v>12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</row>
        <row r="2914">
          <cell r="D2914">
            <v>302468</v>
          </cell>
          <cell r="E2914" t="str">
            <v>Buayahon-Bantay NHS</v>
          </cell>
          <cell r="F2914">
            <v>23</v>
          </cell>
          <cell r="G2914">
            <v>12</v>
          </cell>
          <cell r="H2914">
            <v>35</v>
          </cell>
          <cell r="I2914">
            <v>23</v>
          </cell>
          <cell r="J2914">
            <v>12</v>
          </cell>
          <cell r="K2914">
            <v>35</v>
          </cell>
          <cell r="L2914">
            <v>2</v>
          </cell>
          <cell r="M2914">
            <v>1</v>
          </cell>
          <cell r="N2914">
            <v>3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</row>
        <row r="2915">
          <cell r="D2915">
            <v>302494</v>
          </cell>
          <cell r="E2915" t="str">
            <v>Don Casimero Andrada NHS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</row>
        <row r="2916">
          <cell r="D2916">
            <v>302475</v>
          </cell>
          <cell r="E2916" t="str">
            <v>Cadagmayan NHS</v>
          </cell>
          <cell r="F2916">
            <v>32</v>
          </cell>
          <cell r="G2916">
            <v>18</v>
          </cell>
          <cell r="H2916">
            <v>50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</row>
        <row r="2917">
          <cell r="D2917">
            <v>311001</v>
          </cell>
          <cell r="E2917" t="str">
            <v>Valerio P. Palmares NHS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</row>
        <row r="2918">
          <cell r="D2918">
            <v>302568</v>
          </cell>
          <cell r="E2918" t="str">
            <v>San Rafael NHS (Miagao)</v>
          </cell>
          <cell r="F2918">
            <v>11</v>
          </cell>
          <cell r="G2918">
            <v>20</v>
          </cell>
          <cell r="H2918">
            <v>31</v>
          </cell>
          <cell r="I2918">
            <v>7</v>
          </cell>
          <cell r="J2918">
            <v>13</v>
          </cell>
          <cell r="K2918">
            <v>20</v>
          </cell>
          <cell r="L2918">
            <v>21</v>
          </cell>
          <cell r="M2918">
            <v>38</v>
          </cell>
          <cell r="N2918">
            <v>59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</row>
        <row r="2919">
          <cell r="D2919">
            <v>302652</v>
          </cell>
          <cell r="E2919" t="str">
            <v>Inocencio V. Ferrer SOF (TASOF)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</row>
        <row r="2920">
          <cell r="D2920">
            <v>302465</v>
          </cell>
          <cell r="E2920" t="str">
            <v>Bingawan NHS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</row>
        <row r="2921">
          <cell r="D2921">
            <v>311025</v>
          </cell>
          <cell r="E2921" t="str">
            <v>Jovita Alfaras Rivera National High School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</row>
        <row r="2922">
          <cell r="D2922">
            <v>302545</v>
          </cell>
          <cell r="E2922" t="str">
            <v>Bacolod NHS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</row>
        <row r="2923">
          <cell r="D2923">
            <v>302731</v>
          </cell>
          <cell r="E2923" t="str">
            <v>Mabini National High School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</row>
        <row r="2924">
          <cell r="D2924">
            <v>302449</v>
          </cell>
          <cell r="E2924" t="str">
            <v>Anilao NHS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</row>
        <row r="2925">
          <cell r="D2925">
            <v>302442</v>
          </cell>
          <cell r="E2925" t="str">
            <v>Acao NHS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</row>
        <row r="2926">
          <cell r="D2926">
            <v>302686</v>
          </cell>
          <cell r="E2926" t="str">
            <v>Tabao NHS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</row>
        <row r="2927">
          <cell r="D2927">
            <v>302655</v>
          </cell>
          <cell r="E2927" t="str">
            <v>Isabela National High School-Sikatuna Extension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</row>
        <row r="2928">
          <cell r="D2928">
            <v>302397</v>
          </cell>
          <cell r="E2928" t="str">
            <v>DAVID MOISES MEMORIAL HIGH SCHOOL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</row>
        <row r="2929">
          <cell r="D2929">
            <v>302591</v>
          </cell>
          <cell r="E2929" t="str">
            <v>ANTIPOLO NATIONAL HIGH SCHOOL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</row>
        <row r="2930">
          <cell r="D2930">
            <v>302480</v>
          </cell>
          <cell r="E2930" t="str">
            <v>Camiros NHS</v>
          </cell>
          <cell r="F2930">
            <v>8</v>
          </cell>
          <cell r="G2930">
            <v>23</v>
          </cell>
          <cell r="H2930">
            <v>31</v>
          </cell>
          <cell r="I2930">
            <v>0</v>
          </cell>
          <cell r="J2930">
            <v>5</v>
          </cell>
          <cell r="K2930">
            <v>5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</row>
        <row r="2931">
          <cell r="D2931">
            <v>302409</v>
          </cell>
          <cell r="E2931" t="str">
            <v>Jamindan National High School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</row>
        <row r="2932">
          <cell r="D2932">
            <v>311024</v>
          </cell>
          <cell r="E2932" t="str">
            <v>Bagacay National High School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</row>
        <row r="2933">
          <cell r="D2933">
            <v>302538</v>
          </cell>
          <cell r="E2933" t="str">
            <v>Nazuni Summit CNHS</v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</row>
        <row r="2934">
          <cell r="D2934">
            <v>302695</v>
          </cell>
          <cell r="E2934" t="str">
            <v>Victorias NHS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</row>
        <row r="2935">
          <cell r="D2935">
            <v>311012</v>
          </cell>
          <cell r="E2935" t="str">
            <v>Tambaliza NHS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</row>
        <row r="2936">
          <cell r="D2936">
            <v>302386</v>
          </cell>
          <cell r="E2936" t="str">
            <v>Bungsuan NHS</v>
          </cell>
          <cell r="F2936">
            <v>0</v>
          </cell>
          <cell r="G2936">
            <v>0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</row>
        <row r="2937">
          <cell r="D2937">
            <v>302391</v>
          </cell>
          <cell r="E2937" t="str">
            <v>Capiz National High School</v>
          </cell>
          <cell r="F2937">
            <v>20</v>
          </cell>
          <cell r="G2937">
            <v>26</v>
          </cell>
          <cell r="H2937">
            <v>46</v>
          </cell>
          <cell r="I2937">
            <v>20</v>
          </cell>
          <cell r="J2937">
            <v>26</v>
          </cell>
          <cell r="K2937">
            <v>46</v>
          </cell>
          <cell r="L2937">
            <v>20</v>
          </cell>
          <cell r="M2937">
            <v>26</v>
          </cell>
          <cell r="N2937">
            <v>46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</row>
        <row r="2938">
          <cell r="D2938">
            <v>302607</v>
          </cell>
          <cell r="E2938" t="str">
            <v>Caningay NHS - Banga Ext.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</row>
        <row r="2939">
          <cell r="D2939">
            <v>302400</v>
          </cell>
          <cell r="E2939" t="str">
            <v>Dulangan NHS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</row>
        <row r="2940">
          <cell r="D2940">
            <v>302508</v>
          </cell>
          <cell r="E2940" t="str">
            <v>Igtalongon NHS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</row>
        <row r="2941">
          <cell r="D2941">
            <v>311503</v>
          </cell>
          <cell r="E2941" t="str">
            <v>Barotac Nuevo NCHS-Tiwi Annex</v>
          </cell>
          <cell r="F2941">
            <v>33</v>
          </cell>
          <cell r="G2941">
            <v>22</v>
          </cell>
          <cell r="H2941">
            <v>55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</row>
        <row r="2942">
          <cell r="D2942">
            <v>302534</v>
          </cell>
          <cell r="E2942" t="str">
            <v>Mostro NHS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</row>
        <row r="2943">
          <cell r="D2943">
            <v>302623</v>
          </cell>
          <cell r="E2943" t="str">
            <v>Enrique B. Magalona NHS - San Isidro Ext.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</row>
        <row r="2944">
          <cell r="D2944">
            <v>311108</v>
          </cell>
          <cell r="E2944" t="str">
            <v>Mambagaton National High School</v>
          </cell>
          <cell r="F2944">
            <v>5</v>
          </cell>
          <cell r="G2944">
            <v>2</v>
          </cell>
          <cell r="H2944">
            <v>7</v>
          </cell>
          <cell r="I2944">
            <v>5</v>
          </cell>
          <cell r="J2944">
            <v>2</v>
          </cell>
          <cell r="K2944">
            <v>7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</row>
        <row r="2945">
          <cell r="D2945">
            <v>302757</v>
          </cell>
          <cell r="E2945" t="str">
            <v>Cong. Ramon A. Arnaldo HS</v>
          </cell>
          <cell r="F2945">
            <v>224</v>
          </cell>
          <cell r="G2945">
            <v>275</v>
          </cell>
          <cell r="H2945">
            <v>499</v>
          </cell>
          <cell r="I2945">
            <v>200</v>
          </cell>
          <cell r="J2945">
            <v>244</v>
          </cell>
          <cell r="K2945">
            <v>444</v>
          </cell>
          <cell r="L2945">
            <v>200</v>
          </cell>
          <cell r="M2945">
            <v>244</v>
          </cell>
          <cell r="N2945">
            <v>444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85</v>
          </cell>
          <cell r="V2945">
            <v>71</v>
          </cell>
          <cell r="W2945">
            <v>156</v>
          </cell>
          <cell r="X2945">
            <v>60</v>
          </cell>
          <cell r="Y2945">
            <v>73</v>
          </cell>
          <cell r="Z2945">
            <v>133</v>
          </cell>
        </row>
        <row r="2946">
          <cell r="D2946">
            <v>302792</v>
          </cell>
          <cell r="E2946" t="str">
            <v>Camansi National High School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</row>
        <row r="2947">
          <cell r="D2947">
            <v>302606</v>
          </cell>
          <cell r="E2947" t="str">
            <v>Caningay NHS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</row>
        <row r="2948">
          <cell r="D2948">
            <v>302295</v>
          </cell>
          <cell r="E2948" t="str">
            <v>Boracay NHS-Main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</row>
        <row r="2949">
          <cell r="D2949">
            <v>302605</v>
          </cell>
          <cell r="E2949" t="str">
            <v>Camalanda-an NHS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</row>
        <row r="2950">
          <cell r="D2950">
            <v>302389</v>
          </cell>
          <cell r="E2950" t="str">
            <v>Camburanan NHS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</row>
        <row r="2951">
          <cell r="D2951">
            <v>302689</v>
          </cell>
          <cell r="E2951" t="str">
            <v>Tabu NHS - Canlamay Ext.</v>
          </cell>
          <cell r="F2951">
            <v>16</v>
          </cell>
          <cell r="G2951">
            <v>28</v>
          </cell>
          <cell r="H2951">
            <v>44</v>
          </cell>
          <cell r="I2951">
            <v>12</v>
          </cell>
          <cell r="J2951">
            <v>21</v>
          </cell>
          <cell r="K2951">
            <v>33</v>
          </cell>
          <cell r="L2951">
            <v>30</v>
          </cell>
          <cell r="M2951">
            <v>52</v>
          </cell>
          <cell r="N2951">
            <v>82</v>
          </cell>
          <cell r="O2951">
            <v>3</v>
          </cell>
          <cell r="P2951">
            <v>2</v>
          </cell>
          <cell r="Q2951">
            <v>5</v>
          </cell>
          <cell r="R2951">
            <v>5</v>
          </cell>
          <cell r="S2951">
            <v>3</v>
          </cell>
          <cell r="T2951">
            <v>8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</row>
        <row r="2952">
          <cell r="D2952">
            <v>302555</v>
          </cell>
          <cell r="E2952" t="str">
            <v>Polopiña NHS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</row>
        <row r="2953">
          <cell r="D2953">
            <v>302418</v>
          </cell>
          <cell r="E2953" t="str">
            <v>Panitan National High School</v>
          </cell>
          <cell r="F2953">
            <v>150</v>
          </cell>
          <cell r="G2953">
            <v>160</v>
          </cell>
          <cell r="H2953">
            <v>310</v>
          </cell>
          <cell r="I2953">
            <v>34</v>
          </cell>
          <cell r="J2953">
            <v>36</v>
          </cell>
          <cell r="K2953">
            <v>70</v>
          </cell>
          <cell r="L2953">
            <v>36</v>
          </cell>
          <cell r="M2953">
            <v>38</v>
          </cell>
          <cell r="N2953">
            <v>74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12</v>
          </cell>
          <cell r="V2953">
            <v>16</v>
          </cell>
          <cell r="W2953">
            <v>28</v>
          </cell>
          <cell r="X2953">
            <v>4</v>
          </cell>
          <cell r="Y2953">
            <v>8</v>
          </cell>
          <cell r="Z2953">
            <v>12</v>
          </cell>
        </row>
        <row r="2954">
          <cell r="D2954">
            <v>302646</v>
          </cell>
          <cell r="E2954" t="str">
            <v>Guinpana-an NHS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</row>
        <row r="2955">
          <cell r="D2955">
            <v>302543</v>
          </cell>
          <cell r="E2955" t="str">
            <v>Pagdugue National High School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</row>
        <row r="2956">
          <cell r="D2956">
            <v>302648</v>
          </cell>
          <cell r="E2956" t="str">
            <v>Guinpana-an NHS - Odiong Ext.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</row>
        <row r="2957">
          <cell r="D2957">
            <v>311007</v>
          </cell>
          <cell r="E2957" t="str">
            <v>Loong NHS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</row>
        <row r="2958">
          <cell r="D2958">
            <v>302663</v>
          </cell>
          <cell r="E2958" t="str">
            <v>Manapla NHS - Purisima Extension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</row>
        <row r="2959">
          <cell r="D2959">
            <v>302778</v>
          </cell>
          <cell r="E2959" t="str">
            <v>Brgy. Guimbala-on NHS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</row>
        <row r="2960">
          <cell r="D2960">
            <v>302746</v>
          </cell>
          <cell r="E2960" t="str">
            <v>R. G. Hechanova Memorial NHS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</row>
        <row r="2961">
          <cell r="D2961">
            <v>302455</v>
          </cell>
          <cell r="E2961" t="str">
            <v>Banate NHS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</row>
        <row r="2962">
          <cell r="D2962">
            <v>311704</v>
          </cell>
          <cell r="E2962" t="str">
            <v>Don Ynocencio A. Del Rosario National High School formerly Tanque NHS-Dayao Extension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</row>
        <row r="2963">
          <cell r="D2963">
            <v>302456</v>
          </cell>
          <cell r="E2963" t="str">
            <v>Barosong National High School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</row>
        <row r="2964">
          <cell r="D2964">
            <v>302806</v>
          </cell>
          <cell r="E2964" t="str">
            <v>Efraim M. Santibañez National High School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</row>
        <row r="2965">
          <cell r="D2965">
            <v>302783</v>
          </cell>
          <cell r="E2965" t="str">
            <v>Doña Montserrat Lopez MHS - Patag Ext.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</row>
        <row r="2966">
          <cell r="D2966">
            <v>302694</v>
          </cell>
          <cell r="E2966" t="str">
            <v>Valladolid NHS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</row>
        <row r="2967">
          <cell r="D2967">
            <v>302530</v>
          </cell>
          <cell r="E2967" t="str">
            <v>Mateo NHS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</row>
        <row r="2968">
          <cell r="D2968">
            <v>302756</v>
          </cell>
          <cell r="E2968" t="str">
            <v>Balijuagan NHS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</row>
        <row r="2969">
          <cell r="D2969">
            <v>302677</v>
          </cell>
          <cell r="E2969" t="str">
            <v>Pontevedra NHS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</row>
        <row r="2970">
          <cell r="D2970">
            <v>302781</v>
          </cell>
          <cell r="E2970" t="str">
            <v>Brgy. E. Lopez National High School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</row>
        <row r="2971">
          <cell r="D2971">
            <v>302448</v>
          </cell>
          <cell r="E2971" t="str">
            <v>Anabo NHS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</row>
        <row r="2972">
          <cell r="D2972">
            <v>302784</v>
          </cell>
          <cell r="E2972" t="str">
            <v>DONA ANGELES J. MONTINOLA MEMORIAL NATIONAL HIGH SCHOOL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</row>
        <row r="2973">
          <cell r="D2973">
            <v>302399</v>
          </cell>
          <cell r="E2973" t="str">
            <v>Vicente Andaya Sr. NHS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</row>
        <row r="2974">
          <cell r="D2974">
            <v>311023</v>
          </cell>
          <cell r="E2974" t="str">
            <v>Bad-as NHS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</row>
        <row r="2975">
          <cell r="D2975">
            <v>302649</v>
          </cell>
          <cell r="E2975" t="str">
            <v>Himamaylan NHS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</row>
        <row r="2976">
          <cell r="D2976">
            <v>302444</v>
          </cell>
          <cell r="E2976" t="str">
            <v>Alcarde Gustilo Mem. National High School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</row>
        <row r="2977">
          <cell r="D2977">
            <v>302453</v>
          </cell>
          <cell r="E2977" t="str">
            <v>Badlan National High School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</row>
        <row r="2978">
          <cell r="D2978">
            <v>302798</v>
          </cell>
          <cell r="E2978" t="str">
            <v>PINAGUINPINAN NHS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</row>
        <row r="2979">
          <cell r="D2979">
            <v>302656</v>
          </cell>
          <cell r="E2979" t="str">
            <v>La Castellana NHS</v>
          </cell>
          <cell r="F2979">
            <v>21</v>
          </cell>
          <cell r="G2979">
            <v>16</v>
          </cell>
          <cell r="H2979">
            <v>37</v>
          </cell>
          <cell r="I2979">
            <v>21</v>
          </cell>
          <cell r="J2979">
            <v>16</v>
          </cell>
          <cell r="K2979">
            <v>37</v>
          </cell>
          <cell r="L2979">
            <v>21</v>
          </cell>
          <cell r="M2979">
            <v>16</v>
          </cell>
          <cell r="N2979">
            <v>37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2</v>
          </cell>
          <cell r="V2979">
            <v>0</v>
          </cell>
          <cell r="W2979">
            <v>2</v>
          </cell>
          <cell r="X2979">
            <v>0</v>
          </cell>
          <cell r="Y2979">
            <v>0</v>
          </cell>
          <cell r="Z2979">
            <v>0</v>
          </cell>
        </row>
        <row r="2980">
          <cell r="D2980">
            <v>302610</v>
          </cell>
          <cell r="E2980" t="str">
            <v>Carabalan NHS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</row>
        <row r="2981">
          <cell r="D2981">
            <v>302637</v>
          </cell>
          <cell r="E2981" t="str">
            <v>Jacinto Montilla Memorial National High School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</row>
        <row r="2982">
          <cell r="D2982">
            <v>302417</v>
          </cell>
          <cell r="E2982" t="str">
            <v>Ramon A. Benjamin Sr. National High School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</row>
        <row r="2983">
          <cell r="D2983">
            <v>302670</v>
          </cell>
          <cell r="E2983" t="str">
            <v>Murcia National High School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</row>
        <row r="2984">
          <cell r="D2984">
            <v>302432</v>
          </cell>
          <cell r="E2984" t="str">
            <v>Jordan NHS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</row>
        <row r="2985">
          <cell r="D2985">
            <v>302617</v>
          </cell>
          <cell r="E2985" t="str">
            <v>Don Hilarion G. Gonzaga MHS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</row>
        <row r="2986">
          <cell r="D2986">
            <v>302671</v>
          </cell>
          <cell r="E2986" t="str">
            <v>Binalbagan National High School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</row>
        <row r="2987">
          <cell r="D2987">
            <v>302621</v>
          </cell>
          <cell r="E2987" t="str">
            <v>Enrique B. Magalona NHS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</row>
        <row r="2988">
          <cell r="D2988">
            <v>302797</v>
          </cell>
          <cell r="E2988" t="str">
            <v>Tabugon NHS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</row>
        <row r="2989">
          <cell r="D2989">
            <v>302544</v>
          </cell>
          <cell r="E2989" t="str">
            <v>Palaca-Damilisan NHS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</row>
        <row r="2990">
          <cell r="D2990">
            <v>302403</v>
          </cell>
          <cell r="E2990" t="str">
            <v>Tuburan NHS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</row>
        <row r="2991">
          <cell r="D2991">
            <v>302532</v>
          </cell>
          <cell r="E2991" t="str">
            <v>Milan NHS</v>
          </cell>
          <cell r="F2991">
            <v>80</v>
          </cell>
          <cell r="G2991">
            <v>99</v>
          </cell>
          <cell r="H2991">
            <v>179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</row>
        <row r="2992">
          <cell r="D2992">
            <v>302780</v>
          </cell>
          <cell r="E2992" t="str">
            <v>Doña Montserrat Lopez MHS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</row>
        <row r="2993">
          <cell r="D2993">
            <v>302388</v>
          </cell>
          <cell r="E2993" t="str">
            <v>Feliciano Yusay Consing NHS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</row>
        <row r="2994">
          <cell r="D2994">
            <v>302501</v>
          </cell>
          <cell r="E2994" t="str">
            <v>Esteban S. Javellana MHS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</row>
        <row r="2995">
          <cell r="D2995">
            <v>302759</v>
          </cell>
          <cell r="E2995" t="str">
            <v>Dumolog NHS</v>
          </cell>
          <cell r="F2995">
            <v>71</v>
          </cell>
          <cell r="G2995">
            <v>68</v>
          </cell>
          <cell r="H2995">
            <v>139</v>
          </cell>
          <cell r="I2995">
            <v>10</v>
          </cell>
          <cell r="J2995">
            <v>11</v>
          </cell>
          <cell r="K2995">
            <v>21</v>
          </cell>
          <cell r="L2995">
            <v>21</v>
          </cell>
          <cell r="M2995">
            <v>20</v>
          </cell>
          <cell r="N2995">
            <v>41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</row>
        <row r="2996">
          <cell r="D2996">
            <v>302581</v>
          </cell>
          <cell r="E2996" t="str">
            <v>Tiolas NHS</v>
          </cell>
          <cell r="F2996">
            <v>44</v>
          </cell>
          <cell r="G2996">
            <v>36</v>
          </cell>
          <cell r="H2996">
            <v>80</v>
          </cell>
          <cell r="I2996">
            <v>33</v>
          </cell>
          <cell r="J2996">
            <v>19</v>
          </cell>
          <cell r="K2996">
            <v>52</v>
          </cell>
          <cell r="L2996">
            <v>33</v>
          </cell>
          <cell r="M2996">
            <v>19</v>
          </cell>
          <cell r="N2996">
            <v>52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</row>
        <row r="2997">
          <cell r="D2997">
            <v>302481</v>
          </cell>
          <cell r="E2997" t="str">
            <v>CARVASANA  NHS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</row>
        <row r="2998">
          <cell r="D2998">
            <v>302556</v>
          </cell>
          <cell r="E2998" t="str">
            <v>Pototan National Comprehensive High School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</row>
        <row r="2999">
          <cell r="D2999">
            <v>500197</v>
          </cell>
          <cell r="E2999" t="str">
            <v>Lantawan Integrated School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</row>
        <row r="3000">
          <cell r="D3000">
            <v>312101</v>
          </cell>
          <cell r="E3000" t="str">
            <v>TAN-AWAN NATIONAL HIGH SCHOOL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</row>
        <row r="3001">
          <cell r="D3001">
            <v>302392</v>
          </cell>
          <cell r="E3001" t="str">
            <v>Casanayan National High School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</row>
        <row r="3002">
          <cell r="D3002">
            <v>302410</v>
          </cell>
          <cell r="E3002" t="str">
            <v>Leodegario D. Deocampo Sr. NHS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</row>
        <row r="3003">
          <cell r="D3003">
            <v>302629</v>
          </cell>
          <cell r="E3003" t="str">
            <v>Eva J. Montilla NHS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</row>
        <row r="3004">
          <cell r="D3004">
            <v>302803</v>
          </cell>
          <cell r="E3004" t="str">
            <v>Gemumua-Agahon National High School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</row>
        <row r="3005">
          <cell r="D3005">
            <v>302755</v>
          </cell>
          <cell r="E3005" t="str">
            <v>Bago National HIgh School</v>
          </cell>
          <cell r="F3005">
            <v>11</v>
          </cell>
          <cell r="G3005">
            <v>24</v>
          </cell>
          <cell r="H3005">
            <v>35</v>
          </cell>
          <cell r="I3005">
            <v>6</v>
          </cell>
          <cell r="J3005">
            <v>14</v>
          </cell>
          <cell r="K3005">
            <v>20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</row>
        <row r="3006">
          <cell r="D3006">
            <v>302658</v>
          </cell>
          <cell r="E3006" t="str">
            <v>Labilabi NHS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</row>
        <row r="3007">
          <cell r="D3007">
            <v>302563</v>
          </cell>
          <cell r="E3007" t="str">
            <v>San Enrique Manuel Paluay, Sr. MHS</v>
          </cell>
          <cell r="F3007">
            <v>60</v>
          </cell>
          <cell r="G3007">
            <v>30</v>
          </cell>
          <cell r="H3007">
            <v>90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</row>
        <row r="3008">
          <cell r="D3008">
            <v>302666</v>
          </cell>
          <cell r="E3008" t="str">
            <v>Nabulao NHS - Maricalum Ext.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</row>
        <row r="3009">
          <cell r="D3009">
            <v>302665</v>
          </cell>
          <cell r="E3009" t="str">
            <v>Nabulao NHS - Cayhagan Extension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</row>
        <row r="3010">
          <cell r="D3010">
            <v>302594</v>
          </cell>
          <cell r="E3010" t="str">
            <v>Bocana NHS - Galicia Ext.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</row>
        <row r="3011">
          <cell r="D3011">
            <v>302632</v>
          </cell>
          <cell r="E3011" t="str">
            <v>GIL MONTILLA NATIONAL HIGH SCHOOL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</row>
        <row r="3012">
          <cell r="D3012">
            <v>302760</v>
          </cell>
          <cell r="E3012" t="str">
            <v>Milibili NHS</v>
          </cell>
          <cell r="F3012">
            <v>52</v>
          </cell>
          <cell r="G3012">
            <v>53</v>
          </cell>
          <cell r="H3012">
            <v>105</v>
          </cell>
          <cell r="I3012">
            <v>44</v>
          </cell>
          <cell r="J3012">
            <v>49</v>
          </cell>
          <cell r="K3012">
            <v>93</v>
          </cell>
          <cell r="L3012">
            <v>44</v>
          </cell>
          <cell r="M3012">
            <v>49</v>
          </cell>
          <cell r="N3012">
            <v>93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</row>
        <row r="3013">
          <cell r="D3013">
            <v>302419</v>
          </cell>
          <cell r="E3013" t="str">
            <v>Marciano M. Patricio (Pilar)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</row>
        <row r="3014">
          <cell r="D3014">
            <v>302758</v>
          </cell>
          <cell r="E3014" t="str">
            <v>Culasi NHS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</row>
        <row r="3015">
          <cell r="D3015">
            <v>302732</v>
          </cell>
          <cell r="E3015" t="str">
            <v>SPED High School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</row>
        <row r="3016">
          <cell r="D3016">
            <v>302636</v>
          </cell>
          <cell r="E3016" t="str">
            <v>Gil Montilla NHS - Camindangan Ext.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</row>
        <row r="3017">
          <cell r="D3017">
            <v>311109</v>
          </cell>
          <cell r="E3017" t="str">
            <v>Molobolo National High School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</row>
        <row r="3018">
          <cell r="D3018">
            <v>302777</v>
          </cell>
          <cell r="E3018" t="str">
            <v>Sipaway National High School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</row>
        <row r="3019">
          <cell r="D3019">
            <v>302499</v>
          </cell>
          <cell r="E3019" t="str">
            <v>Escalantera NHS</v>
          </cell>
          <cell r="F3019">
            <v>35</v>
          </cell>
          <cell r="G3019">
            <v>20</v>
          </cell>
          <cell r="H3019">
            <v>55</v>
          </cell>
          <cell r="I3019">
            <v>30</v>
          </cell>
          <cell r="J3019">
            <v>18</v>
          </cell>
          <cell r="K3019">
            <v>48</v>
          </cell>
          <cell r="L3019">
            <v>50</v>
          </cell>
          <cell r="M3019">
            <v>30</v>
          </cell>
          <cell r="N3019">
            <v>80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</row>
        <row r="3020">
          <cell r="D3020">
            <v>311103</v>
          </cell>
          <cell r="E3020" t="str">
            <v>Cabacungan NHS - Masulog Ext.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1</v>
          </cell>
          <cell r="M3020">
            <v>1</v>
          </cell>
          <cell r="N3020">
            <v>2</v>
          </cell>
          <cell r="O3020">
            <v>2</v>
          </cell>
          <cell r="P3020">
            <v>2</v>
          </cell>
          <cell r="Q3020">
            <v>4</v>
          </cell>
          <cell r="R3020">
            <v>2</v>
          </cell>
          <cell r="S3020">
            <v>2</v>
          </cell>
          <cell r="T3020">
            <v>4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</row>
        <row r="3021">
          <cell r="D3021">
            <v>302602</v>
          </cell>
          <cell r="E3021" t="str">
            <v>Cabacungan NHS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</row>
        <row r="3022">
          <cell r="D3022">
            <v>302437</v>
          </cell>
          <cell r="E3022" t="str">
            <v>Dr. Catalino Gallego Nava Memorial High School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</row>
        <row r="3023">
          <cell r="D3023">
            <v>302631</v>
          </cell>
          <cell r="E3023" t="str">
            <v>Florentina F. Caña Recto NHS - Caliling Ext.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</row>
        <row r="3024">
          <cell r="D3024">
            <v>302685</v>
          </cell>
          <cell r="E3024" t="str">
            <v>San Isidro NHS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</row>
        <row r="3025">
          <cell r="D3025">
            <v>302657</v>
          </cell>
          <cell r="E3025" t="str">
            <v>Manghanoy National High School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</row>
        <row r="3026">
          <cell r="D3026">
            <v>310801</v>
          </cell>
          <cell r="E3026" t="str">
            <v>Bag - ong Barrio NHS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</row>
        <row r="3027">
          <cell r="D3027">
            <v>302360</v>
          </cell>
          <cell r="E3027" t="str">
            <v>Igcado NHS</v>
          </cell>
          <cell r="F3027">
            <v>13</v>
          </cell>
          <cell r="G3027">
            <v>13</v>
          </cell>
          <cell r="H3027">
            <v>26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</row>
        <row r="3028">
          <cell r="D3028">
            <v>302794</v>
          </cell>
          <cell r="E3028" t="str">
            <v>Inapoy NHS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</row>
        <row r="3029">
          <cell r="D3029">
            <v>312102</v>
          </cell>
          <cell r="E3029" t="str">
            <v>Bantayan NHS - Baras Diutay Ext.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</row>
        <row r="3030">
          <cell r="D3030">
            <v>302713</v>
          </cell>
          <cell r="E3030" t="str">
            <v>Jovito H. Sayson NHS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</row>
        <row r="3031">
          <cell r="D3031">
            <v>311803</v>
          </cell>
          <cell r="E3031" t="str">
            <v>Gloria Poblador dela Paz National High School</v>
          </cell>
          <cell r="F3031">
            <v>37</v>
          </cell>
          <cell r="G3031">
            <v>0</v>
          </cell>
          <cell r="H3031">
            <v>37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</row>
        <row r="3032">
          <cell r="D3032">
            <v>302554</v>
          </cell>
          <cell r="E3032" t="str">
            <v>Pitogo National High School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</row>
        <row r="3033">
          <cell r="D3033">
            <v>302668</v>
          </cell>
          <cell r="E3033" t="str">
            <v>Negros Occ. NAISHI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</row>
        <row r="3034">
          <cell r="D3034">
            <v>302638</v>
          </cell>
          <cell r="E3034" t="str">
            <v>Gil Montilla NHS - Cartagena Ext.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</row>
        <row r="3035">
          <cell r="D3035">
            <v>302672</v>
          </cell>
          <cell r="E3035" t="str">
            <v>Binalbagan NHS - Santol Ext.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</row>
        <row r="3036">
          <cell r="D3036">
            <v>302704</v>
          </cell>
          <cell r="E3036" t="str">
            <v>Romanito Maravilla NHS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</row>
        <row r="3037">
          <cell r="D3037">
            <v>302647</v>
          </cell>
          <cell r="E3037" t="str">
            <v>Guinpana-an National High School - Mamballo Extension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</row>
        <row r="3038">
          <cell r="D3038">
            <v>311101</v>
          </cell>
          <cell r="E3038" t="str">
            <v>Binalbagan NHS - NOSOF Ext.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</row>
        <row r="3039">
          <cell r="D3039">
            <v>302408</v>
          </cell>
          <cell r="E3039" t="str">
            <v>Jagnaya NHS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</row>
        <row r="3040">
          <cell r="D3040">
            <v>302619</v>
          </cell>
          <cell r="E3040" t="str">
            <v>Dr. Antonio A. Lizares NHS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</row>
        <row r="3041">
          <cell r="D3041">
            <v>500190</v>
          </cell>
          <cell r="E3041" t="str">
            <v>Fr. Gratian Murray, AFSC IS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</row>
        <row r="3042">
          <cell r="D3042">
            <v>302714</v>
          </cell>
          <cell r="E3042" t="str">
            <v>Mansilingan Agro-Ind. HS</v>
          </cell>
          <cell r="F3042">
            <v>0</v>
          </cell>
          <cell r="G3042">
            <v>0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</row>
        <row r="3043">
          <cell r="D3043">
            <v>311020</v>
          </cell>
          <cell r="E3043" t="str">
            <v>Caninguan NHS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</row>
        <row r="3044">
          <cell r="D3044">
            <v>311003</v>
          </cell>
          <cell r="E3044" t="str">
            <v>Jayobo National High School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</row>
        <row r="3045">
          <cell r="D3045">
            <v>302774</v>
          </cell>
          <cell r="E3045" t="str">
            <v>Don Carlos Ledesma NHS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</row>
        <row r="3046">
          <cell r="D3046">
            <v>302712</v>
          </cell>
          <cell r="E3046" t="str">
            <v>Handumanan NHS</v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</row>
        <row r="3047">
          <cell r="D3047">
            <v>500195</v>
          </cell>
          <cell r="E3047" t="str">
            <v>Sofronio A. Cordovero Integrated School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</row>
        <row r="3048">
          <cell r="D3048">
            <v>302715</v>
          </cell>
          <cell r="E3048" t="str">
            <v>Paglaum Village NHS</v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</row>
        <row r="3049">
          <cell r="D3049">
            <v>302776</v>
          </cell>
          <cell r="E3049" t="str">
            <v>Quezon NHS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</row>
        <row r="3050">
          <cell r="D3050">
            <v>302398</v>
          </cell>
          <cell r="E3050" t="str">
            <v>Felix Balgos NHS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</row>
        <row r="3051">
          <cell r="D3051">
            <v>302706</v>
          </cell>
          <cell r="E3051" t="str">
            <v>Emiliano Lizares NHS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</row>
        <row r="3052">
          <cell r="D3052">
            <v>302709</v>
          </cell>
          <cell r="E3052" t="str">
            <v>Luis Hervias NHS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</row>
        <row r="3053">
          <cell r="D3053">
            <v>302327</v>
          </cell>
          <cell r="E3053" t="str">
            <v>Numancia National Sch. Of Fisheries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</row>
        <row r="3054">
          <cell r="D3054">
            <v>302592</v>
          </cell>
          <cell r="E3054" t="str">
            <v>Biao National High School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</row>
        <row r="3055">
          <cell r="D3055">
            <v>302716</v>
          </cell>
          <cell r="E3055" t="str">
            <v>Sum-ag National High School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</row>
        <row r="3056">
          <cell r="D3056">
            <v>302700</v>
          </cell>
          <cell r="E3056" t="str">
            <v>Alangilan NHS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</row>
        <row r="3057">
          <cell r="D3057">
            <v>302313</v>
          </cell>
          <cell r="E3057" t="str">
            <v>Linabuan NHS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</row>
        <row r="3058">
          <cell r="D3058">
            <v>302682</v>
          </cell>
          <cell r="E3058" t="str">
            <v>Sofronio Carmona Mem. NHS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</row>
        <row r="3059">
          <cell r="D3059">
            <v>302705</v>
          </cell>
          <cell r="E3059" t="str">
            <v>Domingo Lacson NHS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</row>
        <row r="3060">
          <cell r="D3060">
            <v>302320</v>
          </cell>
          <cell r="E3060" t="str">
            <v>Maloco NHS</v>
          </cell>
          <cell r="F3060">
            <v>0</v>
          </cell>
          <cell r="G3060">
            <v>5</v>
          </cell>
          <cell r="H3060">
            <v>5</v>
          </cell>
          <cell r="I3060">
            <v>0</v>
          </cell>
          <cell r="J3060">
            <v>1</v>
          </cell>
          <cell r="K3060">
            <v>1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</row>
        <row r="3061">
          <cell r="D3061">
            <v>500189</v>
          </cell>
          <cell r="E3061" t="str">
            <v>M. G. Medalla Integrated School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</row>
        <row r="3062">
          <cell r="D3062">
            <v>302588</v>
          </cell>
          <cell r="E3062" t="str">
            <v>Barangay  Alegria NHS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</row>
        <row r="3063">
          <cell r="D3063">
            <v>302710</v>
          </cell>
          <cell r="E3063" t="str">
            <v>Mandalagan National High School</v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</row>
        <row r="3064">
          <cell r="D3064">
            <v>500203</v>
          </cell>
          <cell r="E3064" t="str">
            <v>Don Serafin L. Golez Memorial IS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</row>
        <row r="3065">
          <cell r="D3065">
            <v>302406</v>
          </cell>
          <cell r="E3065" t="str">
            <v>Ivisan NHS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</row>
        <row r="3066">
          <cell r="D3066">
            <v>302702</v>
          </cell>
          <cell r="E3066" t="str">
            <v>Barangay Singcang-Airport NHS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</row>
        <row r="3067">
          <cell r="D3067">
            <v>302711</v>
          </cell>
          <cell r="E3067" t="str">
            <v>Luisa Medel NHS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</row>
        <row r="3068">
          <cell r="D3068">
            <v>305704</v>
          </cell>
          <cell r="E3068" t="str">
            <v>Sta. Ana National High School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</row>
        <row r="3069">
          <cell r="D3069">
            <v>343604</v>
          </cell>
          <cell r="E3069" t="str">
            <v>ANDRES BONIFACIO SENIOR HIGH SCHOOL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</row>
        <row r="3070">
          <cell r="D3070">
            <v>302703</v>
          </cell>
          <cell r="E3070" t="str">
            <v>Bata National High School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</row>
        <row r="3071">
          <cell r="D3071">
            <v>302773</v>
          </cell>
          <cell r="E3071" t="str">
            <v>Bagonbon NHS</v>
          </cell>
          <cell r="F3071">
            <v>0</v>
          </cell>
          <cell r="G3071">
            <v>0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</row>
        <row r="3072">
          <cell r="D3072">
            <v>302485</v>
          </cell>
          <cell r="E3072" t="str">
            <v>Cordova NHS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</row>
        <row r="3073">
          <cell r="D3073">
            <v>302718</v>
          </cell>
          <cell r="E3073" t="str">
            <v>Teofilo M. Gensoli Sr. NHS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</row>
        <row r="3074">
          <cell r="D3074">
            <v>302547</v>
          </cell>
          <cell r="E3074" t="str">
            <v>Panuran NHS</v>
          </cell>
          <cell r="F3074">
            <v>45</v>
          </cell>
          <cell r="G3074">
            <v>29</v>
          </cell>
          <cell r="H3074">
            <v>74</v>
          </cell>
          <cell r="I3074">
            <v>4</v>
          </cell>
          <cell r="J3074">
            <v>3</v>
          </cell>
          <cell r="K3074">
            <v>7</v>
          </cell>
          <cell r="L3074">
            <v>41</v>
          </cell>
          <cell r="M3074">
            <v>26</v>
          </cell>
          <cell r="N3074">
            <v>67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</row>
        <row r="3075">
          <cell r="D3075">
            <v>302787</v>
          </cell>
          <cell r="E3075" t="str">
            <v>CAROL-AN NHS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</row>
        <row r="3076">
          <cell r="D3076">
            <v>302793</v>
          </cell>
          <cell r="E3076" t="str">
            <v>Florentino Galang Sr. NHS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</row>
        <row r="3077">
          <cell r="D3077">
            <v>302470</v>
          </cell>
          <cell r="E3077" t="str">
            <v>Buga National High School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</row>
        <row r="3078">
          <cell r="D3078">
            <v>302405</v>
          </cell>
          <cell r="E3078" t="str">
            <v>Jose Diva Avelino Jr. NHS (Hipona NHS)</v>
          </cell>
          <cell r="F3078">
            <v>0</v>
          </cell>
          <cell r="G3078">
            <v>0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</row>
        <row r="3079">
          <cell r="D3079">
            <v>302586</v>
          </cell>
          <cell r="E3079" t="str">
            <v>Agpangi NHS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</row>
        <row r="3080">
          <cell r="D3080">
            <v>302614</v>
          </cell>
          <cell r="E3080" t="str">
            <v>Culipapa National High School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</row>
        <row r="3081">
          <cell r="D3081">
            <v>302425</v>
          </cell>
          <cell r="E3081" t="str">
            <v>Alegria NHS</v>
          </cell>
          <cell r="F3081">
            <v>46</v>
          </cell>
          <cell r="G3081">
            <v>55</v>
          </cell>
          <cell r="H3081">
            <v>101</v>
          </cell>
          <cell r="I3081">
            <v>11</v>
          </cell>
          <cell r="J3081">
            <v>10</v>
          </cell>
          <cell r="K3081">
            <v>21</v>
          </cell>
          <cell r="L3081">
            <v>11</v>
          </cell>
          <cell r="M3081">
            <v>10</v>
          </cell>
          <cell r="N3081">
            <v>21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</row>
        <row r="3082">
          <cell r="D3082">
            <v>302639</v>
          </cell>
          <cell r="E3082" t="str">
            <v>Gil Montilla NHS - Crossing Tanduay Ext.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</row>
        <row r="3083">
          <cell r="D3083">
            <v>343922</v>
          </cell>
          <cell r="E3083" t="str">
            <v>Sagay City Senior High School (Stand Alone)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</row>
        <row r="3084">
          <cell r="D3084">
            <v>302601</v>
          </cell>
          <cell r="E3084" t="str">
            <v>Bulwangan National High School - Talacagay Ext.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</row>
        <row r="3085">
          <cell r="D3085">
            <v>302701</v>
          </cell>
          <cell r="E3085" t="str">
            <v>Bacolod City NHS</v>
          </cell>
          <cell r="F3085">
            <v>0</v>
          </cell>
          <cell r="G3085">
            <v>0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</row>
        <row r="3086">
          <cell r="D3086">
            <v>302800</v>
          </cell>
          <cell r="E3086" t="str">
            <v>Tampalon NHS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</row>
        <row r="3087">
          <cell r="D3087">
            <v>302472</v>
          </cell>
          <cell r="E3087" t="str">
            <v>Cabalic National High School</v>
          </cell>
          <cell r="F3087">
            <v>0</v>
          </cell>
          <cell r="G3087">
            <v>0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</row>
        <row r="3088">
          <cell r="D3088">
            <v>302697</v>
          </cell>
          <cell r="E3088" t="str">
            <v>Barangay Estado NHS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</row>
        <row r="3089">
          <cell r="D3089">
            <v>302584</v>
          </cell>
          <cell r="E3089" t="str">
            <v>Valverde NHS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</row>
        <row r="3090">
          <cell r="D3090">
            <v>302796</v>
          </cell>
          <cell r="E3090" t="str">
            <v>Salong NHS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</row>
        <row r="3091">
          <cell r="D3091">
            <v>311802</v>
          </cell>
          <cell r="E3091" t="str">
            <v>Sagay National High School - Rizal Extension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</row>
        <row r="3092">
          <cell r="D3092">
            <v>302557</v>
          </cell>
          <cell r="E3092" t="str">
            <v>Punta Buri NHS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</row>
        <row r="3093">
          <cell r="D3093">
            <v>302553</v>
          </cell>
          <cell r="E3093" t="str">
            <v>Bucana Bunglas NHS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</row>
        <row r="3094">
          <cell r="D3094">
            <v>302523</v>
          </cell>
          <cell r="E3094" t="str">
            <v>Luca NHS</v>
          </cell>
          <cell r="F3094">
            <v>64</v>
          </cell>
          <cell r="G3094">
            <v>69</v>
          </cell>
          <cell r="H3094">
            <v>133</v>
          </cell>
          <cell r="I3094">
            <v>30</v>
          </cell>
          <cell r="J3094">
            <v>28</v>
          </cell>
          <cell r="K3094">
            <v>58</v>
          </cell>
          <cell r="L3094">
            <v>65</v>
          </cell>
          <cell r="M3094">
            <v>52</v>
          </cell>
          <cell r="N3094">
            <v>117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</row>
        <row r="3095">
          <cell r="D3095">
            <v>302461</v>
          </cell>
          <cell r="E3095" t="str">
            <v>Bay-ang NHS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</row>
        <row r="3096">
          <cell r="D3096">
            <v>302486</v>
          </cell>
          <cell r="E3096" t="str">
            <v>Culasi NHS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</row>
        <row r="3097">
          <cell r="D3097">
            <v>302496</v>
          </cell>
          <cell r="E3097" t="str">
            <v>Dorog NHS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</row>
        <row r="3098">
          <cell r="D3098">
            <v>500551</v>
          </cell>
          <cell r="E3098" t="str">
            <v>SPED - Integrated School for Exceptional Children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</row>
        <row r="3099">
          <cell r="D3099">
            <v>302762</v>
          </cell>
          <cell r="E3099" t="str">
            <v>Bato National High School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</row>
        <row r="3100">
          <cell r="D3100">
            <v>302567</v>
          </cell>
          <cell r="E3100" t="str">
            <v>San Luis NHS</v>
          </cell>
          <cell r="F3100">
            <v>31</v>
          </cell>
          <cell r="G3100">
            <v>38</v>
          </cell>
          <cell r="H3100">
            <v>69</v>
          </cell>
          <cell r="I3100">
            <v>2</v>
          </cell>
          <cell r="J3100">
            <v>2</v>
          </cell>
          <cell r="K3100">
            <v>4</v>
          </cell>
          <cell r="L3100">
            <v>0</v>
          </cell>
          <cell r="M3100">
            <v>0</v>
          </cell>
          <cell r="N3100">
            <v>0</v>
          </cell>
          <cell r="O3100">
            <v>1</v>
          </cell>
          <cell r="P3100">
            <v>3</v>
          </cell>
          <cell r="Q3100">
            <v>4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</row>
        <row r="3101">
          <cell r="D3101">
            <v>302531</v>
          </cell>
          <cell r="E3101" t="str">
            <v>Miagao NHS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</row>
        <row r="3102">
          <cell r="D3102">
            <v>302570</v>
          </cell>
          <cell r="E3102" t="str">
            <v>Sara NHS</v>
          </cell>
          <cell r="F3102">
            <v>457</v>
          </cell>
          <cell r="G3102">
            <v>398</v>
          </cell>
          <cell r="H3102">
            <v>855</v>
          </cell>
          <cell r="I3102">
            <v>365</v>
          </cell>
          <cell r="J3102">
            <v>218</v>
          </cell>
          <cell r="K3102">
            <v>583</v>
          </cell>
          <cell r="L3102">
            <v>783</v>
          </cell>
          <cell r="M3102">
            <v>329</v>
          </cell>
          <cell r="N3102">
            <v>1112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</row>
        <row r="3103">
          <cell r="D3103">
            <v>302525</v>
          </cell>
          <cell r="E3103" t="str">
            <v>Malapaya NHS</v>
          </cell>
          <cell r="F3103">
            <v>0</v>
          </cell>
          <cell r="G3103">
            <v>3</v>
          </cell>
          <cell r="H3103">
            <v>3</v>
          </cell>
          <cell r="I3103">
            <v>0</v>
          </cell>
          <cell r="J3103">
            <v>3</v>
          </cell>
          <cell r="K3103">
            <v>3</v>
          </cell>
          <cell r="L3103">
            <v>0</v>
          </cell>
          <cell r="M3103">
            <v>3</v>
          </cell>
          <cell r="N3103">
            <v>3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</row>
        <row r="3104">
          <cell r="D3104">
            <v>302683</v>
          </cell>
          <cell r="E3104" t="str">
            <v>San Enrique NHS</v>
          </cell>
          <cell r="F3104">
            <v>0</v>
          </cell>
          <cell r="G3104">
            <v>0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</row>
        <row r="3105">
          <cell r="D3105">
            <v>302785</v>
          </cell>
          <cell r="E3105" t="str">
            <v>Bantayan National High School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</row>
        <row r="3106">
          <cell r="D3106">
            <v>302433</v>
          </cell>
          <cell r="E3106" t="str">
            <v>Simeon J. Jabasa National High School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</row>
        <row r="3107">
          <cell r="D3107">
            <v>302775</v>
          </cell>
          <cell r="E3107" t="str">
            <v>Julio Ledesma National High School</v>
          </cell>
          <cell r="F3107">
            <v>0</v>
          </cell>
          <cell r="G3107">
            <v>0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</row>
        <row r="3108">
          <cell r="D3108">
            <v>302801</v>
          </cell>
          <cell r="E3108" t="str">
            <v>Tapi National High School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</row>
        <row r="3109">
          <cell r="D3109">
            <v>302395</v>
          </cell>
          <cell r="E3109" t="str">
            <v>Comsr. Luis R. Asis NHS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</row>
        <row r="3110">
          <cell r="D3110">
            <v>311111</v>
          </cell>
          <cell r="E3110" t="str">
            <v>Libacao National High School</v>
          </cell>
          <cell r="F3110">
            <v>0</v>
          </cell>
          <cell r="G3110">
            <v>0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</row>
        <row r="3111">
          <cell r="D3111">
            <v>302750</v>
          </cell>
          <cell r="E3111" t="str">
            <v>Ramon Avancena NHS</v>
          </cell>
          <cell r="F3111">
            <v>312</v>
          </cell>
          <cell r="G3111">
            <v>325</v>
          </cell>
          <cell r="H3111">
            <v>637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</row>
        <row r="3112">
          <cell r="D3112">
            <v>310807</v>
          </cell>
          <cell r="E3112" t="str">
            <v>Basiao NHS</v>
          </cell>
          <cell r="F3112">
            <v>0</v>
          </cell>
          <cell r="G3112">
            <v>0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</row>
        <row r="3113">
          <cell r="D3113">
            <v>302504</v>
          </cell>
          <cell r="E3113" t="str">
            <v>Ginot-an National High School</v>
          </cell>
          <cell r="F3113">
            <v>0</v>
          </cell>
          <cell r="G3113">
            <v>0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</row>
        <row r="3114">
          <cell r="D3114">
            <v>302469</v>
          </cell>
          <cell r="E3114" t="str">
            <v>Bucari NHS</v>
          </cell>
          <cell r="F3114">
            <v>0</v>
          </cell>
          <cell r="G3114">
            <v>0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</row>
        <row r="3115">
          <cell r="D3115">
            <v>302634</v>
          </cell>
          <cell r="E3115" t="str">
            <v>Gil Montilla NHS - Binulig Ext.</v>
          </cell>
          <cell r="F3115">
            <v>0</v>
          </cell>
          <cell r="G3115">
            <v>0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</row>
        <row r="3116">
          <cell r="D3116">
            <v>302733</v>
          </cell>
          <cell r="E3116" t="str">
            <v>Tiglawigan NHS</v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</row>
        <row r="3117">
          <cell r="D3117">
            <v>302450</v>
          </cell>
          <cell r="E3117" t="str">
            <v>Ardemil National High School</v>
          </cell>
          <cell r="F3117">
            <v>37</v>
          </cell>
          <cell r="G3117">
            <v>23</v>
          </cell>
          <cell r="H3117">
            <v>60</v>
          </cell>
          <cell r="I3117">
            <v>5</v>
          </cell>
          <cell r="J3117">
            <v>7</v>
          </cell>
          <cell r="K3117">
            <v>12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</row>
        <row r="3118">
          <cell r="D3118">
            <v>302662</v>
          </cell>
          <cell r="E3118" t="str">
            <v>Manapla National High School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</row>
        <row r="3119">
          <cell r="D3119">
            <v>302675</v>
          </cell>
          <cell r="E3119" t="str">
            <v>Payao National High School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</row>
        <row r="3120">
          <cell r="D3120">
            <v>302537</v>
          </cell>
          <cell r="E3120" t="str">
            <v>Napnapan NHS</v>
          </cell>
          <cell r="F3120">
            <v>47</v>
          </cell>
          <cell r="G3120">
            <v>35</v>
          </cell>
          <cell r="H3120">
            <v>82</v>
          </cell>
          <cell r="I3120">
            <v>29</v>
          </cell>
          <cell r="J3120">
            <v>17</v>
          </cell>
          <cell r="K3120">
            <v>46</v>
          </cell>
          <cell r="L3120">
            <v>21</v>
          </cell>
          <cell r="M3120">
            <v>14</v>
          </cell>
          <cell r="N3120">
            <v>35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</row>
        <row r="3121">
          <cell r="D3121">
            <v>302435</v>
          </cell>
          <cell r="E3121" t="str">
            <v>Calaya National High School</v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</row>
        <row r="3122">
          <cell r="D3122">
            <v>302692</v>
          </cell>
          <cell r="E3122" t="str">
            <v>Tinongan NHS</v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</row>
        <row r="3123">
          <cell r="D3123">
            <v>302404</v>
          </cell>
          <cell r="E3123" t="str">
            <v>Florentina B. Degala NHS</v>
          </cell>
          <cell r="F3123">
            <v>0</v>
          </cell>
          <cell r="G3123">
            <v>0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</row>
        <row r="3124">
          <cell r="D3124">
            <v>302768</v>
          </cell>
          <cell r="E3124" t="str">
            <v>Bulanon National High School</v>
          </cell>
          <cell r="F3124">
            <v>0</v>
          </cell>
          <cell r="G3124">
            <v>0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</row>
        <row r="3125">
          <cell r="D3125">
            <v>302342</v>
          </cell>
          <cell r="E3125" t="str">
            <v>Antique Vocational School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</row>
        <row r="3126">
          <cell r="D3126">
            <v>311031</v>
          </cell>
          <cell r="E3126" t="str">
            <v>BAYAG NATIONAL HIGH SCHOOL</v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</row>
        <row r="3127">
          <cell r="D3127">
            <v>302513</v>
          </cell>
          <cell r="E3127" t="str">
            <v>Jelicuon-Cabugao National High School</v>
          </cell>
          <cell r="F3127">
            <v>34</v>
          </cell>
          <cell r="G3127">
            <v>30</v>
          </cell>
          <cell r="H3127">
            <v>64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</row>
        <row r="3128">
          <cell r="D3128">
            <v>310902</v>
          </cell>
          <cell r="E3128" t="str">
            <v>Supang National High School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</row>
        <row r="3129">
          <cell r="D3129">
            <v>302786</v>
          </cell>
          <cell r="E3129" t="str">
            <v>Binicuil NHS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</row>
        <row r="3130">
          <cell r="D3130">
            <v>311405</v>
          </cell>
          <cell r="E3130" t="str">
            <v>Banquerohan NHS (Dr. Vicente F Gustilo NHS-Banquerohan Ext)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</row>
        <row r="3131">
          <cell r="D3131">
            <v>500037</v>
          </cell>
          <cell r="E3131" t="str">
            <v>Eusebio Lopez Memorial Integrated School</v>
          </cell>
          <cell r="F3131">
            <v>171</v>
          </cell>
          <cell r="G3131">
            <v>0</v>
          </cell>
          <cell r="H3131">
            <v>171</v>
          </cell>
          <cell r="I3131">
            <v>2</v>
          </cell>
          <cell r="J3131">
            <v>0</v>
          </cell>
          <cell r="K3131">
            <v>2</v>
          </cell>
          <cell r="L3131">
            <v>2</v>
          </cell>
          <cell r="M3131">
            <v>0</v>
          </cell>
          <cell r="N3131">
            <v>2</v>
          </cell>
          <cell r="O3131">
            <v>2</v>
          </cell>
          <cell r="P3131">
            <v>0</v>
          </cell>
          <cell r="Q3131">
            <v>2</v>
          </cell>
          <cell r="R3131">
            <v>2</v>
          </cell>
          <cell r="S3131">
            <v>0</v>
          </cell>
          <cell r="T3131">
            <v>2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</row>
        <row r="3132">
          <cell r="D3132">
            <v>311021</v>
          </cell>
          <cell r="E3132" t="str">
            <v>Tacuyong Sur NHS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</row>
        <row r="3133">
          <cell r="D3133">
            <v>302673</v>
          </cell>
          <cell r="E3133" t="str">
            <v>Pahilanga  National High School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</row>
        <row r="3134">
          <cell r="D3134">
            <v>302552</v>
          </cell>
          <cell r="E3134" t="str">
            <v>Pili NHS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</row>
        <row r="3135">
          <cell r="D3135">
            <v>302729</v>
          </cell>
          <cell r="E3135" t="str">
            <v>Caduha-an NHS - Andres Bonifacio Ext. HS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</row>
        <row r="3136">
          <cell r="D3136">
            <v>302727</v>
          </cell>
          <cell r="E3136" t="str">
            <v>Sicaba National High School</v>
          </cell>
          <cell r="F3136">
            <v>0</v>
          </cell>
          <cell r="G3136">
            <v>0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</row>
        <row r="3137">
          <cell r="D3137">
            <v>302734</v>
          </cell>
          <cell r="E3137" t="str">
            <v>Tiglawigan NHS - Magsaysay Extension High School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</row>
        <row r="3138">
          <cell r="D3138">
            <v>302512</v>
          </cell>
          <cell r="E3138" t="str">
            <v>Janiuay NCHS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</row>
        <row r="3139">
          <cell r="D3139">
            <v>302735</v>
          </cell>
          <cell r="E3139" t="str">
            <v>Villacin National High School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</row>
        <row r="3140">
          <cell r="D3140">
            <v>500589</v>
          </cell>
          <cell r="E3140" t="str">
            <v>Hinapunan Integrated School</v>
          </cell>
          <cell r="F3140">
            <v>0</v>
          </cell>
          <cell r="G3140">
            <v>0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</row>
        <row r="3141">
          <cell r="D3141">
            <v>302363</v>
          </cell>
          <cell r="E3141" t="str">
            <v>Libertad NVS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</row>
        <row r="3142">
          <cell r="D3142">
            <v>302633</v>
          </cell>
          <cell r="E3142" t="str">
            <v>Sipalay City NHS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</row>
        <row r="3143">
          <cell r="D3143">
            <v>500036</v>
          </cell>
          <cell r="E3143" t="str">
            <v>Colonia Divina Integrated School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0</v>
          </cell>
        </row>
        <row r="3144">
          <cell r="D3144">
            <v>302609</v>
          </cell>
          <cell r="E3144" t="str">
            <v>Cansilayan NHS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</row>
        <row r="3145">
          <cell r="D3145">
            <v>302795</v>
          </cell>
          <cell r="E3145" t="str">
            <v>Locotan NHS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</row>
        <row r="3146">
          <cell r="D3146">
            <v>310802</v>
          </cell>
          <cell r="E3146" t="str">
            <v>Dao National High School</v>
          </cell>
          <cell r="F3146">
            <v>50</v>
          </cell>
          <cell r="G3146">
            <v>131</v>
          </cell>
          <cell r="H3146">
            <v>181</v>
          </cell>
          <cell r="I3146">
            <v>41</v>
          </cell>
          <cell r="J3146">
            <v>0</v>
          </cell>
          <cell r="K3146">
            <v>41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</row>
        <row r="3147">
          <cell r="D3147">
            <v>302659</v>
          </cell>
          <cell r="E3147" t="str">
            <v>Lopez Jaena NHS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</row>
        <row r="3148">
          <cell r="D3148">
            <v>302464</v>
          </cell>
          <cell r="E3148" t="str">
            <v>Binaliuan NHS</v>
          </cell>
          <cell r="F3148">
            <v>0</v>
          </cell>
          <cell r="G3148">
            <v>49</v>
          </cell>
          <cell r="H3148">
            <v>49</v>
          </cell>
          <cell r="I3148">
            <v>0</v>
          </cell>
          <cell r="J3148">
            <v>20</v>
          </cell>
          <cell r="K3148">
            <v>20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</row>
        <row r="3149">
          <cell r="D3149">
            <v>302744</v>
          </cell>
          <cell r="E3149" t="str">
            <v>Jaro National High School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</row>
        <row r="3150">
          <cell r="D3150">
            <v>302736</v>
          </cell>
          <cell r="E3150" t="str">
            <v>Jerusalem National High School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</row>
        <row r="3151">
          <cell r="D3151">
            <v>302660</v>
          </cell>
          <cell r="E3151" t="str">
            <v>Mabini National High School</v>
          </cell>
          <cell r="F3151">
            <v>15</v>
          </cell>
          <cell r="G3151">
            <v>16</v>
          </cell>
          <cell r="H3151">
            <v>31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15</v>
          </cell>
          <cell r="Y3151">
            <v>16</v>
          </cell>
          <cell r="Z3151">
            <v>31</v>
          </cell>
        </row>
        <row r="3152">
          <cell r="D3152">
            <v>302615</v>
          </cell>
          <cell r="E3152" t="str">
            <v>Dian-ay National High School</v>
          </cell>
          <cell r="F3152">
            <v>0</v>
          </cell>
          <cell r="G3152">
            <v>0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</row>
        <row r="3153">
          <cell r="D3153">
            <v>302730</v>
          </cell>
          <cell r="E3153" t="str">
            <v>Dr. Vicente F. Gustilo Memorial NHS</v>
          </cell>
          <cell r="F3153">
            <v>0</v>
          </cell>
          <cell r="G3153">
            <v>0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</row>
        <row r="3154">
          <cell r="D3154">
            <v>500429</v>
          </cell>
          <cell r="E3154" t="str">
            <v>Aglalana Integrated School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</row>
        <row r="3155">
          <cell r="D3155">
            <v>302728</v>
          </cell>
          <cell r="E3155" t="str">
            <v>Caduha-an NHS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</row>
        <row r="3156">
          <cell r="D3156">
            <v>500194</v>
          </cell>
          <cell r="E3156" t="str">
            <v>Inzo Arnaldo Village Integrated School</v>
          </cell>
          <cell r="F3156">
            <v>65</v>
          </cell>
          <cell r="G3156">
            <v>56</v>
          </cell>
          <cell r="H3156">
            <v>121</v>
          </cell>
          <cell r="I3156">
            <v>12</v>
          </cell>
          <cell r="J3156">
            <v>8</v>
          </cell>
          <cell r="K3156">
            <v>20</v>
          </cell>
          <cell r="L3156">
            <v>53</v>
          </cell>
          <cell r="M3156">
            <v>48</v>
          </cell>
          <cell r="N3156">
            <v>101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2</v>
          </cell>
          <cell r="V3156">
            <v>0</v>
          </cell>
          <cell r="W3156">
            <v>2</v>
          </cell>
          <cell r="X3156">
            <v>2</v>
          </cell>
          <cell r="Y3156">
            <v>0</v>
          </cell>
          <cell r="Z3156">
            <v>2</v>
          </cell>
        </row>
        <row r="3157">
          <cell r="D3157">
            <v>302654</v>
          </cell>
          <cell r="E3157" t="str">
            <v>Libas National High School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</row>
        <row r="3158">
          <cell r="D3158">
            <v>302653</v>
          </cell>
          <cell r="E3158" t="str">
            <v>Isabela National High School</v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</row>
        <row r="3159">
          <cell r="D3159">
            <v>302369</v>
          </cell>
          <cell r="E3159" t="str">
            <v>Pandan NVHS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</row>
        <row r="3160">
          <cell r="D3160">
            <v>302664</v>
          </cell>
          <cell r="E3160" t="str">
            <v>Nabulao NHS</v>
          </cell>
          <cell r="F3160">
            <v>0</v>
          </cell>
          <cell r="G3160">
            <v>0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</row>
        <row r="3161">
          <cell r="D3161">
            <v>311106</v>
          </cell>
          <cell r="E3161" t="str">
            <v>Escalante NHS - Dr. Floro T. Bongco Mem. Ext.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</row>
        <row r="3162">
          <cell r="D3162">
            <v>325602</v>
          </cell>
          <cell r="E3162" t="str">
            <v>Buenavista NHS - Langub Ext.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</row>
        <row r="3163">
          <cell r="D3163">
            <v>302628</v>
          </cell>
          <cell r="E3163" t="str">
            <v>Escalante NHS - Washington Ext. (Palao)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</row>
        <row r="3164">
          <cell r="D3164">
            <v>302626</v>
          </cell>
          <cell r="E3164" t="str">
            <v>Old Poblacion National High School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</row>
        <row r="3165">
          <cell r="D3165">
            <v>302611</v>
          </cell>
          <cell r="E3165" t="str">
            <v>Catalino Soliguen NHS</v>
          </cell>
          <cell r="F3165">
            <v>0</v>
          </cell>
          <cell r="G3165">
            <v>0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</row>
        <row r="3166">
          <cell r="D3166">
            <v>302596</v>
          </cell>
          <cell r="E3166" t="str">
            <v>Buenavista NHS - Japitan Ext.</v>
          </cell>
          <cell r="F3166">
            <v>0</v>
          </cell>
          <cell r="G3166">
            <v>0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</row>
        <row r="3167">
          <cell r="D3167">
            <v>302393</v>
          </cell>
          <cell r="E3167" t="str">
            <v>Col. Patrocinio Artuz NHS</v>
          </cell>
          <cell r="F3167">
            <v>0</v>
          </cell>
          <cell r="G3167">
            <v>0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</row>
        <row r="3168">
          <cell r="D3168">
            <v>302802</v>
          </cell>
          <cell r="E3168" t="str">
            <v>Magballo National High School</v>
          </cell>
          <cell r="F3168">
            <v>0</v>
          </cell>
          <cell r="G3168">
            <v>0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</row>
        <row r="3169">
          <cell r="D3169">
            <v>305700</v>
          </cell>
          <cell r="E3169" t="str">
            <v>Alameda National High School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</row>
        <row r="3170">
          <cell r="D3170">
            <v>325605</v>
          </cell>
          <cell r="E3170" t="str">
            <v>Escalante NHS - Libertad Ext.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</row>
        <row r="3171">
          <cell r="D3171">
            <v>325603</v>
          </cell>
          <cell r="E3171" t="str">
            <v>Escalante NHS - Pinapugasan Ext.</v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</row>
        <row r="3172">
          <cell r="D3172">
            <v>302402</v>
          </cell>
          <cell r="E3172" t="str">
            <v>Estefania Montemayor NHS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</row>
        <row r="3173">
          <cell r="D3173">
            <v>302595</v>
          </cell>
          <cell r="E3173" t="str">
            <v>Buenavista National High School</v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</row>
        <row r="3174">
          <cell r="D3174">
            <v>325604</v>
          </cell>
          <cell r="E3174" t="str">
            <v>Escalante NHS - Magsaysay Ext.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</row>
        <row r="3175">
          <cell r="D3175">
            <v>302738</v>
          </cell>
          <cell r="E3175" t="str">
            <v>Iloilo City NHS</v>
          </cell>
          <cell r="F3175">
            <v>0</v>
          </cell>
          <cell r="G3175">
            <v>0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</row>
        <row r="3176">
          <cell r="D3176">
            <v>302678</v>
          </cell>
          <cell r="E3176" t="str">
            <v>Rafael B. Lacson NHS</v>
          </cell>
          <cell r="F3176">
            <v>4</v>
          </cell>
          <cell r="G3176">
            <v>3</v>
          </cell>
          <cell r="H3176">
            <v>7</v>
          </cell>
          <cell r="I3176">
            <v>1</v>
          </cell>
          <cell r="J3176">
            <v>2</v>
          </cell>
          <cell r="K3176">
            <v>3</v>
          </cell>
          <cell r="L3176">
            <v>1</v>
          </cell>
          <cell r="M3176">
            <v>1</v>
          </cell>
          <cell r="N3176">
            <v>2</v>
          </cell>
          <cell r="O3176">
            <v>1</v>
          </cell>
          <cell r="P3176">
            <v>0</v>
          </cell>
          <cell r="Q3176">
            <v>1</v>
          </cell>
          <cell r="R3176">
            <v>1</v>
          </cell>
          <cell r="S3176">
            <v>0</v>
          </cell>
          <cell r="T3176">
            <v>1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</row>
        <row r="3177">
          <cell r="D3177">
            <v>310808</v>
          </cell>
          <cell r="E3177" t="str">
            <v>SAN ANTONIO NATIONAL HIGH SCHOOL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</row>
        <row r="3178">
          <cell r="D3178">
            <v>302669</v>
          </cell>
          <cell r="E3178" t="str">
            <v>Negros Occidental HS</v>
          </cell>
          <cell r="F3178">
            <v>154</v>
          </cell>
          <cell r="G3178">
            <v>200</v>
          </cell>
          <cell r="H3178">
            <v>354</v>
          </cell>
          <cell r="I3178">
            <v>89</v>
          </cell>
          <cell r="J3178">
            <v>105</v>
          </cell>
          <cell r="K3178">
            <v>194</v>
          </cell>
          <cell r="L3178">
            <v>356</v>
          </cell>
          <cell r="M3178">
            <v>420</v>
          </cell>
          <cell r="N3178">
            <v>776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11</v>
          </cell>
          <cell r="V3178">
            <v>15</v>
          </cell>
          <cell r="W3178">
            <v>26</v>
          </cell>
          <cell r="X3178">
            <v>0</v>
          </cell>
          <cell r="Y3178">
            <v>0</v>
          </cell>
          <cell r="Z3178">
            <v>0</v>
          </cell>
        </row>
        <row r="3179">
          <cell r="D3179">
            <v>302624</v>
          </cell>
          <cell r="E3179" t="str">
            <v>Enriqueta Montilla De Esteban MHS</v>
          </cell>
          <cell r="F3179">
            <v>5</v>
          </cell>
          <cell r="G3179">
            <v>1</v>
          </cell>
          <cell r="H3179">
            <v>6</v>
          </cell>
          <cell r="I3179">
            <v>5</v>
          </cell>
          <cell r="J3179">
            <v>1</v>
          </cell>
          <cell r="K3179">
            <v>6</v>
          </cell>
          <cell r="L3179">
            <v>5</v>
          </cell>
          <cell r="M3179">
            <v>1</v>
          </cell>
          <cell r="N3179">
            <v>6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</row>
        <row r="3180">
          <cell r="D3180">
            <v>302510</v>
          </cell>
          <cell r="E3180" t="str">
            <v>Ilongbukid NHS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</row>
        <row r="3181">
          <cell r="D3181">
            <v>325601</v>
          </cell>
          <cell r="E3181" t="str">
            <v>Escalante NHS - Cervantes Ext.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</row>
        <row r="3182">
          <cell r="D3182">
            <v>302416</v>
          </cell>
          <cell r="E3182" t="str">
            <v>Manuel F. Onato NHS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</row>
        <row r="3183">
          <cell r="D3183">
            <v>302505</v>
          </cell>
          <cell r="E3183" t="str">
            <v>GRANADA NHS</v>
          </cell>
          <cell r="F3183">
            <v>0</v>
          </cell>
          <cell r="G3183">
            <v>0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</row>
        <row r="3184">
          <cell r="D3184">
            <v>302625</v>
          </cell>
          <cell r="E3184" t="str">
            <v>Escalante National High School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</row>
        <row r="3185">
          <cell r="D3185">
            <v>302726</v>
          </cell>
          <cell r="E3185" t="str">
            <v>Cadiz Viejo NHS</v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</row>
        <row r="3186">
          <cell r="D3186">
            <v>302593</v>
          </cell>
          <cell r="E3186" t="str">
            <v>Bocana NHS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</row>
        <row r="3187">
          <cell r="D3187">
            <v>302627</v>
          </cell>
          <cell r="E3187" t="str">
            <v>Tamlang National High School</v>
          </cell>
          <cell r="F3187">
            <v>0</v>
          </cell>
          <cell r="G3187">
            <v>0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</row>
        <row r="3188">
          <cell r="D3188">
            <v>311104</v>
          </cell>
          <cell r="E3188" t="str">
            <v>Efegenio Lizares National High School</v>
          </cell>
          <cell r="F3188">
            <v>9</v>
          </cell>
          <cell r="G3188">
            <v>0</v>
          </cell>
          <cell r="H3188">
            <v>9</v>
          </cell>
          <cell r="I3188">
            <v>9</v>
          </cell>
          <cell r="J3188">
            <v>0</v>
          </cell>
          <cell r="K3188">
            <v>9</v>
          </cell>
          <cell r="L3188">
            <v>11</v>
          </cell>
          <cell r="M3188">
            <v>0</v>
          </cell>
          <cell r="N3188">
            <v>11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5</v>
          </cell>
          <cell r="Y3188">
            <v>0</v>
          </cell>
          <cell r="Z3188">
            <v>5</v>
          </cell>
        </row>
        <row r="3189">
          <cell r="D3189">
            <v>302511</v>
          </cell>
          <cell r="E3189" t="str">
            <v>Jamabalud NHS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</row>
        <row r="3190">
          <cell r="D3190">
            <v>302478</v>
          </cell>
          <cell r="E3190" t="str">
            <v>Calmay NHS</v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</row>
        <row r="3191">
          <cell r="D3191">
            <v>302791</v>
          </cell>
          <cell r="E3191" t="str">
            <v>Talubangi NHS</v>
          </cell>
          <cell r="F3191">
            <v>0</v>
          </cell>
          <cell r="G3191">
            <v>0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</row>
        <row r="3192">
          <cell r="D3192">
            <v>302642</v>
          </cell>
          <cell r="E3192" t="str">
            <v>Guiljungan NHS - Abaca Ext.</v>
          </cell>
          <cell r="F3192">
            <v>0</v>
          </cell>
          <cell r="G3192">
            <v>0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</row>
        <row r="3193">
          <cell r="D3193">
            <v>302635</v>
          </cell>
          <cell r="E3193" t="str">
            <v>Gil Montilla NHS - Cabadiangan Ext.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</row>
        <row r="3194">
          <cell r="D3194">
            <v>302413</v>
          </cell>
          <cell r="E3194" t="str">
            <v>Maayon NHS</v>
          </cell>
          <cell r="F3194">
            <v>6</v>
          </cell>
          <cell r="G3194">
            <v>3</v>
          </cell>
          <cell r="H3194">
            <v>9</v>
          </cell>
          <cell r="I3194">
            <v>6</v>
          </cell>
          <cell r="J3194">
            <v>3</v>
          </cell>
          <cell r="K3194">
            <v>9</v>
          </cell>
          <cell r="L3194">
            <v>6</v>
          </cell>
          <cell r="M3194">
            <v>3</v>
          </cell>
          <cell r="N3194">
            <v>9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</row>
        <row r="3195">
          <cell r="D3195">
            <v>311403</v>
          </cell>
          <cell r="E3195" t="str">
            <v>Mabini NHS - Alimatoc Ext. HS</v>
          </cell>
          <cell r="F3195">
            <v>27</v>
          </cell>
          <cell r="G3195">
            <v>20</v>
          </cell>
          <cell r="H3195">
            <v>47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</row>
        <row r="3196">
          <cell r="D3196">
            <v>302559</v>
          </cell>
          <cell r="E3196" t="str">
            <v>Leon Mediana NHS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</row>
        <row r="3197">
          <cell r="D3197">
            <v>302612</v>
          </cell>
          <cell r="E3197" t="str">
            <v>CAUAYAN NATIONAL HIGH SCHOOL</v>
          </cell>
          <cell r="F3197">
            <v>0</v>
          </cell>
          <cell r="G3197">
            <v>0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</row>
        <row r="3198">
          <cell r="D3198">
            <v>311102</v>
          </cell>
          <cell r="E3198" t="str">
            <v>Minoyan National High School</v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</row>
        <row r="3199">
          <cell r="D3199">
            <v>302720</v>
          </cell>
          <cell r="E3199" t="str">
            <v>Ramon Torres Dulao NHS</v>
          </cell>
          <cell r="F3199">
            <v>0</v>
          </cell>
          <cell r="G3199">
            <v>0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</row>
        <row r="3200">
          <cell r="D3200">
            <v>302667</v>
          </cell>
          <cell r="E3200" t="str">
            <v>Negros Occ National Science High School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</row>
        <row r="3201">
          <cell r="D3201">
            <v>302651</v>
          </cell>
          <cell r="E3201" t="str">
            <v>Hinigaran NHS</v>
          </cell>
          <cell r="F3201">
            <v>0</v>
          </cell>
          <cell r="G3201">
            <v>0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</row>
        <row r="3202">
          <cell r="D3202">
            <v>302590</v>
          </cell>
          <cell r="E3202" t="str">
            <v>Andulauan NHS - Ilog Poblacion Ext.</v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</row>
        <row r="3203">
          <cell r="D3203">
            <v>302463</v>
          </cell>
          <cell r="E3203" t="str">
            <v>Binaba-an NHS</v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</row>
        <row r="3204">
          <cell r="D3204">
            <v>302589</v>
          </cell>
          <cell r="E3204" t="str">
            <v>Andulauan NHS</v>
          </cell>
          <cell r="F3204">
            <v>31</v>
          </cell>
          <cell r="G3204">
            <v>37</v>
          </cell>
          <cell r="H3204">
            <v>68</v>
          </cell>
          <cell r="I3204">
            <v>9</v>
          </cell>
          <cell r="J3204">
            <v>10</v>
          </cell>
          <cell r="K3204">
            <v>19</v>
          </cell>
          <cell r="L3204">
            <v>12</v>
          </cell>
          <cell r="M3204">
            <v>15</v>
          </cell>
          <cell r="N3204">
            <v>27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2</v>
          </cell>
          <cell r="Y3204">
            <v>3</v>
          </cell>
          <cell r="Z3204">
            <v>5</v>
          </cell>
        </row>
        <row r="3205">
          <cell r="D3205">
            <v>302790</v>
          </cell>
          <cell r="E3205" t="str">
            <v>TAGUKON NATIONAL HIGH SCHOOL</v>
          </cell>
          <cell r="F3205">
            <v>0</v>
          </cell>
          <cell r="G3205">
            <v>0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</row>
        <row r="3206">
          <cell r="D3206">
            <v>302767</v>
          </cell>
          <cell r="E3206" t="str">
            <v>Sagay National High School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</row>
        <row r="3207">
          <cell r="D3207">
            <v>302640</v>
          </cell>
          <cell r="E3207" t="str">
            <v>Gil Montilla NHS - Manlucahoc Ext.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</row>
        <row r="3208">
          <cell r="D3208">
            <v>302440</v>
          </cell>
          <cell r="E3208" t="str">
            <v>Alberto Sorongon Sr. Memorial National High School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</row>
        <row r="3209">
          <cell r="D3209">
            <v>500178</v>
          </cell>
          <cell r="E3209" t="str">
            <v>Catmon Integrated School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</row>
        <row r="3210">
          <cell r="D3210">
            <v>302661</v>
          </cell>
          <cell r="E3210" t="str">
            <v>Juan Gequillana NHS (Manalad NHS)</v>
          </cell>
          <cell r="F3210">
            <v>0</v>
          </cell>
          <cell r="G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</row>
        <row r="3211">
          <cell r="D3211">
            <v>302650</v>
          </cell>
          <cell r="E3211" t="str">
            <v>San Antonio NHS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</row>
        <row r="3212">
          <cell r="D3212">
            <v>302771</v>
          </cell>
          <cell r="E3212" t="str">
            <v>Vito National High School</v>
          </cell>
          <cell r="F3212">
            <v>0</v>
          </cell>
          <cell r="G3212">
            <v>0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</row>
        <row r="3213">
          <cell r="D3213">
            <v>302680</v>
          </cell>
          <cell r="E3213" t="str">
            <v>Mahalang National High School</v>
          </cell>
          <cell r="F3213">
            <v>64</v>
          </cell>
          <cell r="G3213">
            <v>31</v>
          </cell>
          <cell r="H3213">
            <v>95</v>
          </cell>
          <cell r="I3213">
            <v>25</v>
          </cell>
          <cell r="J3213">
            <v>10</v>
          </cell>
          <cell r="K3213">
            <v>35</v>
          </cell>
          <cell r="L3213">
            <v>27</v>
          </cell>
          <cell r="M3213">
            <v>22</v>
          </cell>
          <cell r="N3213">
            <v>49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</row>
        <row r="3214">
          <cell r="D3214">
            <v>302737</v>
          </cell>
          <cell r="E3214" t="str">
            <v>Fort San Pedro National High School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</row>
        <row r="3215">
          <cell r="D3215">
            <v>311705</v>
          </cell>
          <cell r="E3215" t="str">
            <v>Roxas NHS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</row>
        <row r="3216">
          <cell r="D3216">
            <v>302789</v>
          </cell>
          <cell r="E3216" t="str">
            <v>Kabankalan NHS</v>
          </cell>
          <cell r="F3216">
            <v>0</v>
          </cell>
          <cell r="G3216">
            <v>0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</row>
        <row r="3217">
          <cell r="D3217">
            <v>302679</v>
          </cell>
          <cell r="E3217" t="str">
            <v>Raymundo Tongson NHS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</row>
        <row r="3218">
          <cell r="D3218">
            <v>302613</v>
          </cell>
          <cell r="E3218" t="str">
            <v>Col. Griffin National High School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</row>
        <row r="3219">
          <cell r="D3219">
            <v>302618</v>
          </cell>
          <cell r="E3219" t="str">
            <v>Don Simplicio Lizares NHS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</row>
        <row r="3220">
          <cell r="D3220">
            <v>302622</v>
          </cell>
          <cell r="E3220" t="str">
            <v>Enrique B. Magalona NHS - Consing Ext.</v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</row>
        <row r="3221">
          <cell r="D3221">
            <v>302597</v>
          </cell>
          <cell r="E3221" t="str">
            <v>Bug-ang National High School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</row>
        <row r="3222">
          <cell r="D3222">
            <v>500588</v>
          </cell>
          <cell r="E3222" t="str">
            <v>Paloypoy Integrated School</v>
          </cell>
          <cell r="F3222">
            <v>0</v>
          </cell>
          <cell r="G3222">
            <v>0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</row>
        <row r="3223">
          <cell r="D3223">
            <v>302422</v>
          </cell>
          <cell r="E3223" t="str">
            <v>San Nicolas NHS (Pilar)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</row>
        <row r="3224">
          <cell r="D3224">
            <v>302643</v>
          </cell>
          <cell r="E3224" t="str">
            <v>Guiljungan NHS - Camindangan Ext.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</row>
        <row r="3225">
          <cell r="D3225">
            <v>311105</v>
          </cell>
          <cell r="E3225" t="str">
            <v>Guinpana-an NHS - Poblacion Ext.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</row>
        <row r="3226">
          <cell r="D3226">
            <v>500201</v>
          </cell>
          <cell r="E3226" t="str">
            <v>Violeta Integrated School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</row>
        <row r="3227">
          <cell r="D3227">
            <v>302522</v>
          </cell>
          <cell r="E3227" t="str">
            <v>Leon National High School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</row>
        <row r="3228">
          <cell r="D3228">
            <v>302616</v>
          </cell>
          <cell r="E3228" t="str">
            <v>Don Florencio Villafranca National High School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</row>
        <row r="3229">
          <cell r="D3229">
            <v>302383</v>
          </cell>
          <cell r="E3229" t="str">
            <v>Union NHS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</row>
        <row r="3230">
          <cell r="D3230">
            <v>302289</v>
          </cell>
          <cell r="E3230" t="str">
            <v>Bacan National High School</v>
          </cell>
          <cell r="F3230">
            <v>0</v>
          </cell>
          <cell r="G3230">
            <v>0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</row>
        <row r="3231">
          <cell r="D3231">
            <v>302681</v>
          </cell>
          <cell r="E3231" t="str">
            <v>Raymundo Tongson NHS - Suay Ext.</v>
          </cell>
          <cell r="F3231">
            <v>0</v>
          </cell>
          <cell r="G3231">
            <v>0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</row>
        <row r="3232">
          <cell r="D3232">
            <v>302336</v>
          </cell>
          <cell r="E3232" t="str">
            <v>Tangalan National High School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</row>
        <row r="3233">
          <cell r="D3233">
            <v>302587</v>
          </cell>
          <cell r="E3233" t="str">
            <v>Aguisan NHS</v>
          </cell>
          <cell r="F3233">
            <v>0</v>
          </cell>
          <cell r="G3233">
            <v>0</v>
          </cell>
          <cell r="H3233">
            <v>0</v>
          </cell>
          <cell r="I3233">
            <v>24</v>
          </cell>
          <cell r="J3233">
            <v>37</v>
          </cell>
          <cell r="K3233">
            <v>61</v>
          </cell>
          <cell r="L3233">
            <v>28</v>
          </cell>
          <cell r="M3233">
            <v>39</v>
          </cell>
          <cell r="N3233">
            <v>67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</row>
        <row r="3234">
          <cell r="D3234">
            <v>302577</v>
          </cell>
          <cell r="E3234" t="str">
            <v>Talingting NHS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</row>
        <row r="3235">
          <cell r="D3235">
            <v>500193</v>
          </cell>
          <cell r="E3235" t="str">
            <v>Marcos Fuentes IS</v>
          </cell>
          <cell r="F3235">
            <v>46</v>
          </cell>
          <cell r="G3235">
            <v>70</v>
          </cell>
          <cell r="H3235">
            <v>116</v>
          </cell>
          <cell r="I3235">
            <v>18</v>
          </cell>
          <cell r="J3235">
            <v>23</v>
          </cell>
          <cell r="K3235">
            <v>41</v>
          </cell>
          <cell r="L3235">
            <v>25</v>
          </cell>
          <cell r="M3235">
            <v>29</v>
          </cell>
          <cell r="N3235">
            <v>54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</row>
        <row r="3236">
          <cell r="D3236">
            <v>302517</v>
          </cell>
          <cell r="E3236" t="str">
            <v>Lambunao National High School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</row>
        <row r="3237">
          <cell r="D3237">
            <v>302401</v>
          </cell>
          <cell r="E3237" t="str">
            <v>Concepcion Castro Garcia NHS (Dumalag NHS) Sta. Cruz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</row>
        <row r="3238">
          <cell r="D3238">
            <v>500196</v>
          </cell>
          <cell r="E3238" t="str">
            <v>Guinhalaran Integrated School - Secondary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</row>
        <row r="3239">
          <cell r="D3239">
            <v>302396</v>
          </cell>
          <cell r="E3239" t="str">
            <v>Cuartero NHS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</row>
        <row r="3240">
          <cell r="D3240">
            <v>500199</v>
          </cell>
          <cell r="E3240" t="str">
            <v>Don Albino &amp; Doña Dolores Jison IS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</row>
        <row r="3241">
          <cell r="D3241">
            <v>302641</v>
          </cell>
          <cell r="E3241" t="str">
            <v>Guiljungan NHS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</row>
        <row r="3242">
          <cell r="D3242">
            <v>500179</v>
          </cell>
          <cell r="E3242" t="str">
            <v>Kalibo Integrated Special Education Center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</row>
        <row r="3243">
          <cell r="D3243">
            <v>311013</v>
          </cell>
          <cell r="E3243" t="str">
            <v>Supt. Arsenio M. Napud MNHS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</row>
        <row r="3244">
          <cell r="D3244">
            <v>311028</v>
          </cell>
          <cell r="E3244" t="str">
            <v>Dalid National High School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</row>
        <row r="3245">
          <cell r="D3245">
            <v>302571</v>
          </cell>
          <cell r="E3245" t="str">
            <v>Sinogbuhan National High School</v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</row>
        <row r="3246">
          <cell r="D3246">
            <v>302546</v>
          </cell>
          <cell r="E3246" t="str">
            <v>PALANGUIA NATIONAL HIGH SCHOOL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</row>
        <row r="3247">
          <cell r="D3247">
            <v>302782</v>
          </cell>
          <cell r="E3247" t="str">
            <v>Doña Montserrat Lopez MHS - HPCO Ext.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</row>
        <row r="3248">
          <cell r="D3248">
            <v>302536</v>
          </cell>
          <cell r="E3248" t="str">
            <v>Nalundan NHS</v>
          </cell>
          <cell r="F3248">
            <v>0</v>
          </cell>
          <cell r="G3248">
            <v>0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</row>
        <row r="3249">
          <cell r="D3249">
            <v>302549</v>
          </cell>
          <cell r="E3249" t="str">
            <v>Particion NHS</v>
          </cell>
          <cell r="F3249">
            <v>29</v>
          </cell>
          <cell r="G3249">
            <v>33</v>
          </cell>
          <cell r="H3249">
            <v>62</v>
          </cell>
          <cell r="I3249">
            <v>11</v>
          </cell>
          <cell r="J3249">
            <v>6</v>
          </cell>
          <cell r="K3249">
            <v>17</v>
          </cell>
          <cell r="L3249">
            <v>18</v>
          </cell>
          <cell r="M3249">
            <v>12</v>
          </cell>
          <cell r="N3249">
            <v>30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</row>
        <row r="3250">
          <cell r="D3250">
            <v>302514</v>
          </cell>
          <cell r="E3250" t="str">
            <v>Jose Facultad Memorial National High School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</row>
        <row r="3251">
          <cell r="D3251">
            <v>311017</v>
          </cell>
          <cell r="E3251" t="str">
            <v>Bancal NHS</v>
          </cell>
          <cell r="F3251">
            <v>58</v>
          </cell>
          <cell r="G3251">
            <v>60</v>
          </cell>
          <cell r="H3251">
            <v>118</v>
          </cell>
          <cell r="I3251">
            <v>13</v>
          </cell>
          <cell r="J3251">
            <v>1</v>
          </cell>
          <cell r="K3251">
            <v>14</v>
          </cell>
          <cell r="L3251">
            <v>13</v>
          </cell>
          <cell r="M3251">
            <v>1</v>
          </cell>
          <cell r="N3251">
            <v>14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</row>
        <row r="3252">
          <cell r="D3252">
            <v>302380</v>
          </cell>
          <cell r="E3252" t="str">
            <v>Sta. Ana NHS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</row>
        <row r="3253">
          <cell r="D3253">
            <v>302562</v>
          </cell>
          <cell r="E3253" t="str">
            <v>San Antonio NHS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</row>
        <row r="3254">
          <cell r="D3254">
            <v>302572</v>
          </cell>
          <cell r="E3254" t="str">
            <v>Siwalo NHS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</row>
        <row r="3255">
          <cell r="D3255">
            <v>302471</v>
          </cell>
          <cell r="E3255" t="str">
            <v>Burak NHS</v>
          </cell>
          <cell r="F3255">
            <v>14</v>
          </cell>
          <cell r="G3255">
            <v>12</v>
          </cell>
          <cell r="H3255">
            <v>26</v>
          </cell>
          <cell r="I3255">
            <v>2</v>
          </cell>
          <cell r="J3255">
            <v>2</v>
          </cell>
          <cell r="K3255">
            <v>4</v>
          </cell>
          <cell r="L3255">
            <v>3</v>
          </cell>
          <cell r="M3255">
            <v>2</v>
          </cell>
          <cell r="N3255">
            <v>5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</row>
        <row r="3256">
          <cell r="D3256">
            <v>302698</v>
          </cell>
          <cell r="E3256" t="str">
            <v>Victorias NHS - Gaston Ext.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</row>
        <row r="3257">
          <cell r="D3257">
            <v>302560</v>
          </cell>
          <cell r="E3257" t="str">
            <v>Quipot National High School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</row>
        <row r="3258">
          <cell r="D3258">
            <v>302287</v>
          </cell>
          <cell r="E3258" t="str">
            <v>Justicia Morales-Young National High School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</row>
        <row r="3259">
          <cell r="D3259">
            <v>311011</v>
          </cell>
          <cell r="E3259" t="str">
            <v>Adriano Cabardo NHS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</row>
        <row r="3260">
          <cell r="D3260">
            <v>302414</v>
          </cell>
          <cell r="E3260" t="str">
            <v>MALONOY NATIONAL HIGH SCHOOL</v>
          </cell>
          <cell r="F3260">
            <v>0</v>
          </cell>
          <cell r="G3260">
            <v>0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</row>
        <row r="3261">
          <cell r="D3261">
            <v>302528</v>
          </cell>
          <cell r="E3261" t="str">
            <v>Major Manuel A. Aaron Memorial NHS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</row>
        <row r="3262">
          <cell r="D3262">
            <v>302753</v>
          </cell>
          <cell r="E3262" t="str">
            <v>La Granja NHS - Yubo Ext.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</row>
        <row r="3263">
          <cell r="D3263">
            <v>302725</v>
          </cell>
          <cell r="E3263" t="str">
            <v>Ramon Torres Taloc NHS</v>
          </cell>
          <cell r="F3263">
            <v>43</v>
          </cell>
          <cell r="G3263">
            <v>37</v>
          </cell>
          <cell r="H3263">
            <v>80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</row>
        <row r="3264">
          <cell r="D3264">
            <v>302761</v>
          </cell>
          <cell r="E3264" t="str">
            <v>Tanque NHS</v>
          </cell>
          <cell r="F3264">
            <v>184</v>
          </cell>
          <cell r="G3264">
            <v>114</v>
          </cell>
          <cell r="H3264">
            <v>298</v>
          </cell>
          <cell r="I3264">
            <v>1</v>
          </cell>
          <cell r="J3264">
            <v>1</v>
          </cell>
          <cell r="K3264">
            <v>2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</row>
        <row r="3265">
          <cell r="D3265">
            <v>302497</v>
          </cell>
          <cell r="E3265" t="str">
            <v>Duenas General Comprehensive High School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</row>
        <row r="3266">
          <cell r="D3266">
            <v>302519</v>
          </cell>
          <cell r="E3266" t="str">
            <v>Lawigan NHS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</row>
        <row r="3267">
          <cell r="D3267">
            <v>302529</v>
          </cell>
          <cell r="E3267" t="str">
            <v>Maribuyong NHS</v>
          </cell>
          <cell r="F3267">
            <v>34</v>
          </cell>
          <cell r="G3267">
            <v>21</v>
          </cell>
          <cell r="H3267">
            <v>55</v>
          </cell>
          <cell r="I3267">
            <v>23</v>
          </cell>
          <cell r="J3267">
            <v>12</v>
          </cell>
          <cell r="K3267">
            <v>35</v>
          </cell>
          <cell r="L3267">
            <v>10</v>
          </cell>
          <cell r="M3267">
            <v>8</v>
          </cell>
          <cell r="N3267">
            <v>18</v>
          </cell>
          <cell r="O3267">
            <v>5</v>
          </cell>
          <cell r="P3267">
            <v>2</v>
          </cell>
          <cell r="Q3267">
            <v>7</v>
          </cell>
          <cell r="R3267">
            <v>5</v>
          </cell>
          <cell r="S3267">
            <v>2</v>
          </cell>
          <cell r="T3267">
            <v>7</v>
          </cell>
          <cell r="U3267">
            <v>12</v>
          </cell>
          <cell r="V3267">
            <v>13</v>
          </cell>
          <cell r="W3267">
            <v>25</v>
          </cell>
          <cell r="X3267">
            <v>0</v>
          </cell>
          <cell r="Y3267">
            <v>0</v>
          </cell>
          <cell r="Z3267">
            <v>0</v>
          </cell>
        </row>
        <row r="3268">
          <cell r="D3268">
            <v>302335</v>
          </cell>
          <cell r="E3268" t="str">
            <v>Solido National High School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</row>
        <row r="3269">
          <cell r="D3269">
            <v>302466</v>
          </cell>
          <cell r="E3269" t="str">
            <v>Bololacao NHS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</row>
        <row r="3270">
          <cell r="D3270">
            <v>311005</v>
          </cell>
          <cell r="E3270" t="str">
            <v>Lanag Norte National High School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</row>
        <row r="3271">
          <cell r="D3271">
            <v>302451</v>
          </cell>
          <cell r="E3271" t="str">
            <v>Layog NHS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</row>
        <row r="3272">
          <cell r="D3272">
            <v>302332</v>
          </cell>
          <cell r="E3272" t="str">
            <v>Regional Science High School for Region VI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</row>
        <row r="3273">
          <cell r="D3273">
            <v>311029</v>
          </cell>
          <cell r="E3273" t="str">
            <v>Dagami National High School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</row>
        <row r="3274">
          <cell r="D3274">
            <v>302420</v>
          </cell>
          <cell r="E3274" t="str">
            <v>Pontevedra NHS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</row>
        <row r="3275">
          <cell r="D3275">
            <v>302352</v>
          </cell>
          <cell r="E3275" t="str">
            <v>Concepcion L. Cazenas MS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</row>
        <row r="3276">
          <cell r="D3276">
            <v>302330</v>
          </cell>
          <cell r="E3276" t="str">
            <v>Ibajay NHS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</row>
        <row r="3277">
          <cell r="D3277">
            <v>302323</v>
          </cell>
          <cell r="E3277" t="str">
            <v>Gaudencio L. Vega NHS (Nalook NHS)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</row>
        <row r="3278">
          <cell r="D3278">
            <v>302502</v>
          </cell>
          <cell r="E3278" t="str">
            <v>GEN. LUNA NHS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</row>
        <row r="3279">
          <cell r="D3279">
            <v>302722</v>
          </cell>
          <cell r="E3279" t="str">
            <v>Ramon Torres Malingin NHS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</row>
        <row r="3280">
          <cell r="D3280">
            <v>302458</v>
          </cell>
          <cell r="E3280" t="str">
            <v>Barotac Viejo National High School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</row>
        <row r="3281">
          <cell r="D3281">
            <v>302423</v>
          </cell>
          <cell r="E3281" t="str">
            <v>San Nicolas NHS (Tapaz)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</row>
        <row r="3282">
          <cell r="D3282">
            <v>500643</v>
          </cell>
          <cell r="E3282" t="str">
            <v>San Roque Integrated School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</row>
        <row r="3283">
          <cell r="D3283">
            <v>310813</v>
          </cell>
          <cell r="E3283" t="str">
            <v>Mambusao East NHS (ext. of David Moises)</v>
          </cell>
          <cell r="F3283">
            <v>0</v>
          </cell>
          <cell r="G3283">
            <v>0</v>
          </cell>
          <cell r="H3283">
            <v>0</v>
          </cell>
          <cell r="I3283">
            <v>2</v>
          </cell>
          <cell r="J3283">
            <v>0</v>
          </cell>
          <cell r="K3283">
            <v>2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</row>
        <row r="3284">
          <cell r="D3284">
            <v>302385</v>
          </cell>
          <cell r="E3284" t="str">
            <v>Arturo Jugo NHS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</row>
        <row r="3285">
          <cell r="D3285">
            <v>302459</v>
          </cell>
          <cell r="E3285" t="str">
            <v>Barroc NHS</v>
          </cell>
          <cell r="F3285">
            <v>43</v>
          </cell>
          <cell r="G3285">
            <v>25</v>
          </cell>
          <cell r="H3285">
            <v>68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</row>
        <row r="3286">
          <cell r="D3286">
            <v>302599</v>
          </cell>
          <cell r="E3286" t="str">
            <v>Bulwangan NHS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</row>
        <row r="3287">
          <cell r="D3287">
            <v>302598</v>
          </cell>
          <cell r="E3287" t="str">
            <v>Bulata NHS</v>
          </cell>
          <cell r="F3287">
            <v>0</v>
          </cell>
          <cell r="G3287">
            <v>0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</row>
        <row r="3288">
          <cell r="D3288">
            <v>302441</v>
          </cell>
          <cell r="E3288" t="str">
            <v>Abangay National High School</v>
          </cell>
          <cell r="F3288">
            <v>0</v>
          </cell>
          <cell r="G3288">
            <v>0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</row>
        <row r="3289">
          <cell r="D3289">
            <v>302445</v>
          </cell>
          <cell r="E3289" t="str">
            <v>Alejandro Firmeza MNHS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</row>
        <row r="3290">
          <cell r="D3290">
            <v>311010</v>
          </cell>
          <cell r="E3290" t="str">
            <v>San Jose NHS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</row>
        <row r="3291">
          <cell r="D3291">
            <v>302674</v>
          </cell>
          <cell r="E3291" t="str">
            <v>Esteban Jalandoni Mem. NHS (Baga-as NHS)</v>
          </cell>
          <cell r="F3291">
            <v>0</v>
          </cell>
          <cell r="G3291">
            <v>0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</row>
        <row r="3292">
          <cell r="D3292">
            <v>310814</v>
          </cell>
          <cell r="E3292" t="str">
            <v>Presentacion Diez Gregorio NHS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</row>
        <row r="3293">
          <cell r="D3293">
            <v>302428</v>
          </cell>
          <cell r="E3293" t="str">
            <v>Cabalagnan National High School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</row>
        <row r="3294">
          <cell r="D3294">
            <v>302346</v>
          </cell>
          <cell r="E3294" t="str">
            <v>Barbaza NHS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</row>
        <row r="3295">
          <cell r="D3295">
            <v>302492</v>
          </cell>
          <cell r="E3295" t="str">
            <v>Don B. Jalandoni NHS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</row>
        <row r="3296">
          <cell r="D3296">
            <v>302415</v>
          </cell>
          <cell r="E3296" t="str">
            <v>Luis Escutin NHS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</row>
        <row r="3297">
          <cell r="D3297">
            <v>302308</v>
          </cell>
          <cell r="E3297" t="str">
            <v>Jose Borromeo Legaspi Memorial National High School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</row>
        <row r="3298">
          <cell r="D3298">
            <v>500177</v>
          </cell>
          <cell r="E3298" t="str">
            <v>Angas Integrated School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</row>
        <row r="3299">
          <cell r="D3299">
            <v>311027</v>
          </cell>
          <cell r="E3299" t="str">
            <v>SINAMAY NATIONAL HIGH SCHOOL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</row>
        <row r="3300">
          <cell r="D3300">
            <v>302719</v>
          </cell>
          <cell r="E3300" t="str">
            <v>Ramon Torres NHS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</row>
        <row r="3301">
          <cell r="D3301">
            <v>302479</v>
          </cell>
          <cell r="E3301" t="str">
            <v>CAMANGAHAN NATIONAL HIGH SCHOOL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</row>
        <row r="3302">
          <cell r="D3302">
            <v>500038</v>
          </cell>
          <cell r="E3302" t="str">
            <v>Himogaan Baybay Integrated School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</row>
        <row r="3303">
          <cell r="D3303">
            <v>311702</v>
          </cell>
          <cell r="E3303" t="str">
            <v>Roxas City School for Philippine Craftsmen</v>
          </cell>
          <cell r="F3303">
            <v>0</v>
          </cell>
          <cell r="G3303">
            <v>0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</row>
        <row r="3304">
          <cell r="D3304">
            <v>302723</v>
          </cell>
          <cell r="E3304" t="str">
            <v>Ramon Torres Sagasa National High School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</row>
        <row r="3305">
          <cell r="D3305">
            <v>302527</v>
          </cell>
          <cell r="E3305" t="str">
            <v>Malusgod NHS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</row>
        <row r="3306">
          <cell r="D3306">
            <v>302390</v>
          </cell>
          <cell r="E3306" t="str">
            <v>Candelaria NHS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</row>
        <row r="3307">
          <cell r="D3307">
            <v>310701</v>
          </cell>
          <cell r="E3307" t="str">
            <v>Guintas NHS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</row>
        <row r="3308">
          <cell r="D3308">
            <v>310812</v>
          </cell>
          <cell r="E3308" t="str">
            <v>Pawa National High School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</row>
        <row r="3309">
          <cell r="D3309">
            <v>302462</v>
          </cell>
          <cell r="E3309" t="str">
            <v>Bayas National High School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</row>
        <row r="3310">
          <cell r="D3310">
            <v>311004</v>
          </cell>
          <cell r="E3310" t="str">
            <v>Santiago NHS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</row>
        <row r="3311">
          <cell r="D3311">
            <v>500186</v>
          </cell>
          <cell r="E3311" t="str">
            <v>Pinamuk-an Integrated School</v>
          </cell>
          <cell r="F3311">
            <v>25</v>
          </cell>
          <cell r="G3311">
            <v>28</v>
          </cell>
          <cell r="H3311">
            <v>53</v>
          </cell>
          <cell r="I3311">
            <v>12</v>
          </cell>
          <cell r="J3311">
            <v>10</v>
          </cell>
          <cell r="K3311">
            <v>22</v>
          </cell>
          <cell r="L3311">
            <v>13</v>
          </cell>
          <cell r="M3311">
            <v>18</v>
          </cell>
          <cell r="N3311">
            <v>31</v>
          </cell>
          <cell r="O3311">
            <v>1</v>
          </cell>
          <cell r="P3311">
            <v>0</v>
          </cell>
          <cell r="Q3311">
            <v>1</v>
          </cell>
          <cell r="R3311">
            <v>24</v>
          </cell>
          <cell r="S3311">
            <v>28</v>
          </cell>
          <cell r="T3311">
            <v>52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</row>
        <row r="3312">
          <cell r="D3312">
            <v>302524</v>
          </cell>
          <cell r="E3312" t="str">
            <v>Maasin National Comprehensive High School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</row>
        <row r="3313">
          <cell r="D3313">
            <v>311014</v>
          </cell>
          <cell r="E3313" t="str">
            <v>Hda. Conchita NHS</v>
          </cell>
          <cell r="F3313">
            <v>75</v>
          </cell>
          <cell r="G3313">
            <v>44</v>
          </cell>
          <cell r="H3313">
            <v>119</v>
          </cell>
          <cell r="I3313">
            <v>0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</row>
        <row r="3314">
          <cell r="D3314">
            <v>302515</v>
          </cell>
          <cell r="E3314" t="str">
            <v>Kirayan NHS</v>
          </cell>
          <cell r="F3314">
            <v>78</v>
          </cell>
          <cell r="G3314">
            <v>58</v>
          </cell>
          <cell r="H3314">
            <v>136</v>
          </cell>
          <cell r="I3314">
            <v>76</v>
          </cell>
          <cell r="J3314">
            <v>55</v>
          </cell>
          <cell r="K3314">
            <v>131</v>
          </cell>
          <cell r="L3314">
            <v>0</v>
          </cell>
          <cell r="M3314">
            <v>0</v>
          </cell>
          <cell r="N3314">
            <v>0</v>
          </cell>
          <cell r="O3314">
            <v>2</v>
          </cell>
          <cell r="P3314">
            <v>3</v>
          </cell>
          <cell r="Q3314">
            <v>5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</row>
        <row r="3315">
          <cell r="D3315">
            <v>501116</v>
          </cell>
          <cell r="E3315" t="str">
            <v>Olotayan Integrated school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</row>
        <row r="3316">
          <cell r="D3316">
            <v>361021</v>
          </cell>
          <cell r="E3316" t="str">
            <v>Bago City Senior High School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</row>
        <row r="3317">
          <cell r="D3317">
            <v>302338</v>
          </cell>
          <cell r="E3317" t="str">
            <v>Torralba NHS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</row>
        <row r="3318">
          <cell r="D3318">
            <v>302742</v>
          </cell>
          <cell r="E3318" t="str">
            <v>Jalandoni Memorial National High School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</row>
        <row r="3319">
          <cell r="D3319">
            <v>302412</v>
          </cell>
          <cell r="E3319" t="str">
            <v>East Villaflores NHS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</row>
        <row r="3320">
          <cell r="D3320">
            <v>302371</v>
          </cell>
          <cell r="E3320" t="str">
            <v>Pascual M. Osuyos Memorial High School</v>
          </cell>
          <cell r="F3320">
            <v>39</v>
          </cell>
          <cell r="G3320">
            <v>32</v>
          </cell>
          <cell r="H3320">
            <v>71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</row>
        <row r="3321">
          <cell r="D3321">
            <v>302351</v>
          </cell>
          <cell r="E3321" t="str">
            <v>Col. Ruperto Abellon NHS</v>
          </cell>
          <cell r="F3321">
            <v>260</v>
          </cell>
          <cell r="G3321">
            <v>216</v>
          </cell>
          <cell r="H3321">
            <v>476</v>
          </cell>
          <cell r="I3321">
            <v>9</v>
          </cell>
          <cell r="J3321">
            <v>11</v>
          </cell>
          <cell r="K3321">
            <v>20</v>
          </cell>
          <cell r="L3321">
            <v>21</v>
          </cell>
          <cell r="M3321">
            <v>18</v>
          </cell>
          <cell r="N3321">
            <v>39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3</v>
          </cell>
          <cell r="Y3321">
            <v>2</v>
          </cell>
          <cell r="Z3321">
            <v>5</v>
          </cell>
        </row>
        <row r="3322">
          <cell r="D3322">
            <v>302374</v>
          </cell>
          <cell r="E3322" t="str">
            <v>San Antonio National High School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</row>
        <row r="3323">
          <cell r="D3323">
            <v>302430</v>
          </cell>
          <cell r="E3323" t="str">
            <v>East Valencia National High School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</row>
        <row r="3324">
          <cell r="D3324">
            <v>302503</v>
          </cell>
          <cell r="E3324" t="str">
            <v>Gines National High School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</row>
        <row r="3325">
          <cell r="D3325">
            <v>302721</v>
          </cell>
          <cell r="E3325" t="str">
            <v>Ramon Torres Ma-ao Sugar Central NHS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</row>
        <row r="3326">
          <cell r="D3326">
            <v>302724</v>
          </cell>
          <cell r="E3326" t="str">
            <v>Ramon Torres Louisiana NHS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</row>
        <row r="3327">
          <cell r="D3327">
            <v>302311</v>
          </cell>
          <cell r="E3327" t="str">
            <v>Guadalupe NHS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</row>
        <row r="3328">
          <cell r="D3328">
            <v>302301</v>
          </cell>
          <cell r="E3328" t="str">
            <v>Camanci National High School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</row>
        <row r="3329">
          <cell r="D3329">
            <v>500188</v>
          </cell>
          <cell r="E3329" t="str">
            <v>STO. NIÑO INTEGRATED SCHOOL</v>
          </cell>
          <cell r="F3329">
            <v>22</v>
          </cell>
          <cell r="G3329">
            <v>16</v>
          </cell>
          <cell r="H3329">
            <v>38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</row>
        <row r="3330">
          <cell r="D3330">
            <v>302379</v>
          </cell>
          <cell r="E3330" t="str">
            <v>Southern Bugasong NHS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</row>
        <row r="3331">
          <cell r="D3331">
            <v>302779</v>
          </cell>
          <cell r="E3331" t="str">
            <v>Don Felix T. Lacson Memorial National High School</v>
          </cell>
          <cell r="F3331">
            <v>43</v>
          </cell>
          <cell r="G3331">
            <v>43</v>
          </cell>
          <cell r="H3331">
            <v>86</v>
          </cell>
          <cell r="I3331">
            <v>38</v>
          </cell>
          <cell r="J3331">
            <v>38</v>
          </cell>
          <cell r="K3331">
            <v>76</v>
          </cell>
          <cell r="L3331">
            <v>5</v>
          </cell>
          <cell r="M3331">
            <v>5</v>
          </cell>
          <cell r="N3331">
            <v>10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</row>
        <row r="3332">
          <cell r="D3332">
            <v>302411</v>
          </cell>
          <cell r="E3332" t="str">
            <v>Lucero NHS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</row>
        <row r="3333">
          <cell r="D3333">
            <v>302358</v>
          </cell>
          <cell r="E3333" t="str">
            <v>Gov. Julio V. Macuja MCHS</v>
          </cell>
          <cell r="F3333">
            <v>96</v>
          </cell>
          <cell r="G3333">
            <v>80</v>
          </cell>
          <cell r="H3333">
            <v>176</v>
          </cell>
          <cell r="I3333">
            <v>28</v>
          </cell>
          <cell r="J3333">
            <v>36</v>
          </cell>
          <cell r="K3333">
            <v>64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</row>
        <row r="3334">
          <cell r="D3334">
            <v>302805</v>
          </cell>
          <cell r="E3334" t="str">
            <v>Passi National High School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</row>
        <row r="3335">
          <cell r="D3335">
            <v>302749</v>
          </cell>
          <cell r="E3335" t="str">
            <v>Mandurriao NHS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</row>
        <row r="3336">
          <cell r="D3336">
            <v>302747</v>
          </cell>
          <cell r="E3336" t="str">
            <v>La Paz NHS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</row>
        <row r="3337">
          <cell r="D3337">
            <v>302365</v>
          </cell>
          <cell r="E3337" t="str">
            <v>Mag-aba National High School</v>
          </cell>
          <cell r="F3337">
            <v>104</v>
          </cell>
          <cell r="G3337">
            <v>94</v>
          </cell>
          <cell r="H3337">
            <v>198</v>
          </cell>
          <cell r="I3337">
            <v>10</v>
          </cell>
          <cell r="J3337">
            <v>8</v>
          </cell>
          <cell r="K3337">
            <v>18</v>
          </cell>
          <cell r="L3337">
            <v>10</v>
          </cell>
          <cell r="M3337">
            <v>8</v>
          </cell>
          <cell r="N3337">
            <v>18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</row>
        <row r="3338">
          <cell r="D3338">
            <v>302366</v>
          </cell>
          <cell r="E3338" t="str">
            <v>Moscoso-Rios NHS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</row>
        <row r="3339">
          <cell r="D3339">
            <v>310811</v>
          </cell>
          <cell r="E3339" t="str">
            <v>YATING NATIONAL HIGH SCHOOL</v>
          </cell>
          <cell r="F3339">
            <v>63</v>
          </cell>
          <cell r="G3339">
            <v>73</v>
          </cell>
          <cell r="H3339">
            <v>136</v>
          </cell>
          <cell r="I3339">
            <v>50</v>
          </cell>
          <cell r="J3339">
            <v>63</v>
          </cell>
          <cell r="K3339">
            <v>113</v>
          </cell>
          <cell r="L3339">
            <v>52</v>
          </cell>
          <cell r="M3339">
            <v>65</v>
          </cell>
          <cell r="N3339">
            <v>117</v>
          </cell>
          <cell r="O3339">
            <v>5</v>
          </cell>
          <cell r="P3339">
            <v>0</v>
          </cell>
          <cell r="Q3339">
            <v>5</v>
          </cell>
          <cell r="R3339">
            <v>2</v>
          </cell>
          <cell r="S3339">
            <v>1</v>
          </cell>
          <cell r="T3339">
            <v>3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</row>
        <row r="3340">
          <cell r="D3340">
            <v>302329</v>
          </cell>
          <cell r="E3340" t="str">
            <v>Ondoy National High School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</row>
        <row r="3341">
          <cell r="D3341">
            <v>302375</v>
          </cell>
          <cell r="E3341" t="str">
            <v>San Pedro NHS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</row>
        <row r="3342">
          <cell r="D3342">
            <v>311009</v>
          </cell>
          <cell r="E3342" t="str">
            <v>Granada NHS-Ballesteros Campus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</row>
        <row r="3343">
          <cell r="D3343">
            <v>302426</v>
          </cell>
          <cell r="E3343" t="str">
            <v>Buenavista National High School</v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</row>
        <row r="3344">
          <cell r="D3344">
            <v>302364</v>
          </cell>
          <cell r="E3344" t="str">
            <v>Lirio M. Escaño NHS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</row>
        <row r="3345">
          <cell r="D3345">
            <v>302309</v>
          </cell>
          <cell r="E3345" t="str">
            <v>Jose Feliciano Meñez Memorial National High School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</row>
        <row r="3346">
          <cell r="D3346">
            <v>302541</v>
          </cell>
          <cell r="E3346" t="str">
            <v>Nicomedes R. Tubar Sr. NHS</v>
          </cell>
          <cell r="F3346">
            <v>310</v>
          </cell>
          <cell r="G3346">
            <v>225</v>
          </cell>
          <cell r="H3346">
            <v>535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</row>
        <row r="3347">
          <cell r="D3347">
            <v>302354</v>
          </cell>
          <cell r="E3347" t="str">
            <v>Egaña National High School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</row>
        <row r="3348">
          <cell r="D3348">
            <v>302743</v>
          </cell>
          <cell r="E3348" t="str">
            <v>Bo. Obrero NHS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</row>
        <row r="3349">
          <cell r="D3349">
            <v>302483</v>
          </cell>
          <cell r="E3349" t="str">
            <v>Cayos NHS</v>
          </cell>
          <cell r="F3349">
            <v>38</v>
          </cell>
          <cell r="G3349">
            <v>35</v>
          </cell>
          <cell r="H3349">
            <v>73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</row>
        <row r="3350">
          <cell r="D3350">
            <v>500191</v>
          </cell>
          <cell r="E3350" t="str">
            <v>TCT-AR Foundation Integrated School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</row>
        <row r="3351">
          <cell r="D3351">
            <v>302427</v>
          </cell>
          <cell r="E3351" t="str">
            <v>Agsanayan National High School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</row>
        <row r="3352">
          <cell r="D3352">
            <v>302382</v>
          </cell>
          <cell r="E3352" t="str">
            <v>Tinogboc NHS</v>
          </cell>
          <cell r="F3352">
            <v>0</v>
          </cell>
          <cell r="G3352">
            <v>0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</row>
        <row r="3353">
          <cell r="D3353">
            <v>302362</v>
          </cell>
          <cell r="E3353" t="str">
            <v>Laua-an NHS</v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</row>
        <row r="3354">
          <cell r="D3354">
            <v>302377</v>
          </cell>
          <cell r="E3354" t="str">
            <v>Sebaste HS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</row>
        <row r="3355">
          <cell r="D3355">
            <v>302324</v>
          </cell>
          <cell r="E3355" t="str">
            <v>Aklan NHS for Arts &amp; Trades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</row>
        <row r="3356">
          <cell r="D3356">
            <v>302447</v>
          </cell>
          <cell r="E3356" t="str">
            <v>Ambrosio Maido MNHS</v>
          </cell>
          <cell r="F3356">
            <v>32</v>
          </cell>
          <cell r="G3356">
            <v>36</v>
          </cell>
          <cell r="H3356">
            <v>68</v>
          </cell>
          <cell r="I3356">
            <v>0</v>
          </cell>
          <cell r="J3356">
            <v>16</v>
          </cell>
          <cell r="K3356">
            <v>16</v>
          </cell>
          <cell r="L3356">
            <v>0</v>
          </cell>
          <cell r="M3356">
            <v>60</v>
          </cell>
          <cell r="N3356">
            <v>60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</row>
        <row r="3357">
          <cell r="D3357">
            <v>302299</v>
          </cell>
          <cell r="E3357" t="str">
            <v>CALIZO NATIONAL HIGH SCHOOL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</row>
        <row r="3358">
          <cell r="D3358">
            <v>302566</v>
          </cell>
          <cell r="E3358" t="str">
            <v>SAN JOAQUIN SCHOOL OF FISHERIES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</row>
        <row r="3359">
          <cell r="D3359">
            <v>302431</v>
          </cell>
          <cell r="E3359" t="str">
            <v>Getulio NHS</v>
          </cell>
          <cell r="F3359">
            <v>33</v>
          </cell>
          <cell r="G3359">
            <v>29</v>
          </cell>
          <cell r="H3359">
            <v>62</v>
          </cell>
          <cell r="I3359">
            <v>2</v>
          </cell>
          <cell r="J3359">
            <v>2</v>
          </cell>
          <cell r="K3359">
            <v>4</v>
          </cell>
          <cell r="L3359">
            <v>2</v>
          </cell>
          <cell r="M3359">
            <v>2</v>
          </cell>
          <cell r="N3359">
            <v>4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5</v>
          </cell>
          <cell r="Y3359">
            <v>3</v>
          </cell>
          <cell r="Z3359">
            <v>8</v>
          </cell>
        </row>
        <row r="3360">
          <cell r="D3360">
            <v>302807</v>
          </cell>
          <cell r="E3360" t="str">
            <v>Salngan National High School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</row>
        <row r="3361">
          <cell r="D3361">
            <v>302305</v>
          </cell>
          <cell r="E3361" t="str">
            <v>Anselmo B. Legaspi NHS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</row>
        <row r="3362">
          <cell r="D3362">
            <v>302302</v>
          </cell>
          <cell r="E3362" t="str">
            <v>Candelaria NHS</v>
          </cell>
          <cell r="F3362">
            <v>0</v>
          </cell>
          <cell r="G3362">
            <v>0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</row>
        <row r="3363">
          <cell r="D3363">
            <v>302489</v>
          </cell>
          <cell r="E3363" t="str">
            <v>De La Paz National High School</v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</row>
        <row r="3364">
          <cell r="D3364">
            <v>310617</v>
          </cell>
          <cell r="E3364" t="str">
            <v>Alfonso XII NHS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</row>
        <row r="3365">
          <cell r="D3365">
            <v>302381</v>
          </cell>
          <cell r="E3365" t="str">
            <v>Sta. Justa National High School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</row>
        <row r="3366">
          <cell r="D3366">
            <v>302368</v>
          </cell>
          <cell r="E3366" t="str">
            <v>Northern Bugasong NHS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</row>
        <row r="3367">
          <cell r="D3367">
            <v>302303</v>
          </cell>
          <cell r="E3367" t="str">
            <v>New Washington NCHS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</row>
        <row r="3368">
          <cell r="D3368">
            <v>302348</v>
          </cell>
          <cell r="E3368" t="str">
            <v>Bitadton National High School</v>
          </cell>
          <cell r="F3368">
            <v>102</v>
          </cell>
          <cell r="G3368">
            <v>86</v>
          </cell>
          <cell r="H3368">
            <v>188</v>
          </cell>
          <cell r="I3368">
            <v>47</v>
          </cell>
          <cell r="J3368">
            <v>32</v>
          </cell>
          <cell r="K3368">
            <v>79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</row>
        <row r="3369">
          <cell r="D3369">
            <v>500545</v>
          </cell>
          <cell r="E3369" t="str">
            <v>Bakhaw Norte Integrated School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</row>
        <row r="3370">
          <cell r="D3370">
            <v>310707</v>
          </cell>
          <cell r="E3370" t="str">
            <v>Gov. Evelio B. Javier MNHS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</row>
        <row r="3371">
          <cell r="D3371">
            <v>302752</v>
          </cell>
          <cell r="E3371" t="str">
            <v>La Granja NHS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</row>
        <row r="3372">
          <cell r="D3372">
            <v>310901</v>
          </cell>
          <cell r="E3372" t="str">
            <v>Ayangan National High School</v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</row>
        <row r="3373">
          <cell r="D3373">
            <v>302372</v>
          </cell>
          <cell r="E3373" t="str">
            <v>Patria National School</v>
          </cell>
          <cell r="F3373">
            <v>40</v>
          </cell>
          <cell r="G3373">
            <v>71</v>
          </cell>
          <cell r="H3373">
            <v>111</v>
          </cell>
          <cell r="I3373">
            <v>5</v>
          </cell>
          <cell r="J3373">
            <v>6</v>
          </cell>
          <cell r="K3373">
            <v>11</v>
          </cell>
          <cell r="L3373">
            <v>5</v>
          </cell>
          <cell r="M3373">
            <v>6</v>
          </cell>
          <cell r="N3373">
            <v>11</v>
          </cell>
          <cell r="O3373">
            <v>2</v>
          </cell>
          <cell r="P3373">
            <v>4</v>
          </cell>
          <cell r="Q3373">
            <v>6</v>
          </cell>
          <cell r="R3373">
            <v>2</v>
          </cell>
          <cell r="S3373">
            <v>4</v>
          </cell>
          <cell r="T3373">
            <v>6</v>
          </cell>
          <cell r="U3373">
            <v>0</v>
          </cell>
          <cell r="V3373">
            <v>0</v>
          </cell>
          <cell r="W3373">
            <v>0</v>
          </cell>
          <cell r="X3373">
            <v>5</v>
          </cell>
          <cell r="Y3373">
            <v>3</v>
          </cell>
          <cell r="Z3373">
            <v>8</v>
          </cell>
        </row>
        <row r="3374">
          <cell r="D3374">
            <v>310704</v>
          </cell>
          <cell r="E3374" t="str">
            <v>Gen. Leandro Fullon NS</v>
          </cell>
          <cell r="F3374">
            <v>115</v>
          </cell>
          <cell r="G3374">
            <v>89</v>
          </cell>
          <cell r="H3374">
            <v>204</v>
          </cell>
          <cell r="I3374">
            <v>3</v>
          </cell>
          <cell r="J3374">
            <v>4</v>
          </cell>
          <cell r="K3374">
            <v>7</v>
          </cell>
          <cell r="L3374">
            <v>2</v>
          </cell>
          <cell r="M3374">
            <v>2</v>
          </cell>
          <cell r="N3374">
            <v>4</v>
          </cell>
          <cell r="O3374">
            <v>4</v>
          </cell>
          <cell r="P3374">
            <v>5</v>
          </cell>
          <cell r="Q3374">
            <v>9</v>
          </cell>
          <cell r="R3374">
            <v>3</v>
          </cell>
          <cell r="S3374">
            <v>6</v>
          </cell>
          <cell r="T3374">
            <v>9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</row>
        <row r="3375">
          <cell r="D3375">
            <v>311006</v>
          </cell>
          <cell r="E3375" t="str">
            <v>P.D. Monfort National Science HS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</row>
        <row r="3376">
          <cell r="D3376">
            <v>500174</v>
          </cell>
          <cell r="E3376" t="str">
            <v>Ortega Integrated School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</row>
        <row r="3377">
          <cell r="D3377">
            <v>302474</v>
          </cell>
          <cell r="E3377" t="str">
            <v>Cabudian National High School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</row>
        <row r="3378">
          <cell r="D3378">
            <v>500638</v>
          </cell>
          <cell r="E3378" t="str">
            <v>Agtughangin Integrated School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</row>
        <row r="3379">
          <cell r="D3379">
            <v>302421</v>
          </cell>
          <cell r="E3379" t="str">
            <v>Putian National High School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</row>
        <row r="3380">
          <cell r="D3380">
            <v>302300</v>
          </cell>
          <cell r="E3380" t="str">
            <v>Camaligan NHS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</row>
        <row r="3381">
          <cell r="D3381">
            <v>302294</v>
          </cell>
          <cell r="E3381" t="str">
            <v>Bay-ang-Magpag-ong NHS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</row>
        <row r="3382">
          <cell r="D3382">
            <v>302322</v>
          </cell>
          <cell r="E3382" t="str">
            <v>Naisud NHS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</row>
        <row r="3383">
          <cell r="D3383">
            <v>302751</v>
          </cell>
          <cell r="E3383" t="str">
            <v>Doña Hortencia Salas Benedicto NHS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</row>
        <row r="3384">
          <cell r="D3384">
            <v>302341</v>
          </cell>
          <cell r="E3384" t="str">
            <v>Antique NS</v>
          </cell>
          <cell r="F3384">
            <v>0</v>
          </cell>
          <cell r="G3384">
            <v>0</v>
          </cell>
          <cell r="H3384">
            <v>0</v>
          </cell>
          <cell r="I3384">
            <v>2</v>
          </cell>
          <cell r="J3384">
            <v>0</v>
          </cell>
          <cell r="K3384">
            <v>2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</row>
        <row r="3385">
          <cell r="D3385">
            <v>302353</v>
          </cell>
          <cell r="E3385" t="str">
            <v>Diclum National High School</v>
          </cell>
          <cell r="F3385">
            <v>74</v>
          </cell>
          <cell r="G3385">
            <v>71</v>
          </cell>
          <cell r="H3385">
            <v>145</v>
          </cell>
          <cell r="I3385">
            <v>1</v>
          </cell>
          <cell r="J3385">
            <v>1</v>
          </cell>
          <cell r="K3385">
            <v>2</v>
          </cell>
          <cell r="L3385">
            <v>1</v>
          </cell>
          <cell r="M3385">
            <v>1</v>
          </cell>
          <cell r="N3385">
            <v>2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1</v>
          </cell>
          <cell r="V3385">
            <v>1</v>
          </cell>
          <cell r="W3385">
            <v>2</v>
          </cell>
          <cell r="X3385">
            <v>0</v>
          </cell>
          <cell r="Y3385">
            <v>0</v>
          </cell>
          <cell r="Z3385">
            <v>0</v>
          </cell>
        </row>
        <row r="3386">
          <cell r="D3386">
            <v>330516</v>
          </cell>
          <cell r="E3386" t="str">
            <v>Philippine Science High School - Western Visayas Campus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</row>
        <row r="3387">
          <cell r="D3387">
            <v>302290</v>
          </cell>
          <cell r="E3387" t="str">
            <v>Petronilo C. Ibadlit National High school</v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</row>
        <row r="3388">
          <cell r="D3388">
            <v>302356</v>
          </cell>
          <cell r="E3388" t="str">
            <v>Governor Julian Fullon Pacificador National School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</row>
        <row r="3389">
          <cell r="D3389">
            <v>310708</v>
          </cell>
          <cell r="E3389" t="str">
            <v>Eastern Laua-an NHS (Maria NHS)</v>
          </cell>
          <cell r="F3389">
            <v>0</v>
          </cell>
          <cell r="G3389">
            <v>0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</row>
        <row r="3390">
          <cell r="D3390">
            <v>310602</v>
          </cell>
          <cell r="E3390" t="str">
            <v>Mangan National High School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</row>
        <row r="3391">
          <cell r="D3391">
            <v>302345</v>
          </cell>
          <cell r="E3391" t="str">
            <v>Barasanan National High School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</row>
        <row r="3392">
          <cell r="D3392">
            <v>302314</v>
          </cell>
          <cell r="E3392" t="str">
            <v>LOCTUGA NATIONAL HIGH SCHOOL</v>
          </cell>
          <cell r="F3392">
            <v>0</v>
          </cell>
          <cell r="G3392">
            <v>0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</row>
        <row r="3393">
          <cell r="D3393">
            <v>302367</v>
          </cell>
          <cell r="E3393" t="str">
            <v>Northern Antique Vocational School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</row>
        <row r="3394">
          <cell r="D3394">
            <v>302334</v>
          </cell>
          <cell r="E3394" t="str">
            <v>Rosario National High School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</row>
        <row r="3395">
          <cell r="D3395">
            <v>302317</v>
          </cell>
          <cell r="E3395" t="str">
            <v>Malay National High School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</row>
        <row r="3396">
          <cell r="D3396">
            <v>302429</v>
          </cell>
          <cell r="E3396" t="str">
            <v>Desiderio C. Gange NHS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</row>
        <row r="3397">
          <cell r="D3397">
            <v>302361</v>
          </cell>
          <cell r="E3397" t="str">
            <v>Igpalge NHS</v>
          </cell>
          <cell r="F3397">
            <v>33</v>
          </cell>
          <cell r="G3397">
            <v>29</v>
          </cell>
          <cell r="H3397">
            <v>62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</row>
        <row r="3398">
          <cell r="D3398">
            <v>500183</v>
          </cell>
          <cell r="E3398" t="str">
            <v>Jawili Integrated School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</row>
        <row r="3399">
          <cell r="D3399">
            <v>500640</v>
          </cell>
          <cell r="E3399" t="str">
            <v>Ipil Integrated School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</row>
        <row r="3400">
          <cell r="D3400">
            <v>500170</v>
          </cell>
          <cell r="E3400" t="str">
            <v>Aguinaldo T. Repiedad Sr. IS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</row>
        <row r="3401">
          <cell r="D3401">
            <v>302407</v>
          </cell>
          <cell r="E3401" t="str">
            <v>Macario Delfin Bermejo NHS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</row>
        <row r="3402">
          <cell r="D3402">
            <v>302319</v>
          </cell>
          <cell r="E3402" t="str">
            <v>Malinao Sch. For Phil. Craftsmen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</row>
        <row r="3403">
          <cell r="D3403">
            <v>310603</v>
          </cell>
          <cell r="E3403" t="str">
            <v>LAMBERTO H. TIROL NATIONAL HIGH SCHOOL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</row>
        <row r="3404">
          <cell r="D3404">
            <v>310809</v>
          </cell>
          <cell r="E3404" t="str">
            <v>REV. TOMAS CONEJAR NHS (katipunan)</v>
          </cell>
          <cell r="F3404">
            <v>26</v>
          </cell>
          <cell r="G3404">
            <v>22</v>
          </cell>
          <cell r="H3404">
            <v>48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1</v>
          </cell>
          <cell r="P3404">
            <v>1</v>
          </cell>
          <cell r="Q3404">
            <v>2</v>
          </cell>
          <cell r="R3404">
            <v>1</v>
          </cell>
          <cell r="S3404">
            <v>1</v>
          </cell>
          <cell r="T3404">
            <v>2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</row>
        <row r="3405">
          <cell r="D3405">
            <v>302355</v>
          </cell>
          <cell r="E3405" t="str">
            <v>Gamad-Sto. Tomas NHS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</row>
        <row r="3406">
          <cell r="D3406">
            <v>302575</v>
          </cell>
          <cell r="E3406" t="str">
            <v>Tabugon NHS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</row>
        <row r="3407">
          <cell r="D3407">
            <v>302307</v>
          </cell>
          <cell r="E3407" t="str">
            <v>Father Julian C. Rago Memorial NHS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</row>
        <row r="3408">
          <cell r="D3408">
            <v>302340</v>
          </cell>
          <cell r="E3408" t="str">
            <v>Union National High School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</row>
        <row r="3409">
          <cell r="D3409">
            <v>302286</v>
          </cell>
          <cell r="E3409" t="str">
            <v>Altavas National School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</row>
        <row r="3410">
          <cell r="D3410">
            <v>500173</v>
          </cell>
          <cell r="E3410" t="str">
            <v>Tamalagon Integrated School</v>
          </cell>
          <cell r="F3410">
            <v>0</v>
          </cell>
          <cell r="G3410">
            <v>0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</row>
        <row r="3411">
          <cell r="D3411">
            <v>302446</v>
          </cell>
          <cell r="E3411" t="str">
            <v>Alimodian NCHS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</row>
        <row r="3412">
          <cell r="D3412">
            <v>310702</v>
          </cell>
          <cell r="E3412" t="str">
            <v>Tario Lim National Memorial High School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</row>
        <row r="3413">
          <cell r="D3413">
            <v>302310</v>
          </cell>
          <cell r="E3413" t="str">
            <v>Libacao National Forestry Vocational High School</v>
          </cell>
          <cell r="F3413">
            <v>0</v>
          </cell>
          <cell r="G3413">
            <v>0</v>
          </cell>
          <cell r="H3413">
            <v>0</v>
          </cell>
          <cell r="I3413">
            <v>58</v>
          </cell>
          <cell r="J3413">
            <v>40</v>
          </cell>
          <cell r="K3413">
            <v>98</v>
          </cell>
          <cell r="L3413">
            <v>58</v>
          </cell>
          <cell r="M3413">
            <v>40</v>
          </cell>
          <cell r="N3413">
            <v>98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</row>
        <row r="3414">
          <cell r="D3414">
            <v>302343</v>
          </cell>
          <cell r="E3414" t="str">
            <v>Aureliana NHS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</row>
        <row r="3415">
          <cell r="D3415">
            <v>302754</v>
          </cell>
          <cell r="E3415" t="str">
            <v>San Miguel NHS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</row>
        <row r="3416">
          <cell r="D3416">
            <v>500181</v>
          </cell>
          <cell r="E3416" t="str">
            <v>Dalagsaan Integrated School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</row>
        <row r="3417">
          <cell r="D3417">
            <v>500639</v>
          </cell>
          <cell r="E3417" t="str">
            <v>Baybay-Alibagon Integrated School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</row>
        <row r="3418">
          <cell r="D3418">
            <v>302325</v>
          </cell>
          <cell r="E3418" t="str">
            <v>Navitas National High School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</row>
        <row r="3419">
          <cell r="D3419">
            <v>302331</v>
          </cell>
          <cell r="E3419" t="str">
            <v>Panayakan National High School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</row>
        <row r="3420">
          <cell r="D3420">
            <v>302376</v>
          </cell>
          <cell r="E3420" t="str">
            <v>San Roque-Ezpeleta NHS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</row>
        <row r="3421">
          <cell r="D3421">
            <v>500548</v>
          </cell>
          <cell r="E3421" t="str">
            <v>Lipata-Lamputong Integrated School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</row>
        <row r="3422">
          <cell r="D3422">
            <v>500642</v>
          </cell>
          <cell r="E3422" t="str">
            <v>Palay Integrated School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</row>
        <row r="3423">
          <cell r="D3423">
            <v>302318</v>
          </cell>
          <cell r="E3423" t="str">
            <v>BURUANGA NATIONAL HIGH SCHOOL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</row>
        <row r="3424">
          <cell r="D3424">
            <v>311002</v>
          </cell>
          <cell r="E3424" t="str">
            <v>Jose Monfort National Science High School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</row>
        <row r="3425">
          <cell r="D3425">
            <v>302344</v>
          </cell>
          <cell r="E3425" t="str">
            <v>Barangbang NHS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</row>
        <row r="3426">
          <cell r="D3426">
            <v>302373</v>
          </cell>
          <cell r="E3426" t="str">
            <v>Pis-anan National High Sshool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</row>
        <row r="3427">
          <cell r="D3427">
            <v>302339</v>
          </cell>
          <cell r="E3427" t="str">
            <v>Unidos NHS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</row>
        <row r="3428">
          <cell r="D3428">
            <v>310805</v>
          </cell>
          <cell r="E3428" t="str">
            <v>MAMBUSAO NATIONAL HIGH SCHOOL</v>
          </cell>
          <cell r="F3428">
            <v>50</v>
          </cell>
          <cell r="G3428">
            <v>55</v>
          </cell>
          <cell r="H3428">
            <v>105</v>
          </cell>
          <cell r="I3428">
            <v>20</v>
          </cell>
          <cell r="J3428">
            <v>15</v>
          </cell>
          <cell r="K3428">
            <v>35</v>
          </cell>
          <cell r="L3428">
            <v>0</v>
          </cell>
          <cell r="M3428">
            <v>0</v>
          </cell>
          <cell r="N3428">
            <v>0</v>
          </cell>
          <cell r="O3428">
            <v>15</v>
          </cell>
          <cell r="P3428">
            <v>18</v>
          </cell>
          <cell r="Q3428">
            <v>33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</row>
        <row r="3429">
          <cell r="D3429">
            <v>302493</v>
          </cell>
          <cell r="E3429" t="str">
            <v>Carlos Lopez NHS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</row>
        <row r="3430">
          <cell r="D3430">
            <v>302349</v>
          </cell>
          <cell r="E3430" t="str">
            <v>Buhang NHS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</row>
        <row r="3431">
          <cell r="D3431">
            <v>310605</v>
          </cell>
          <cell r="E3431" t="str">
            <v>Madalag NHS - Mamba Ext.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</row>
        <row r="3432">
          <cell r="D3432">
            <v>302558</v>
          </cell>
          <cell r="E3432" t="str">
            <v>Wenceslao S. Grio NHS</v>
          </cell>
          <cell r="F3432">
            <v>23</v>
          </cell>
          <cell r="G3432">
            <v>18</v>
          </cell>
          <cell r="H3432">
            <v>41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</row>
        <row r="3433">
          <cell r="D3433">
            <v>310806</v>
          </cell>
          <cell r="E3433" t="str">
            <v>Dumalag Central NHS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</row>
        <row r="3434">
          <cell r="D3434">
            <v>302582</v>
          </cell>
          <cell r="E3434" t="str">
            <v>Tiring NHS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</row>
        <row r="3435">
          <cell r="D3435">
            <v>500184</v>
          </cell>
          <cell r="E3435" t="str">
            <v>Mandong Integrated School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</row>
        <row r="3436">
          <cell r="D3436">
            <v>302298</v>
          </cell>
          <cell r="E3436" t="str">
            <v>Dr. Ramon B. Legaspi, Sr. National High School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</row>
        <row r="3437">
          <cell r="D3437">
            <v>500198</v>
          </cell>
          <cell r="E3437" t="str">
            <v>Silay SPED Center</v>
          </cell>
          <cell r="F3437">
            <v>5</v>
          </cell>
          <cell r="G3437">
            <v>0</v>
          </cell>
          <cell r="H3437">
            <v>5</v>
          </cell>
          <cell r="I3437">
            <v>5</v>
          </cell>
          <cell r="J3437">
            <v>0</v>
          </cell>
          <cell r="K3437">
            <v>5</v>
          </cell>
          <cell r="L3437">
            <v>0</v>
          </cell>
          <cell r="M3437">
            <v>0</v>
          </cell>
          <cell r="N3437">
            <v>0</v>
          </cell>
          <cell r="O3437">
            <v>5</v>
          </cell>
          <cell r="P3437">
            <v>0</v>
          </cell>
          <cell r="Q3437">
            <v>5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</row>
        <row r="3438">
          <cell r="D3438">
            <v>500200</v>
          </cell>
          <cell r="E3438" t="str">
            <v>Napilas IS (Napilas ES)</v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</row>
        <row r="3439">
          <cell r="D3439">
            <v>302384</v>
          </cell>
          <cell r="E3439" t="str">
            <v>Valderrama NHS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</row>
        <row r="3440">
          <cell r="D3440">
            <v>500202</v>
          </cell>
          <cell r="E3440" t="str">
            <v>SIBATO INTEGRATED SCHOOL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</row>
        <row r="3441">
          <cell r="D3441">
            <v>302288</v>
          </cell>
          <cell r="E3441" t="str">
            <v>Linayasan NHS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</row>
        <row r="3442">
          <cell r="D3442">
            <v>500185</v>
          </cell>
          <cell r="E3442" t="str">
            <v>Medina Integrated School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</row>
        <row r="3443">
          <cell r="D3443">
            <v>500182</v>
          </cell>
          <cell r="E3443" t="str">
            <v>Habana Integrated School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</row>
        <row r="3444">
          <cell r="D3444">
            <v>310601</v>
          </cell>
          <cell r="E3444" t="str">
            <v>LUPO NATIONAL HIGH SCHOOL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</row>
        <row r="3445">
          <cell r="D3445">
            <v>302306</v>
          </cell>
          <cell r="E3445" t="str">
            <v>Daja Sur National High School</v>
          </cell>
          <cell r="F3445">
            <v>0</v>
          </cell>
          <cell r="G3445">
            <v>0</v>
          </cell>
          <cell r="H3445">
            <v>0</v>
          </cell>
          <cell r="I3445">
            <v>4</v>
          </cell>
          <cell r="J3445">
            <v>0</v>
          </cell>
          <cell r="K3445">
            <v>4</v>
          </cell>
          <cell r="L3445">
            <v>5</v>
          </cell>
          <cell r="M3445">
            <v>0</v>
          </cell>
          <cell r="N3445">
            <v>5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3</v>
          </cell>
          <cell r="Y3445">
            <v>0</v>
          </cell>
          <cell r="Z3445">
            <v>3</v>
          </cell>
        </row>
        <row r="3446">
          <cell r="D3446">
            <v>302804</v>
          </cell>
          <cell r="E3446" t="str">
            <v>Mulapula National High School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</row>
        <row r="3447">
          <cell r="D3447">
            <v>302328</v>
          </cell>
          <cell r="E3447" t="str">
            <v>Ochando National High School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</row>
        <row r="3448">
          <cell r="D3448">
            <v>500175</v>
          </cell>
          <cell r="E3448" t="str">
            <v>Kinalangay Viejo IS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</row>
        <row r="3449">
          <cell r="D3449">
            <v>500171</v>
          </cell>
          <cell r="E3449" t="str">
            <v>Lezo IS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</row>
        <row r="3450">
          <cell r="D3450">
            <v>310705</v>
          </cell>
          <cell r="E3450" t="str">
            <v>Semirara NHS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</row>
        <row r="3451">
          <cell r="D3451">
            <v>500180</v>
          </cell>
          <cell r="E3451" t="str">
            <v>PATROCINIO A. LACHICA INTEGRATED SCHOOL</v>
          </cell>
          <cell r="F3451">
            <v>24</v>
          </cell>
          <cell r="G3451">
            <v>26</v>
          </cell>
          <cell r="H3451">
            <v>50</v>
          </cell>
          <cell r="I3451">
            <v>20</v>
          </cell>
          <cell r="J3451">
            <v>25</v>
          </cell>
          <cell r="K3451">
            <v>45</v>
          </cell>
          <cell r="L3451">
            <v>21</v>
          </cell>
          <cell r="M3451">
            <v>27</v>
          </cell>
          <cell r="N3451">
            <v>48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</row>
        <row r="3452">
          <cell r="D3452">
            <v>302316</v>
          </cell>
          <cell r="E3452" t="str">
            <v>Loreto N. Nedic National High School (Alaminos NHS)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</row>
        <row r="3453">
          <cell r="D3453">
            <v>302359</v>
          </cell>
          <cell r="E3453" t="str">
            <v>Igburi National High School</v>
          </cell>
          <cell r="F3453">
            <v>2</v>
          </cell>
          <cell r="G3453">
            <v>0</v>
          </cell>
          <cell r="H3453">
            <v>2</v>
          </cell>
          <cell r="I3453">
            <v>2</v>
          </cell>
          <cell r="J3453">
            <v>0</v>
          </cell>
          <cell r="K3453">
            <v>2</v>
          </cell>
          <cell r="L3453">
            <v>2</v>
          </cell>
          <cell r="M3453">
            <v>0</v>
          </cell>
          <cell r="N3453">
            <v>2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</row>
        <row r="3454">
          <cell r="D3454">
            <v>500187</v>
          </cell>
          <cell r="E3454" t="str">
            <v>Tabon Integrated School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</row>
        <row r="3455">
          <cell r="D3455">
            <v>302333</v>
          </cell>
          <cell r="E3455" t="str">
            <v>Rizal J. Rodriguez Sr. NHS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</row>
        <row r="3456">
          <cell r="D3456">
            <v>302321</v>
          </cell>
          <cell r="E3456" t="str">
            <v>Naile NHS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</row>
        <row r="3457">
          <cell r="D3457">
            <v>500641</v>
          </cell>
          <cell r="E3457" t="str">
            <v>Ma. Cristina Integrated School</v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</row>
        <row r="3458">
          <cell r="D3458">
            <v>500172</v>
          </cell>
          <cell r="E3458" t="str">
            <v>Makato Integrated School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</row>
        <row r="3459">
          <cell r="D3459">
            <v>500543</v>
          </cell>
          <cell r="E3459" t="str">
            <v>Balete Integrated School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</row>
        <row r="3460">
          <cell r="D3460">
            <v>302350</v>
          </cell>
          <cell r="E3460" t="str">
            <v>Caluya NHS</v>
          </cell>
          <cell r="F3460">
            <v>168</v>
          </cell>
          <cell r="G3460">
            <v>126</v>
          </cell>
          <cell r="H3460">
            <v>294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</row>
        <row r="3461">
          <cell r="D3461">
            <v>500035</v>
          </cell>
          <cell r="E3461" t="str">
            <v>Numancia Integrated School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</row>
        <row r="3462">
          <cell r="D3462">
            <v>310703</v>
          </cell>
          <cell r="E3462" t="str">
            <v>Sibalom National High School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</row>
        <row r="3463">
          <cell r="D3463">
            <v>302540</v>
          </cell>
          <cell r="E3463" t="str">
            <v>New Lucena National High School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</row>
        <row r="3464">
          <cell r="D3464">
            <v>302337</v>
          </cell>
          <cell r="E3464" t="str">
            <v>Toledo NHS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</row>
        <row r="3465">
          <cell r="D3465">
            <v>302436</v>
          </cell>
          <cell r="E3465" t="str">
            <v>Salvacion National High School</v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</row>
        <row r="3466">
          <cell r="D3466">
            <v>302439</v>
          </cell>
          <cell r="E3466" t="str">
            <v>Remedios E. Vilches-San Lorenzo National High School</v>
          </cell>
          <cell r="F3466">
            <v>133</v>
          </cell>
          <cell r="G3466">
            <v>93</v>
          </cell>
          <cell r="H3466">
            <v>226</v>
          </cell>
          <cell r="I3466">
            <v>71</v>
          </cell>
          <cell r="J3466">
            <v>51</v>
          </cell>
          <cell r="K3466">
            <v>122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1</v>
          </cell>
          <cell r="Z3466">
            <v>1</v>
          </cell>
        </row>
        <row r="3467">
          <cell r="D3467">
            <v>302370</v>
          </cell>
          <cell r="E3467" t="str">
            <v>Pangpang NHS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</row>
        <row r="3468">
          <cell r="D3468">
            <v>302296</v>
          </cell>
          <cell r="E3468" t="str">
            <v>Ciriaco L. Icamina, Sr. NHS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</row>
        <row r="3469">
          <cell r="D3469">
            <v>500544</v>
          </cell>
          <cell r="E3469" t="str">
            <v>Mambuquiao Integrated School</v>
          </cell>
          <cell r="F3469">
            <v>9</v>
          </cell>
          <cell r="G3469">
            <v>13</v>
          </cell>
          <cell r="H3469">
            <v>22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</row>
        <row r="3470">
          <cell r="D3470">
            <v>302579</v>
          </cell>
          <cell r="E3470" t="str">
            <v>Tigbauan National High School</v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</row>
        <row r="3471">
          <cell r="D3471">
            <v>310611</v>
          </cell>
          <cell r="E3471" t="str">
            <v>Manocmanoc National High School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</row>
        <row r="3472">
          <cell r="D3472">
            <v>310706</v>
          </cell>
          <cell r="E3472" t="str">
            <v>Sibay NHS</v>
          </cell>
          <cell r="F3472">
            <v>0</v>
          </cell>
          <cell r="G3472">
            <v>0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</row>
        <row r="3473">
          <cell r="D3473">
            <v>500176</v>
          </cell>
          <cell r="E3473" t="str">
            <v>NAPTI INTEGRATED SCHOOL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</row>
        <row r="3474">
          <cell r="D3474">
            <v>302488</v>
          </cell>
          <cell r="E3474" t="str">
            <v>Dapdap NHS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</row>
        <row r="3475">
          <cell r="D3475">
            <v>302304</v>
          </cell>
          <cell r="E3475" t="str">
            <v>Catalino M. Prado NHS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</row>
        <row r="3476">
          <cell r="D3476">
            <v>302434</v>
          </cell>
          <cell r="E3476" t="str">
            <v>Nueva Valencia National High School</v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</row>
        <row r="3477">
          <cell r="D3477">
            <v>302297</v>
          </cell>
          <cell r="E3477" t="str">
            <v>Buruanga Vocational School</v>
          </cell>
          <cell r="F3477">
            <v>224</v>
          </cell>
          <cell r="G3477">
            <v>194</v>
          </cell>
          <cell r="H3477">
            <v>418</v>
          </cell>
          <cell r="I3477">
            <v>151</v>
          </cell>
          <cell r="J3477">
            <v>88</v>
          </cell>
          <cell r="K3477">
            <v>239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</row>
        <row r="3478">
          <cell r="D3478">
            <v>302291</v>
          </cell>
          <cell r="E3478" t="str">
            <v>Batan Academy (A Nat'L Sch.)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</row>
        <row r="3479">
          <cell r="D3479">
            <v>302315</v>
          </cell>
          <cell r="E3479" t="str">
            <v>Madalag NHS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</row>
        <row r="3480">
          <cell r="D3480">
            <v>302500</v>
          </cell>
          <cell r="E3480" t="str">
            <v>Estancia National High School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</row>
        <row r="3481">
          <cell r="D3481">
            <v>310709</v>
          </cell>
          <cell r="E3481" t="str">
            <v>Northern Bugasong NHS Annex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</row>
        <row r="3482">
          <cell r="D3482">
            <v>302535</v>
          </cell>
          <cell r="E3482" t="str">
            <v>Nabitasan NHS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</row>
        <row r="3483">
          <cell r="D3483">
            <v>302312</v>
          </cell>
          <cell r="E3483" t="str">
            <v>Lilo-an National High School</v>
          </cell>
          <cell r="F3483">
            <v>0</v>
          </cell>
          <cell r="G3483">
            <v>0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</row>
        <row r="3484">
          <cell r="D3484">
            <v>302518</v>
          </cell>
          <cell r="E3484" t="str">
            <v>Lapayon NHS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</row>
        <row r="3485">
          <cell r="D3485">
            <v>302509</v>
          </cell>
          <cell r="E3485" t="str">
            <v>Iloilo NHS</v>
          </cell>
          <cell r="F3485">
            <v>715</v>
          </cell>
          <cell r="G3485">
            <v>695</v>
          </cell>
          <cell r="H3485">
            <v>1410</v>
          </cell>
          <cell r="I3485">
            <v>208</v>
          </cell>
          <cell r="J3485">
            <v>187</v>
          </cell>
          <cell r="K3485">
            <v>395</v>
          </cell>
          <cell r="L3485">
            <v>208</v>
          </cell>
          <cell r="M3485">
            <v>187</v>
          </cell>
          <cell r="N3485">
            <v>395</v>
          </cell>
          <cell r="O3485">
            <v>5</v>
          </cell>
          <cell r="P3485">
            <v>7</v>
          </cell>
          <cell r="Q3485">
            <v>12</v>
          </cell>
          <cell r="R3485">
            <v>5</v>
          </cell>
          <cell r="S3485">
            <v>7</v>
          </cell>
          <cell r="T3485">
            <v>12</v>
          </cell>
          <cell r="U3485">
            <v>8</v>
          </cell>
          <cell r="V3485">
            <v>6</v>
          </cell>
          <cell r="W3485">
            <v>14</v>
          </cell>
          <cell r="X3485">
            <v>2</v>
          </cell>
          <cell r="Y3485">
            <v>3</v>
          </cell>
          <cell r="Z3485">
            <v>5</v>
          </cell>
        </row>
        <row r="3486">
          <cell r="D3486">
            <v>310810</v>
          </cell>
          <cell r="E3486" t="str">
            <v>Ishmael B. Orillos National High School</v>
          </cell>
          <cell r="F3486">
            <v>7</v>
          </cell>
          <cell r="G3486">
            <v>11</v>
          </cell>
          <cell r="H3486">
            <v>18</v>
          </cell>
          <cell r="I3486">
            <v>7</v>
          </cell>
          <cell r="J3486">
            <v>11</v>
          </cell>
          <cell r="K3486">
            <v>18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</row>
        <row r="3487">
          <cell r="D3487">
            <v>302438</v>
          </cell>
          <cell r="E3487" t="str">
            <v>Trinidad V. Canja-Sta. Teresa NHS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</row>
        <row r="3488">
          <cell r="D3488">
            <v>302357</v>
          </cell>
          <cell r="E3488" t="str">
            <v>Gideon M. Cabigunda MS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</row>
        <row r="3489">
          <cell r="D3489">
            <v>310710</v>
          </cell>
          <cell r="E3489" t="str">
            <v>Dr. Luis E. Baraquia NHS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</row>
        <row r="3490">
          <cell r="D3490">
            <v>302378</v>
          </cell>
          <cell r="E3490" t="str">
            <v>Sido-San Juan NHS</v>
          </cell>
          <cell r="F3490">
            <v>17</v>
          </cell>
          <cell r="G3490">
            <v>8</v>
          </cell>
          <cell r="H3490">
            <v>25</v>
          </cell>
          <cell r="I3490">
            <v>7</v>
          </cell>
          <cell r="J3490">
            <v>3</v>
          </cell>
          <cell r="K3490">
            <v>10</v>
          </cell>
          <cell r="L3490">
            <v>22</v>
          </cell>
          <cell r="M3490">
            <v>12</v>
          </cell>
          <cell r="N3490">
            <v>34</v>
          </cell>
          <cell r="O3490">
            <v>2</v>
          </cell>
          <cell r="P3490">
            <v>2</v>
          </cell>
          <cell r="Q3490">
            <v>4</v>
          </cell>
          <cell r="R3490">
            <v>4</v>
          </cell>
          <cell r="S3490">
            <v>2</v>
          </cell>
          <cell r="T3490">
            <v>6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</row>
        <row r="3491">
          <cell r="D3491">
            <v>302347</v>
          </cell>
          <cell r="E3491" t="str">
            <v>Belison NS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</row>
        <row r="3492">
          <cell r="D3492">
            <v>500787</v>
          </cell>
          <cell r="E3492" t="str">
            <v>Raymunda B. Hermosilla Integrated School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</row>
        <row r="3493">
          <cell r="D3493">
            <v>322007</v>
          </cell>
          <cell r="E3493" t="str">
            <v>Baliang National High School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</row>
        <row r="3494">
          <cell r="D3494">
            <v>322001</v>
          </cell>
          <cell r="E3494" t="str">
            <v>Ubaldo Iway Memo. NHS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</row>
        <row r="3495">
          <cell r="D3495">
            <v>500790</v>
          </cell>
          <cell r="E3495" t="str">
            <v>Sta. Rosa Integrated School</v>
          </cell>
          <cell r="F3495">
            <v>20</v>
          </cell>
          <cell r="G3495">
            <v>0</v>
          </cell>
          <cell r="H3495">
            <v>20</v>
          </cell>
          <cell r="I3495">
            <v>3</v>
          </cell>
          <cell r="J3495">
            <v>0</v>
          </cell>
          <cell r="K3495">
            <v>3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</row>
        <row r="3496">
          <cell r="D3496">
            <v>302959</v>
          </cell>
          <cell r="E3496" t="str">
            <v>Elpidio H. Perez Memorial Technical-Vocational High School</v>
          </cell>
          <cell r="F3496">
            <v>0</v>
          </cell>
          <cell r="G3496">
            <v>0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</row>
        <row r="3497">
          <cell r="D3497">
            <v>312311</v>
          </cell>
          <cell r="E3497" t="str">
            <v>Mayor Pablo O. Lim MHS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</row>
        <row r="3498">
          <cell r="D3498">
            <v>302916</v>
          </cell>
          <cell r="E3498" t="str">
            <v>Valencia Tech-Voc HS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</row>
        <row r="3499">
          <cell r="D3499">
            <v>303267</v>
          </cell>
          <cell r="E3499" t="str">
            <v>Ong Che Tee - Bacong HS</v>
          </cell>
          <cell r="F3499">
            <v>0</v>
          </cell>
          <cell r="G3499">
            <v>0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</row>
        <row r="3500">
          <cell r="D3500">
            <v>302956</v>
          </cell>
          <cell r="E3500" t="str">
            <v>Estefa O. Monte Memo. National High School</v>
          </cell>
          <cell r="F3500">
            <v>0</v>
          </cell>
          <cell r="G3500">
            <v>0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</row>
        <row r="3501">
          <cell r="D3501">
            <v>312950</v>
          </cell>
          <cell r="E3501" t="str">
            <v>Tayasan National Science High School</v>
          </cell>
          <cell r="F3501">
            <v>41</v>
          </cell>
          <cell r="G3501">
            <v>22</v>
          </cell>
          <cell r="H3501">
            <v>63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</row>
        <row r="3502">
          <cell r="D3502">
            <v>303290</v>
          </cell>
          <cell r="E3502" t="str">
            <v>Bago National High School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</row>
        <row r="3503">
          <cell r="D3503">
            <v>303289</v>
          </cell>
          <cell r="E3503" t="str">
            <v>Tayasan National High School (Main)</v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</row>
        <row r="3504">
          <cell r="D3504">
            <v>312942</v>
          </cell>
          <cell r="E3504" t="str">
            <v>Sumaliring HS [Inalad HS]</v>
          </cell>
          <cell r="F3504">
            <v>202</v>
          </cell>
          <cell r="G3504">
            <v>150</v>
          </cell>
          <cell r="H3504">
            <v>352</v>
          </cell>
          <cell r="I3504">
            <v>162</v>
          </cell>
          <cell r="J3504">
            <v>141</v>
          </cell>
          <cell r="K3504">
            <v>303</v>
          </cell>
          <cell r="L3504">
            <v>22</v>
          </cell>
          <cell r="M3504">
            <v>8</v>
          </cell>
          <cell r="N3504">
            <v>30</v>
          </cell>
          <cell r="O3504">
            <v>11</v>
          </cell>
          <cell r="P3504">
            <v>9</v>
          </cell>
          <cell r="Q3504">
            <v>20</v>
          </cell>
          <cell r="R3504">
            <v>16</v>
          </cell>
          <cell r="S3504">
            <v>16</v>
          </cell>
          <cell r="T3504">
            <v>32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</row>
        <row r="3505">
          <cell r="D3505">
            <v>322003</v>
          </cell>
          <cell r="E3505" t="str">
            <v>Ramon M. Durano Sr. Foundation - Science and Technology Education Center</v>
          </cell>
          <cell r="F3505">
            <v>0</v>
          </cell>
          <cell r="G3505">
            <v>0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</row>
        <row r="3506">
          <cell r="D3506">
            <v>303316</v>
          </cell>
          <cell r="E3506" t="str">
            <v>Toledo National Vocational School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</row>
        <row r="3507">
          <cell r="D3507">
            <v>303038</v>
          </cell>
          <cell r="E3507" t="str">
            <v>Nicolas U. Tiongko Memorial National High School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</row>
        <row r="3508">
          <cell r="D3508">
            <v>303309</v>
          </cell>
          <cell r="E3508" t="str">
            <v>Cantabaco NHS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</row>
        <row r="3509">
          <cell r="D3509">
            <v>312951</v>
          </cell>
          <cell r="E3509" t="str">
            <v>Mabinay Science High School</v>
          </cell>
          <cell r="F3509">
            <v>36</v>
          </cell>
          <cell r="G3509">
            <v>22</v>
          </cell>
          <cell r="H3509">
            <v>58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</row>
        <row r="3510">
          <cell r="D3510">
            <v>303229</v>
          </cell>
          <cell r="E3510" t="str">
            <v>Demetrio Alviola NHS - Nalundan Extension</v>
          </cell>
          <cell r="F3510">
            <v>0</v>
          </cell>
          <cell r="G3510">
            <v>0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</row>
        <row r="3511">
          <cell r="D3511">
            <v>500041</v>
          </cell>
          <cell r="E3511" t="str">
            <v>Eduardo Gorre Memo. Integrated School</v>
          </cell>
          <cell r="F3511">
            <v>0</v>
          </cell>
          <cell r="G3511">
            <v>0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</row>
        <row r="3512">
          <cell r="D3512">
            <v>303313</v>
          </cell>
          <cell r="E3512" t="str">
            <v>Matab-ang NHS</v>
          </cell>
          <cell r="F3512">
            <v>123</v>
          </cell>
          <cell r="G3512">
            <v>112</v>
          </cell>
          <cell r="H3512">
            <v>235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</row>
        <row r="3513">
          <cell r="D3513">
            <v>303257</v>
          </cell>
          <cell r="E3513" t="str">
            <v>Owacan Provincial Comm. HS</v>
          </cell>
          <cell r="F3513">
            <v>68</v>
          </cell>
          <cell r="G3513">
            <v>50</v>
          </cell>
          <cell r="H3513">
            <v>118</v>
          </cell>
          <cell r="I3513">
            <v>2</v>
          </cell>
          <cell r="J3513">
            <v>4</v>
          </cell>
          <cell r="K3513">
            <v>6</v>
          </cell>
          <cell r="L3513">
            <v>0</v>
          </cell>
          <cell r="M3513">
            <v>0</v>
          </cell>
          <cell r="N3513">
            <v>0</v>
          </cell>
          <cell r="O3513">
            <v>4</v>
          </cell>
          <cell r="P3513">
            <v>5</v>
          </cell>
          <cell r="Q3513">
            <v>9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</row>
        <row r="3514">
          <cell r="D3514">
            <v>303265</v>
          </cell>
          <cell r="E3514" t="str">
            <v>Sta. Catalina National High School</v>
          </cell>
          <cell r="F3514">
            <v>0</v>
          </cell>
          <cell r="G3514">
            <v>0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</row>
        <row r="3515">
          <cell r="D3515">
            <v>303039</v>
          </cell>
          <cell r="E3515" t="str">
            <v>Ramon M. Durano Sr. MNHS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</row>
        <row r="3516">
          <cell r="D3516">
            <v>312947</v>
          </cell>
          <cell r="E3516" t="str">
            <v>Zamboanguita Science HS</v>
          </cell>
          <cell r="F3516">
            <v>0</v>
          </cell>
          <cell r="G3516">
            <v>0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</row>
        <row r="3517">
          <cell r="D3517">
            <v>303228</v>
          </cell>
          <cell r="E3517" t="str">
            <v>Demetrio L. Alviola NHS</v>
          </cell>
          <cell r="F3517">
            <v>382</v>
          </cell>
          <cell r="G3517">
            <v>307</v>
          </cell>
          <cell r="H3517">
            <v>689</v>
          </cell>
          <cell r="I3517">
            <v>2</v>
          </cell>
          <cell r="J3517">
            <v>3</v>
          </cell>
          <cell r="K3517">
            <v>5</v>
          </cell>
          <cell r="L3517">
            <v>10</v>
          </cell>
          <cell r="M3517">
            <v>8</v>
          </cell>
          <cell r="N3517">
            <v>18</v>
          </cell>
          <cell r="O3517">
            <v>55</v>
          </cell>
          <cell r="P3517">
            <v>56</v>
          </cell>
          <cell r="Q3517">
            <v>111</v>
          </cell>
          <cell r="R3517">
            <v>60</v>
          </cell>
          <cell r="S3517">
            <v>58</v>
          </cell>
          <cell r="T3517">
            <v>118</v>
          </cell>
          <cell r="U3517">
            <v>0</v>
          </cell>
          <cell r="V3517">
            <v>0</v>
          </cell>
          <cell r="W3517">
            <v>0</v>
          </cell>
          <cell r="X3517">
            <v>10</v>
          </cell>
          <cell r="Y3517">
            <v>7</v>
          </cell>
          <cell r="Z3517">
            <v>17</v>
          </cell>
        </row>
        <row r="3518">
          <cell r="D3518">
            <v>312921</v>
          </cell>
          <cell r="E3518" t="str">
            <v>Froilan A. Alanano Memorial High School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</row>
        <row r="3519">
          <cell r="D3519">
            <v>312917</v>
          </cell>
          <cell r="E3519" t="str">
            <v>Cabcaban CHS</v>
          </cell>
          <cell r="F3519">
            <v>35</v>
          </cell>
          <cell r="G3519">
            <v>23</v>
          </cell>
          <cell r="H3519">
            <v>58</v>
          </cell>
          <cell r="I3519">
            <v>9</v>
          </cell>
          <cell r="J3519">
            <v>5</v>
          </cell>
          <cell r="K3519">
            <v>14</v>
          </cell>
          <cell r="L3519">
            <v>17</v>
          </cell>
          <cell r="M3519">
            <v>12</v>
          </cell>
          <cell r="N3519">
            <v>29</v>
          </cell>
          <cell r="O3519">
            <v>3</v>
          </cell>
          <cell r="P3519">
            <v>2</v>
          </cell>
          <cell r="Q3519">
            <v>5</v>
          </cell>
          <cell r="R3519">
            <v>9</v>
          </cell>
          <cell r="S3519">
            <v>4</v>
          </cell>
          <cell r="T3519">
            <v>13</v>
          </cell>
          <cell r="U3519">
            <v>0</v>
          </cell>
          <cell r="V3519">
            <v>0</v>
          </cell>
          <cell r="W3519">
            <v>0</v>
          </cell>
          <cell r="X3519">
            <v>7</v>
          </cell>
          <cell r="Y3519">
            <v>3</v>
          </cell>
          <cell r="Z3519">
            <v>10</v>
          </cell>
        </row>
        <row r="3520">
          <cell r="D3520">
            <v>312932</v>
          </cell>
          <cell r="E3520" t="str">
            <v>Eligio T. Monte De Ramos High School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</row>
        <row r="3521">
          <cell r="D3521">
            <v>303260</v>
          </cell>
          <cell r="E3521" t="str">
            <v>Pantao NHS</v>
          </cell>
          <cell r="F3521">
            <v>34</v>
          </cell>
          <cell r="G3521">
            <v>41</v>
          </cell>
          <cell r="H3521">
            <v>75</v>
          </cell>
          <cell r="I3521">
            <v>12</v>
          </cell>
          <cell r="J3521">
            <v>20</v>
          </cell>
          <cell r="K3521">
            <v>32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</row>
        <row r="3522">
          <cell r="D3522">
            <v>303314</v>
          </cell>
          <cell r="E3522" t="str">
            <v>Media Once National High School</v>
          </cell>
          <cell r="F3522">
            <v>35</v>
          </cell>
          <cell r="G3522">
            <v>10</v>
          </cell>
          <cell r="H3522">
            <v>45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</row>
        <row r="3523">
          <cell r="D3523">
            <v>312968</v>
          </cell>
          <cell r="E3523" t="str">
            <v>Palayuhan High School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</row>
        <row r="3524">
          <cell r="D3524">
            <v>303244</v>
          </cell>
          <cell r="E3524" t="str">
            <v>Mabinay National High School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</row>
        <row r="3525">
          <cell r="D3525">
            <v>312919</v>
          </cell>
          <cell r="E3525" t="str">
            <v>Malongcay Dacu High School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</row>
        <row r="3526">
          <cell r="D3526">
            <v>303248</v>
          </cell>
          <cell r="E3526" t="str">
            <v>Tara Provincial Community High School</v>
          </cell>
          <cell r="F3526">
            <v>98</v>
          </cell>
          <cell r="G3526">
            <v>60</v>
          </cell>
          <cell r="H3526">
            <v>158</v>
          </cell>
          <cell r="I3526">
            <v>17</v>
          </cell>
          <cell r="J3526">
            <v>9</v>
          </cell>
          <cell r="K3526">
            <v>26</v>
          </cell>
          <cell r="L3526">
            <v>22</v>
          </cell>
          <cell r="M3526">
            <v>14</v>
          </cell>
          <cell r="N3526">
            <v>36</v>
          </cell>
          <cell r="O3526">
            <v>15</v>
          </cell>
          <cell r="P3526">
            <v>8</v>
          </cell>
          <cell r="Q3526">
            <v>23</v>
          </cell>
          <cell r="R3526">
            <v>15</v>
          </cell>
          <cell r="S3526">
            <v>8</v>
          </cell>
          <cell r="T3526">
            <v>23</v>
          </cell>
          <cell r="U3526">
            <v>4</v>
          </cell>
          <cell r="V3526">
            <v>3</v>
          </cell>
          <cell r="W3526">
            <v>7</v>
          </cell>
          <cell r="X3526">
            <v>0</v>
          </cell>
          <cell r="Y3526">
            <v>0</v>
          </cell>
          <cell r="Z3526">
            <v>0</v>
          </cell>
        </row>
        <row r="3527">
          <cell r="D3527">
            <v>312924</v>
          </cell>
          <cell r="E3527" t="str">
            <v>Campanun-an Senior High School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</row>
        <row r="3528">
          <cell r="D3528">
            <v>302855</v>
          </cell>
          <cell r="E3528" t="str">
            <v>Guinsularan High School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</row>
        <row r="3529">
          <cell r="D3529">
            <v>303266</v>
          </cell>
          <cell r="E3529" t="str">
            <v>San Miguel National High School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</row>
        <row r="3530">
          <cell r="D3530">
            <v>303235</v>
          </cell>
          <cell r="E3530" t="str">
            <v>Jimalalud National High School</v>
          </cell>
          <cell r="F3530">
            <v>0</v>
          </cell>
          <cell r="G3530">
            <v>0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</row>
        <row r="3531">
          <cell r="D3531">
            <v>312966</v>
          </cell>
          <cell r="E3531" t="str">
            <v>Panciao High School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</row>
        <row r="3532">
          <cell r="D3532">
            <v>302890</v>
          </cell>
          <cell r="E3532" t="str">
            <v>San Isidro National High School</v>
          </cell>
          <cell r="F3532">
            <v>0</v>
          </cell>
          <cell r="G3532">
            <v>0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</row>
        <row r="3533">
          <cell r="D3533">
            <v>303310</v>
          </cell>
          <cell r="E3533" t="str">
            <v>Don Andres Soriano NHS</v>
          </cell>
          <cell r="F3533">
            <v>0</v>
          </cell>
          <cell r="G3533">
            <v>0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</row>
        <row r="3534">
          <cell r="D3534">
            <v>303263</v>
          </cell>
          <cell r="E3534" t="str">
            <v>Don Emilio Macias MNHS (San Francisco NHS)</v>
          </cell>
          <cell r="F3534">
            <v>0</v>
          </cell>
          <cell r="G3534">
            <v>0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</row>
        <row r="3535">
          <cell r="D3535">
            <v>303206</v>
          </cell>
          <cell r="E3535" t="str">
            <v>Avocado Community High School</v>
          </cell>
          <cell r="F3535">
            <v>18</v>
          </cell>
          <cell r="G3535">
            <v>14</v>
          </cell>
          <cell r="H3535">
            <v>32</v>
          </cell>
          <cell r="I3535">
            <v>10</v>
          </cell>
          <cell r="J3535">
            <v>9</v>
          </cell>
          <cell r="K3535">
            <v>19</v>
          </cell>
          <cell r="L3535">
            <v>12</v>
          </cell>
          <cell r="M3535">
            <v>12</v>
          </cell>
          <cell r="N3535">
            <v>24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</row>
        <row r="3536">
          <cell r="D3536">
            <v>303020</v>
          </cell>
          <cell r="E3536" t="str">
            <v>Pooc NHS (Jaclupan NHS - Pooc Ext.)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</row>
        <row r="3537">
          <cell r="D3537">
            <v>303269</v>
          </cell>
          <cell r="E3537" t="str">
            <v>Lorenza P. Palarpalar MHS (Bonbonon PCHS)</v>
          </cell>
          <cell r="F3537">
            <v>14</v>
          </cell>
          <cell r="G3537">
            <v>19</v>
          </cell>
          <cell r="H3537">
            <v>33</v>
          </cell>
          <cell r="I3537">
            <v>7</v>
          </cell>
          <cell r="J3537">
            <v>11</v>
          </cell>
          <cell r="K3537">
            <v>18</v>
          </cell>
          <cell r="L3537">
            <v>10</v>
          </cell>
          <cell r="M3537">
            <v>18</v>
          </cell>
          <cell r="N3537">
            <v>28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</row>
        <row r="3538">
          <cell r="D3538">
            <v>361077</v>
          </cell>
          <cell r="E3538" t="str">
            <v>Pulangbato National Senior High School</v>
          </cell>
          <cell r="F3538">
            <v>0</v>
          </cell>
          <cell r="G3538">
            <v>0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</row>
        <row r="3539">
          <cell r="D3539">
            <v>312938</v>
          </cell>
          <cell r="E3539" t="str">
            <v>Paciente Cesar G. Cabrera HS (Napacao HS)</v>
          </cell>
          <cell r="F3539">
            <v>8</v>
          </cell>
          <cell r="G3539">
            <v>7</v>
          </cell>
          <cell r="H3539">
            <v>15</v>
          </cell>
          <cell r="I3539">
            <v>3</v>
          </cell>
          <cell r="J3539">
            <v>2</v>
          </cell>
          <cell r="K3539">
            <v>5</v>
          </cell>
          <cell r="L3539">
            <v>3</v>
          </cell>
          <cell r="M3539">
            <v>2</v>
          </cell>
          <cell r="N3539">
            <v>5</v>
          </cell>
          <cell r="O3539">
            <v>1</v>
          </cell>
          <cell r="P3539">
            <v>0</v>
          </cell>
          <cell r="Q3539">
            <v>1</v>
          </cell>
          <cell r="R3539">
            <v>1</v>
          </cell>
          <cell r="S3539">
            <v>0</v>
          </cell>
          <cell r="T3539">
            <v>1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</row>
        <row r="3540">
          <cell r="D3540">
            <v>303236</v>
          </cell>
          <cell r="E3540" t="str">
            <v>Jose Marie Locsin MHS (Mayabon HS)</v>
          </cell>
          <cell r="F3540">
            <v>118</v>
          </cell>
          <cell r="G3540">
            <v>90</v>
          </cell>
          <cell r="H3540">
            <v>208</v>
          </cell>
          <cell r="I3540">
            <v>60</v>
          </cell>
          <cell r="J3540">
            <v>35</v>
          </cell>
          <cell r="K3540">
            <v>95</v>
          </cell>
          <cell r="L3540">
            <v>20</v>
          </cell>
          <cell r="M3540">
            <v>18</v>
          </cell>
          <cell r="N3540">
            <v>38</v>
          </cell>
          <cell r="O3540">
            <v>20</v>
          </cell>
          <cell r="P3540">
            <v>18</v>
          </cell>
          <cell r="Q3540">
            <v>38</v>
          </cell>
          <cell r="R3540">
            <v>8</v>
          </cell>
          <cell r="S3540">
            <v>11</v>
          </cell>
          <cell r="T3540">
            <v>19</v>
          </cell>
          <cell r="U3540">
            <v>10</v>
          </cell>
          <cell r="V3540">
            <v>8</v>
          </cell>
          <cell r="W3540">
            <v>18</v>
          </cell>
          <cell r="X3540">
            <v>0</v>
          </cell>
          <cell r="Y3540">
            <v>0</v>
          </cell>
          <cell r="Z3540">
            <v>0</v>
          </cell>
        </row>
        <row r="3541">
          <cell r="D3541">
            <v>305593</v>
          </cell>
          <cell r="E3541" t="str">
            <v>Bangcal High School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</row>
        <row r="3542">
          <cell r="D3542">
            <v>312909</v>
          </cell>
          <cell r="E3542" t="str">
            <v>Apo Island High School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</row>
        <row r="3543">
          <cell r="D3543">
            <v>303247</v>
          </cell>
          <cell r="E3543" t="str">
            <v>Benedicto P. Tirambulo Mem. National High School</v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</row>
        <row r="3544">
          <cell r="D3544">
            <v>302960</v>
          </cell>
          <cell r="E3544" t="str">
            <v>Sandayong Sur NHS</v>
          </cell>
          <cell r="F3544">
            <v>10</v>
          </cell>
          <cell r="G3544">
            <v>0</v>
          </cell>
          <cell r="H3544">
            <v>10</v>
          </cell>
          <cell r="I3544">
            <v>4</v>
          </cell>
          <cell r="J3544">
            <v>0</v>
          </cell>
          <cell r="K3544">
            <v>4</v>
          </cell>
          <cell r="L3544">
            <v>2</v>
          </cell>
          <cell r="M3544">
            <v>0</v>
          </cell>
          <cell r="N3544">
            <v>2</v>
          </cell>
          <cell r="O3544">
            <v>4</v>
          </cell>
          <cell r="P3544">
            <v>0</v>
          </cell>
          <cell r="Q3544">
            <v>4</v>
          </cell>
          <cell r="R3544">
            <v>2</v>
          </cell>
          <cell r="S3544">
            <v>0</v>
          </cell>
          <cell r="T3544">
            <v>2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</row>
        <row r="3545">
          <cell r="D3545">
            <v>312918</v>
          </cell>
          <cell r="E3545" t="str">
            <v>Buntod High School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</row>
        <row r="3546">
          <cell r="D3546">
            <v>312956</v>
          </cell>
          <cell r="E3546" t="str">
            <v>Gregorio Elmaga MHS</v>
          </cell>
          <cell r="F3546">
            <v>23</v>
          </cell>
          <cell r="G3546">
            <v>15</v>
          </cell>
          <cell r="H3546">
            <v>38</v>
          </cell>
          <cell r="I3546">
            <v>19</v>
          </cell>
          <cell r="J3546">
            <v>10</v>
          </cell>
          <cell r="K3546">
            <v>29</v>
          </cell>
          <cell r="L3546">
            <v>19</v>
          </cell>
          <cell r="M3546">
            <v>10</v>
          </cell>
          <cell r="N3546">
            <v>29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</row>
        <row r="3547">
          <cell r="D3547">
            <v>312914</v>
          </cell>
          <cell r="E3547" t="str">
            <v>Siaton Science HS</v>
          </cell>
          <cell r="F3547">
            <v>53</v>
          </cell>
          <cell r="G3547">
            <v>52</v>
          </cell>
          <cell r="H3547">
            <v>105</v>
          </cell>
          <cell r="I3547">
            <v>0</v>
          </cell>
          <cell r="J3547">
            <v>0</v>
          </cell>
          <cell r="K3547">
            <v>0</v>
          </cell>
          <cell r="L3547">
            <v>1</v>
          </cell>
          <cell r="M3547">
            <v>0</v>
          </cell>
          <cell r="N3547">
            <v>1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</row>
        <row r="3548">
          <cell r="D3548">
            <v>312925</v>
          </cell>
          <cell r="E3548" t="str">
            <v>Cansal-ing Provincial Community High School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</row>
        <row r="3549">
          <cell r="D3549">
            <v>312969</v>
          </cell>
          <cell r="E3549" t="str">
            <v>Mainit High School</v>
          </cell>
          <cell r="F3549">
            <v>15</v>
          </cell>
          <cell r="G3549">
            <v>16</v>
          </cell>
          <cell r="H3549">
            <v>31</v>
          </cell>
          <cell r="I3549">
            <v>14</v>
          </cell>
          <cell r="J3549">
            <v>15</v>
          </cell>
          <cell r="K3549">
            <v>29</v>
          </cell>
          <cell r="L3549">
            <v>10</v>
          </cell>
          <cell r="M3549">
            <v>14</v>
          </cell>
          <cell r="N3549">
            <v>24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</row>
        <row r="3550">
          <cell r="D3550">
            <v>312959</v>
          </cell>
          <cell r="E3550" t="str">
            <v>Mayaposi Community High School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</row>
        <row r="3551">
          <cell r="D3551">
            <v>303249</v>
          </cell>
          <cell r="E3551" t="str">
            <v>Santiago Delmo MHS (Maluay HS)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0</v>
          </cell>
        </row>
        <row r="3552">
          <cell r="D3552">
            <v>312933</v>
          </cell>
          <cell r="E3552" t="str">
            <v>Kakha High School</v>
          </cell>
          <cell r="F3552">
            <v>20</v>
          </cell>
          <cell r="G3552">
            <v>11</v>
          </cell>
          <cell r="H3552">
            <v>31</v>
          </cell>
          <cell r="I3552">
            <v>1</v>
          </cell>
          <cell r="J3552">
            <v>0</v>
          </cell>
          <cell r="K3552">
            <v>1</v>
          </cell>
          <cell r="L3552">
            <v>1</v>
          </cell>
          <cell r="M3552">
            <v>0</v>
          </cell>
          <cell r="N3552">
            <v>1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</row>
        <row r="3553">
          <cell r="D3553">
            <v>303207</v>
          </cell>
          <cell r="E3553" t="str">
            <v>Amlan National High School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</row>
        <row r="3554">
          <cell r="D3554">
            <v>312913</v>
          </cell>
          <cell r="E3554" t="str">
            <v>Candugay HS (Siaton NHS Annex)</v>
          </cell>
          <cell r="F3554">
            <v>56</v>
          </cell>
          <cell r="G3554">
            <v>32</v>
          </cell>
          <cell r="H3554">
            <v>88</v>
          </cell>
          <cell r="I3554">
            <v>38</v>
          </cell>
          <cell r="J3554">
            <v>15</v>
          </cell>
          <cell r="K3554">
            <v>53</v>
          </cell>
          <cell r="L3554">
            <v>116</v>
          </cell>
          <cell r="M3554">
            <v>275</v>
          </cell>
          <cell r="N3554">
            <v>391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</row>
        <row r="3555">
          <cell r="D3555">
            <v>312939</v>
          </cell>
          <cell r="E3555" t="str">
            <v>Mantiquil Masaligan High School</v>
          </cell>
          <cell r="F3555">
            <v>13</v>
          </cell>
          <cell r="G3555">
            <v>0</v>
          </cell>
          <cell r="H3555">
            <v>13</v>
          </cell>
          <cell r="I3555">
            <v>10</v>
          </cell>
          <cell r="J3555">
            <v>0</v>
          </cell>
          <cell r="K3555">
            <v>10</v>
          </cell>
          <cell r="L3555">
            <v>44</v>
          </cell>
          <cell r="M3555">
            <v>0</v>
          </cell>
          <cell r="N3555">
            <v>44</v>
          </cell>
          <cell r="O3555">
            <v>10</v>
          </cell>
          <cell r="P3555">
            <v>8</v>
          </cell>
          <cell r="Q3555">
            <v>18</v>
          </cell>
          <cell r="R3555">
            <v>3</v>
          </cell>
          <cell r="S3555">
            <v>1</v>
          </cell>
          <cell r="T3555">
            <v>4</v>
          </cell>
          <cell r="U3555">
            <v>3</v>
          </cell>
          <cell r="V3555">
            <v>1</v>
          </cell>
          <cell r="W3555">
            <v>4</v>
          </cell>
          <cell r="X3555">
            <v>0</v>
          </cell>
          <cell r="Y3555">
            <v>0</v>
          </cell>
          <cell r="Z3555">
            <v>0</v>
          </cell>
        </row>
        <row r="3556">
          <cell r="D3556">
            <v>303255</v>
          </cell>
          <cell r="E3556" t="str">
            <v>Negros Oriental High School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</row>
        <row r="3557">
          <cell r="D3557">
            <v>303252</v>
          </cell>
          <cell r="E3557" t="str">
            <v>Maria Macahig National High School</v>
          </cell>
          <cell r="F3557">
            <v>123</v>
          </cell>
          <cell r="G3557">
            <v>83</v>
          </cell>
          <cell r="H3557">
            <v>206</v>
          </cell>
          <cell r="I3557">
            <v>53</v>
          </cell>
          <cell r="J3557">
            <v>32</v>
          </cell>
          <cell r="K3557">
            <v>85</v>
          </cell>
          <cell r="L3557">
            <v>122</v>
          </cell>
          <cell r="M3557">
            <v>61</v>
          </cell>
          <cell r="N3557">
            <v>183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24</v>
          </cell>
          <cell r="Y3557">
            <v>18</v>
          </cell>
          <cell r="Z3557">
            <v>42</v>
          </cell>
        </row>
        <row r="3558">
          <cell r="D3558">
            <v>312908</v>
          </cell>
          <cell r="E3558" t="str">
            <v>Balugo National High School</v>
          </cell>
          <cell r="F3558">
            <v>2</v>
          </cell>
          <cell r="G3558">
            <v>3</v>
          </cell>
          <cell r="H3558">
            <v>5</v>
          </cell>
          <cell r="I3558">
            <v>2</v>
          </cell>
          <cell r="J3558">
            <v>3</v>
          </cell>
          <cell r="K3558">
            <v>5</v>
          </cell>
          <cell r="L3558">
            <v>20</v>
          </cell>
          <cell r="M3558">
            <v>25</v>
          </cell>
          <cell r="N3558">
            <v>45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2</v>
          </cell>
          <cell r="Y3558">
            <v>2</v>
          </cell>
          <cell r="Z3558">
            <v>4</v>
          </cell>
        </row>
        <row r="3559">
          <cell r="D3559">
            <v>303308</v>
          </cell>
          <cell r="E3559" t="str">
            <v>Bato NHS</v>
          </cell>
          <cell r="F3559">
            <v>91</v>
          </cell>
          <cell r="G3559">
            <v>121</v>
          </cell>
          <cell r="H3559">
            <v>212</v>
          </cell>
          <cell r="I3559">
            <v>57</v>
          </cell>
          <cell r="J3559">
            <v>81</v>
          </cell>
          <cell r="K3559">
            <v>138</v>
          </cell>
          <cell r="L3559">
            <v>4</v>
          </cell>
          <cell r="M3559">
            <v>3</v>
          </cell>
          <cell r="N3559">
            <v>7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</row>
        <row r="3560">
          <cell r="D3560">
            <v>312958</v>
          </cell>
          <cell r="E3560" t="str">
            <v>Valencia National High School-Dobdob Ext.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</row>
        <row r="3561">
          <cell r="D3561">
            <v>303128</v>
          </cell>
          <cell r="E3561" t="str">
            <v>Abellana NHS (Day &amp; NIght)</v>
          </cell>
          <cell r="F3561">
            <v>269</v>
          </cell>
          <cell r="G3561">
            <v>205</v>
          </cell>
          <cell r="H3561">
            <v>474</v>
          </cell>
          <cell r="I3561">
            <v>164</v>
          </cell>
          <cell r="J3561">
            <v>106</v>
          </cell>
          <cell r="K3561">
            <v>270</v>
          </cell>
          <cell r="L3561">
            <v>508</v>
          </cell>
          <cell r="M3561">
            <v>364</v>
          </cell>
          <cell r="N3561">
            <v>872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</row>
        <row r="3562">
          <cell r="D3562">
            <v>312902</v>
          </cell>
          <cell r="E3562" t="str">
            <v>Sampiniton Provincial Community HS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</row>
        <row r="3563">
          <cell r="D3563">
            <v>312923</v>
          </cell>
          <cell r="E3563" t="str">
            <v>Canggohob High School</v>
          </cell>
          <cell r="F3563">
            <v>18</v>
          </cell>
          <cell r="G3563">
            <v>31</v>
          </cell>
          <cell r="H3563">
            <v>49</v>
          </cell>
          <cell r="I3563">
            <v>5</v>
          </cell>
          <cell r="J3563">
            <v>10</v>
          </cell>
          <cell r="K3563">
            <v>15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</row>
        <row r="3564">
          <cell r="D3564">
            <v>302848</v>
          </cell>
          <cell r="E3564" t="str">
            <v>Dusita High School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</row>
        <row r="3565">
          <cell r="D3565">
            <v>312320</v>
          </cell>
          <cell r="E3565" t="str">
            <v>Haguilanan High School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</row>
        <row r="3566">
          <cell r="D3566">
            <v>303268</v>
          </cell>
          <cell r="E3566" t="str">
            <v>Siaton NHS</v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</row>
        <row r="3567">
          <cell r="D3567">
            <v>302820</v>
          </cell>
          <cell r="E3567" t="str">
            <v>Cabilao NHS</v>
          </cell>
          <cell r="F3567">
            <v>0</v>
          </cell>
          <cell r="G3567">
            <v>1</v>
          </cell>
          <cell r="H3567">
            <v>1</v>
          </cell>
          <cell r="I3567">
            <v>0</v>
          </cell>
          <cell r="J3567">
            <v>1</v>
          </cell>
          <cell r="K3567">
            <v>1</v>
          </cell>
          <cell r="L3567">
            <v>0</v>
          </cell>
          <cell r="M3567">
            <v>1</v>
          </cell>
          <cell r="N3567">
            <v>1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</row>
        <row r="3568">
          <cell r="D3568">
            <v>302902</v>
          </cell>
          <cell r="E3568" t="str">
            <v>Sandingan National High School</v>
          </cell>
          <cell r="F3568">
            <v>0</v>
          </cell>
          <cell r="G3568">
            <v>0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</row>
        <row r="3569">
          <cell r="D3569">
            <v>312967</v>
          </cell>
          <cell r="E3569" t="str">
            <v>Manlingay High School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</row>
        <row r="3570">
          <cell r="D3570">
            <v>312929</v>
          </cell>
          <cell r="E3570" t="str">
            <v>Cawitan High School</v>
          </cell>
          <cell r="F3570">
            <v>55</v>
          </cell>
          <cell r="G3570">
            <v>25</v>
          </cell>
          <cell r="H3570">
            <v>80</v>
          </cell>
          <cell r="I3570">
            <v>20</v>
          </cell>
          <cell r="J3570">
            <v>3</v>
          </cell>
          <cell r="K3570">
            <v>23</v>
          </cell>
          <cell r="L3570">
            <v>5</v>
          </cell>
          <cell r="M3570">
            <v>3</v>
          </cell>
          <cell r="N3570">
            <v>8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</row>
        <row r="3571">
          <cell r="D3571">
            <v>303208</v>
          </cell>
          <cell r="E3571" t="str">
            <v>Jantianon National High School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</row>
        <row r="3572">
          <cell r="D3572">
            <v>303210</v>
          </cell>
          <cell r="E3572" t="str">
            <v>Ayungon NHS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</row>
        <row r="3573">
          <cell r="D3573">
            <v>303291</v>
          </cell>
          <cell r="E3573" t="str">
            <v>Valencia National High School (Valencia Tech. Sch.)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</row>
        <row r="3574">
          <cell r="D3574">
            <v>312957</v>
          </cell>
          <cell r="E3574" t="str">
            <v>Amlan NHS-Jugno Campus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</row>
        <row r="3575">
          <cell r="D3575">
            <v>312962</v>
          </cell>
          <cell r="E3575" t="str">
            <v>Ayungon NHS - Carol-an Extension</v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</row>
        <row r="3576">
          <cell r="D3576">
            <v>303276</v>
          </cell>
          <cell r="E3576" t="str">
            <v>Tambo National High School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</row>
        <row r="3577">
          <cell r="D3577">
            <v>303225</v>
          </cell>
          <cell r="E3577" t="str">
            <v>Dauin National High School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</row>
        <row r="3578">
          <cell r="D3578">
            <v>312941</v>
          </cell>
          <cell r="E3578" t="str">
            <v>Giligaon High School</v>
          </cell>
          <cell r="F3578">
            <v>55</v>
          </cell>
          <cell r="G3578">
            <v>28</v>
          </cell>
          <cell r="H3578">
            <v>83</v>
          </cell>
          <cell r="I3578">
            <v>28</v>
          </cell>
          <cell r="J3578">
            <v>10</v>
          </cell>
          <cell r="K3578">
            <v>38</v>
          </cell>
          <cell r="L3578">
            <v>74</v>
          </cell>
          <cell r="M3578">
            <v>42</v>
          </cell>
          <cell r="N3578">
            <v>116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1</v>
          </cell>
          <cell r="V3578">
            <v>0</v>
          </cell>
          <cell r="W3578">
            <v>1</v>
          </cell>
          <cell r="X3578">
            <v>8</v>
          </cell>
          <cell r="Y3578">
            <v>6</v>
          </cell>
          <cell r="Z3578">
            <v>14</v>
          </cell>
        </row>
        <row r="3579">
          <cell r="D3579">
            <v>303226</v>
          </cell>
          <cell r="E3579" t="str">
            <v>Antonio B. Alejado MHS (Mag-aso HS)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</row>
        <row r="3580">
          <cell r="D3580">
            <v>303264</v>
          </cell>
          <cell r="E3580" t="str">
            <v>Obat High School</v>
          </cell>
          <cell r="F3580">
            <v>0</v>
          </cell>
          <cell r="G3580">
            <v>0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</row>
        <row r="3581">
          <cell r="D3581">
            <v>312937</v>
          </cell>
          <cell r="E3581" t="str">
            <v>Aurelia G. Merecido Memorial High School</v>
          </cell>
          <cell r="F3581">
            <v>33</v>
          </cell>
          <cell r="G3581">
            <v>24</v>
          </cell>
          <cell r="H3581">
            <v>57</v>
          </cell>
          <cell r="I3581">
            <v>20</v>
          </cell>
          <cell r="J3581">
            <v>13</v>
          </cell>
          <cell r="K3581">
            <v>33</v>
          </cell>
          <cell r="L3581">
            <v>63</v>
          </cell>
          <cell r="M3581">
            <v>44</v>
          </cell>
          <cell r="N3581">
            <v>107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5</v>
          </cell>
          <cell r="V3581">
            <v>2</v>
          </cell>
          <cell r="W3581">
            <v>7</v>
          </cell>
          <cell r="X3581">
            <v>0</v>
          </cell>
          <cell r="Y3581">
            <v>0</v>
          </cell>
          <cell r="Z3581">
            <v>0</v>
          </cell>
        </row>
        <row r="3582">
          <cell r="D3582">
            <v>303209</v>
          </cell>
          <cell r="E3582" t="str">
            <v>Silab Community High School Annex</v>
          </cell>
          <cell r="F3582">
            <v>25</v>
          </cell>
          <cell r="G3582">
            <v>34</v>
          </cell>
          <cell r="H3582">
            <v>59</v>
          </cell>
          <cell r="I3582">
            <v>0</v>
          </cell>
          <cell r="J3582">
            <v>34</v>
          </cell>
          <cell r="K3582">
            <v>34</v>
          </cell>
          <cell r="L3582">
            <v>17</v>
          </cell>
          <cell r="M3582">
            <v>19</v>
          </cell>
          <cell r="N3582">
            <v>36</v>
          </cell>
          <cell r="O3582">
            <v>8</v>
          </cell>
          <cell r="P3582">
            <v>15</v>
          </cell>
          <cell r="Q3582">
            <v>23</v>
          </cell>
          <cell r="R3582">
            <v>0</v>
          </cell>
          <cell r="S3582">
            <v>18</v>
          </cell>
          <cell r="T3582">
            <v>18</v>
          </cell>
          <cell r="U3582">
            <v>0</v>
          </cell>
          <cell r="V3582">
            <v>0</v>
          </cell>
          <cell r="W3582">
            <v>0</v>
          </cell>
          <cell r="X3582">
            <v>12</v>
          </cell>
          <cell r="Y3582">
            <v>1</v>
          </cell>
          <cell r="Z3582">
            <v>13</v>
          </cell>
        </row>
        <row r="3583">
          <cell r="D3583">
            <v>303224</v>
          </cell>
          <cell r="E3583" t="str">
            <v>Apolinar B. Macias Memorial High School</v>
          </cell>
          <cell r="F3583">
            <v>19</v>
          </cell>
          <cell r="G3583">
            <v>21</v>
          </cell>
          <cell r="H3583">
            <v>40</v>
          </cell>
          <cell r="I3583">
            <v>3</v>
          </cell>
          <cell r="J3583">
            <v>2</v>
          </cell>
          <cell r="K3583">
            <v>5</v>
          </cell>
          <cell r="L3583">
            <v>3</v>
          </cell>
          <cell r="M3583">
            <v>2</v>
          </cell>
          <cell r="N3583">
            <v>5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</row>
        <row r="3584">
          <cell r="D3584">
            <v>312903</v>
          </cell>
          <cell r="E3584" t="str">
            <v>Kauswagan High School</v>
          </cell>
          <cell r="F3584">
            <v>24</v>
          </cell>
          <cell r="G3584">
            <v>26</v>
          </cell>
          <cell r="H3584">
            <v>50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</row>
        <row r="3585">
          <cell r="D3585">
            <v>312940</v>
          </cell>
          <cell r="E3585" t="str">
            <v>Cambonbon National High School</v>
          </cell>
          <cell r="F3585">
            <v>30</v>
          </cell>
          <cell r="G3585">
            <v>30</v>
          </cell>
          <cell r="H3585">
            <v>60</v>
          </cell>
          <cell r="I3585">
            <v>13</v>
          </cell>
          <cell r="J3585">
            <v>10</v>
          </cell>
          <cell r="K3585">
            <v>23</v>
          </cell>
          <cell r="L3585">
            <v>15</v>
          </cell>
          <cell r="M3585">
            <v>12</v>
          </cell>
          <cell r="N3585">
            <v>27</v>
          </cell>
          <cell r="O3585">
            <v>11</v>
          </cell>
          <cell r="P3585">
            <v>11</v>
          </cell>
          <cell r="Q3585">
            <v>22</v>
          </cell>
          <cell r="R3585">
            <v>13</v>
          </cell>
          <cell r="S3585">
            <v>12</v>
          </cell>
          <cell r="T3585">
            <v>25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</row>
        <row r="3586">
          <cell r="D3586">
            <v>312963</v>
          </cell>
          <cell r="E3586" t="str">
            <v>Jose B. Cardenas MHS - Tabalogo Ext.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</row>
        <row r="3587">
          <cell r="D3587">
            <v>303250</v>
          </cell>
          <cell r="E3587" t="str">
            <v>Casiano Z. Napigkit National High School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</row>
        <row r="3588">
          <cell r="D3588">
            <v>312912</v>
          </cell>
          <cell r="E3588" t="str">
            <v>Pedro R. Abul MHS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</row>
        <row r="3589">
          <cell r="D3589">
            <v>312920</v>
          </cell>
          <cell r="E3589" t="str">
            <v>Dauin Science High School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</row>
        <row r="3590">
          <cell r="D3590">
            <v>312961</v>
          </cell>
          <cell r="E3590" t="str">
            <v>Manjuyod Science High School</v>
          </cell>
          <cell r="F3590">
            <v>25</v>
          </cell>
          <cell r="G3590">
            <v>14</v>
          </cell>
          <cell r="H3590">
            <v>39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</row>
        <row r="3591">
          <cell r="D3591">
            <v>312955</v>
          </cell>
          <cell r="E3591" t="str">
            <v>Masulog HS</v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</row>
        <row r="3592">
          <cell r="D3592">
            <v>500044</v>
          </cell>
          <cell r="E3592" t="str">
            <v>Mabini Integrated School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</row>
        <row r="3593">
          <cell r="D3593">
            <v>302977</v>
          </cell>
          <cell r="E3593" t="str">
            <v>Casay NHS</v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</row>
        <row r="3594">
          <cell r="D3594">
            <v>312935</v>
          </cell>
          <cell r="E3594" t="str">
            <v>Sta. Catalina Science High School</v>
          </cell>
          <cell r="F3594">
            <v>23</v>
          </cell>
          <cell r="G3594">
            <v>25</v>
          </cell>
          <cell r="H3594">
            <v>48</v>
          </cell>
          <cell r="I3594">
            <v>8</v>
          </cell>
          <cell r="J3594">
            <v>25</v>
          </cell>
          <cell r="K3594">
            <v>33</v>
          </cell>
          <cell r="L3594">
            <v>17</v>
          </cell>
          <cell r="M3594">
            <v>43</v>
          </cell>
          <cell r="N3594">
            <v>60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</row>
        <row r="3595">
          <cell r="D3595">
            <v>303253</v>
          </cell>
          <cell r="E3595" t="str">
            <v>Maloh PCHS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</row>
        <row r="3596">
          <cell r="D3596">
            <v>302854</v>
          </cell>
          <cell r="E3596" t="str">
            <v>Guinacot NHS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</row>
        <row r="3597">
          <cell r="D3597">
            <v>303318</v>
          </cell>
          <cell r="E3597" t="str">
            <v>LURAY II NATIONAL HIGH SCHOOL (DAY &amp; NIGHT))</v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</row>
        <row r="3598">
          <cell r="D3598">
            <v>500045</v>
          </cell>
          <cell r="E3598" t="str">
            <v>Sudlon NHS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</row>
        <row r="3599">
          <cell r="D3599">
            <v>302901</v>
          </cell>
          <cell r="E3599" t="str">
            <v>San Roque National High School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</row>
        <row r="3600">
          <cell r="D3600">
            <v>302867</v>
          </cell>
          <cell r="E3600" t="str">
            <v>Hinawanan NHS</v>
          </cell>
          <cell r="F3600">
            <v>0</v>
          </cell>
          <cell r="G3600">
            <v>0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</row>
        <row r="3601">
          <cell r="D3601">
            <v>303222</v>
          </cell>
          <cell r="E3601" t="str">
            <v>Budlasan National High School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</row>
        <row r="3602">
          <cell r="D3602">
            <v>302992</v>
          </cell>
          <cell r="E3602" t="str">
            <v>Tolotolo National High School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</row>
        <row r="3603">
          <cell r="D3603">
            <v>312922</v>
          </cell>
          <cell r="E3603" t="str">
            <v>Jimalalud NHS - Tamao Ext.</v>
          </cell>
          <cell r="F3603">
            <v>25</v>
          </cell>
          <cell r="G3603">
            <v>8</v>
          </cell>
          <cell r="H3603">
            <v>33</v>
          </cell>
          <cell r="I3603">
            <v>13</v>
          </cell>
          <cell r="J3603">
            <v>3</v>
          </cell>
          <cell r="K3603">
            <v>16</v>
          </cell>
          <cell r="L3603">
            <v>23</v>
          </cell>
          <cell r="M3603">
            <v>7</v>
          </cell>
          <cell r="N3603">
            <v>30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2</v>
          </cell>
          <cell r="V3603">
            <v>0</v>
          </cell>
          <cell r="W3603">
            <v>2</v>
          </cell>
          <cell r="X3603">
            <v>1</v>
          </cell>
          <cell r="Y3603">
            <v>1</v>
          </cell>
          <cell r="Z3603">
            <v>2</v>
          </cell>
        </row>
        <row r="3604">
          <cell r="D3604">
            <v>312916</v>
          </cell>
          <cell r="E3604" t="str">
            <v>Jose B. Cardenas MHS - Uptown Annex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</row>
        <row r="3605">
          <cell r="D3605">
            <v>302889</v>
          </cell>
          <cell r="E3605" t="str">
            <v>San Isidro Tech-Voc HS</v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</row>
        <row r="3606">
          <cell r="D3606">
            <v>303271</v>
          </cell>
          <cell r="E3606" t="str">
            <v>Ajong National HS</v>
          </cell>
          <cell r="F3606">
            <v>27</v>
          </cell>
          <cell r="G3606">
            <v>51</v>
          </cell>
          <cell r="H3606">
            <v>78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</row>
        <row r="3607">
          <cell r="D3607">
            <v>303211</v>
          </cell>
          <cell r="E3607" t="str">
            <v>Bagtic National High School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</row>
        <row r="3608">
          <cell r="D3608">
            <v>312907</v>
          </cell>
          <cell r="E3608" t="str">
            <v>Enrique Villanueva HS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</row>
        <row r="3609">
          <cell r="D3609">
            <v>312945</v>
          </cell>
          <cell r="E3609" t="str">
            <v>Sibulan NHS - Balugo Ext.</v>
          </cell>
          <cell r="F3609">
            <v>13</v>
          </cell>
          <cell r="G3609">
            <v>0</v>
          </cell>
          <cell r="H3609">
            <v>13</v>
          </cell>
          <cell r="I3609">
            <v>7</v>
          </cell>
          <cell r="J3609">
            <v>0</v>
          </cell>
          <cell r="K3609">
            <v>7</v>
          </cell>
          <cell r="L3609">
            <v>7</v>
          </cell>
          <cell r="M3609">
            <v>0</v>
          </cell>
          <cell r="N3609">
            <v>7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</row>
        <row r="3610">
          <cell r="D3610">
            <v>303258</v>
          </cell>
          <cell r="E3610" t="str">
            <v>Pacuan National High School</v>
          </cell>
          <cell r="F3610">
            <v>0</v>
          </cell>
          <cell r="G3610">
            <v>0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</row>
        <row r="3611">
          <cell r="D3611">
            <v>303205</v>
          </cell>
          <cell r="E3611" t="str">
            <v>Amio Comprehensive High School</v>
          </cell>
          <cell r="F3611">
            <v>0</v>
          </cell>
          <cell r="G3611">
            <v>0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</row>
        <row r="3612">
          <cell r="D3612">
            <v>303171</v>
          </cell>
          <cell r="E3612" t="str">
            <v>Taclobo NHS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</row>
        <row r="3613">
          <cell r="D3613">
            <v>312901</v>
          </cell>
          <cell r="E3613" t="str">
            <v>Maningcao National High School</v>
          </cell>
          <cell r="F3613">
            <v>32</v>
          </cell>
          <cell r="G3613">
            <v>15</v>
          </cell>
          <cell r="H3613">
            <v>47</v>
          </cell>
          <cell r="I3613">
            <v>9</v>
          </cell>
          <cell r="J3613">
            <v>11</v>
          </cell>
          <cell r="K3613">
            <v>20</v>
          </cell>
          <cell r="L3613">
            <v>49</v>
          </cell>
          <cell r="M3613">
            <v>22</v>
          </cell>
          <cell r="N3613">
            <v>71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</row>
        <row r="3614">
          <cell r="D3614">
            <v>303261</v>
          </cell>
          <cell r="E3614" t="str">
            <v>Pinalubngan National High School</v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</row>
        <row r="3615">
          <cell r="D3615">
            <v>303040</v>
          </cell>
          <cell r="E3615" t="str">
            <v>Lawaan NHS, Talisay</v>
          </cell>
          <cell r="F3615">
            <v>0</v>
          </cell>
          <cell r="G3615">
            <v>0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</row>
        <row r="3616">
          <cell r="D3616">
            <v>323002</v>
          </cell>
          <cell r="E3616" t="str">
            <v>Javier Laxina I Memorial HS</v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</row>
        <row r="3617">
          <cell r="D3617">
            <v>312970</v>
          </cell>
          <cell r="E3617" t="str">
            <v>Caticugan HS</v>
          </cell>
          <cell r="F3617">
            <v>21</v>
          </cell>
          <cell r="G3617">
            <v>29</v>
          </cell>
          <cell r="H3617">
            <v>50</v>
          </cell>
          <cell r="I3617">
            <v>19</v>
          </cell>
          <cell r="J3617">
            <v>26</v>
          </cell>
          <cell r="K3617">
            <v>45</v>
          </cell>
          <cell r="L3617">
            <v>2</v>
          </cell>
          <cell r="M3617">
            <v>3</v>
          </cell>
          <cell r="N3617">
            <v>5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</row>
        <row r="3618">
          <cell r="D3618">
            <v>303162</v>
          </cell>
          <cell r="E3618" t="str">
            <v>OPRRA NHS (Day &amp; Night)</v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</row>
        <row r="3619">
          <cell r="D3619">
            <v>312930</v>
          </cell>
          <cell r="E3619" t="str">
            <v>Tamlang High School</v>
          </cell>
          <cell r="F3619">
            <v>5</v>
          </cell>
          <cell r="G3619">
            <v>0</v>
          </cell>
          <cell r="H3619">
            <v>5</v>
          </cell>
          <cell r="I3619">
            <v>2</v>
          </cell>
          <cell r="J3619">
            <v>0</v>
          </cell>
          <cell r="K3619">
            <v>2</v>
          </cell>
          <cell r="L3619">
            <v>5</v>
          </cell>
          <cell r="M3619">
            <v>0</v>
          </cell>
          <cell r="N3619">
            <v>5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</row>
        <row r="3620">
          <cell r="D3620">
            <v>500920</v>
          </cell>
          <cell r="E3620" t="str">
            <v>Kinawahan Integrated School</v>
          </cell>
          <cell r="F3620">
            <v>0</v>
          </cell>
          <cell r="G3620">
            <v>0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</row>
        <row r="3621">
          <cell r="D3621">
            <v>312934</v>
          </cell>
          <cell r="E3621" t="str">
            <v>San Miguel High School</v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</row>
        <row r="3622">
          <cell r="D3622">
            <v>302852</v>
          </cell>
          <cell r="E3622" t="str">
            <v>Garcia-Hernandez HS</v>
          </cell>
          <cell r="F3622">
            <v>0</v>
          </cell>
          <cell r="G3622">
            <v>0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</row>
        <row r="3623">
          <cell r="D3623">
            <v>312931</v>
          </cell>
          <cell r="E3623" t="str">
            <v>Nagbinlod High School</v>
          </cell>
          <cell r="F3623">
            <v>0</v>
          </cell>
          <cell r="G3623">
            <v>0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</row>
        <row r="3624">
          <cell r="D3624">
            <v>312953</v>
          </cell>
          <cell r="E3624" t="str">
            <v>Sibulan Night High School</v>
          </cell>
          <cell r="F3624">
            <v>15</v>
          </cell>
          <cell r="G3624">
            <v>18</v>
          </cell>
          <cell r="H3624">
            <v>33</v>
          </cell>
          <cell r="I3624">
            <v>2</v>
          </cell>
          <cell r="J3624">
            <v>3</v>
          </cell>
          <cell r="K3624">
            <v>5</v>
          </cell>
          <cell r="L3624">
            <v>2</v>
          </cell>
          <cell r="M3624">
            <v>3</v>
          </cell>
          <cell r="N3624">
            <v>5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</row>
        <row r="3625">
          <cell r="D3625">
            <v>303272</v>
          </cell>
          <cell r="E3625" t="str">
            <v>San Antonio National High School</v>
          </cell>
          <cell r="F3625">
            <v>18</v>
          </cell>
          <cell r="G3625">
            <v>24</v>
          </cell>
          <cell r="H3625">
            <v>42</v>
          </cell>
          <cell r="I3625">
            <v>2</v>
          </cell>
          <cell r="J3625">
            <v>1</v>
          </cell>
          <cell r="K3625">
            <v>3</v>
          </cell>
          <cell r="L3625">
            <v>2</v>
          </cell>
          <cell r="M3625">
            <v>1</v>
          </cell>
          <cell r="N3625">
            <v>3</v>
          </cell>
          <cell r="O3625">
            <v>1</v>
          </cell>
          <cell r="P3625">
            <v>1</v>
          </cell>
          <cell r="Q3625">
            <v>2</v>
          </cell>
          <cell r="R3625">
            <v>1</v>
          </cell>
          <cell r="S3625">
            <v>1</v>
          </cell>
          <cell r="T3625">
            <v>2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</row>
        <row r="3626">
          <cell r="D3626">
            <v>302971</v>
          </cell>
          <cell r="E3626" t="str">
            <v>Cansojong National High School</v>
          </cell>
          <cell r="F3626">
            <v>0</v>
          </cell>
          <cell r="G3626">
            <v>0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</row>
        <row r="3627">
          <cell r="D3627">
            <v>303317</v>
          </cell>
          <cell r="E3627" t="str">
            <v>Bunga NHS</v>
          </cell>
          <cell r="F3627">
            <v>3</v>
          </cell>
          <cell r="G3627">
            <v>9</v>
          </cell>
          <cell r="H3627">
            <v>12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</row>
        <row r="3628">
          <cell r="D3628">
            <v>312362</v>
          </cell>
          <cell r="E3628" t="str">
            <v>Nan-od High School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</row>
        <row r="3629">
          <cell r="D3629">
            <v>303019</v>
          </cell>
          <cell r="E3629" t="str">
            <v>Jaclupan National High School</v>
          </cell>
          <cell r="F3629">
            <v>0</v>
          </cell>
          <cell r="G3629">
            <v>0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</row>
        <row r="3630">
          <cell r="D3630">
            <v>303307</v>
          </cell>
          <cell r="E3630" t="str">
            <v>AWIHAO  NATIONAL HIGH SCHOOL</v>
          </cell>
          <cell r="F3630">
            <v>41</v>
          </cell>
          <cell r="G3630">
            <v>34</v>
          </cell>
          <cell r="H3630">
            <v>75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</row>
        <row r="3631">
          <cell r="D3631">
            <v>312319</v>
          </cell>
          <cell r="E3631" t="str">
            <v>Hagbuaya High School</v>
          </cell>
          <cell r="F3631">
            <v>0</v>
          </cell>
          <cell r="G3631">
            <v>0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</row>
        <row r="3632">
          <cell r="D3632">
            <v>302891</v>
          </cell>
          <cell r="E3632" t="str">
            <v>San Jose National High School</v>
          </cell>
          <cell r="F3632">
            <v>0</v>
          </cell>
          <cell r="G3632">
            <v>0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</row>
        <row r="3633">
          <cell r="D3633">
            <v>302900</v>
          </cell>
          <cell r="E3633" t="str">
            <v>San Roque National High School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</row>
        <row r="3634">
          <cell r="D3634">
            <v>312949</v>
          </cell>
          <cell r="E3634" t="str">
            <v>Ayungon Science High School</v>
          </cell>
          <cell r="F3634">
            <v>9</v>
          </cell>
          <cell r="G3634">
            <v>13</v>
          </cell>
          <cell r="H3634">
            <v>22</v>
          </cell>
          <cell r="I3634">
            <v>2</v>
          </cell>
          <cell r="J3634">
            <v>18</v>
          </cell>
          <cell r="K3634">
            <v>20</v>
          </cell>
          <cell r="L3634">
            <v>3</v>
          </cell>
          <cell r="M3634">
            <v>14</v>
          </cell>
          <cell r="N3634">
            <v>17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</row>
        <row r="3635">
          <cell r="D3635">
            <v>302905</v>
          </cell>
          <cell r="E3635" t="str">
            <v>Sierra Bullones Technical Vocational High School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</row>
        <row r="3636">
          <cell r="D3636">
            <v>303043</v>
          </cell>
          <cell r="E3636" t="str">
            <v>Logon NHS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</row>
        <row r="3637">
          <cell r="D3637">
            <v>303243</v>
          </cell>
          <cell r="E3637" t="str">
            <v>La Libertad Technical-Vocational School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</row>
        <row r="3638">
          <cell r="D3638">
            <v>312946</v>
          </cell>
          <cell r="E3638" t="str">
            <v>DR. BENJAMIN T. LOCSIN HIGH SCHOOL</v>
          </cell>
          <cell r="F3638">
            <v>18</v>
          </cell>
          <cell r="G3638">
            <v>8</v>
          </cell>
          <cell r="H3638">
            <v>26</v>
          </cell>
          <cell r="I3638">
            <v>14</v>
          </cell>
          <cell r="J3638">
            <v>1</v>
          </cell>
          <cell r="K3638">
            <v>15</v>
          </cell>
          <cell r="L3638">
            <v>15</v>
          </cell>
          <cell r="M3638">
            <v>14</v>
          </cell>
          <cell r="N3638">
            <v>29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3</v>
          </cell>
          <cell r="Y3638">
            <v>2</v>
          </cell>
          <cell r="Z3638">
            <v>5</v>
          </cell>
        </row>
        <row r="3639">
          <cell r="D3639">
            <v>303088</v>
          </cell>
          <cell r="E3639" t="str">
            <v>San Roque NHS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</row>
        <row r="3640">
          <cell r="D3640">
            <v>312944</v>
          </cell>
          <cell r="E3640" t="str">
            <v>Sibulan Science High School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</row>
        <row r="3641">
          <cell r="D3641">
            <v>303113</v>
          </cell>
          <cell r="E3641" t="str">
            <v>Talisay City National High School</v>
          </cell>
          <cell r="F3641">
            <v>0</v>
          </cell>
          <cell r="G3641">
            <v>0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</row>
        <row r="3642">
          <cell r="D3642">
            <v>303246</v>
          </cell>
          <cell r="E3642" t="str">
            <v>Dahile PCHS</v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</row>
        <row r="3643">
          <cell r="D3643">
            <v>303037</v>
          </cell>
          <cell r="E3643" t="str">
            <v>Maslog National High School</v>
          </cell>
          <cell r="F3643">
            <v>0</v>
          </cell>
          <cell r="G3643">
            <v>0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</row>
        <row r="3644">
          <cell r="D3644">
            <v>312936</v>
          </cell>
          <cell r="E3644" t="str">
            <v>Nagbalaye HS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</row>
        <row r="3645">
          <cell r="D3645">
            <v>303234</v>
          </cell>
          <cell r="E3645" t="str">
            <v>Inapoy High School</v>
          </cell>
          <cell r="F3645">
            <v>17</v>
          </cell>
          <cell r="G3645">
            <v>4</v>
          </cell>
          <cell r="H3645">
            <v>21</v>
          </cell>
          <cell r="I3645">
            <v>13</v>
          </cell>
          <cell r="J3645">
            <v>4</v>
          </cell>
          <cell r="K3645">
            <v>17</v>
          </cell>
          <cell r="L3645">
            <v>53</v>
          </cell>
          <cell r="M3645">
            <v>22</v>
          </cell>
          <cell r="N3645">
            <v>75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</row>
        <row r="3646">
          <cell r="D3646">
            <v>303111</v>
          </cell>
          <cell r="E3646" t="str">
            <v>Tabunok National High School</v>
          </cell>
          <cell r="F3646">
            <v>0</v>
          </cell>
          <cell r="G3646">
            <v>0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</row>
        <row r="3647">
          <cell r="D3647">
            <v>303240</v>
          </cell>
          <cell r="E3647" t="str">
            <v>Manduaw National High School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</row>
        <row r="3648">
          <cell r="D3648">
            <v>303242</v>
          </cell>
          <cell r="E3648" t="str">
            <v>Tayawan National High School</v>
          </cell>
          <cell r="F3648">
            <v>0</v>
          </cell>
          <cell r="G3648">
            <v>3</v>
          </cell>
          <cell r="H3648">
            <v>3</v>
          </cell>
          <cell r="I3648">
            <v>0</v>
          </cell>
          <cell r="J3648">
            <v>3</v>
          </cell>
          <cell r="K3648">
            <v>3</v>
          </cell>
          <cell r="L3648">
            <v>0</v>
          </cell>
          <cell r="M3648">
            <v>3</v>
          </cell>
          <cell r="N3648">
            <v>3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</row>
        <row r="3649">
          <cell r="D3649">
            <v>312506</v>
          </cell>
          <cell r="E3649" t="str">
            <v>Tisa National High School ( Day &amp; Night)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</row>
        <row r="3650">
          <cell r="D3650">
            <v>322206</v>
          </cell>
          <cell r="E3650" t="str">
            <v>Lagtang Night HS</v>
          </cell>
          <cell r="F3650">
            <v>0</v>
          </cell>
          <cell r="G3650">
            <v>0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</row>
        <row r="3651">
          <cell r="D3651">
            <v>322208</v>
          </cell>
          <cell r="E3651" t="str">
            <v>Tapul National High School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</row>
        <row r="3652">
          <cell r="D3652">
            <v>303227</v>
          </cell>
          <cell r="E3652" t="str">
            <v>Dawis National High School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</row>
        <row r="3653">
          <cell r="D3653">
            <v>321904</v>
          </cell>
          <cell r="E3653" t="str">
            <v>Villasol High School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</row>
        <row r="3654">
          <cell r="D3654">
            <v>303217</v>
          </cell>
          <cell r="E3654" t="str">
            <v>Basay National High School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</row>
        <row r="3655">
          <cell r="D3655">
            <v>303223</v>
          </cell>
          <cell r="E3655" t="str">
            <v>Jose B. Cardenas MHS (Canlaon City NHS)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</row>
        <row r="3656">
          <cell r="D3656">
            <v>303251</v>
          </cell>
          <cell r="E3656" t="str">
            <v>Manjuyod National High School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</row>
        <row r="3657">
          <cell r="D3657">
            <v>312954</v>
          </cell>
          <cell r="E3657" t="str">
            <v>Malaiba HS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</row>
        <row r="3658">
          <cell r="D3658">
            <v>321905</v>
          </cell>
          <cell r="E3658" t="str">
            <v>Lapay High School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</row>
        <row r="3659">
          <cell r="D3659">
            <v>303086</v>
          </cell>
          <cell r="E3659" t="str">
            <v>San Miguel NHS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</row>
        <row r="3660">
          <cell r="D3660">
            <v>312964</v>
          </cell>
          <cell r="E3660" t="str">
            <v>Jose B. Cardenas Memorial High School - Bayog Ext.</v>
          </cell>
          <cell r="F3660">
            <v>26</v>
          </cell>
          <cell r="G3660">
            <v>29</v>
          </cell>
          <cell r="H3660">
            <v>55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10</v>
          </cell>
          <cell r="Y3660">
            <v>10</v>
          </cell>
          <cell r="Z3660">
            <v>20</v>
          </cell>
        </row>
        <row r="3661">
          <cell r="D3661">
            <v>501131</v>
          </cell>
          <cell r="E3661" t="str">
            <v>Ali-is Integrated School</v>
          </cell>
          <cell r="F3661">
            <v>16</v>
          </cell>
          <cell r="G3661">
            <v>0</v>
          </cell>
          <cell r="H3661">
            <v>16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</row>
        <row r="3662">
          <cell r="D3662">
            <v>321906</v>
          </cell>
          <cell r="E3662" t="str">
            <v>San Jose National High School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</row>
        <row r="3663">
          <cell r="D3663">
            <v>303218</v>
          </cell>
          <cell r="E3663" t="str">
            <v>Actin National High School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</row>
        <row r="3664">
          <cell r="D3664">
            <v>312943</v>
          </cell>
          <cell r="E3664" t="str">
            <v>Bolocboloc High School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</row>
        <row r="3665">
          <cell r="D3665">
            <v>322204</v>
          </cell>
          <cell r="E3665" t="str">
            <v>Bulacao National High School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</row>
        <row r="3666">
          <cell r="D3666">
            <v>321903</v>
          </cell>
          <cell r="E3666" t="str">
            <v>Minaba National High School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</row>
        <row r="3667">
          <cell r="D3667">
            <v>302877</v>
          </cell>
          <cell r="E3667" t="str">
            <v>Mantacida National High School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</row>
        <row r="3668">
          <cell r="D3668">
            <v>303056</v>
          </cell>
          <cell r="E3668" t="str">
            <v>Mohon (Divino Amore) National High School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</row>
        <row r="3669">
          <cell r="D3669">
            <v>322201</v>
          </cell>
          <cell r="E3669" t="str">
            <v>Maghaway National High School</v>
          </cell>
          <cell r="F3669">
            <v>3</v>
          </cell>
          <cell r="G3669">
            <v>0</v>
          </cell>
          <cell r="H3669">
            <v>3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</row>
        <row r="3670">
          <cell r="D3670">
            <v>302835</v>
          </cell>
          <cell r="E3670" t="str">
            <v>Cawayanan NHS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</row>
        <row r="3671">
          <cell r="D3671">
            <v>303241</v>
          </cell>
          <cell r="E3671" t="str">
            <v>Tabuan Provincial Community High School</v>
          </cell>
          <cell r="F3671">
            <v>0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</row>
        <row r="3672">
          <cell r="D3672">
            <v>303311</v>
          </cell>
          <cell r="E3672" t="str">
            <v>General Climaco NHS</v>
          </cell>
          <cell r="F3672">
            <v>127</v>
          </cell>
          <cell r="G3672">
            <v>98</v>
          </cell>
          <cell r="H3672">
            <v>225</v>
          </cell>
          <cell r="I3672">
            <v>50</v>
          </cell>
          <cell r="J3672">
            <v>60</v>
          </cell>
          <cell r="K3672">
            <v>110</v>
          </cell>
          <cell r="L3672">
            <v>77</v>
          </cell>
          <cell r="M3672">
            <v>38</v>
          </cell>
          <cell r="N3672">
            <v>115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19</v>
          </cell>
          <cell r="V3672">
            <v>15</v>
          </cell>
          <cell r="W3672">
            <v>34</v>
          </cell>
          <cell r="X3672">
            <v>0</v>
          </cell>
          <cell r="Y3672">
            <v>0</v>
          </cell>
          <cell r="Z3672">
            <v>0</v>
          </cell>
        </row>
        <row r="3673">
          <cell r="D3673">
            <v>303270</v>
          </cell>
          <cell r="E3673" t="str">
            <v>Sibulan National High School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</row>
        <row r="3674">
          <cell r="D3674">
            <v>302893</v>
          </cell>
          <cell r="E3674" t="str">
            <v>San Jose NHS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</row>
        <row r="3675">
          <cell r="D3675">
            <v>312927</v>
          </cell>
          <cell r="E3675" t="str">
            <v>Cambaloctot High School</v>
          </cell>
          <cell r="F3675">
            <v>15</v>
          </cell>
          <cell r="G3675">
            <v>9</v>
          </cell>
          <cell r="H3675">
            <v>24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</row>
        <row r="3676">
          <cell r="D3676">
            <v>302869</v>
          </cell>
          <cell r="E3676" t="str">
            <v>Loboc NHS</v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</row>
        <row r="3677">
          <cell r="D3677">
            <v>303277</v>
          </cell>
          <cell r="E3677" t="str">
            <v>Mabato Provincial Community HS</v>
          </cell>
          <cell r="F3677">
            <v>5</v>
          </cell>
          <cell r="G3677">
            <v>10</v>
          </cell>
          <cell r="H3677">
            <v>15</v>
          </cell>
          <cell r="I3677">
            <v>3</v>
          </cell>
          <cell r="J3677">
            <v>6</v>
          </cell>
          <cell r="K3677">
            <v>9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2</v>
          </cell>
          <cell r="Q3677">
            <v>2</v>
          </cell>
          <cell r="R3677">
            <v>0</v>
          </cell>
          <cell r="S3677">
            <v>2</v>
          </cell>
          <cell r="T3677">
            <v>2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</row>
        <row r="3678">
          <cell r="D3678">
            <v>303312</v>
          </cell>
          <cell r="E3678" t="str">
            <v>Magdugo National High School</v>
          </cell>
          <cell r="F3678">
            <v>102</v>
          </cell>
          <cell r="G3678">
            <v>44</v>
          </cell>
          <cell r="H3678">
            <v>146</v>
          </cell>
          <cell r="I3678">
            <v>56</v>
          </cell>
          <cell r="J3678">
            <v>21</v>
          </cell>
          <cell r="K3678">
            <v>77</v>
          </cell>
          <cell r="L3678">
            <v>46</v>
          </cell>
          <cell r="M3678">
            <v>23</v>
          </cell>
          <cell r="N3678">
            <v>69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</row>
        <row r="3679">
          <cell r="D3679">
            <v>303131</v>
          </cell>
          <cell r="E3679" t="str">
            <v>BINALIW NATIONAL HIGH SCHOOL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</row>
        <row r="3680">
          <cell r="D3680">
            <v>303156</v>
          </cell>
          <cell r="E3680" t="str">
            <v>Zapatera NHS (Day &amp; Night)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</row>
        <row r="3681">
          <cell r="D3681">
            <v>302885</v>
          </cell>
          <cell r="E3681" t="str">
            <v>Policronio S. Dano, Sr. HS</v>
          </cell>
          <cell r="F3681">
            <v>0</v>
          </cell>
          <cell r="G3681">
            <v>0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</row>
        <row r="3682">
          <cell r="D3682">
            <v>303245</v>
          </cell>
          <cell r="E3682" t="str">
            <v>Barras Annex National High School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</row>
        <row r="3683">
          <cell r="D3683">
            <v>321907</v>
          </cell>
          <cell r="E3683" t="str">
            <v>Atilano B. Cabangal Memorial High School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</row>
        <row r="3684">
          <cell r="D3684">
            <v>312928</v>
          </cell>
          <cell r="E3684" t="str">
            <v>Siapo HS</v>
          </cell>
          <cell r="F3684">
            <v>18</v>
          </cell>
          <cell r="G3684">
            <v>16</v>
          </cell>
          <cell r="H3684">
            <v>34</v>
          </cell>
          <cell r="I3684">
            <v>14</v>
          </cell>
          <cell r="J3684">
            <v>12</v>
          </cell>
          <cell r="K3684">
            <v>26</v>
          </cell>
          <cell r="L3684">
            <v>27</v>
          </cell>
          <cell r="M3684">
            <v>18</v>
          </cell>
          <cell r="N3684">
            <v>45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</row>
        <row r="3685">
          <cell r="D3685">
            <v>302864</v>
          </cell>
          <cell r="E3685" t="str">
            <v>La Union NHS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</row>
        <row r="3686">
          <cell r="D3686">
            <v>321909</v>
          </cell>
          <cell r="E3686" t="str">
            <v>Malabugas HS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</row>
        <row r="3687">
          <cell r="D3687">
            <v>303256</v>
          </cell>
          <cell r="E3687" t="str">
            <v>Omod National High School</v>
          </cell>
          <cell r="F3687">
            <v>0</v>
          </cell>
          <cell r="G3687">
            <v>0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</row>
        <row r="3688">
          <cell r="D3688">
            <v>303238</v>
          </cell>
          <cell r="E3688" t="str">
            <v>Bugay National High School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</row>
        <row r="3689">
          <cell r="D3689">
            <v>303237</v>
          </cell>
          <cell r="E3689" t="str">
            <v>Kalumboyan National High School</v>
          </cell>
          <cell r="F3689">
            <v>0</v>
          </cell>
          <cell r="G3689">
            <v>0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</row>
        <row r="3690">
          <cell r="D3690">
            <v>312965</v>
          </cell>
          <cell r="E3690" t="str">
            <v>Jose B. Cardenas MHS - Pula Ext.</v>
          </cell>
          <cell r="F3690">
            <v>0</v>
          </cell>
          <cell r="G3690">
            <v>6</v>
          </cell>
          <cell r="H3690">
            <v>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</row>
        <row r="3691">
          <cell r="D3691">
            <v>321910</v>
          </cell>
          <cell r="E3691" t="str">
            <v>Pagatban Senior High School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</row>
        <row r="3692">
          <cell r="D3692">
            <v>321908</v>
          </cell>
          <cell r="E3692" t="str">
            <v>Antonio M. Lacson, Sr. Memorial High School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</row>
        <row r="3693">
          <cell r="D3693">
            <v>321902</v>
          </cell>
          <cell r="E3693" t="str">
            <v>Bayawan City Science and Technology Education Center - High School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</row>
        <row r="3694">
          <cell r="D3694">
            <v>312314</v>
          </cell>
          <cell r="E3694" t="str">
            <v>Quezon HS - Batuan NHS Annex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</row>
        <row r="3695">
          <cell r="D3695">
            <v>303220</v>
          </cell>
          <cell r="E3695" t="str">
            <v>Maglinao National High School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</row>
        <row r="3696">
          <cell r="D3696">
            <v>321901</v>
          </cell>
          <cell r="E3696" t="str">
            <v>Banaybanay National High School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</row>
        <row r="3697">
          <cell r="D3697">
            <v>312906</v>
          </cell>
          <cell r="E3697" t="str">
            <v>San Jose Provincial High School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</row>
        <row r="3698">
          <cell r="D3698">
            <v>303278</v>
          </cell>
          <cell r="E3698" t="str">
            <v>Crisostomo O. Retes National High School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</row>
        <row r="3699">
          <cell r="D3699">
            <v>303123</v>
          </cell>
          <cell r="E3699" t="str">
            <v>Usmad NHS</v>
          </cell>
          <cell r="F3699">
            <v>36</v>
          </cell>
          <cell r="G3699">
            <v>32</v>
          </cell>
          <cell r="H3699">
            <v>68</v>
          </cell>
          <cell r="I3699">
            <v>10</v>
          </cell>
          <cell r="J3699">
            <v>15</v>
          </cell>
          <cell r="K3699">
            <v>25</v>
          </cell>
          <cell r="L3699">
            <v>12</v>
          </cell>
          <cell r="M3699">
            <v>18</v>
          </cell>
          <cell r="N3699">
            <v>30</v>
          </cell>
          <cell r="O3699">
            <v>3</v>
          </cell>
          <cell r="P3699">
            <v>5</v>
          </cell>
          <cell r="Q3699">
            <v>8</v>
          </cell>
          <cell r="R3699">
            <v>5</v>
          </cell>
          <cell r="S3699">
            <v>10</v>
          </cell>
          <cell r="T3699">
            <v>15</v>
          </cell>
          <cell r="U3699">
            <v>1</v>
          </cell>
          <cell r="V3699">
            <v>3</v>
          </cell>
          <cell r="W3699">
            <v>4</v>
          </cell>
          <cell r="X3699">
            <v>1</v>
          </cell>
          <cell r="Y3699">
            <v>1</v>
          </cell>
          <cell r="Z3699">
            <v>2</v>
          </cell>
        </row>
        <row r="3700">
          <cell r="D3700">
            <v>303010</v>
          </cell>
          <cell r="E3700" t="str">
            <v>Garing NHS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</row>
        <row r="3701">
          <cell r="D3701">
            <v>303315</v>
          </cell>
          <cell r="E3701" t="str">
            <v>Toledo City Science High School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</row>
        <row r="3702">
          <cell r="D3702">
            <v>312316</v>
          </cell>
          <cell r="E3702" t="str">
            <v>Cayacay HS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</row>
        <row r="3703">
          <cell r="D3703">
            <v>312948</v>
          </cell>
          <cell r="E3703" t="str">
            <v>Tubigon High School</v>
          </cell>
          <cell r="F3703">
            <v>18</v>
          </cell>
          <cell r="G3703">
            <v>17</v>
          </cell>
          <cell r="H3703">
            <v>35</v>
          </cell>
          <cell r="I3703">
            <v>0</v>
          </cell>
          <cell r="J3703">
            <v>0</v>
          </cell>
          <cell r="K3703">
            <v>0</v>
          </cell>
          <cell r="L3703">
            <v>18</v>
          </cell>
          <cell r="M3703">
            <v>17</v>
          </cell>
          <cell r="N3703">
            <v>35</v>
          </cell>
          <cell r="O3703">
            <v>4</v>
          </cell>
          <cell r="P3703">
            <v>3</v>
          </cell>
          <cell r="Q3703">
            <v>7</v>
          </cell>
          <cell r="R3703">
            <v>14</v>
          </cell>
          <cell r="S3703">
            <v>14</v>
          </cell>
          <cell r="T3703">
            <v>28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</row>
        <row r="3704">
          <cell r="D3704">
            <v>303221</v>
          </cell>
          <cell r="E3704" t="str">
            <v>Bayawan National High School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</row>
        <row r="3705">
          <cell r="D3705">
            <v>302817</v>
          </cell>
          <cell r="E3705" t="str">
            <v>Biking Tech-Voc HS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</row>
        <row r="3706">
          <cell r="D3706">
            <v>303193</v>
          </cell>
          <cell r="E3706" t="str">
            <v>Nemesio-Epifania Taneo MHS (Tingo HS (DE, January 15, 1995)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</row>
        <row r="3707">
          <cell r="D3707">
            <v>302892</v>
          </cell>
          <cell r="E3707" t="str">
            <v>Inabanga HS- Nabuad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</row>
        <row r="3708">
          <cell r="D3708">
            <v>302873</v>
          </cell>
          <cell r="E3708" t="str">
            <v>Mahayag National High School</v>
          </cell>
          <cell r="F3708">
            <v>4</v>
          </cell>
          <cell r="G3708">
            <v>0</v>
          </cell>
          <cell r="H3708">
            <v>4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</row>
        <row r="3709">
          <cell r="D3709">
            <v>302865</v>
          </cell>
          <cell r="E3709" t="str">
            <v>Candijay National High School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</row>
        <row r="3710">
          <cell r="D3710">
            <v>321912</v>
          </cell>
          <cell r="E3710" t="str">
            <v>Cansumalig High School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</row>
        <row r="3711">
          <cell r="D3711">
            <v>500214</v>
          </cell>
          <cell r="E3711" t="str">
            <v>Tapal IS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</row>
        <row r="3712">
          <cell r="D3712">
            <v>303073</v>
          </cell>
          <cell r="E3712" t="str">
            <v>Pilar NHS</v>
          </cell>
          <cell r="F3712">
            <v>75</v>
          </cell>
          <cell r="G3712">
            <v>63</v>
          </cell>
          <cell r="H3712">
            <v>138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</row>
        <row r="3713">
          <cell r="D3713">
            <v>303279</v>
          </cell>
          <cell r="E3713" t="str">
            <v>Tanjay High School (Legislated)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</row>
        <row r="3714">
          <cell r="D3714">
            <v>500215</v>
          </cell>
          <cell r="E3714" t="str">
            <v>Tubog Integrated School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</row>
        <row r="3715">
          <cell r="D3715">
            <v>322303</v>
          </cell>
          <cell r="E3715" t="str">
            <v>Nagsala HS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</row>
        <row r="3716">
          <cell r="D3716">
            <v>302825</v>
          </cell>
          <cell r="E3716" t="str">
            <v>Camambugan NHS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</row>
        <row r="3717">
          <cell r="D3717">
            <v>303239</v>
          </cell>
          <cell r="E3717" t="str">
            <v>Kalamtukan High School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</row>
        <row r="3718">
          <cell r="D3718">
            <v>321911</v>
          </cell>
          <cell r="E3718" t="str">
            <v>Abundio Agarpao, Sr. Memorial High School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</row>
        <row r="3719">
          <cell r="D3719">
            <v>302915</v>
          </cell>
          <cell r="E3719" t="str">
            <v>Ubay National Science HS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</row>
        <row r="3720">
          <cell r="D3720">
            <v>303285</v>
          </cell>
          <cell r="E3720" t="str">
            <v>Bahi-an High School</v>
          </cell>
          <cell r="F3720">
            <v>28</v>
          </cell>
          <cell r="G3720">
            <v>25</v>
          </cell>
          <cell r="H3720">
            <v>53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</row>
        <row r="3721">
          <cell r="D3721">
            <v>303194</v>
          </cell>
          <cell r="E3721" t="str">
            <v>Cabancalan NHS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</row>
        <row r="3722">
          <cell r="D3722">
            <v>302824</v>
          </cell>
          <cell r="E3722" t="str">
            <v>Mayor A. R. Tuazon Nat'l Sch. of Fisheries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</row>
        <row r="3723">
          <cell r="D3723">
            <v>312911</v>
          </cell>
          <cell r="E3723" t="str">
            <v>Hunop Community High School</v>
          </cell>
          <cell r="F3723">
            <v>0</v>
          </cell>
          <cell r="G3723">
            <v>0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</row>
        <row r="3724">
          <cell r="D3724">
            <v>302879</v>
          </cell>
          <cell r="E3724" t="str">
            <v>Nahawan NHS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</row>
        <row r="3725">
          <cell r="D3725">
            <v>500206</v>
          </cell>
          <cell r="E3725" t="str">
            <v>Clemente Borja Memorial High School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</row>
        <row r="3726">
          <cell r="D3726">
            <v>303286</v>
          </cell>
          <cell r="E3726" t="str">
            <v>Novallas High School</v>
          </cell>
          <cell r="F3726">
            <v>0</v>
          </cell>
          <cell r="G3726">
            <v>0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</row>
        <row r="3727">
          <cell r="D3727">
            <v>302970</v>
          </cell>
          <cell r="E3727" t="str">
            <v>Can-asujan NHS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</row>
        <row r="3728">
          <cell r="D3728">
            <v>302896</v>
          </cell>
          <cell r="E3728" t="str">
            <v>Sikatuna Nat'l Agricultural HS</v>
          </cell>
          <cell r="F3728">
            <v>49</v>
          </cell>
          <cell r="G3728">
            <v>46</v>
          </cell>
          <cell r="H3728">
            <v>95</v>
          </cell>
          <cell r="I3728">
            <v>20</v>
          </cell>
          <cell r="J3728">
            <v>27</v>
          </cell>
          <cell r="K3728">
            <v>47</v>
          </cell>
          <cell r="L3728">
            <v>38</v>
          </cell>
          <cell r="M3728">
            <v>61</v>
          </cell>
          <cell r="N3728">
            <v>99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3</v>
          </cell>
          <cell r="V3728">
            <v>15</v>
          </cell>
          <cell r="W3728">
            <v>18</v>
          </cell>
          <cell r="X3728">
            <v>0</v>
          </cell>
          <cell r="Y3728">
            <v>0</v>
          </cell>
          <cell r="Z3728">
            <v>0</v>
          </cell>
        </row>
        <row r="3729">
          <cell r="D3729">
            <v>303259</v>
          </cell>
          <cell r="E3729" t="str">
            <v>Pamplona NHS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</row>
        <row r="3730">
          <cell r="D3730">
            <v>303282</v>
          </cell>
          <cell r="E3730" t="str">
            <v>Tanjay NHS (Polo)</v>
          </cell>
          <cell r="F3730">
            <v>0</v>
          </cell>
          <cell r="G3730">
            <v>0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</row>
        <row r="3731">
          <cell r="D3731">
            <v>312809</v>
          </cell>
          <cell r="E3731" t="str">
            <v>Mandaue SPED Center HS</v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</row>
        <row r="3732">
          <cell r="D3732">
            <v>356059</v>
          </cell>
          <cell r="E3732" t="str">
            <v>Kalangyawon National High School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</row>
        <row r="3733">
          <cell r="D3733">
            <v>303219</v>
          </cell>
          <cell r="E3733" t="str">
            <v>Bal-os National High School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</row>
        <row r="3734">
          <cell r="D3734">
            <v>343971</v>
          </cell>
          <cell r="E3734" t="str">
            <v>Tuyom Senior High School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</row>
        <row r="3735">
          <cell r="D3735">
            <v>312415</v>
          </cell>
          <cell r="E3735" t="str">
            <v>Ginatilan NHS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</row>
        <row r="3736">
          <cell r="D3736">
            <v>303066</v>
          </cell>
          <cell r="E3736" t="str">
            <v>OCAÑA NATIONAL HIGH SCHOOL</v>
          </cell>
          <cell r="F3736">
            <v>0</v>
          </cell>
          <cell r="G3736">
            <v>0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</row>
        <row r="3737">
          <cell r="D3737">
            <v>302833</v>
          </cell>
          <cell r="E3737" t="str">
            <v>Catigbian NHS</v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</row>
        <row r="3738">
          <cell r="D3738">
            <v>303025</v>
          </cell>
          <cell r="E3738" t="str">
            <v>Almacen-Torrevillas National High School</v>
          </cell>
          <cell r="F3738">
            <v>0</v>
          </cell>
          <cell r="G3738">
            <v>0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</row>
        <row r="3739">
          <cell r="D3739">
            <v>303139</v>
          </cell>
          <cell r="E3739" t="str">
            <v>Lahug NHS (Night)</v>
          </cell>
          <cell r="F3739">
            <v>11</v>
          </cell>
          <cell r="G3739">
            <v>0</v>
          </cell>
          <cell r="H3739">
            <v>11</v>
          </cell>
          <cell r="I3739">
            <v>32</v>
          </cell>
          <cell r="J3739">
            <v>24</v>
          </cell>
          <cell r="K3739">
            <v>56</v>
          </cell>
          <cell r="L3739">
            <v>2</v>
          </cell>
          <cell r="M3739">
            <v>0</v>
          </cell>
          <cell r="N3739">
            <v>2</v>
          </cell>
          <cell r="O3739">
            <v>2</v>
          </cell>
          <cell r="P3739">
            <v>0</v>
          </cell>
          <cell r="Q3739">
            <v>2</v>
          </cell>
          <cell r="R3739">
            <v>2</v>
          </cell>
          <cell r="S3739">
            <v>0</v>
          </cell>
          <cell r="T3739">
            <v>2</v>
          </cell>
          <cell r="U3739">
            <v>1</v>
          </cell>
          <cell r="V3739">
            <v>15</v>
          </cell>
          <cell r="W3739">
            <v>16</v>
          </cell>
          <cell r="X3739">
            <v>0</v>
          </cell>
          <cell r="Y3739">
            <v>0</v>
          </cell>
          <cell r="Z3739">
            <v>0</v>
          </cell>
        </row>
        <row r="3740">
          <cell r="D3740">
            <v>303126</v>
          </cell>
          <cell r="E3740" t="str">
            <v>Valencia National Vocational HS</v>
          </cell>
          <cell r="F3740">
            <v>0</v>
          </cell>
          <cell r="G3740">
            <v>0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</row>
        <row r="3741">
          <cell r="D3741">
            <v>303202</v>
          </cell>
          <cell r="E3741" t="str">
            <v>Subangdaku Tech-Voc HS (Mandaue City CNHS - Subangdaku NHS Ext.)</v>
          </cell>
          <cell r="F3741">
            <v>0</v>
          </cell>
          <cell r="G3741">
            <v>0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</row>
        <row r="3742">
          <cell r="D3742">
            <v>312810</v>
          </cell>
          <cell r="E3742" t="str">
            <v>Tingub High School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</row>
        <row r="3743">
          <cell r="D3743">
            <v>302842</v>
          </cell>
          <cell r="E3743" t="str">
            <v>Cantubod NHS</v>
          </cell>
          <cell r="F3743">
            <v>0</v>
          </cell>
          <cell r="G3743">
            <v>0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</row>
        <row r="3744">
          <cell r="D3744">
            <v>312304</v>
          </cell>
          <cell r="E3744" t="str">
            <v>Dauis National High School</v>
          </cell>
          <cell r="F3744">
            <v>0</v>
          </cell>
          <cell r="G3744">
            <v>0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</row>
        <row r="3745">
          <cell r="D3745">
            <v>322305</v>
          </cell>
          <cell r="E3745" t="str">
            <v>Luca HS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</row>
        <row r="3746">
          <cell r="D3746">
            <v>312315</v>
          </cell>
          <cell r="E3746" t="str">
            <v>Rizal High Sschool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</row>
        <row r="3747">
          <cell r="D3747">
            <v>312301</v>
          </cell>
          <cell r="E3747" t="str">
            <v>Isabel S.J. Gujol Memorial HS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</row>
        <row r="3748">
          <cell r="D3748">
            <v>302819</v>
          </cell>
          <cell r="E3748" t="str">
            <v>Busao National High School</v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</row>
        <row r="3749">
          <cell r="D3749">
            <v>302899</v>
          </cell>
          <cell r="E3749" t="str">
            <v>San Pascual National Agr'l HS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</row>
        <row r="3750">
          <cell r="D3750">
            <v>302841</v>
          </cell>
          <cell r="E3750" t="str">
            <v>Danao NHS</v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</row>
        <row r="3751">
          <cell r="D3751">
            <v>302887</v>
          </cell>
          <cell r="E3751" t="str">
            <v>San Agustin NHS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</row>
        <row r="3752">
          <cell r="D3752">
            <v>312358</v>
          </cell>
          <cell r="E3752" t="str">
            <v>Jagna HS</v>
          </cell>
          <cell r="F3752">
            <v>93</v>
          </cell>
          <cell r="G3752">
            <v>81</v>
          </cell>
          <cell r="H3752">
            <v>174</v>
          </cell>
          <cell r="I3752">
            <v>76</v>
          </cell>
          <cell r="J3752">
            <v>75</v>
          </cell>
          <cell r="K3752">
            <v>151</v>
          </cell>
          <cell r="L3752">
            <v>125</v>
          </cell>
          <cell r="M3752">
            <v>153</v>
          </cell>
          <cell r="N3752">
            <v>278</v>
          </cell>
          <cell r="O3752">
            <v>0</v>
          </cell>
          <cell r="P3752">
            <v>0</v>
          </cell>
          <cell r="Q3752">
            <v>0</v>
          </cell>
          <cell r="R3752">
            <v>9</v>
          </cell>
          <cell r="S3752">
            <v>5</v>
          </cell>
          <cell r="T3752">
            <v>14</v>
          </cell>
          <cell r="U3752">
            <v>9</v>
          </cell>
          <cell r="V3752">
            <v>5</v>
          </cell>
          <cell r="W3752">
            <v>14</v>
          </cell>
          <cell r="X3752">
            <v>9</v>
          </cell>
          <cell r="Y3752">
            <v>1</v>
          </cell>
          <cell r="Z3752">
            <v>10</v>
          </cell>
        </row>
        <row r="3753">
          <cell r="D3753">
            <v>302860</v>
          </cell>
          <cell r="E3753" t="str">
            <v>Katipunan NHS</v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</row>
        <row r="3754">
          <cell r="D3754">
            <v>312325</v>
          </cell>
          <cell r="E3754" t="str">
            <v>Gaus High School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</row>
        <row r="3755">
          <cell r="D3755">
            <v>303200</v>
          </cell>
          <cell r="E3755" t="str">
            <v>Mandaue City CNHS - Labogon NHS Ext.</v>
          </cell>
          <cell r="F3755">
            <v>15</v>
          </cell>
          <cell r="G3755">
            <v>0</v>
          </cell>
          <cell r="H3755">
            <v>15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</row>
        <row r="3756">
          <cell r="D3756">
            <v>303273</v>
          </cell>
          <cell r="E3756" t="str">
            <v>Sta. Agueda National High School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</row>
        <row r="3757">
          <cell r="D3757">
            <v>303132</v>
          </cell>
          <cell r="E3757" t="str">
            <v>Lusaran NHS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</row>
        <row r="3758">
          <cell r="D3758">
            <v>302821</v>
          </cell>
          <cell r="E3758" t="str">
            <v>Cabul-an National High School</v>
          </cell>
          <cell r="F3758">
            <v>0</v>
          </cell>
          <cell r="G3758">
            <v>0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</row>
        <row r="3759">
          <cell r="D3759">
            <v>302844</v>
          </cell>
          <cell r="E3759" t="str">
            <v>Taming NHS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</row>
        <row r="3760">
          <cell r="D3760">
            <v>302834</v>
          </cell>
          <cell r="E3760" t="str">
            <v>Catungawan National High School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</row>
        <row r="3761">
          <cell r="D3761">
            <v>302858</v>
          </cell>
          <cell r="E3761" t="str">
            <v>Hinlayagan NHS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</row>
        <row r="3762">
          <cell r="D3762">
            <v>312360</v>
          </cell>
          <cell r="E3762" t="str">
            <v>Ponciano L. Padin National High School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</row>
        <row r="3763">
          <cell r="D3763">
            <v>312352</v>
          </cell>
          <cell r="E3763" t="str">
            <v>Cambuyo HS</v>
          </cell>
          <cell r="F3763">
            <v>34</v>
          </cell>
          <cell r="G3763">
            <v>38</v>
          </cell>
          <cell r="H3763">
            <v>72</v>
          </cell>
          <cell r="I3763">
            <v>30</v>
          </cell>
          <cell r="J3763">
            <v>15</v>
          </cell>
          <cell r="K3763">
            <v>45</v>
          </cell>
          <cell r="L3763">
            <v>35</v>
          </cell>
          <cell r="M3763">
            <v>18</v>
          </cell>
          <cell r="N3763">
            <v>53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</row>
        <row r="3764">
          <cell r="D3764">
            <v>312318</v>
          </cell>
          <cell r="E3764" t="str">
            <v>PEDRO S. BUDIONGAN HIGH SCHOOL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</row>
        <row r="3765">
          <cell r="D3765">
            <v>302868</v>
          </cell>
          <cell r="E3765" t="str">
            <v>Lila NHS</v>
          </cell>
          <cell r="F3765">
            <v>0</v>
          </cell>
          <cell r="G3765">
            <v>0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</row>
        <row r="3766">
          <cell r="D3766">
            <v>312334</v>
          </cell>
          <cell r="E3766" t="str">
            <v>Bulilis High School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</row>
        <row r="3767">
          <cell r="D3767">
            <v>312926</v>
          </cell>
          <cell r="E3767" t="str">
            <v>Apolinario Gerarda Arnaiz HS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</row>
        <row r="3768">
          <cell r="D3768">
            <v>312915</v>
          </cell>
          <cell r="E3768" t="str">
            <v>Inawasan PCHS</v>
          </cell>
          <cell r="F3768">
            <v>0</v>
          </cell>
          <cell r="G3768">
            <v>0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</row>
        <row r="3769">
          <cell r="D3769">
            <v>302866</v>
          </cell>
          <cell r="E3769" t="str">
            <v>Cogtong NHS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</row>
        <row r="3770">
          <cell r="D3770">
            <v>303292</v>
          </cell>
          <cell r="E3770" t="str">
            <v>Vallehermoso National High School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</row>
        <row r="3771">
          <cell r="D3771">
            <v>302883</v>
          </cell>
          <cell r="E3771" t="str">
            <v>Calape National High School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</row>
        <row r="3772">
          <cell r="D3772">
            <v>303187</v>
          </cell>
          <cell r="E3772" t="str">
            <v>Pusok NHS</v>
          </cell>
          <cell r="F3772">
            <v>4</v>
          </cell>
          <cell r="G3772">
            <v>0</v>
          </cell>
          <cell r="H3772">
            <v>4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</row>
        <row r="3773">
          <cell r="D3773">
            <v>303254</v>
          </cell>
          <cell r="E3773" t="str">
            <v>NARRA National High School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</row>
        <row r="3774">
          <cell r="D3774">
            <v>302843</v>
          </cell>
          <cell r="E3774" t="str">
            <v>Francisco Dagohoy Memorial High School</v>
          </cell>
          <cell r="F3774">
            <v>0</v>
          </cell>
          <cell r="G3774">
            <v>0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</row>
        <row r="3775">
          <cell r="D3775">
            <v>303183</v>
          </cell>
          <cell r="E3775" t="str">
            <v>Marigondon NHS - Science Tech. Educ. Center (STEC) Ext.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</row>
        <row r="3776">
          <cell r="D3776">
            <v>303172</v>
          </cell>
          <cell r="E3776" t="str">
            <v>Babag National High School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</row>
        <row r="3777">
          <cell r="D3777">
            <v>303178</v>
          </cell>
          <cell r="E3777" t="str">
            <v>Mactan National High School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</row>
        <row r="3778">
          <cell r="D3778">
            <v>302913</v>
          </cell>
          <cell r="E3778" t="str">
            <v>Tulang NHS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</row>
        <row r="3779">
          <cell r="D3779">
            <v>322306</v>
          </cell>
          <cell r="E3779" t="str">
            <v>Namonbon HS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</row>
        <row r="3780">
          <cell r="D3780">
            <v>303180</v>
          </cell>
          <cell r="E3780" t="str">
            <v>Marigondon National High School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</row>
        <row r="3781">
          <cell r="D3781">
            <v>303189</v>
          </cell>
          <cell r="E3781" t="str">
            <v>Sta. Rosa NHS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</row>
        <row r="3782">
          <cell r="D3782">
            <v>303284</v>
          </cell>
          <cell r="E3782" t="str">
            <v>Lourdes Ledesma Del Prado MNHS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</row>
        <row r="3783">
          <cell r="D3783">
            <v>303174</v>
          </cell>
          <cell r="E3783" t="str">
            <v>Bankal National High School</v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</row>
        <row r="3784">
          <cell r="D3784">
            <v>303184</v>
          </cell>
          <cell r="E3784" t="str">
            <v>Pajo National High School</v>
          </cell>
          <cell r="F3784">
            <v>45</v>
          </cell>
          <cell r="G3784">
            <v>32</v>
          </cell>
          <cell r="H3784">
            <v>77</v>
          </cell>
          <cell r="I3784">
            <v>21</v>
          </cell>
          <cell r="J3784">
            <v>12</v>
          </cell>
          <cell r="K3784">
            <v>33</v>
          </cell>
          <cell r="L3784">
            <v>21</v>
          </cell>
          <cell r="M3784">
            <v>12</v>
          </cell>
          <cell r="N3784">
            <v>33</v>
          </cell>
          <cell r="O3784">
            <v>8</v>
          </cell>
          <cell r="P3784">
            <v>6</v>
          </cell>
          <cell r="Q3784">
            <v>14</v>
          </cell>
          <cell r="R3784">
            <v>8</v>
          </cell>
          <cell r="S3784">
            <v>6</v>
          </cell>
          <cell r="T3784">
            <v>14</v>
          </cell>
          <cell r="U3784">
            <v>0</v>
          </cell>
          <cell r="V3784">
            <v>0</v>
          </cell>
          <cell r="W3784">
            <v>0</v>
          </cell>
          <cell r="X3784">
            <v>1</v>
          </cell>
          <cell r="Y3784">
            <v>0</v>
          </cell>
          <cell r="Z3784">
            <v>1</v>
          </cell>
        </row>
        <row r="3785">
          <cell r="D3785">
            <v>303177</v>
          </cell>
          <cell r="E3785" t="str">
            <v>Lo-ok National High School</v>
          </cell>
          <cell r="F3785">
            <v>7</v>
          </cell>
          <cell r="G3785">
            <v>2</v>
          </cell>
          <cell r="H3785">
            <v>9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</row>
        <row r="3786">
          <cell r="D3786">
            <v>302904</v>
          </cell>
          <cell r="E3786" t="str">
            <v>Cambagui-Calinginan Norte National  HS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</row>
        <row r="3787">
          <cell r="D3787">
            <v>325301</v>
          </cell>
          <cell r="E3787" t="str">
            <v>Alpaco National High School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</row>
        <row r="3788">
          <cell r="D3788">
            <v>500227</v>
          </cell>
          <cell r="E3788" t="str">
            <v>Taptap Integrated School</v>
          </cell>
          <cell r="F3788">
            <v>0</v>
          </cell>
          <cell r="G3788">
            <v>0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</row>
        <row r="3789">
          <cell r="D3789">
            <v>312324</v>
          </cell>
          <cell r="E3789" t="str">
            <v>Bonbonon High School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</row>
        <row r="3790">
          <cell r="D3790">
            <v>322301</v>
          </cell>
          <cell r="E3790" t="str">
            <v>Graciano Banogon HS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</row>
        <row r="3791">
          <cell r="D3791">
            <v>302829</v>
          </cell>
          <cell r="E3791" t="str">
            <v>Candabong National High School</v>
          </cell>
          <cell r="F3791">
            <v>0</v>
          </cell>
          <cell r="G3791">
            <v>0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</row>
        <row r="3792">
          <cell r="D3792">
            <v>302831</v>
          </cell>
          <cell r="E3792" t="str">
            <v>Lubang National High School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</row>
        <row r="3793">
          <cell r="D3793">
            <v>302911</v>
          </cell>
          <cell r="E3793" t="str">
            <v>Tambongan NHS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</row>
        <row r="3794">
          <cell r="D3794">
            <v>303274</v>
          </cell>
          <cell r="E3794" t="str">
            <v>Isidoro Salma MSHS (Balayong )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</row>
        <row r="3795">
          <cell r="D3795">
            <v>312330</v>
          </cell>
          <cell r="E3795" t="str">
            <v>Santo Nino High School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</row>
        <row r="3796">
          <cell r="D3796">
            <v>302923</v>
          </cell>
          <cell r="E3796" t="str">
            <v>Tubod NHS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</row>
        <row r="3797">
          <cell r="D3797">
            <v>312321</v>
          </cell>
          <cell r="E3797" t="str">
            <v>San Miguel-Puertos HS</v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</row>
        <row r="3798">
          <cell r="D3798">
            <v>312513</v>
          </cell>
          <cell r="E3798" t="str">
            <v>ALASKA HS</v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</row>
        <row r="3799">
          <cell r="D3799">
            <v>325303</v>
          </cell>
          <cell r="E3799" t="str">
            <v>Tinaan National High School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</row>
        <row r="3800">
          <cell r="D3800">
            <v>302812</v>
          </cell>
          <cell r="E3800" t="str">
            <v>Badiang NHS</v>
          </cell>
          <cell r="F3800">
            <v>0</v>
          </cell>
          <cell r="G3800">
            <v>0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</row>
        <row r="3801">
          <cell r="D3801">
            <v>302861</v>
          </cell>
          <cell r="E3801" t="str">
            <v>Francisco L. Adlaon HS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</row>
        <row r="3802">
          <cell r="D3802">
            <v>302987</v>
          </cell>
          <cell r="E3802" t="str">
            <v>Colonia NHS</v>
          </cell>
          <cell r="F3802">
            <v>128</v>
          </cell>
          <cell r="G3802">
            <v>78</v>
          </cell>
          <cell r="H3802">
            <v>206</v>
          </cell>
          <cell r="I3802">
            <v>32</v>
          </cell>
          <cell r="J3802">
            <v>28</v>
          </cell>
          <cell r="K3802">
            <v>60</v>
          </cell>
          <cell r="L3802">
            <v>32</v>
          </cell>
          <cell r="M3802">
            <v>28</v>
          </cell>
          <cell r="N3802">
            <v>60</v>
          </cell>
          <cell r="O3802">
            <v>32</v>
          </cell>
          <cell r="P3802">
            <v>28</v>
          </cell>
          <cell r="Q3802">
            <v>60</v>
          </cell>
          <cell r="R3802">
            <v>32</v>
          </cell>
          <cell r="S3802">
            <v>28</v>
          </cell>
          <cell r="T3802">
            <v>60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</row>
        <row r="3803">
          <cell r="D3803">
            <v>302912</v>
          </cell>
          <cell r="E3803" t="str">
            <v>Anoling National High School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</row>
        <row r="3804">
          <cell r="D3804">
            <v>302910</v>
          </cell>
          <cell r="E3804" t="str">
            <v>Tagum Sur NHS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</row>
        <row r="3805">
          <cell r="D3805">
            <v>303201</v>
          </cell>
          <cell r="E3805" t="str">
            <v>Mandaue City CNHS - Mandaue City Science HS Ext.</v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</row>
        <row r="3806">
          <cell r="D3806">
            <v>312326</v>
          </cell>
          <cell r="E3806" t="str">
            <v>Cuaming HS</v>
          </cell>
          <cell r="F3806">
            <v>0</v>
          </cell>
          <cell r="G3806">
            <v>0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</row>
        <row r="3807">
          <cell r="D3807">
            <v>312359</v>
          </cell>
          <cell r="E3807" t="str">
            <v>Katipunan High School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</row>
        <row r="3808">
          <cell r="D3808">
            <v>302947</v>
          </cell>
          <cell r="E3808" t="str">
            <v>Gaas NHS</v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</row>
        <row r="3809">
          <cell r="D3809">
            <v>303029</v>
          </cell>
          <cell r="E3809" t="str">
            <v>Lamac National High School</v>
          </cell>
          <cell r="F3809">
            <v>201</v>
          </cell>
          <cell r="G3809">
            <v>159</v>
          </cell>
          <cell r="H3809">
            <v>360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</row>
        <row r="3810">
          <cell r="D3810">
            <v>312351</v>
          </cell>
          <cell r="E3810" t="str">
            <v>Cagting High School</v>
          </cell>
          <cell r="F3810">
            <v>0</v>
          </cell>
          <cell r="G3810">
            <v>0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</row>
        <row r="3811">
          <cell r="D3811">
            <v>312303</v>
          </cell>
          <cell r="E3811" t="str">
            <v>Mayor Inocencio B. Mendez HS</v>
          </cell>
          <cell r="F3811">
            <v>0</v>
          </cell>
          <cell r="G3811">
            <v>0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</row>
        <row r="3812">
          <cell r="D3812">
            <v>303148</v>
          </cell>
          <cell r="E3812" t="str">
            <v>Punta Princesa NHS (Night)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</row>
        <row r="3813">
          <cell r="D3813">
            <v>312306</v>
          </cell>
          <cell r="E3813" t="str">
            <v>Canlaas High School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</row>
        <row r="3814">
          <cell r="D3814">
            <v>500224</v>
          </cell>
          <cell r="E3814" t="str">
            <v>Dr. Emilio Osmena HS</v>
          </cell>
          <cell r="F3814">
            <v>0</v>
          </cell>
          <cell r="G3814">
            <v>0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</row>
        <row r="3815">
          <cell r="D3815">
            <v>312905</v>
          </cell>
          <cell r="E3815" t="str">
            <v>Sta. Agueda NHS - Calicanan HS Ext.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</row>
        <row r="3816">
          <cell r="D3816">
            <v>312350</v>
          </cell>
          <cell r="E3816" t="str">
            <v>San Isidro High School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</row>
        <row r="3817">
          <cell r="D3817">
            <v>500221</v>
          </cell>
          <cell r="E3817" t="str">
            <v>Busogon Integrated School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</row>
        <row r="3818">
          <cell r="D3818">
            <v>303021</v>
          </cell>
          <cell r="E3818" t="str">
            <v>Jose R. Martinez Memorial National High School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</row>
        <row r="3819">
          <cell r="D3819">
            <v>302827</v>
          </cell>
          <cell r="E3819" t="str">
            <v>Campao Oriental High School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</row>
        <row r="3820">
          <cell r="D3820">
            <v>303099</v>
          </cell>
          <cell r="E3820" t="str">
            <v>Oslob NHS</v>
          </cell>
          <cell r="F3820">
            <v>171</v>
          </cell>
          <cell r="G3820">
            <v>163</v>
          </cell>
          <cell r="H3820">
            <v>334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</row>
        <row r="3821">
          <cell r="D3821">
            <v>312312</v>
          </cell>
          <cell r="E3821" t="str">
            <v>Panghagban HS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</row>
        <row r="3822">
          <cell r="D3822">
            <v>302836</v>
          </cell>
          <cell r="E3822" t="str">
            <v>Clarin National School of Fisheries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</row>
        <row r="3823">
          <cell r="D3823">
            <v>302808</v>
          </cell>
          <cell r="E3823" t="str">
            <v>Aguining National High School</v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</row>
        <row r="3824">
          <cell r="D3824">
            <v>500218</v>
          </cell>
          <cell r="E3824" t="str">
            <v>Naga Special Education Center Elementary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</row>
        <row r="3825">
          <cell r="D3825">
            <v>312328</v>
          </cell>
          <cell r="E3825" t="str">
            <v>Sebastian A. Jala Memorial High School</v>
          </cell>
          <cell r="F3825">
            <v>18</v>
          </cell>
          <cell r="G3825">
            <v>0</v>
          </cell>
          <cell r="H3825">
            <v>18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</row>
        <row r="3826">
          <cell r="D3826">
            <v>303121</v>
          </cell>
          <cell r="E3826" t="str">
            <v>Uling National High School</v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</row>
        <row r="3827">
          <cell r="D3827">
            <v>302816</v>
          </cell>
          <cell r="E3827" t="str">
            <v>Biabas Trade High School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</row>
        <row r="3828">
          <cell r="D3828">
            <v>302857</v>
          </cell>
          <cell r="E3828" t="str">
            <v>Hingotanan NHS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</row>
        <row r="3829">
          <cell r="D3829">
            <v>302881</v>
          </cell>
          <cell r="E3829" t="str">
            <v>Pagnitoan National High School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</row>
        <row r="3830">
          <cell r="D3830">
            <v>312309</v>
          </cell>
          <cell r="E3830" t="str">
            <v>JAPeR Memorial High School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</row>
        <row r="3831">
          <cell r="D3831">
            <v>303001</v>
          </cell>
          <cell r="E3831" t="str">
            <v>Dapdap NHS, San Remigio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</row>
        <row r="3832">
          <cell r="D3832">
            <v>302814</v>
          </cell>
          <cell r="E3832" t="str">
            <v>Zosimo A. Gulle Memorial National High School</v>
          </cell>
          <cell r="F3832">
            <v>0</v>
          </cell>
          <cell r="G3832">
            <v>0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</row>
        <row r="3833">
          <cell r="D3833">
            <v>303287</v>
          </cell>
          <cell r="E3833" t="str">
            <v>Lourdes L. del Prado MNHS (Pal-ew)</v>
          </cell>
          <cell r="F3833">
            <v>0</v>
          </cell>
          <cell r="G3833">
            <v>0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</row>
        <row r="3834">
          <cell r="D3834">
            <v>302832</v>
          </cell>
          <cell r="E3834" t="str">
            <v>Canhayupon NHS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</row>
        <row r="3835">
          <cell r="D3835">
            <v>303000</v>
          </cell>
          <cell r="E3835" t="str">
            <v>Mantalongon NHS</v>
          </cell>
          <cell r="F3835">
            <v>0</v>
          </cell>
          <cell r="G3835">
            <v>0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</row>
        <row r="3836">
          <cell r="D3836">
            <v>303294</v>
          </cell>
          <cell r="E3836" t="str">
            <v>Kinamandagan High School</v>
          </cell>
          <cell r="F3836">
            <v>0</v>
          </cell>
          <cell r="G3836">
            <v>0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</row>
        <row r="3837">
          <cell r="D3837">
            <v>302888</v>
          </cell>
          <cell r="E3837" t="str">
            <v>Eugenio V. Amores MHS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</row>
        <row r="3838">
          <cell r="D3838">
            <v>302906</v>
          </cell>
          <cell r="E3838" t="str">
            <v>Sikatuna NHS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</row>
        <row r="3839">
          <cell r="D3839">
            <v>303049</v>
          </cell>
          <cell r="E3839" t="str">
            <v>Magsico NHS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</row>
        <row r="3840">
          <cell r="D3840">
            <v>303036</v>
          </cell>
          <cell r="E3840" t="str">
            <v>Lawaan National High School</v>
          </cell>
          <cell r="F3840">
            <v>30</v>
          </cell>
          <cell r="G3840">
            <v>43</v>
          </cell>
          <cell r="H3840">
            <v>73</v>
          </cell>
          <cell r="I3840">
            <v>24</v>
          </cell>
          <cell r="J3840">
            <v>30</v>
          </cell>
          <cell r="K3840">
            <v>54</v>
          </cell>
          <cell r="L3840">
            <v>28</v>
          </cell>
          <cell r="M3840">
            <v>33</v>
          </cell>
          <cell r="N3840">
            <v>61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</row>
        <row r="3841">
          <cell r="D3841">
            <v>303124</v>
          </cell>
          <cell r="E3841" t="str">
            <v>Calagasan National High School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</row>
        <row r="3842">
          <cell r="D3842">
            <v>302943</v>
          </cell>
          <cell r="E3842" t="str">
            <v>El Pardo NHS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</row>
        <row r="3843">
          <cell r="D3843">
            <v>312454</v>
          </cell>
          <cell r="E3843" t="str">
            <v>Tan-awan NHS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</row>
        <row r="3844">
          <cell r="D3844">
            <v>302999</v>
          </cell>
          <cell r="E3844" t="str">
            <v>Manlapay National High School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</row>
        <row r="3845">
          <cell r="D3845">
            <v>302986</v>
          </cell>
          <cell r="E3845" t="str">
            <v>Mandilikit NHS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</row>
        <row r="3846">
          <cell r="D3846">
            <v>302898</v>
          </cell>
          <cell r="E3846" t="str">
            <v>Bugang National High School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</row>
        <row r="3847">
          <cell r="D3847">
            <v>302878</v>
          </cell>
          <cell r="E3847" t="str">
            <v>Mayuga NHS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</row>
        <row r="3848">
          <cell r="D3848">
            <v>312426</v>
          </cell>
          <cell r="E3848" t="str">
            <v>Cañang-Marcelo Luna NHS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</row>
        <row r="3849">
          <cell r="D3849">
            <v>500661</v>
          </cell>
          <cell r="E3849" t="str">
            <v>Cansaloay Integrated School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</row>
        <row r="3850">
          <cell r="D3850">
            <v>302935</v>
          </cell>
          <cell r="E3850" t="str">
            <v>La Paz NHS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</row>
        <row r="3851">
          <cell r="D3851">
            <v>302818</v>
          </cell>
          <cell r="E3851" t="str">
            <v>Bilar NHS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</row>
        <row r="3852">
          <cell r="D3852">
            <v>500650</v>
          </cell>
          <cell r="E3852" t="str">
            <v>Pasol-Pugalo Integrated School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</row>
        <row r="3853">
          <cell r="D3853">
            <v>500231</v>
          </cell>
          <cell r="E3853" t="str">
            <v>SIBUGAY HS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</row>
        <row r="3854">
          <cell r="D3854">
            <v>302953</v>
          </cell>
          <cell r="E3854" t="str">
            <v>Bulasa NHS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</row>
        <row r="3855">
          <cell r="D3855">
            <v>303098</v>
          </cell>
          <cell r="E3855" t="str">
            <v>Santander NHS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</row>
        <row r="3856">
          <cell r="D3856">
            <v>303089</v>
          </cell>
          <cell r="E3856" t="str">
            <v>San Sebastian NHS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</row>
        <row r="3857">
          <cell r="D3857">
            <v>302942</v>
          </cell>
          <cell r="E3857" t="str">
            <v>Boljoon National High School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</row>
        <row r="3858">
          <cell r="D3858">
            <v>302917</v>
          </cell>
          <cell r="E3858" t="str">
            <v>Alcoy National High School</v>
          </cell>
          <cell r="F3858">
            <v>150</v>
          </cell>
          <cell r="G3858">
            <v>107</v>
          </cell>
          <cell r="H3858">
            <v>257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</row>
        <row r="3859">
          <cell r="D3859">
            <v>312460</v>
          </cell>
          <cell r="E3859" t="str">
            <v>Montpeller NHS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</row>
        <row r="3860">
          <cell r="D3860">
            <v>312411</v>
          </cell>
          <cell r="E3860" t="str">
            <v>Caleriohan National High School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</row>
        <row r="3861">
          <cell r="D3861">
            <v>312425</v>
          </cell>
          <cell r="E3861" t="str">
            <v>Pedro B. Uy Calderon Memorial National High School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</row>
        <row r="3862">
          <cell r="D3862">
            <v>303078</v>
          </cell>
          <cell r="E3862" t="str">
            <v>Lut-od NHS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</row>
        <row r="3863">
          <cell r="D3863">
            <v>302838</v>
          </cell>
          <cell r="E3863" t="str">
            <v>Cong. Pablo Malasarte NHS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</row>
        <row r="3864">
          <cell r="D3864">
            <v>500211</v>
          </cell>
          <cell r="E3864" t="str">
            <v>San Roque Integrated School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</row>
        <row r="3865">
          <cell r="D3865">
            <v>312412</v>
          </cell>
          <cell r="E3865" t="str">
            <v>Pinamungajan NHS - Night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</row>
        <row r="3866">
          <cell r="D3866">
            <v>303076</v>
          </cell>
          <cell r="E3866" t="str">
            <v>Anopog NHS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</row>
        <row r="3867">
          <cell r="D3867">
            <v>303033</v>
          </cell>
          <cell r="E3867" t="str">
            <v>Langin NHS</v>
          </cell>
          <cell r="F3867">
            <v>45</v>
          </cell>
          <cell r="G3867">
            <v>43</v>
          </cell>
          <cell r="H3867">
            <v>88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</row>
        <row r="3868">
          <cell r="D3868">
            <v>302944</v>
          </cell>
          <cell r="E3868" t="str">
            <v>LUNOP NATIONAL HIGH SCHOOL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</row>
        <row r="3869">
          <cell r="D3869">
            <v>302998</v>
          </cell>
          <cell r="E3869" t="str">
            <v>Caliongan National High School</v>
          </cell>
          <cell r="F3869">
            <v>23</v>
          </cell>
          <cell r="G3869">
            <v>23</v>
          </cell>
          <cell r="H3869">
            <v>46</v>
          </cell>
          <cell r="I3869">
            <v>1</v>
          </cell>
          <cell r="J3869">
            <v>2</v>
          </cell>
          <cell r="K3869">
            <v>3</v>
          </cell>
          <cell r="L3869">
            <v>1</v>
          </cell>
          <cell r="M3869">
            <v>3</v>
          </cell>
          <cell r="N3869">
            <v>4</v>
          </cell>
          <cell r="O3869">
            <v>1</v>
          </cell>
          <cell r="P3869">
            <v>1</v>
          </cell>
          <cell r="Q3869">
            <v>2</v>
          </cell>
          <cell r="R3869">
            <v>1</v>
          </cell>
          <cell r="S3869">
            <v>1</v>
          </cell>
          <cell r="T3869">
            <v>2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</row>
        <row r="3870">
          <cell r="D3870">
            <v>303116</v>
          </cell>
          <cell r="E3870" t="str">
            <v>Tubod National High School</v>
          </cell>
          <cell r="F3870">
            <v>0</v>
          </cell>
          <cell r="G3870">
            <v>0</v>
          </cell>
          <cell r="H3870">
            <v>0</v>
          </cell>
          <cell r="I3870">
            <v>1</v>
          </cell>
          <cell r="J3870">
            <v>1</v>
          </cell>
          <cell r="K3870">
            <v>2</v>
          </cell>
          <cell r="L3870">
            <v>1</v>
          </cell>
          <cell r="M3870">
            <v>1</v>
          </cell>
          <cell r="N3870">
            <v>2</v>
          </cell>
          <cell r="O3870">
            <v>1</v>
          </cell>
          <cell r="P3870">
            <v>1</v>
          </cell>
          <cell r="Q3870">
            <v>2</v>
          </cell>
          <cell r="R3870">
            <v>1</v>
          </cell>
          <cell r="S3870">
            <v>1</v>
          </cell>
          <cell r="T3870">
            <v>2</v>
          </cell>
          <cell r="U3870">
            <v>2</v>
          </cell>
          <cell r="V3870">
            <v>2</v>
          </cell>
          <cell r="W3870">
            <v>4</v>
          </cell>
          <cell r="X3870">
            <v>1</v>
          </cell>
          <cell r="Y3870">
            <v>1</v>
          </cell>
          <cell r="Z3870">
            <v>2</v>
          </cell>
        </row>
        <row r="3871">
          <cell r="D3871">
            <v>302997</v>
          </cell>
          <cell r="E3871" t="str">
            <v>Dalaguete National High School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</row>
        <row r="3872">
          <cell r="D3872">
            <v>312403</v>
          </cell>
          <cell r="E3872" t="str">
            <v>Hipolito Boquecosa Memorial NHS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</row>
        <row r="3873">
          <cell r="D3873">
            <v>303150</v>
          </cell>
          <cell r="E3873" t="str">
            <v>Don Sergio OsmeÂ¤a, Sr. Memorial HS (Day &amp; Night)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</row>
        <row r="3874">
          <cell r="D3874">
            <v>303075</v>
          </cell>
          <cell r="E3874" t="str">
            <v>Pinamungajan NHS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</row>
        <row r="3875">
          <cell r="D3875">
            <v>302972</v>
          </cell>
          <cell r="E3875" t="str">
            <v>Carcar Central National High School (Pob. Night)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</row>
        <row r="3876">
          <cell r="D3876">
            <v>303231</v>
          </cell>
          <cell r="E3876" t="str">
            <v>Guihulngan NHS - Poblacion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</row>
        <row r="3877">
          <cell r="D3877">
            <v>500663</v>
          </cell>
          <cell r="E3877" t="str">
            <v>Lantawan IS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</row>
        <row r="3878">
          <cell r="D3878">
            <v>302914</v>
          </cell>
          <cell r="E3878" t="str">
            <v>Union National High School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</row>
        <row r="3879">
          <cell r="D3879">
            <v>303082</v>
          </cell>
          <cell r="E3879" t="str">
            <v>ROBERTO E. SATO MEMORIAL NATIONAL HIGH SCHOOL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</row>
        <row r="3880">
          <cell r="D3880">
            <v>302981</v>
          </cell>
          <cell r="E3880" t="str">
            <v>Cawayan NHS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</row>
        <row r="3881">
          <cell r="D3881">
            <v>303077</v>
          </cell>
          <cell r="E3881" t="str">
            <v>Anislag NHS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</row>
        <row r="3882">
          <cell r="D3882">
            <v>302945</v>
          </cell>
          <cell r="E3882" t="str">
            <v>Buanoy National High School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</row>
        <row r="3883">
          <cell r="D3883">
            <v>303157</v>
          </cell>
          <cell r="E3883" t="str">
            <v>Guba NHS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</row>
        <row r="3884">
          <cell r="D3884">
            <v>312336</v>
          </cell>
          <cell r="E3884" t="str">
            <v>Lungsodaan High School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</row>
        <row r="3885">
          <cell r="D3885">
            <v>303093</v>
          </cell>
          <cell r="E3885" t="str">
            <v>Sangat NHS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</row>
        <row r="3886">
          <cell r="D3886">
            <v>303017</v>
          </cell>
          <cell r="E3886" t="str">
            <v>Guindaruhan National High School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</row>
        <row r="3887">
          <cell r="D3887">
            <v>303058</v>
          </cell>
          <cell r="E3887" t="str">
            <v>Sorsogon NHS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</row>
        <row r="3888">
          <cell r="D3888">
            <v>312305</v>
          </cell>
          <cell r="E3888" t="str">
            <v>Kinan-oan HS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</row>
        <row r="3889">
          <cell r="D3889">
            <v>302927</v>
          </cell>
          <cell r="E3889" t="str">
            <v>Moalboal NHS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</row>
        <row r="3890">
          <cell r="D3890">
            <v>302918</v>
          </cell>
          <cell r="E3890" t="str">
            <v>Nug-as NHS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</row>
        <row r="3891">
          <cell r="D3891">
            <v>302949</v>
          </cell>
          <cell r="E3891" t="str">
            <v>Nangka National High School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</row>
        <row r="3892">
          <cell r="D3892">
            <v>303060</v>
          </cell>
          <cell r="E3892" t="str">
            <v>Putat NHS</v>
          </cell>
          <cell r="F3892">
            <v>33</v>
          </cell>
          <cell r="G3892">
            <v>35</v>
          </cell>
          <cell r="H3892">
            <v>68</v>
          </cell>
          <cell r="I3892">
            <v>17</v>
          </cell>
          <cell r="J3892">
            <v>19</v>
          </cell>
          <cell r="K3892">
            <v>36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</row>
        <row r="3893">
          <cell r="D3893">
            <v>500408</v>
          </cell>
          <cell r="E3893" t="str">
            <v>Don Celestino Martinez Sr. Taytayan IS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</row>
        <row r="3894">
          <cell r="D3894">
            <v>312420</v>
          </cell>
          <cell r="E3894" t="str">
            <v>Hilantagaan NHS Ext.</v>
          </cell>
          <cell r="F3894">
            <v>83</v>
          </cell>
          <cell r="G3894">
            <v>82</v>
          </cell>
          <cell r="H3894">
            <v>165</v>
          </cell>
          <cell r="I3894">
            <v>25</v>
          </cell>
          <cell r="J3894">
            <v>18</v>
          </cell>
          <cell r="K3894">
            <v>43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15</v>
          </cell>
          <cell r="V3894">
            <v>9</v>
          </cell>
          <cell r="W3894">
            <v>24</v>
          </cell>
          <cell r="X3894">
            <v>10</v>
          </cell>
          <cell r="Y3894">
            <v>9</v>
          </cell>
          <cell r="Z3894">
            <v>19</v>
          </cell>
        </row>
        <row r="3895">
          <cell r="D3895">
            <v>303068</v>
          </cell>
          <cell r="E3895" t="str">
            <v>Patupat NHS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</row>
        <row r="3896">
          <cell r="D3896">
            <v>303117</v>
          </cell>
          <cell r="E3896" t="str">
            <v>Tubod NHS (San Fernando)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</row>
        <row r="3897">
          <cell r="D3897">
            <v>302870</v>
          </cell>
          <cell r="E3897" t="str">
            <v>Lonoy Heroes MHS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</row>
        <row r="3898">
          <cell r="D3898">
            <v>302822</v>
          </cell>
          <cell r="E3898" t="str">
            <v>Tubigon West NHS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</row>
        <row r="3899">
          <cell r="D3899">
            <v>500670</v>
          </cell>
          <cell r="E3899" t="str">
            <v>Toong ES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</row>
        <row r="3900">
          <cell r="D3900">
            <v>303050</v>
          </cell>
          <cell r="E3900" t="str">
            <v>Malolos NHS</v>
          </cell>
          <cell r="F3900">
            <v>75</v>
          </cell>
          <cell r="G3900">
            <v>44</v>
          </cell>
          <cell r="H3900">
            <v>119</v>
          </cell>
          <cell r="I3900">
            <v>23</v>
          </cell>
          <cell r="J3900">
            <v>15</v>
          </cell>
          <cell r="K3900">
            <v>38</v>
          </cell>
          <cell r="L3900">
            <v>45</v>
          </cell>
          <cell r="M3900">
            <v>24</v>
          </cell>
          <cell r="N3900">
            <v>69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D3901">
            <v>500213</v>
          </cell>
          <cell r="E3901" t="str">
            <v>Cabanugan Elementary School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</row>
        <row r="3902">
          <cell r="D3902">
            <v>312470</v>
          </cell>
          <cell r="E3902" t="str">
            <v>Lamak National High School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</row>
        <row r="3903">
          <cell r="D3903">
            <v>303087</v>
          </cell>
          <cell r="E3903" t="str">
            <v>San Remegio NHS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</row>
        <row r="3904">
          <cell r="D3904">
            <v>302849</v>
          </cell>
          <cell r="E3904" t="str">
            <v>Faraon NHS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</row>
        <row r="3905">
          <cell r="D3905">
            <v>303297</v>
          </cell>
          <cell r="E3905" t="str">
            <v>Enrique Villanueva National High School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</row>
        <row r="3906">
          <cell r="D3906">
            <v>303007</v>
          </cell>
          <cell r="E3906" t="str">
            <v>Doong National High School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</row>
        <row r="3907">
          <cell r="D3907">
            <v>500671</v>
          </cell>
          <cell r="E3907" t="str">
            <v>Liki Integrated School</v>
          </cell>
          <cell r="F3907">
            <v>15</v>
          </cell>
          <cell r="G3907">
            <v>15</v>
          </cell>
          <cell r="H3907">
            <v>30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</row>
        <row r="3908">
          <cell r="D3908">
            <v>302830</v>
          </cell>
          <cell r="E3908" t="str">
            <v>Cangawa NHS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</row>
        <row r="3909">
          <cell r="D3909">
            <v>312404</v>
          </cell>
          <cell r="E3909" t="str">
            <v>Jose Chona Jo Memorial  National High School</v>
          </cell>
          <cell r="F3909">
            <v>99</v>
          </cell>
          <cell r="G3909">
            <v>115</v>
          </cell>
          <cell r="H3909">
            <v>214</v>
          </cell>
          <cell r="I3909">
            <v>70</v>
          </cell>
          <cell r="J3909">
            <v>71</v>
          </cell>
          <cell r="K3909">
            <v>141</v>
          </cell>
          <cell r="L3909">
            <v>70</v>
          </cell>
          <cell r="M3909">
            <v>71</v>
          </cell>
          <cell r="N3909">
            <v>141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</row>
        <row r="3910">
          <cell r="D3910">
            <v>302946</v>
          </cell>
          <cell r="E3910" t="str">
            <v>Cabagdalan National High School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</row>
        <row r="3911">
          <cell r="D3911">
            <v>303048</v>
          </cell>
          <cell r="E3911" t="str">
            <v>San Agustin NHS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D3912">
            <v>500665</v>
          </cell>
          <cell r="E3912" t="str">
            <v>Tambongon IS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</row>
        <row r="3913">
          <cell r="D3913">
            <v>302920</v>
          </cell>
          <cell r="E3913" t="str">
            <v>Angilan NHS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</row>
        <row r="3914">
          <cell r="D3914">
            <v>303052</v>
          </cell>
          <cell r="E3914" t="str">
            <v>Mantalongon NHS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</row>
        <row r="3915">
          <cell r="D3915">
            <v>303042</v>
          </cell>
          <cell r="E3915" t="str">
            <v>Lipata NHS</v>
          </cell>
          <cell r="F3915">
            <v>92</v>
          </cell>
          <cell r="G3915">
            <v>88</v>
          </cell>
          <cell r="H3915">
            <v>180</v>
          </cell>
          <cell r="I3915">
            <v>40</v>
          </cell>
          <cell r="J3915">
            <v>28</v>
          </cell>
          <cell r="K3915">
            <v>68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</row>
        <row r="3916">
          <cell r="D3916">
            <v>302919</v>
          </cell>
          <cell r="E3916" t="str">
            <v>Aloguinsan NHS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</row>
        <row r="3917">
          <cell r="D3917">
            <v>302813</v>
          </cell>
          <cell r="E3917" t="str">
            <v>Anda HS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</row>
        <row r="3918">
          <cell r="D3918">
            <v>303071</v>
          </cell>
          <cell r="E3918" t="str">
            <v>Cagay NHS</v>
          </cell>
          <cell r="F3918">
            <v>45</v>
          </cell>
          <cell r="G3918">
            <v>19</v>
          </cell>
          <cell r="H3918">
            <v>64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</row>
        <row r="3919">
          <cell r="D3919">
            <v>303044</v>
          </cell>
          <cell r="E3919" t="str">
            <v>Looc Norte NHS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D3920">
            <v>303070</v>
          </cell>
          <cell r="E3920" t="str">
            <v>Guibuangan NHS</v>
          </cell>
          <cell r="F3920">
            <v>31</v>
          </cell>
          <cell r="G3920">
            <v>20</v>
          </cell>
          <cell r="H3920">
            <v>51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13</v>
          </cell>
          <cell r="Y3920">
            <v>6</v>
          </cell>
          <cell r="Z3920">
            <v>19</v>
          </cell>
        </row>
        <row r="3921">
          <cell r="D3921">
            <v>312353</v>
          </cell>
          <cell r="E3921" t="str">
            <v>Campamanog HS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D3922">
            <v>303012</v>
          </cell>
          <cell r="E3922" t="str">
            <v>Giloctog National High School</v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</row>
        <row r="3923">
          <cell r="D3923">
            <v>303013</v>
          </cell>
          <cell r="E3923" t="str">
            <v>TEOTIMO A. ABELLANA SR. MEMORIAL NATIONAL HIGH SCHOOL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</row>
        <row r="3924">
          <cell r="D3924">
            <v>312329</v>
          </cell>
          <cell r="E3924" t="str">
            <v>Bugsoc High School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</row>
        <row r="3925">
          <cell r="D3925">
            <v>302950</v>
          </cell>
          <cell r="E3925" t="str">
            <v>BUANOY NHS-EVENING OPPORTUNITY CLASS</v>
          </cell>
          <cell r="F3925">
            <v>0</v>
          </cell>
          <cell r="G3925">
            <v>0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</row>
        <row r="3926">
          <cell r="D3926">
            <v>312409</v>
          </cell>
          <cell r="E3926" t="str">
            <v>Patao NHS</v>
          </cell>
          <cell r="F3926">
            <v>0</v>
          </cell>
          <cell r="G3926">
            <v>0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</row>
        <row r="3927">
          <cell r="D3927">
            <v>303045</v>
          </cell>
          <cell r="E3927" t="str">
            <v>Federico &amp; Soledad Villaflor  MNHS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30</v>
          </cell>
          <cell r="Y3927">
            <v>30</v>
          </cell>
          <cell r="Z3927">
            <v>60</v>
          </cell>
        </row>
        <row r="3928">
          <cell r="D3928">
            <v>312422</v>
          </cell>
          <cell r="E3928" t="str">
            <v>Mabunao NHS-Juan Pamplona Ext.</v>
          </cell>
          <cell r="F3928">
            <v>0</v>
          </cell>
          <cell r="G3928">
            <v>0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</row>
        <row r="3929">
          <cell r="D3929">
            <v>500210</v>
          </cell>
          <cell r="E3929" t="str">
            <v>CATABAN INTEGRATED SCHOOL</v>
          </cell>
          <cell r="F3929">
            <v>0</v>
          </cell>
          <cell r="G3929">
            <v>0</v>
          </cell>
          <cell r="H3929">
            <v>0</v>
          </cell>
          <cell r="I3929">
            <v>12</v>
          </cell>
          <cell r="J3929">
            <v>0</v>
          </cell>
          <cell r="K3929">
            <v>12</v>
          </cell>
          <cell r="L3929">
            <v>20</v>
          </cell>
          <cell r="M3929">
            <v>0</v>
          </cell>
          <cell r="N3929">
            <v>20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</row>
        <row r="3930">
          <cell r="D3930">
            <v>312462</v>
          </cell>
          <cell r="E3930" t="str">
            <v>Mahanlud NHS</v>
          </cell>
          <cell r="F3930">
            <v>20</v>
          </cell>
          <cell r="G3930">
            <v>14</v>
          </cell>
          <cell r="H3930">
            <v>34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</row>
        <row r="3931">
          <cell r="D3931">
            <v>500657</v>
          </cell>
          <cell r="E3931" t="str">
            <v>Palanas Integrated School</v>
          </cell>
          <cell r="F3931">
            <v>0</v>
          </cell>
          <cell r="G3931">
            <v>0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</row>
        <row r="3932">
          <cell r="D3932">
            <v>303094</v>
          </cell>
          <cell r="E3932" t="str">
            <v>Santa Fe National High School</v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</row>
        <row r="3933">
          <cell r="D3933">
            <v>303059</v>
          </cell>
          <cell r="E3933" t="str">
            <v>Montealegre NHS</v>
          </cell>
          <cell r="F3933">
            <v>0</v>
          </cell>
          <cell r="G3933">
            <v>0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</row>
        <row r="3934">
          <cell r="D3934">
            <v>303057</v>
          </cell>
          <cell r="E3934" t="str">
            <v>MontaÃ±eza NHS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</row>
        <row r="3935">
          <cell r="D3935">
            <v>312405</v>
          </cell>
          <cell r="E3935" t="str">
            <v>Bartolome C.Pianar MNHS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</row>
        <row r="3936">
          <cell r="D3936">
            <v>302933</v>
          </cell>
          <cell r="E3936" t="str">
            <v>Don Potenciano Catarata MNHS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</row>
        <row r="3937">
          <cell r="D3937">
            <v>303061</v>
          </cell>
          <cell r="E3937" t="str">
            <v>Tuburan National High School</v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</row>
        <row r="3938">
          <cell r="D3938">
            <v>302828</v>
          </cell>
          <cell r="E3938" t="str">
            <v>Handumon NHS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</row>
        <row r="3939">
          <cell r="D3939">
            <v>302826</v>
          </cell>
          <cell r="E3939" t="str">
            <v>Camaya-an NHS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</row>
        <row r="3940">
          <cell r="D3940">
            <v>303096</v>
          </cell>
          <cell r="E3940" t="str">
            <v>Madridejos NHS (Alegria)</v>
          </cell>
          <cell r="F3940">
            <v>0</v>
          </cell>
          <cell r="G3940">
            <v>0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</row>
        <row r="3941">
          <cell r="D3941">
            <v>302809</v>
          </cell>
          <cell r="E3941" t="str">
            <v>Alicia Technical-Voc'l HS</v>
          </cell>
          <cell r="F3941">
            <v>0</v>
          </cell>
          <cell r="G3941">
            <v>0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</row>
        <row r="3942">
          <cell r="D3942">
            <v>302951</v>
          </cell>
          <cell r="E3942" t="str">
            <v>Bulak NHS</v>
          </cell>
          <cell r="F3942">
            <v>0</v>
          </cell>
          <cell r="G3942">
            <v>0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</row>
        <row r="3943">
          <cell r="D3943">
            <v>302930</v>
          </cell>
          <cell r="E3943" t="str">
            <v>Eduardo T. Oporto Memorial  National High School</v>
          </cell>
          <cell r="F3943">
            <v>36</v>
          </cell>
          <cell r="G3943">
            <v>29</v>
          </cell>
          <cell r="H3943">
            <v>65</v>
          </cell>
          <cell r="I3943">
            <v>0</v>
          </cell>
          <cell r="J3943">
            <v>4</v>
          </cell>
          <cell r="K3943">
            <v>4</v>
          </cell>
          <cell r="L3943">
            <v>0</v>
          </cell>
          <cell r="M3943">
            <v>5</v>
          </cell>
          <cell r="N3943">
            <v>5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</row>
        <row r="3944">
          <cell r="D3944">
            <v>312327</v>
          </cell>
          <cell r="E3944" t="str">
            <v>Candungao High School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</row>
        <row r="3945">
          <cell r="D3945">
            <v>302894</v>
          </cell>
          <cell r="E3945" t="str">
            <v>Calituban HS</v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</row>
        <row r="3946">
          <cell r="D3946">
            <v>500407</v>
          </cell>
          <cell r="E3946" t="str">
            <v>City of Bogo Science and Arts Academy</v>
          </cell>
          <cell r="F3946">
            <v>23</v>
          </cell>
          <cell r="G3946">
            <v>25</v>
          </cell>
          <cell r="H3946">
            <v>48</v>
          </cell>
          <cell r="I3946">
            <v>18</v>
          </cell>
          <cell r="J3946">
            <v>15</v>
          </cell>
          <cell r="K3946">
            <v>33</v>
          </cell>
          <cell r="L3946">
            <v>14</v>
          </cell>
          <cell r="M3946">
            <v>21</v>
          </cell>
          <cell r="N3946">
            <v>35</v>
          </cell>
          <cell r="O3946">
            <v>22</v>
          </cell>
          <cell r="P3946">
            <v>18</v>
          </cell>
          <cell r="Q3946">
            <v>40</v>
          </cell>
          <cell r="R3946">
            <v>20</v>
          </cell>
          <cell r="S3946">
            <v>14</v>
          </cell>
          <cell r="T3946">
            <v>34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</row>
        <row r="3947">
          <cell r="D3947">
            <v>303016</v>
          </cell>
          <cell r="E3947" t="str">
            <v>Maximino Noel Memorial National High School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</row>
        <row r="3948">
          <cell r="D3948">
            <v>302811</v>
          </cell>
          <cell r="E3948" t="str">
            <v>Baclayon National High School</v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</row>
        <row r="3949">
          <cell r="D3949">
            <v>500422</v>
          </cell>
          <cell r="E3949" t="str">
            <v>Sulangan IS</v>
          </cell>
          <cell r="F3949">
            <v>0</v>
          </cell>
          <cell r="G3949">
            <v>0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</row>
        <row r="3950">
          <cell r="D3950">
            <v>302937</v>
          </cell>
          <cell r="E3950" t="str">
            <v>Odlot NHS</v>
          </cell>
          <cell r="F3950">
            <v>35</v>
          </cell>
          <cell r="G3950">
            <v>37</v>
          </cell>
          <cell r="H3950">
            <v>72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</row>
        <row r="3951">
          <cell r="D3951">
            <v>312356</v>
          </cell>
          <cell r="E3951" t="str">
            <v>Bangwalog HS</v>
          </cell>
          <cell r="F3951">
            <v>0</v>
          </cell>
          <cell r="G3951">
            <v>0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</row>
        <row r="3952">
          <cell r="D3952">
            <v>302815</v>
          </cell>
          <cell r="E3952" t="str">
            <v>Batuan NHS</v>
          </cell>
          <cell r="F3952">
            <v>0</v>
          </cell>
          <cell r="G3952">
            <v>0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</row>
        <row r="3953">
          <cell r="D3953">
            <v>302840</v>
          </cell>
          <cell r="E3953" t="str">
            <v>Dagohoy NHS</v>
          </cell>
          <cell r="F3953">
            <v>0</v>
          </cell>
          <cell r="G3953">
            <v>0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</row>
        <row r="3954">
          <cell r="D3954">
            <v>302926</v>
          </cell>
          <cell r="E3954" t="str">
            <v>Busay  National High School</v>
          </cell>
          <cell r="F3954">
            <v>0</v>
          </cell>
          <cell r="G3954">
            <v>0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</row>
        <row r="3955">
          <cell r="D3955">
            <v>312413</v>
          </cell>
          <cell r="E3955" t="str">
            <v>Pungtod NHS</v>
          </cell>
          <cell r="F3955">
            <v>0</v>
          </cell>
          <cell r="G3955">
            <v>0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</row>
        <row r="3956">
          <cell r="D3956">
            <v>303051</v>
          </cell>
          <cell r="E3956" t="str">
            <v>Mangyan NHS</v>
          </cell>
          <cell r="F3956">
            <v>0</v>
          </cell>
          <cell r="G3956">
            <v>0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</row>
        <row r="3957">
          <cell r="D3957">
            <v>500667</v>
          </cell>
          <cell r="E3957" t="str">
            <v>Marikaban Integrated School</v>
          </cell>
          <cell r="F3957">
            <v>0</v>
          </cell>
          <cell r="G3957">
            <v>29</v>
          </cell>
          <cell r="H3957">
            <v>29</v>
          </cell>
          <cell r="I3957">
            <v>0</v>
          </cell>
          <cell r="J3957">
            <v>16</v>
          </cell>
          <cell r="K3957">
            <v>16</v>
          </cell>
          <cell r="L3957">
            <v>0</v>
          </cell>
          <cell r="M3957">
            <v>16</v>
          </cell>
          <cell r="N3957">
            <v>16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</row>
        <row r="3958">
          <cell r="D3958">
            <v>303041</v>
          </cell>
          <cell r="E3958" t="str">
            <v>Libaong National High School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</row>
        <row r="3959">
          <cell r="D3959">
            <v>302859</v>
          </cell>
          <cell r="E3959" t="str">
            <v>Southern Inabanga HS</v>
          </cell>
          <cell r="F3959">
            <v>0</v>
          </cell>
          <cell r="G3959">
            <v>0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2</v>
          </cell>
          <cell r="Z3959">
            <v>2</v>
          </cell>
        </row>
        <row r="3960">
          <cell r="D3960">
            <v>302882</v>
          </cell>
          <cell r="E3960" t="str">
            <v>Pangangan National High School</v>
          </cell>
          <cell r="F3960">
            <v>0</v>
          </cell>
          <cell r="G3960">
            <v>0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</row>
        <row r="3961">
          <cell r="D3961">
            <v>302851</v>
          </cell>
          <cell r="E3961" t="str">
            <v>Fermin Tayabas NHS</v>
          </cell>
          <cell r="F3961">
            <v>0</v>
          </cell>
          <cell r="G3961">
            <v>0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</row>
        <row r="3962">
          <cell r="D3962">
            <v>302925</v>
          </cell>
          <cell r="E3962" t="str">
            <v>Bala NHS</v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</row>
        <row r="3963">
          <cell r="D3963">
            <v>303067</v>
          </cell>
          <cell r="E3963" t="str">
            <v>Teodoro dela Vega Memorial National High School</v>
          </cell>
          <cell r="F3963">
            <v>0</v>
          </cell>
          <cell r="G3963">
            <v>0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</row>
        <row r="3964">
          <cell r="D3964">
            <v>500219</v>
          </cell>
          <cell r="E3964" t="str">
            <v>Argawanon Integrated School</v>
          </cell>
          <cell r="F3964">
            <v>0</v>
          </cell>
          <cell r="G3964">
            <v>0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</row>
        <row r="3965">
          <cell r="D3965">
            <v>302969</v>
          </cell>
          <cell r="E3965" t="str">
            <v>Camp 7 NHS</v>
          </cell>
          <cell r="F3965">
            <v>0</v>
          </cell>
          <cell r="G3965">
            <v>0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</row>
        <row r="3966">
          <cell r="D3966">
            <v>303018</v>
          </cell>
          <cell r="E3966" t="str">
            <v>Guiwanon NHS</v>
          </cell>
          <cell r="F3966">
            <v>80</v>
          </cell>
          <cell r="G3966">
            <v>86</v>
          </cell>
          <cell r="H3966">
            <v>166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</row>
        <row r="3967">
          <cell r="D3967">
            <v>303300</v>
          </cell>
          <cell r="E3967" t="str">
            <v>Tambisan National High School</v>
          </cell>
          <cell r="F3967">
            <v>0</v>
          </cell>
          <cell r="G3967">
            <v>0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</row>
        <row r="3968">
          <cell r="D3968">
            <v>500217</v>
          </cell>
          <cell r="E3968" t="str">
            <v>Danahaw IS</v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</row>
        <row r="3969">
          <cell r="D3969">
            <v>302886</v>
          </cell>
          <cell r="E3969" t="str">
            <v>Pres. Carlos P. Garcia Technical Vocational School of Fisheries and Arts</v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</row>
        <row r="3970">
          <cell r="D3970">
            <v>303097</v>
          </cell>
          <cell r="E3970" t="str">
            <v>Santa Lucia NHS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</row>
        <row r="3971">
          <cell r="D3971">
            <v>303125</v>
          </cell>
          <cell r="E3971" t="str">
            <v>Cansuje National High School - Usmad Ext.</v>
          </cell>
          <cell r="F3971">
            <v>0</v>
          </cell>
          <cell r="G3971">
            <v>0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</row>
        <row r="3972">
          <cell r="D3972">
            <v>500421</v>
          </cell>
          <cell r="E3972" t="str">
            <v>Sillon Integrated School</v>
          </cell>
          <cell r="F3972">
            <v>104</v>
          </cell>
          <cell r="G3972">
            <v>104</v>
          </cell>
          <cell r="H3972">
            <v>208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</row>
        <row r="3973">
          <cell r="D3973">
            <v>312421</v>
          </cell>
          <cell r="E3973" t="str">
            <v>Bantayan Science High School</v>
          </cell>
          <cell r="F3973">
            <v>0</v>
          </cell>
          <cell r="G3973">
            <v>0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</row>
        <row r="3974">
          <cell r="D3974">
            <v>312431</v>
          </cell>
          <cell r="E3974" t="str">
            <v>Anonang Sur Tabaco Frasco National High School</v>
          </cell>
          <cell r="F3974">
            <v>16</v>
          </cell>
          <cell r="G3974">
            <v>26</v>
          </cell>
          <cell r="H3974">
            <v>42</v>
          </cell>
          <cell r="I3974">
            <v>0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</row>
        <row r="3975">
          <cell r="D3975">
            <v>500652</v>
          </cell>
          <cell r="E3975" t="str">
            <v>Hilotongan Integrated School</v>
          </cell>
          <cell r="F3975">
            <v>0</v>
          </cell>
          <cell r="G3975">
            <v>0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</row>
        <row r="3976">
          <cell r="D3976">
            <v>312310</v>
          </cell>
          <cell r="E3976" t="str">
            <v>Bayawahan National High School</v>
          </cell>
          <cell r="F3976">
            <v>0</v>
          </cell>
          <cell r="G3976">
            <v>0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</row>
        <row r="3977">
          <cell r="D3977">
            <v>500654</v>
          </cell>
          <cell r="E3977" t="str">
            <v>Oboob Integrated School</v>
          </cell>
          <cell r="F3977">
            <v>0</v>
          </cell>
          <cell r="G3977">
            <v>0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</row>
        <row r="3978">
          <cell r="D3978">
            <v>312452</v>
          </cell>
          <cell r="E3978" t="str">
            <v>Kansi NHS</v>
          </cell>
          <cell r="F3978">
            <v>0</v>
          </cell>
          <cell r="G3978">
            <v>0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</row>
        <row r="3979">
          <cell r="D3979">
            <v>303046</v>
          </cell>
          <cell r="E3979" t="str">
            <v>Luyang NHS</v>
          </cell>
          <cell r="F3979">
            <v>0</v>
          </cell>
          <cell r="G3979">
            <v>0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</row>
        <row r="3980">
          <cell r="D3980">
            <v>312401</v>
          </cell>
          <cell r="E3980" t="str">
            <v>BALUD NATIONAL HIGH SCHOOL</v>
          </cell>
          <cell r="F3980">
            <v>71</v>
          </cell>
          <cell r="G3980">
            <v>26</v>
          </cell>
          <cell r="H3980">
            <v>97</v>
          </cell>
          <cell r="I3980">
            <v>26</v>
          </cell>
          <cell r="J3980">
            <v>10</v>
          </cell>
          <cell r="K3980">
            <v>36</v>
          </cell>
          <cell r="L3980">
            <v>26</v>
          </cell>
          <cell r="M3980">
            <v>10</v>
          </cell>
          <cell r="N3980">
            <v>36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39</v>
          </cell>
          <cell r="V3980">
            <v>15</v>
          </cell>
          <cell r="W3980">
            <v>54</v>
          </cell>
          <cell r="X3980">
            <v>39</v>
          </cell>
          <cell r="Y3980">
            <v>15</v>
          </cell>
          <cell r="Z3980">
            <v>54</v>
          </cell>
        </row>
        <row r="3981">
          <cell r="D3981">
            <v>303030</v>
          </cell>
          <cell r="E3981" t="str">
            <v>Lambusan NHS</v>
          </cell>
          <cell r="F3981">
            <v>0</v>
          </cell>
          <cell r="G3981">
            <v>0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</row>
        <row r="3982">
          <cell r="D3982">
            <v>302909</v>
          </cell>
          <cell r="E3982" t="str">
            <v>Tabuan NHS</v>
          </cell>
          <cell r="F3982">
            <v>0</v>
          </cell>
          <cell r="G3982">
            <v>0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</row>
        <row r="3983">
          <cell r="D3983">
            <v>303034</v>
          </cell>
          <cell r="E3983" t="str">
            <v>Ronda NHS- Langin NHS Ext.</v>
          </cell>
          <cell r="F3983">
            <v>0</v>
          </cell>
          <cell r="G3983">
            <v>0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</row>
        <row r="3984">
          <cell r="D3984">
            <v>302880</v>
          </cell>
          <cell r="E3984" t="str">
            <v>Oy NHS</v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</row>
        <row r="3985">
          <cell r="D3985">
            <v>302856</v>
          </cell>
          <cell r="E3985" t="str">
            <v>Hanopol NHS</v>
          </cell>
          <cell r="F3985">
            <v>0</v>
          </cell>
          <cell r="G3985">
            <v>0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</row>
        <row r="3986">
          <cell r="D3986">
            <v>302895</v>
          </cell>
          <cell r="E3986" t="str">
            <v>President Carlos P. Garcia Memorial High School</v>
          </cell>
          <cell r="F3986">
            <v>226</v>
          </cell>
          <cell r="G3986">
            <v>64</v>
          </cell>
          <cell r="H3986">
            <v>290</v>
          </cell>
          <cell r="I3986">
            <v>105</v>
          </cell>
          <cell r="J3986">
            <v>28</v>
          </cell>
          <cell r="K3986">
            <v>133</v>
          </cell>
          <cell r="L3986">
            <v>228</v>
          </cell>
          <cell r="M3986">
            <v>47</v>
          </cell>
          <cell r="N3986">
            <v>275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</row>
        <row r="3987">
          <cell r="D3987">
            <v>312333</v>
          </cell>
          <cell r="E3987" t="str">
            <v>Tubigon West Central HS</v>
          </cell>
          <cell r="F3987">
            <v>0</v>
          </cell>
          <cell r="G3987">
            <v>0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</row>
        <row r="3988">
          <cell r="D3988">
            <v>312357</v>
          </cell>
          <cell r="E3988" t="str">
            <v>Vallehermoso HS</v>
          </cell>
          <cell r="F3988">
            <v>0</v>
          </cell>
          <cell r="G3988">
            <v>0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</row>
        <row r="3989">
          <cell r="D3989">
            <v>302847</v>
          </cell>
          <cell r="E3989" t="str">
            <v>Duero NHS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</row>
        <row r="3990">
          <cell r="D3990">
            <v>302908</v>
          </cell>
          <cell r="E3990" t="str">
            <v>Tabalong NHS</v>
          </cell>
          <cell r="F3990">
            <v>0</v>
          </cell>
          <cell r="G3990">
            <v>0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</row>
        <row r="3991">
          <cell r="D3991">
            <v>312317</v>
          </cell>
          <cell r="E3991" t="str">
            <v>Pamilacan HS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</row>
        <row r="3992">
          <cell r="D3992">
            <v>302863</v>
          </cell>
          <cell r="E3992" t="str">
            <v>La Hacienda NHS</v>
          </cell>
          <cell r="F3992">
            <v>0</v>
          </cell>
          <cell r="G3992">
            <v>0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D3993">
            <v>303015</v>
          </cell>
          <cell r="E3993" t="str">
            <v>Greenhills NHS</v>
          </cell>
          <cell r="F3993">
            <v>0</v>
          </cell>
          <cell r="G3993">
            <v>0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</row>
        <row r="3994">
          <cell r="D3994">
            <v>302839</v>
          </cell>
          <cell r="E3994" t="str">
            <v>Corella National High School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</row>
        <row r="3995">
          <cell r="D3995">
            <v>303083</v>
          </cell>
          <cell r="E3995" t="str">
            <v>Rosario NHS</v>
          </cell>
          <cell r="F3995">
            <v>82</v>
          </cell>
          <cell r="G3995">
            <v>70</v>
          </cell>
          <cell r="H3995">
            <v>152</v>
          </cell>
          <cell r="I3995">
            <v>0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</row>
        <row r="3996">
          <cell r="D3996">
            <v>302952</v>
          </cell>
          <cell r="E3996" t="str">
            <v>Tubod Dugoan NHS</v>
          </cell>
          <cell r="F3996">
            <v>50</v>
          </cell>
          <cell r="G3996">
            <v>48</v>
          </cell>
          <cell r="H3996">
            <v>98</v>
          </cell>
          <cell r="I3996">
            <v>0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</row>
        <row r="3997">
          <cell r="D3997">
            <v>312313</v>
          </cell>
          <cell r="E3997" t="str">
            <v>Mayor Catalino Y. Casoyla MHS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</row>
        <row r="3998">
          <cell r="D3998">
            <v>302872</v>
          </cell>
          <cell r="E3998" t="str">
            <v>Lourdes NHS</v>
          </cell>
          <cell r="F3998">
            <v>0</v>
          </cell>
          <cell r="G3998">
            <v>0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D3999">
            <v>500220</v>
          </cell>
          <cell r="E3999" t="str">
            <v>Anapog Integrated School</v>
          </cell>
          <cell r="F3999">
            <v>0</v>
          </cell>
          <cell r="G3999">
            <v>0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</row>
        <row r="4000">
          <cell r="D4000">
            <v>312335</v>
          </cell>
          <cell r="E4000" t="str">
            <v>Basiao High School</v>
          </cell>
          <cell r="F4000">
            <v>0</v>
          </cell>
          <cell r="G4000">
            <v>0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</row>
        <row r="4001">
          <cell r="D4001">
            <v>500207</v>
          </cell>
          <cell r="E4001" t="str">
            <v>Calatrava Elementary School</v>
          </cell>
          <cell r="F4001">
            <v>0</v>
          </cell>
          <cell r="G4001">
            <v>0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</row>
        <row r="4002">
          <cell r="D4002">
            <v>302897</v>
          </cell>
          <cell r="E4002" t="str">
            <v>San Miguel Technical Vocational School</v>
          </cell>
          <cell r="F4002">
            <v>0</v>
          </cell>
          <cell r="G4002">
            <v>0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</row>
        <row r="4003">
          <cell r="D4003">
            <v>302823</v>
          </cell>
          <cell r="E4003" t="str">
            <v>Calabacita NHS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</row>
        <row r="4004">
          <cell r="D4004">
            <v>312355</v>
          </cell>
          <cell r="E4004" t="str">
            <v>Lourdes High School</v>
          </cell>
          <cell r="F4004">
            <v>0</v>
          </cell>
          <cell r="G4004">
            <v>0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</row>
        <row r="4005">
          <cell r="D4005">
            <v>302810</v>
          </cell>
          <cell r="E4005" t="str">
            <v>Ambassador Pablo R. Suarez, Jr. NHS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</row>
        <row r="4006">
          <cell r="D4006">
            <v>302837</v>
          </cell>
          <cell r="E4006" t="str">
            <v>Concepcion NHS</v>
          </cell>
          <cell r="F4006">
            <v>0</v>
          </cell>
          <cell r="G4006">
            <v>0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</row>
        <row r="4007">
          <cell r="D4007">
            <v>312455</v>
          </cell>
          <cell r="E4007" t="str">
            <v>Willy B. Wenceslao MNHS</v>
          </cell>
          <cell r="F4007">
            <v>0</v>
          </cell>
          <cell r="G4007">
            <v>0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</row>
        <row r="4008">
          <cell r="D4008">
            <v>303084</v>
          </cell>
          <cell r="E4008" t="str">
            <v>Salamanca NHS</v>
          </cell>
          <cell r="F4008">
            <v>0</v>
          </cell>
          <cell r="G4008">
            <v>0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</row>
        <row r="4009">
          <cell r="D4009">
            <v>303298</v>
          </cell>
          <cell r="E4009" t="str">
            <v>San Antonio National High School</v>
          </cell>
          <cell r="F4009">
            <v>0</v>
          </cell>
          <cell r="G4009">
            <v>0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</row>
        <row r="4010">
          <cell r="D4010">
            <v>302983</v>
          </cell>
          <cell r="E4010" t="str">
            <v>Cogon NHS</v>
          </cell>
          <cell r="F4010">
            <v>0</v>
          </cell>
          <cell r="G4010">
            <v>0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</row>
        <row r="4011">
          <cell r="D4011">
            <v>312457</v>
          </cell>
          <cell r="E4011" t="str">
            <v>Manatad National High School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</row>
        <row r="4012">
          <cell r="D4012">
            <v>312450</v>
          </cell>
          <cell r="E4012" t="str">
            <v>Tungkil NHS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</row>
        <row r="4013">
          <cell r="D4013">
            <v>312331</v>
          </cell>
          <cell r="E4013" t="str">
            <v>Ponciana E. Leoligao HS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</row>
        <row r="4014">
          <cell r="D4014">
            <v>312406</v>
          </cell>
          <cell r="E4014" t="str">
            <v>Compostela Science &amp; Technology High School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</row>
        <row r="4015">
          <cell r="D4015">
            <v>302845</v>
          </cell>
          <cell r="E4015" t="str">
            <v>Dimiao NHS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</row>
        <row r="4016">
          <cell r="D4016">
            <v>303112</v>
          </cell>
          <cell r="E4016" t="str">
            <v>Talaga NHS</v>
          </cell>
          <cell r="F4016">
            <v>0</v>
          </cell>
          <cell r="G4016">
            <v>0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</row>
        <row r="4017">
          <cell r="D4017">
            <v>302871</v>
          </cell>
          <cell r="E4017" t="str">
            <v>Loon South National HS</v>
          </cell>
          <cell r="F4017">
            <v>0</v>
          </cell>
          <cell r="G4017">
            <v>0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</row>
        <row r="4018">
          <cell r="D4018">
            <v>302850</v>
          </cell>
          <cell r="E4018" t="str">
            <v>Fatima NHS</v>
          </cell>
          <cell r="F4018">
            <v>0</v>
          </cell>
          <cell r="G4018">
            <v>0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</row>
        <row r="4019">
          <cell r="D4019">
            <v>303197</v>
          </cell>
          <cell r="E4019" t="str">
            <v>Don Gerardo Ll. Ouano MNHS</v>
          </cell>
          <cell r="F4019">
            <v>0</v>
          </cell>
          <cell r="G4019">
            <v>0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</row>
        <row r="4020">
          <cell r="D4020">
            <v>305725</v>
          </cell>
          <cell r="E4020" t="str">
            <v>Biasong National High School</v>
          </cell>
          <cell r="F4020">
            <v>0</v>
          </cell>
          <cell r="G4020">
            <v>0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</row>
        <row r="4021">
          <cell r="D4021">
            <v>303022</v>
          </cell>
          <cell r="E4021" t="str">
            <v>Julian Enad  MNHS</v>
          </cell>
          <cell r="F4021">
            <v>0</v>
          </cell>
          <cell r="G4021">
            <v>0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D4022">
            <v>302907</v>
          </cell>
          <cell r="E4022" t="str">
            <v>Bantolinao National High School</v>
          </cell>
          <cell r="F4022">
            <v>0</v>
          </cell>
          <cell r="G4022">
            <v>0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</row>
        <row r="4023">
          <cell r="D4023">
            <v>500666</v>
          </cell>
          <cell r="E4023" t="str">
            <v>CALAMBUA INTEGRATED SCHOOL</v>
          </cell>
          <cell r="F4023">
            <v>36</v>
          </cell>
          <cell r="G4023">
            <v>33</v>
          </cell>
          <cell r="H4023">
            <v>69</v>
          </cell>
          <cell r="I4023">
            <v>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</row>
        <row r="4024">
          <cell r="D4024">
            <v>312419</v>
          </cell>
          <cell r="E4024" t="str">
            <v>VITO NATIONAL HIGH SCHOOL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</row>
        <row r="4025">
          <cell r="D4025">
            <v>303214</v>
          </cell>
          <cell r="E4025" t="str">
            <v>Dodong EscaÃ±o Memorial High School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</row>
        <row r="4026">
          <cell r="D4026">
            <v>312806</v>
          </cell>
          <cell r="E4026" t="str">
            <v>Mandaue City School for the Arts</v>
          </cell>
          <cell r="F4026">
            <v>9</v>
          </cell>
          <cell r="G4026">
            <v>12</v>
          </cell>
          <cell r="H4026">
            <v>21</v>
          </cell>
          <cell r="I4026">
            <v>5</v>
          </cell>
          <cell r="J4026">
            <v>7</v>
          </cell>
          <cell r="K4026">
            <v>12</v>
          </cell>
          <cell r="L4026">
            <v>5</v>
          </cell>
          <cell r="M4026">
            <v>7</v>
          </cell>
          <cell r="N4026">
            <v>12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</row>
        <row r="4027">
          <cell r="D4027">
            <v>303195</v>
          </cell>
          <cell r="E4027" t="str">
            <v>Canduman NHS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</row>
        <row r="4028">
          <cell r="D4028">
            <v>302922</v>
          </cell>
          <cell r="E4028" t="str">
            <v>Alcantara NHS</v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</row>
        <row r="4029">
          <cell r="D4029">
            <v>303090</v>
          </cell>
          <cell r="E4029" t="str">
            <v>Samboan National High School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D4030">
            <v>303137</v>
          </cell>
          <cell r="E4030" t="str">
            <v>Paril NHS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</row>
        <row r="4031">
          <cell r="D4031">
            <v>302932</v>
          </cell>
          <cell r="E4031" t="str">
            <v>Cayang NHS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</row>
        <row r="4032">
          <cell r="D4032">
            <v>303143</v>
          </cell>
          <cell r="E4032" t="str">
            <v>Bulacao Community HS (Day &amp; Night)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</row>
        <row r="4033">
          <cell r="D4033">
            <v>500225</v>
          </cell>
          <cell r="E4033" t="str">
            <v>Tabunan Integrated School</v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</row>
        <row r="4034">
          <cell r="D4034">
            <v>500226</v>
          </cell>
          <cell r="E4034" t="str">
            <v>Pamutan Integrated School</v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</row>
        <row r="4035">
          <cell r="D4035">
            <v>303161</v>
          </cell>
          <cell r="E4035" t="str">
            <v>Ramon Duterte Memorial NHS (Day &amp; Night)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</row>
        <row r="4036">
          <cell r="D4036">
            <v>303063</v>
          </cell>
          <cell r="E4036" t="str">
            <v>Compostela National High School(Day Class)</v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</row>
        <row r="4037">
          <cell r="D4037">
            <v>303163</v>
          </cell>
          <cell r="E4037" t="str">
            <v>Sinsin NHS</v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</row>
        <row r="4038">
          <cell r="D4038">
            <v>303168</v>
          </cell>
          <cell r="E4038" t="str">
            <v>Dumaguete City National High School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</row>
        <row r="4039">
          <cell r="D4039">
            <v>303155</v>
          </cell>
          <cell r="E4039" t="str">
            <v>Tejero NHS (Day &amp; Night)</v>
          </cell>
          <cell r="F4039">
            <v>34</v>
          </cell>
          <cell r="G4039">
            <v>22</v>
          </cell>
          <cell r="H4039">
            <v>56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</row>
        <row r="4040">
          <cell r="D4040">
            <v>303103</v>
          </cell>
          <cell r="E4040" t="str">
            <v>Juan Pamplona NHS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</row>
        <row r="4041">
          <cell r="D4041">
            <v>303144</v>
          </cell>
          <cell r="E4041" t="str">
            <v>First High School for the Hearing Impaired</v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</row>
        <row r="4042">
          <cell r="D4042">
            <v>303151</v>
          </cell>
          <cell r="E4042" t="str">
            <v>MABOLO NATIONAL HIGH SCHOOL</v>
          </cell>
          <cell r="F4042">
            <v>0</v>
          </cell>
          <cell r="G4042">
            <v>0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</row>
        <row r="4043">
          <cell r="D4043">
            <v>312427</v>
          </cell>
          <cell r="E4043" t="str">
            <v>Balungag NHS</v>
          </cell>
          <cell r="F4043">
            <v>29</v>
          </cell>
          <cell r="G4043">
            <v>27</v>
          </cell>
          <cell r="H4043">
            <v>56</v>
          </cell>
          <cell r="I4043">
            <v>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</row>
        <row r="4044">
          <cell r="D4044">
            <v>322302</v>
          </cell>
          <cell r="E4044" t="str">
            <v>San Miguel HS</v>
          </cell>
          <cell r="F4044">
            <v>0</v>
          </cell>
          <cell r="G4044">
            <v>0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</row>
        <row r="4045">
          <cell r="D4045">
            <v>303152</v>
          </cell>
          <cell r="E4045" t="str">
            <v>Barrio Luz NHS (Day &amp; Night)</v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</row>
        <row r="4046">
          <cell r="D4046">
            <v>312509</v>
          </cell>
          <cell r="E4046" t="str">
            <v>Bitlang National High School</v>
          </cell>
          <cell r="F4046">
            <v>1</v>
          </cell>
          <cell r="G4046">
            <v>0</v>
          </cell>
          <cell r="H4046">
            <v>1</v>
          </cell>
          <cell r="I4046">
            <v>0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</row>
        <row r="4047">
          <cell r="D4047">
            <v>303295</v>
          </cell>
          <cell r="E4047" t="str">
            <v>Leon Parami High School</v>
          </cell>
          <cell r="F4047">
            <v>0</v>
          </cell>
          <cell r="G4047">
            <v>0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</row>
        <row r="4048">
          <cell r="D4048">
            <v>303153</v>
          </cell>
          <cell r="E4048" t="str">
            <v>City Central NHS (Day &amp; Night)</v>
          </cell>
          <cell r="F4048">
            <v>0</v>
          </cell>
          <cell r="G4048">
            <v>0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</row>
        <row r="4049">
          <cell r="D4049">
            <v>303296</v>
          </cell>
          <cell r="E4049" t="str">
            <v>Cang-alwang National High School</v>
          </cell>
          <cell r="F4049">
            <v>19</v>
          </cell>
          <cell r="G4049">
            <v>0</v>
          </cell>
          <cell r="H4049">
            <v>19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</row>
        <row r="4050">
          <cell r="D4050">
            <v>302934</v>
          </cell>
          <cell r="E4050" t="str">
            <v>Jovencio N. Masong NHS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</row>
        <row r="4051">
          <cell r="D4051">
            <v>303199</v>
          </cell>
          <cell r="E4051" t="str">
            <v>Mandaue City Comprehensive NHS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</row>
        <row r="4052">
          <cell r="D4052">
            <v>302938</v>
          </cell>
          <cell r="E4052" t="str">
            <v>Bantayan Senior High School</v>
          </cell>
          <cell r="F4052">
            <v>606</v>
          </cell>
          <cell r="G4052">
            <v>503</v>
          </cell>
          <cell r="H4052">
            <v>1109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</row>
        <row r="4053">
          <cell r="D4053">
            <v>500043</v>
          </cell>
          <cell r="E4053" t="str">
            <v>Agsungot ES</v>
          </cell>
          <cell r="F4053">
            <v>0</v>
          </cell>
          <cell r="G4053">
            <v>0</v>
          </cell>
          <cell r="H4053">
            <v>0</v>
          </cell>
          <cell r="I4053">
            <v>1</v>
          </cell>
          <cell r="J4053">
            <v>0</v>
          </cell>
          <cell r="K4053">
            <v>1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</row>
        <row r="4054">
          <cell r="D4054">
            <v>302884</v>
          </cell>
          <cell r="E4054" t="str">
            <v>Pilar Technical-Vocational HS</v>
          </cell>
          <cell r="F4054">
            <v>0</v>
          </cell>
          <cell r="G4054">
            <v>0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</row>
        <row r="4055">
          <cell r="D4055">
            <v>500229</v>
          </cell>
          <cell r="E4055" t="str">
            <v>Cantipla IS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</row>
        <row r="4056">
          <cell r="D4056">
            <v>303301</v>
          </cell>
          <cell r="E4056" t="str">
            <v>Siquijor Provincial Science High School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</row>
        <row r="4057">
          <cell r="D4057">
            <v>302948</v>
          </cell>
          <cell r="E4057" t="str">
            <v>Lamesa National High School</v>
          </cell>
          <cell r="F4057">
            <v>0</v>
          </cell>
          <cell r="G4057">
            <v>0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</row>
        <row r="4058">
          <cell r="D4058">
            <v>302936</v>
          </cell>
          <cell r="E4058" t="str">
            <v>Libertad NHS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</row>
        <row r="4059">
          <cell r="D4059">
            <v>302931</v>
          </cell>
          <cell r="E4059" t="str">
            <v>Binabag NHS</v>
          </cell>
          <cell r="F4059">
            <v>0</v>
          </cell>
          <cell r="G4059">
            <v>0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</row>
        <row r="4060">
          <cell r="D4060">
            <v>312481</v>
          </cell>
          <cell r="E4060" t="str">
            <v>Liloan NHS Ext. Don Bosco</v>
          </cell>
          <cell r="F4060">
            <v>0</v>
          </cell>
          <cell r="G4060">
            <v>0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</row>
        <row r="4061">
          <cell r="D4061">
            <v>303283</v>
          </cell>
          <cell r="E4061" t="str">
            <v>Tanjay City Science HS</v>
          </cell>
          <cell r="F4061">
            <v>0</v>
          </cell>
          <cell r="G4061">
            <v>0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</row>
        <row r="4062">
          <cell r="D4062">
            <v>500655</v>
          </cell>
          <cell r="E4062" t="str">
            <v>Bagalnga Integrated School</v>
          </cell>
          <cell r="F4062">
            <v>0</v>
          </cell>
          <cell r="G4062">
            <v>0</v>
          </cell>
          <cell r="H4062">
            <v>0</v>
          </cell>
          <cell r="I4062">
            <v>5</v>
          </cell>
          <cell r="J4062">
            <v>7</v>
          </cell>
          <cell r="K4062">
            <v>12</v>
          </cell>
          <cell r="L4062">
            <v>5</v>
          </cell>
          <cell r="M4062">
            <v>7</v>
          </cell>
          <cell r="N4062">
            <v>12</v>
          </cell>
          <cell r="O4062">
            <v>5</v>
          </cell>
          <cell r="P4062">
            <v>7</v>
          </cell>
          <cell r="Q4062">
            <v>12</v>
          </cell>
          <cell r="R4062">
            <v>5</v>
          </cell>
          <cell r="S4062">
            <v>7</v>
          </cell>
          <cell r="T4062">
            <v>12</v>
          </cell>
          <cell r="U4062">
            <v>3</v>
          </cell>
          <cell r="V4062">
            <v>5</v>
          </cell>
          <cell r="W4062">
            <v>8</v>
          </cell>
          <cell r="X4062">
            <v>5</v>
          </cell>
          <cell r="Y4062">
            <v>7</v>
          </cell>
          <cell r="Z4062">
            <v>12</v>
          </cell>
        </row>
        <row r="4063">
          <cell r="D4063">
            <v>302988</v>
          </cell>
          <cell r="E4063" t="str">
            <v>Consolacion NHS - Day Class</v>
          </cell>
          <cell r="F4063">
            <v>309</v>
          </cell>
          <cell r="G4063">
            <v>289</v>
          </cell>
          <cell r="H4063">
            <v>598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</row>
        <row r="4064">
          <cell r="D4064">
            <v>312503</v>
          </cell>
          <cell r="E4064" t="str">
            <v>Banilad Night HS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</row>
        <row r="4065">
          <cell r="D4065">
            <v>302961</v>
          </cell>
          <cell r="E4065" t="str">
            <v>Calape NHS</v>
          </cell>
          <cell r="F4065">
            <v>0</v>
          </cell>
          <cell r="G4065">
            <v>0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</row>
        <row r="4066">
          <cell r="D4066">
            <v>303092</v>
          </cell>
          <cell r="E4066" t="str">
            <v>Liloan NHS</v>
          </cell>
          <cell r="F4066">
            <v>0</v>
          </cell>
          <cell r="G4066">
            <v>0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</row>
        <row r="4067">
          <cell r="D4067">
            <v>302985</v>
          </cell>
          <cell r="E4067" t="str">
            <v>Argao National High School</v>
          </cell>
          <cell r="F4067">
            <v>0</v>
          </cell>
          <cell r="G4067">
            <v>0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</row>
        <row r="4068">
          <cell r="D4068">
            <v>303055</v>
          </cell>
          <cell r="E4068" t="str">
            <v>Minglanilla Science HS</v>
          </cell>
          <cell r="F4068">
            <v>0</v>
          </cell>
          <cell r="G4068">
            <v>0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</row>
        <row r="4069">
          <cell r="D4069">
            <v>303102</v>
          </cell>
          <cell r="E4069" t="str">
            <v>Simala National High School</v>
          </cell>
          <cell r="F4069">
            <v>0</v>
          </cell>
          <cell r="G4069">
            <v>96</v>
          </cell>
          <cell r="H4069">
            <v>96</v>
          </cell>
          <cell r="I4069">
            <v>0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</row>
        <row r="4070">
          <cell r="D4070">
            <v>302954</v>
          </cell>
          <cell r="E4070" t="str">
            <v>Cabangahan NHS</v>
          </cell>
          <cell r="F4070">
            <v>0</v>
          </cell>
          <cell r="G4070">
            <v>0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</row>
        <row r="4071">
          <cell r="D4071">
            <v>303011</v>
          </cell>
          <cell r="E4071" t="str">
            <v>Lanipga NHS</v>
          </cell>
          <cell r="F4071">
            <v>0</v>
          </cell>
          <cell r="G4071">
            <v>0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</row>
        <row r="4072">
          <cell r="D4072">
            <v>312428</v>
          </cell>
          <cell r="E4072" t="str">
            <v>Lataban NHS</v>
          </cell>
          <cell r="F4072">
            <v>34</v>
          </cell>
          <cell r="G4072">
            <v>37</v>
          </cell>
          <cell r="H4072">
            <v>71</v>
          </cell>
          <cell r="I4072">
            <v>34</v>
          </cell>
          <cell r="J4072">
            <v>37</v>
          </cell>
          <cell r="K4072">
            <v>71</v>
          </cell>
          <cell r="L4072">
            <v>34</v>
          </cell>
          <cell r="M4072">
            <v>37</v>
          </cell>
          <cell r="N4072">
            <v>71</v>
          </cell>
          <cell r="O4072">
            <v>34</v>
          </cell>
          <cell r="P4072">
            <v>37</v>
          </cell>
          <cell r="Q4072">
            <v>71</v>
          </cell>
          <cell r="R4072">
            <v>34</v>
          </cell>
          <cell r="S4072">
            <v>37</v>
          </cell>
          <cell r="T4072">
            <v>71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</row>
        <row r="4073">
          <cell r="D4073">
            <v>303154</v>
          </cell>
          <cell r="E4073" t="str">
            <v>Regino Mercado NHS (Night)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</row>
        <row r="4074">
          <cell r="D4074">
            <v>303288</v>
          </cell>
          <cell r="E4074" t="str">
            <v>Lourdes L. del Prado MNHS (Sto. Niño)</v>
          </cell>
          <cell r="F4074">
            <v>0</v>
          </cell>
          <cell r="G4074">
            <v>0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</row>
        <row r="4075">
          <cell r="D4075">
            <v>303119</v>
          </cell>
          <cell r="E4075" t="str">
            <v>Tungkop National High School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</row>
        <row r="4076">
          <cell r="D4076">
            <v>312453</v>
          </cell>
          <cell r="E4076" t="str">
            <v>Kalangahan NHS</v>
          </cell>
          <cell r="F4076">
            <v>21</v>
          </cell>
          <cell r="G4076">
            <v>22</v>
          </cell>
          <cell r="H4076">
            <v>43</v>
          </cell>
          <cell r="I4076">
            <v>0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</row>
        <row r="4077">
          <cell r="D4077">
            <v>303053</v>
          </cell>
          <cell r="E4077" t="str">
            <v>Maya National High School</v>
          </cell>
          <cell r="F4077">
            <v>0</v>
          </cell>
          <cell r="G4077">
            <v>0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</row>
        <row r="4078">
          <cell r="D4078">
            <v>312414</v>
          </cell>
          <cell r="E4078" t="str">
            <v>Sta. Rita NHS</v>
          </cell>
          <cell r="F4078">
            <v>68</v>
          </cell>
          <cell r="G4078">
            <v>54</v>
          </cell>
          <cell r="H4078">
            <v>122</v>
          </cell>
          <cell r="I4078">
            <v>24</v>
          </cell>
          <cell r="J4078">
            <v>30</v>
          </cell>
          <cell r="K4078">
            <v>54</v>
          </cell>
          <cell r="L4078">
            <v>24</v>
          </cell>
          <cell r="M4078">
            <v>30</v>
          </cell>
          <cell r="N4078">
            <v>54</v>
          </cell>
          <cell r="O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</row>
        <row r="4079">
          <cell r="D4079">
            <v>303280</v>
          </cell>
          <cell r="E4079" t="str">
            <v>Tanjay NHS (Opao)</v>
          </cell>
          <cell r="F4079">
            <v>0</v>
          </cell>
          <cell r="G4079">
            <v>0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</row>
        <row r="4080">
          <cell r="D4080">
            <v>303004</v>
          </cell>
          <cell r="E4080" t="str">
            <v>Horacio Franco MNHS</v>
          </cell>
          <cell r="F4080">
            <v>0</v>
          </cell>
          <cell r="G4080">
            <v>0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</row>
        <row r="4081">
          <cell r="D4081">
            <v>312461</v>
          </cell>
          <cell r="E4081" t="str">
            <v>Inghoy NHS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</row>
        <row r="4082">
          <cell r="D4082">
            <v>303108</v>
          </cell>
          <cell r="E4082" t="str">
            <v>DoÃ±a Milagros MNHS</v>
          </cell>
          <cell r="F4082">
            <v>36</v>
          </cell>
          <cell r="G4082">
            <v>40</v>
          </cell>
          <cell r="H4082">
            <v>76</v>
          </cell>
          <cell r="I4082">
            <v>33</v>
          </cell>
          <cell r="J4082">
            <v>32</v>
          </cell>
          <cell r="K4082">
            <v>65</v>
          </cell>
          <cell r="L4082">
            <v>24</v>
          </cell>
          <cell r="M4082">
            <v>143</v>
          </cell>
          <cell r="N4082">
            <v>167</v>
          </cell>
          <cell r="O4082">
            <v>2</v>
          </cell>
          <cell r="P4082">
            <v>0</v>
          </cell>
          <cell r="Q4082">
            <v>2</v>
          </cell>
          <cell r="R4082">
            <v>2</v>
          </cell>
          <cell r="S4082">
            <v>0</v>
          </cell>
          <cell r="T4082">
            <v>2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</row>
        <row r="4083">
          <cell r="D4083">
            <v>500216</v>
          </cell>
          <cell r="E4083" t="str">
            <v>Soom IS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</row>
        <row r="4084">
          <cell r="D4084">
            <v>302941</v>
          </cell>
          <cell r="E4084" t="str">
            <v>Dumanjug NHS</v>
          </cell>
          <cell r="F4084">
            <v>76</v>
          </cell>
          <cell r="G4084">
            <v>46</v>
          </cell>
          <cell r="H4084">
            <v>122</v>
          </cell>
          <cell r="I4084">
            <v>3</v>
          </cell>
          <cell r="J4084">
            <v>2</v>
          </cell>
          <cell r="K4084">
            <v>5</v>
          </cell>
          <cell r="L4084">
            <v>4</v>
          </cell>
          <cell r="M4084">
            <v>2</v>
          </cell>
          <cell r="N4084">
            <v>6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</row>
        <row r="4085">
          <cell r="D4085">
            <v>303107</v>
          </cell>
          <cell r="E4085" t="str">
            <v>Campusong NHS</v>
          </cell>
          <cell r="F4085">
            <v>0</v>
          </cell>
          <cell r="G4085">
            <v>0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</row>
        <row r="4086">
          <cell r="D4086">
            <v>312418</v>
          </cell>
          <cell r="E4086" t="str">
            <v>Manguiao NHS</v>
          </cell>
          <cell r="F4086">
            <v>0</v>
          </cell>
          <cell r="G4086">
            <v>0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</row>
        <row r="4087">
          <cell r="D4087">
            <v>312407</v>
          </cell>
          <cell r="E4087" t="str">
            <v>Arcelo Memorial National Night High School</v>
          </cell>
          <cell r="F4087">
            <v>0</v>
          </cell>
          <cell r="G4087">
            <v>0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</row>
        <row r="4088">
          <cell r="D4088">
            <v>303198</v>
          </cell>
          <cell r="E4088" t="str">
            <v>Jagobiao NHS</v>
          </cell>
          <cell r="F4088">
            <v>0</v>
          </cell>
          <cell r="G4088">
            <v>0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</row>
        <row r="4089">
          <cell r="D4089">
            <v>303023</v>
          </cell>
          <cell r="E4089" t="str">
            <v>Kal-anan NHS</v>
          </cell>
          <cell r="F4089">
            <v>40</v>
          </cell>
          <cell r="G4089">
            <v>42</v>
          </cell>
          <cell r="H4089">
            <v>82</v>
          </cell>
          <cell r="I4089">
            <v>0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</row>
        <row r="4090">
          <cell r="D4090">
            <v>500042</v>
          </cell>
          <cell r="E4090" t="str">
            <v>Catmon Integrated School</v>
          </cell>
          <cell r="F4090">
            <v>0</v>
          </cell>
          <cell r="G4090">
            <v>0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</row>
        <row r="4091">
          <cell r="D4091">
            <v>500668</v>
          </cell>
          <cell r="E4091" t="str">
            <v>Ilihan Integrated School</v>
          </cell>
          <cell r="F4091">
            <v>56</v>
          </cell>
          <cell r="G4091">
            <v>59</v>
          </cell>
          <cell r="H4091">
            <v>115</v>
          </cell>
          <cell r="I4091">
            <v>0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</row>
        <row r="4092">
          <cell r="D4092">
            <v>303005</v>
          </cell>
          <cell r="E4092" t="str">
            <v>DoÃ±a Liling Neis Negapatan NHS</v>
          </cell>
          <cell r="F4092">
            <v>60</v>
          </cell>
          <cell r="G4092">
            <v>50</v>
          </cell>
          <cell r="H4092">
            <v>110</v>
          </cell>
          <cell r="I4092">
            <v>3</v>
          </cell>
          <cell r="J4092">
            <v>3</v>
          </cell>
          <cell r="K4092">
            <v>6</v>
          </cell>
          <cell r="L4092">
            <v>3</v>
          </cell>
          <cell r="M4092">
            <v>3</v>
          </cell>
          <cell r="N4092">
            <v>6</v>
          </cell>
          <cell r="O4092">
            <v>2</v>
          </cell>
          <cell r="P4092">
            <v>4</v>
          </cell>
          <cell r="Q4092">
            <v>6</v>
          </cell>
          <cell r="R4092">
            <v>2</v>
          </cell>
          <cell r="S4092">
            <v>4</v>
          </cell>
          <cell r="T4092">
            <v>6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</row>
        <row r="4093">
          <cell r="D4093">
            <v>302980</v>
          </cell>
          <cell r="E4093" t="str">
            <v>Tinabyonan NHS</v>
          </cell>
          <cell r="F4093">
            <v>51</v>
          </cell>
          <cell r="G4093">
            <v>39</v>
          </cell>
          <cell r="H4093">
            <v>90</v>
          </cell>
          <cell r="I4093">
            <v>0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</row>
        <row r="4094">
          <cell r="D4094">
            <v>302846</v>
          </cell>
          <cell r="E4094" t="str">
            <v>Dr. Cecilio Putong NHS (Bohol NHS)</v>
          </cell>
          <cell r="F4094">
            <v>0</v>
          </cell>
          <cell r="G4094">
            <v>0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</row>
        <row r="4095">
          <cell r="D4095">
            <v>303101</v>
          </cell>
          <cell r="E4095" t="str">
            <v>Sibonga National High School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</row>
        <row r="4096">
          <cell r="D4096">
            <v>312514</v>
          </cell>
          <cell r="E4096" t="str">
            <v>BASAK COMMUNITY HS</v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</row>
        <row r="4097">
          <cell r="D4097">
            <v>302979</v>
          </cell>
          <cell r="E4097" t="str">
            <v>Ceferino Sususco MNHS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</row>
        <row r="4098">
          <cell r="D4098">
            <v>303110</v>
          </cell>
          <cell r="E4098" t="str">
            <v>Mohon NHS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</row>
        <row r="4099">
          <cell r="D4099">
            <v>302928</v>
          </cell>
          <cell r="E4099" t="str">
            <v>Balao NHS</v>
          </cell>
          <cell r="F4099">
            <v>110</v>
          </cell>
          <cell r="G4099">
            <v>90</v>
          </cell>
          <cell r="H4099">
            <v>200</v>
          </cell>
          <cell r="I4099">
            <v>2</v>
          </cell>
          <cell r="J4099">
            <v>3</v>
          </cell>
          <cell r="K4099">
            <v>5</v>
          </cell>
          <cell r="L4099">
            <v>2</v>
          </cell>
          <cell r="M4099">
            <v>3</v>
          </cell>
          <cell r="N4099">
            <v>5</v>
          </cell>
          <cell r="O4099">
            <v>2</v>
          </cell>
          <cell r="P4099">
            <v>3</v>
          </cell>
          <cell r="Q4099">
            <v>5</v>
          </cell>
          <cell r="R4099">
            <v>2</v>
          </cell>
          <cell r="S4099">
            <v>3</v>
          </cell>
          <cell r="T4099">
            <v>5</v>
          </cell>
          <cell r="U4099">
            <v>0</v>
          </cell>
          <cell r="V4099">
            <v>1</v>
          </cell>
          <cell r="W4099">
            <v>1</v>
          </cell>
          <cell r="X4099">
            <v>0</v>
          </cell>
          <cell r="Y4099">
            <v>0</v>
          </cell>
          <cell r="Z4099">
            <v>0</v>
          </cell>
        </row>
        <row r="4100">
          <cell r="D4100">
            <v>303159</v>
          </cell>
          <cell r="E4100" t="str">
            <v>Pardo NHS (Day &amp; Night)</v>
          </cell>
          <cell r="F4100">
            <v>0</v>
          </cell>
          <cell r="G4100">
            <v>0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</row>
        <row r="4101">
          <cell r="D4101">
            <v>322102</v>
          </cell>
          <cell r="E4101" t="str">
            <v>San Isidro National High School</v>
          </cell>
          <cell r="F4101">
            <v>0</v>
          </cell>
          <cell r="G4101">
            <v>0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</row>
        <row r="4102">
          <cell r="D4102">
            <v>312423</v>
          </cell>
          <cell r="E4102" t="str">
            <v>Mar and Dorie Darunday NHS</v>
          </cell>
          <cell r="F4102">
            <v>54</v>
          </cell>
          <cell r="G4102">
            <v>38</v>
          </cell>
          <cell r="H4102">
            <v>92</v>
          </cell>
          <cell r="I4102">
            <v>0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</row>
        <row r="4103">
          <cell r="D4103">
            <v>302962</v>
          </cell>
          <cell r="E4103" t="str">
            <v>Malingin NHS</v>
          </cell>
          <cell r="F4103">
            <v>0</v>
          </cell>
          <cell r="G4103">
            <v>0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</row>
        <row r="4104">
          <cell r="D4104">
            <v>303136</v>
          </cell>
          <cell r="E4104" t="str">
            <v>Busay National High School</v>
          </cell>
          <cell r="F4104">
            <v>0</v>
          </cell>
          <cell r="G4104">
            <v>0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</row>
        <row r="4105">
          <cell r="D4105">
            <v>302876</v>
          </cell>
          <cell r="E4105" t="str">
            <v>Tagbilaran City Science High School</v>
          </cell>
          <cell r="F4105">
            <v>0</v>
          </cell>
          <cell r="G4105">
            <v>0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</row>
        <row r="4106">
          <cell r="D4106">
            <v>312429</v>
          </cell>
          <cell r="E4106" t="str">
            <v>Milan-Cantuod NHS</v>
          </cell>
          <cell r="F4106">
            <v>0</v>
          </cell>
          <cell r="G4106">
            <v>0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</row>
        <row r="4107">
          <cell r="D4107">
            <v>303026</v>
          </cell>
          <cell r="E4107" t="str">
            <v>Curva National High School</v>
          </cell>
          <cell r="F4107">
            <v>0</v>
          </cell>
          <cell r="G4107">
            <v>0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</row>
        <row r="4108">
          <cell r="D4108">
            <v>302939</v>
          </cell>
          <cell r="E4108" t="str">
            <v>Bateria NHS</v>
          </cell>
          <cell r="F4108">
            <v>70</v>
          </cell>
          <cell r="G4108">
            <v>59</v>
          </cell>
          <cell r="H4108">
            <v>129</v>
          </cell>
          <cell r="I4108">
            <v>12</v>
          </cell>
          <cell r="J4108">
            <v>7</v>
          </cell>
          <cell r="K4108">
            <v>19</v>
          </cell>
          <cell r="L4108">
            <v>20</v>
          </cell>
          <cell r="M4108">
            <v>12</v>
          </cell>
          <cell r="N4108">
            <v>32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2</v>
          </cell>
          <cell r="V4108">
            <v>2</v>
          </cell>
          <cell r="W4108">
            <v>4</v>
          </cell>
          <cell r="X4108">
            <v>0</v>
          </cell>
          <cell r="Y4108">
            <v>0</v>
          </cell>
          <cell r="Z4108">
            <v>0</v>
          </cell>
        </row>
        <row r="4109">
          <cell r="D4109">
            <v>302989</v>
          </cell>
          <cell r="E4109" t="str">
            <v>Consolacion NHS - Evening Class</v>
          </cell>
          <cell r="F4109">
            <v>0</v>
          </cell>
          <cell r="G4109">
            <v>0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</row>
        <row r="4110">
          <cell r="D4110">
            <v>303215</v>
          </cell>
          <cell r="E4110" t="str">
            <v>Lonoy National High School</v>
          </cell>
          <cell r="F4110">
            <v>0</v>
          </cell>
          <cell r="G4110">
            <v>0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</row>
        <row r="4111">
          <cell r="D4111">
            <v>303003</v>
          </cell>
          <cell r="E4111" t="str">
            <v>Don Esteban Nolasco Memorial NHS</v>
          </cell>
          <cell r="F4111">
            <v>27</v>
          </cell>
          <cell r="G4111">
            <v>21</v>
          </cell>
          <cell r="H4111">
            <v>48</v>
          </cell>
          <cell r="I4111">
            <v>8</v>
          </cell>
          <cell r="J4111">
            <v>9</v>
          </cell>
          <cell r="K4111">
            <v>17</v>
          </cell>
          <cell r="L4111">
            <v>8</v>
          </cell>
          <cell r="M4111">
            <v>9</v>
          </cell>
          <cell r="N4111">
            <v>17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</row>
        <row r="4112">
          <cell r="D4112">
            <v>312302</v>
          </cell>
          <cell r="E4112" t="str">
            <v>Cogon HS Evening Class</v>
          </cell>
          <cell r="F4112">
            <v>0</v>
          </cell>
          <cell r="G4112">
            <v>0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</row>
        <row r="4113">
          <cell r="D4113">
            <v>322304</v>
          </cell>
          <cell r="E4113" t="str">
            <v>Patricio Palomar Mem. HS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</row>
        <row r="4114">
          <cell r="D4114">
            <v>312410</v>
          </cell>
          <cell r="E4114" t="str">
            <v>Carmen National High School - Night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</row>
        <row r="4115">
          <cell r="D4115">
            <v>303146</v>
          </cell>
          <cell r="E4115" t="str">
            <v>Mambaling NHS (Night)</v>
          </cell>
          <cell r="F4115">
            <v>0</v>
          </cell>
          <cell r="G4115">
            <v>0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</row>
        <row r="4116">
          <cell r="D4116">
            <v>302965</v>
          </cell>
          <cell r="E4116" t="str">
            <v>Tominjao National High School</v>
          </cell>
          <cell r="F4116">
            <v>0</v>
          </cell>
          <cell r="G4116">
            <v>0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</row>
        <row r="4117">
          <cell r="D4117">
            <v>303069</v>
          </cell>
          <cell r="E4117" t="str">
            <v>Bartolome &amp; Manuela PaÃ±ares MNHS</v>
          </cell>
          <cell r="F4117">
            <v>0</v>
          </cell>
          <cell r="G4117">
            <v>0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</row>
        <row r="4118">
          <cell r="D4118">
            <v>302995</v>
          </cell>
          <cell r="E4118" t="str">
            <v>Daanbantayan National High School</v>
          </cell>
          <cell r="F4118">
            <v>0</v>
          </cell>
          <cell r="G4118">
            <v>0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</row>
        <row r="4119">
          <cell r="D4119">
            <v>312480</v>
          </cell>
          <cell r="E4119" t="str">
            <v>Compostela N H S - Evening Class</v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</row>
        <row r="4120">
          <cell r="D4120">
            <v>303306</v>
          </cell>
          <cell r="E4120" t="str">
            <v>DepED-Lazi National Agricultural School</v>
          </cell>
          <cell r="F4120">
            <v>8</v>
          </cell>
          <cell r="G4120">
            <v>0</v>
          </cell>
          <cell r="H4120">
            <v>8</v>
          </cell>
          <cell r="I4120">
            <v>8</v>
          </cell>
          <cell r="J4120">
            <v>0</v>
          </cell>
          <cell r="K4120">
            <v>8</v>
          </cell>
          <cell r="L4120">
            <v>31</v>
          </cell>
          <cell r="M4120">
            <v>0</v>
          </cell>
          <cell r="N4120">
            <v>31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</row>
        <row r="4121">
          <cell r="D4121">
            <v>302968</v>
          </cell>
          <cell r="E4121" t="str">
            <v>Cabonga-an NHS</v>
          </cell>
          <cell r="F4121">
            <v>0</v>
          </cell>
          <cell r="G4121">
            <v>0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</row>
        <row r="4122">
          <cell r="D4122">
            <v>303024</v>
          </cell>
          <cell r="E4122" t="str">
            <v>Kawit NHS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</row>
        <row r="4123">
          <cell r="D4123">
            <v>302974</v>
          </cell>
          <cell r="E4123" t="str">
            <v>Cabalawan NHS</v>
          </cell>
          <cell r="F4123">
            <v>0</v>
          </cell>
          <cell r="G4123">
            <v>0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</row>
        <row r="4124">
          <cell r="D4124">
            <v>303304</v>
          </cell>
          <cell r="E4124" t="str">
            <v>Candaping National High School</v>
          </cell>
          <cell r="F4124">
            <v>85</v>
          </cell>
          <cell r="G4124">
            <v>91</v>
          </cell>
          <cell r="H4124">
            <v>176</v>
          </cell>
          <cell r="I4124">
            <v>2</v>
          </cell>
          <cell r="J4124">
            <v>1</v>
          </cell>
          <cell r="K4124">
            <v>3</v>
          </cell>
          <cell r="L4124">
            <v>2</v>
          </cell>
          <cell r="M4124">
            <v>1</v>
          </cell>
          <cell r="N4124">
            <v>3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</row>
        <row r="4125">
          <cell r="D4125">
            <v>303109</v>
          </cell>
          <cell r="E4125" t="str">
            <v>Liki NHS</v>
          </cell>
          <cell r="F4125">
            <v>0</v>
          </cell>
          <cell r="G4125">
            <v>0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</row>
        <row r="4126">
          <cell r="D4126">
            <v>303140</v>
          </cell>
          <cell r="E4126" t="str">
            <v>Talamban NHS (Day &amp; Night)</v>
          </cell>
          <cell r="F4126">
            <v>0</v>
          </cell>
          <cell r="G4126">
            <v>0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</row>
        <row r="4127">
          <cell r="D4127">
            <v>302994</v>
          </cell>
          <cell r="E4127" t="str">
            <v>Consuelo NHS</v>
          </cell>
          <cell r="F4127">
            <v>0</v>
          </cell>
          <cell r="G4127">
            <v>0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</row>
        <row r="4128">
          <cell r="D4128">
            <v>303145</v>
          </cell>
          <cell r="E4128" t="str">
            <v>Inayawan National High School</v>
          </cell>
          <cell r="F4128">
            <v>0</v>
          </cell>
          <cell r="G4128">
            <v>0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</row>
        <row r="4129">
          <cell r="D4129">
            <v>303104</v>
          </cell>
          <cell r="E4129" t="str">
            <v>Tabunan NHS</v>
          </cell>
          <cell r="F4129">
            <v>20</v>
          </cell>
          <cell r="G4129">
            <v>20</v>
          </cell>
          <cell r="H4129">
            <v>40</v>
          </cell>
          <cell r="I4129">
            <v>1</v>
          </cell>
          <cell r="J4129">
            <v>1</v>
          </cell>
          <cell r="K4129">
            <v>2</v>
          </cell>
          <cell r="L4129">
            <v>0</v>
          </cell>
          <cell r="M4129">
            <v>0</v>
          </cell>
          <cell r="N4129">
            <v>0</v>
          </cell>
          <cell r="O4129">
            <v>3</v>
          </cell>
          <cell r="P4129">
            <v>4</v>
          </cell>
          <cell r="Q4129">
            <v>7</v>
          </cell>
          <cell r="R4129">
            <v>0</v>
          </cell>
          <cell r="S4129">
            <v>0</v>
          </cell>
          <cell r="T4129">
            <v>0</v>
          </cell>
          <cell r="U4129">
            <v>3</v>
          </cell>
          <cell r="V4129">
            <v>4</v>
          </cell>
          <cell r="W4129">
            <v>7</v>
          </cell>
          <cell r="X4129">
            <v>0</v>
          </cell>
          <cell r="Y4129">
            <v>0</v>
          </cell>
          <cell r="Z4129">
            <v>0</v>
          </cell>
        </row>
        <row r="4130">
          <cell r="D4130">
            <v>303008</v>
          </cell>
          <cell r="E4130" t="str">
            <v>Luciano B. Rama Sr. MNHS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</row>
        <row r="4131">
          <cell r="D4131">
            <v>302924</v>
          </cell>
          <cell r="E4131" t="str">
            <v>Bakhawan National High School</v>
          </cell>
          <cell r="F4131">
            <v>0</v>
          </cell>
          <cell r="G4131">
            <v>0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</row>
        <row r="4132">
          <cell r="D4132">
            <v>500423</v>
          </cell>
          <cell r="E4132" t="str">
            <v>Calero IS</v>
          </cell>
          <cell r="F4132">
            <v>0</v>
          </cell>
          <cell r="G4132">
            <v>0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</row>
        <row r="4133">
          <cell r="D4133">
            <v>303031</v>
          </cell>
          <cell r="E4133" t="str">
            <v>Lanao NHS, Pilar</v>
          </cell>
          <cell r="F4133">
            <v>0</v>
          </cell>
          <cell r="G4133">
            <v>0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</row>
        <row r="4134">
          <cell r="D4134">
            <v>303085</v>
          </cell>
          <cell r="E4134" t="str">
            <v>San Jose National High School</v>
          </cell>
          <cell r="F4134">
            <v>0</v>
          </cell>
          <cell r="G4134">
            <v>0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</row>
        <row r="4135">
          <cell r="D4135">
            <v>312430</v>
          </cell>
          <cell r="E4135" t="str">
            <v>Salag NHS</v>
          </cell>
          <cell r="F4135">
            <v>35</v>
          </cell>
          <cell r="G4135">
            <v>24</v>
          </cell>
          <cell r="H4135">
            <v>59</v>
          </cell>
          <cell r="I4135">
            <v>5</v>
          </cell>
          <cell r="J4135">
            <v>2</v>
          </cell>
          <cell r="K4135">
            <v>7</v>
          </cell>
          <cell r="L4135">
            <v>8</v>
          </cell>
          <cell r="M4135">
            <v>3</v>
          </cell>
          <cell r="N4135">
            <v>11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</row>
        <row r="4136">
          <cell r="D4136">
            <v>303081</v>
          </cell>
          <cell r="E4136" t="str">
            <v>Puertobello NHS - Pob. Ext.</v>
          </cell>
          <cell r="F4136">
            <v>0</v>
          </cell>
          <cell r="G4136">
            <v>0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</row>
        <row r="4137">
          <cell r="D4137">
            <v>303054</v>
          </cell>
          <cell r="E4137" t="str">
            <v>Medellin National High School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</row>
        <row r="4138">
          <cell r="D4138">
            <v>312408</v>
          </cell>
          <cell r="E4138" t="str">
            <v>Daantabogon NHS</v>
          </cell>
          <cell r="F4138">
            <v>22</v>
          </cell>
          <cell r="G4138">
            <v>30</v>
          </cell>
          <cell r="H4138">
            <v>52</v>
          </cell>
          <cell r="I4138">
            <v>0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</row>
        <row r="4139">
          <cell r="D4139">
            <v>303009</v>
          </cell>
          <cell r="E4139" t="str">
            <v>Zosimo E. Fabroa MNHS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</row>
        <row r="4140">
          <cell r="D4140">
            <v>302996</v>
          </cell>
          <cell r="E4140" t="str">
            <v>Sir Knight Luis P. Cañete Sr. NHS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</row>
        <row r="4141">
          <cell r="D4141">
            <v>303074</v>
          </cell>
          <cell r="E4141" t="str">
            <v>Don Filomeno M. Torres MNHS</v>
          </cell>
          <cell r="F4141">
            <v>65</v>
          </cell>
          <cell r="G4141">
            <v>45</v>
          </cell>
          <cell r="H4141">
            <v>110</v>
          </cell>
          <cell r="I4141">
            <v>0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</row>
        <row r="4142">
          <cell r="D4142">
            <v>303293</v>
          </cell>
          <cell r="E4142" t="str">
            <v>Campalanas National High School</v>
          </cell>
          <cell r="F4142">
            <v>0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</row>
        <row r="4143">
          <cell r="D4143">
            <v>302973</v>
          </cell>
          <cell r="E4143" t="str">
            <v>Carmen NHS-Day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</row>
        <row r="4144">
          <cell r="D4144">
            <v>312416</v>
          </cell>
          <cell r="E4144" t="str">
            <v>Caurasan NHS</v>
          </cell>
          <cell r="F4144">
            <v>0</v>
          </cell>
          <cell r="G4144">
            <v>0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</row>
        <row r="4145">
          <cell r="D4145">
            <v>500660</v>
          </cell>
          <cell r="E4145" t="str">
            <v>Gibitngil Integrated School</v>
          </cell>
          <cell r="F4145">
            <v>0</v>
          </cell>
          <cell r="G4145">
            <v>0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</row>
        <row r="4146">
          <cell r="D4146">
            <v>302975</v>
          </cell>
          <cell r="E4146" t="str">
            <v>Cantumog NHS</v>
          </cell>
          <cell r="F4146">
            <v>101</v>
          </cell>
          <cell r="G4146">
            <v>80</v>
          </cell>
          <cell r="H4146">
            <v>181</v>
          </cell>
          <cell r="I4146">
            <v>50</v>
          </cell>
          <cell r="J4146">
            <v>42</v>
          </cell>
          <cell r="K4146">
            <v>92</v>
          </cell>
          <cell r="L4146">
            <v>50</v>
          </cell>
          <cell r="M4146">
            <v>42</v>
          </cell>
          <cell r="N4146">
            <v>92</v>
          </cell>
          <cell r="O4146">
            <v>2</v>
          </cell>
          <cell r="P4146">
            <v>0</v>
          </cell>
          <cell r="Q4146">
            <v>2</v>
          </cell>
          <cell r="R4146">
            <v>1</v>
          </cell>
          <cell r="S4146">
            <v>0</v>
          </cell>
          <cell r="T4146">
            <v>1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</row>
        <row r="4147">
          <cell r="D4147">
            <v>302978</v>
          </cell>
          <cell r="E4147" t="str">
            <v>Catmon NHS</v>
          </cell>
          <cell r="F4147">
            <v>0</v>
          </cell>
          <cell r="G4147">
            <v>0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</row>
        <row r="4148">
          <cell r="D4148">
            <v>500669</v>
          </cell>
          <cell r="E4148" t="str">
            <v>Adlaon ES</v>
          </cell>
          <cell r="F4148">
            <v>0</v>
          </cell>
          <cell r="G4148">
            <v>0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</row>
        <row r="4149">
          <cell r="D4149">
            <v>303100</v>
          </cell>
          <cell r="E4149" t="str">
            <v>Santiago National High School</v>
          </cell>
          <cell r="F4149">
            <v>0</v>
          </cell>
          <cell r="G4149">
            <v>0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</row>
        <row r="4150">
          <cell r="D4150">
            <v>303106</v>
          </cell>
          <cell r="E4150" t="str">
            <v>Borbon NHS</v>
          </cell>
          <cell r="F4150">
            <v>0</v>
          </cell>
          <cell r="G4150">
            <v>0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</row>
        <row r="4151">
          <cell r="D4151">
            <v>302964</v>
          </cell>
          <cell r="E4151" t="str">
            <v>Tapilon National High School</v>
          </cell>
          <cell r="F4151">
            <v>0</v>
          </cell>
          <cell r="G4151">
            <v>0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</row>
        <row r="4152">
          <cell r="D4152">
            <v>303095</v>
          </cell>
          <cell r="E4152" t="str">
            <v>Santa Filomena NHS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</row>
        <row r="4153">
          <cell r="D4153">
            <v>302966</v>
          </cell>
          <cell r="E4153" t="str">
            <v>Calumboyan NHS</v>
          </cell>
          <cell r="F4153">
            <v>0</v>
          </cell>
          <cell r="G4153">
            <v>0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</row>
        <row r="4154">
          <cell r="D4154">
            <v>303062</v>
          </cell>
          <cell r="E4154" t="str">
            <v>Mulao NHS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</row>
        <row r="4155">
          <cell r="D4155">
            <v>303006</v>
          </cell>
          <cell r="E4155" t="str">
            <v>Loreto-Remedios Montebon NHS</v>
          </cell>
          <cell r="F4155">
            <v>25</v>
          </cell>
          <cell r="G4155">
            <v>28</v>
          </cell>
          <cell r="H4155">
            <v>53</v>
          </cell>
          <cell r="I4155">
            <v>0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</row>
        <row r="4156">
          <cell r="D4156">
            <v>302990</v>
          </cell>
          <cell r="E4156" t="str">
            <v>Jugan NHS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</row>
        <row r="4157">
          <cell r="D4157">
            <v>302982</v>
          </cell>
          <cell r="E4157" t="str">
            <v>CerdeÃ±a NHS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</row>
        <row r="4158">
          <cell r="D4158">
            <v>303080</v>
          </cell>
          <cell r="E4158" t="str">
            <v>Puertobello NHS</v>
          </cell>
          <cell r="F4158">
            <v>48</v>
          </cell>
          <cell r="G4158">
            <v>55</v>
          </cell>
          <cell r="H4158">
            <v>103</v>
          </cell>
          <cell r="I4158">
            <v>0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</row>
        <row r="4159">
          <cell r="D4159">
            <v>303302</v>
          </cell>
          <cell r="E4159" t="str">
            <v>Banban National High School</v>
          </cell>
          <cell r="F4159">
            <v>0</v>
          </cell>
          <cell r="G4159">
            <v>0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</row>
        <row r="4160">
          <cell r="D4160">
            <v>302984</v>
          </cell>
          <cell r="E4160" t="str">
            <v>Colawin NHS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</row>
        <row r="4161">
          <cell r="D4161">
            <v>303167</v>
          </cell>
          <cell r="E4161" t="str">
            <v>Junob National High School</v>
          </cell>
          <cell r="F4161">
            <v>220</v>
          </cell>
          <cell r="G4161">
            <v>200</v>
          </cell>
          <cell r="H4161">
            <v>420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</row>
        <row r="4162">
          <cell r="D4162">
            <v>303303</v>
          </cell>
          <cell r="E4162" t="str">
            <v>BASAC NATIONAL HIGH SCHOOL</v>
          </cell>
          <cell r="F4162">
            <v>24</v>
          </cell>
          <cell r="G4162">
            <v>13</v>
          </cell>
          <cell r="H4162">
            <v>37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</row>
        <row r="4163">
          <cell r="D4163">
            <v>303305</v>
          </cell>
          <cell r="E4163" t="str">
            <v>Catulayan National High School</v>
          </cell>
          <cell r="F4163">
            <v>0</v>
          </cell>
          <cell r="G4163">
            <v>0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</row>
        <row r="4164">
          <cell r="D4164">
            <v>302967</v>
          </cell>
          <cell r="E4164" t="str">
            <v>Camotes National High School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</row>
        <row r="4165">
          <cell r="D4165">
            <v>303105</v>
          </cell>
          <cell r="E4165" t="str">
            <v>Bongdo NHS</v>
          </cell>
          <cell r="F4165">
            <v>20</v>
          </cell>
          <cell r="G4165">
            <v>15</v>
          </cell>
          <cell r="H4165">
            <v>35</v>
          </cell>
          <cell r="I4165">
            <v>20</v>
          </cell>
          <cell r="J4165">
            <v>14</v>
          </cell>
          <cell r="K4165">
            <v>34</v>
          </cell>
          <cell r="L4165">
            <v>86</v>
          </cell>
          <cell r="M4165">
            <v>60</v>
          </cell>
          <cell r="N4165">
            <v>146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</row>
        <row r="4166">
          <cell r="D4166">
            <v>302875</v>
          </cell>
          <cell r="E4166" t="str">
            <v>Mansasa National High School</v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</row>
        <row r="4167">
          <cell r="D4167">
            <v>303299</v>
          </cell>
          <cell r="E4167" t="str">
            <v>Ponong High School</v>
          </cell>
          <cell r="F4167">
            <v>0</v>
          </cell>
          <cell r="G4167">
            <v>0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</row>
        <row r="4168">
          <cell r="D4168">
            <v>303141</v>
          </cell>
          <cell r="E4168" t="str">
            <v>Cebu City National Science HS</v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</row>
        <row r="4169">
          <cell r="D4169">
            <v>312601</v>
          </cell>
          <cell r="E4169" t="str">
            <v>PIAPI HIGH SCHOOL</v>
          </cell>
          <cell r="F4169">
            <v>0</v>
          </cell>
          <cell r="G4169">
            <v>0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</row>
        <row r="4170">
          <cell r="D4170">
            <v>302993</v>
          </cell>
          <cell r="E4170" t="str">
            <v>Tugbongan NHS</v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</row>
        <row r="4171">
          <cell r="D4171">
            <v>302991</v>
          </cell>
          <cell r="E4171" t="str">
            <v>Pulpogan NHS</v>
          </cell>
          <cell r="F4171">
            <v>0</v>
          </cell>
          <cell r="G4171">
            <v>0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</row>
        <row r="4172">
          <cell r="D4172">
            <v>500232</v>
          </cell>
          <cell r="E4172" t="str">
            <v>Cabulihan Integrated School</v>
          </cell>
          <cell r="F4172">
            <v>0</v>
          </cell>
          <cell r="G4172">
            <v>0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</row>
        <row r="4173">
          <cell r="D4173">
            <v>500222</v>
          </cell>
          <cell r="E4173" t="str">
            <v>Sirao Integrated School</v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</row>
        <row r="4174">
          <cell r="D4174">
            <v>302976</v>
          </cell>
          <cell r="E4174" t="str">
            <v>Carnaza NHS</v>
          </cell>
          <cell r="F4174">
            <v>0</v>
          </cell>
          <cell r="G4174">
            <v>0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</row>
        <row r="4175">
          <cell r="D4175">
            <v>302874</v>
          </cell>
          <cell r="E4175" t="str">
            <v>Manga National High School</v>
          </cell>
          <cell r="F4175">
            <v>0</v>
          </cell>
          <cell r="G4175">
            <v>0</v>
          </cell>
          <cell r="H4175">
            <v>0</v>
          </cell>
          <cell r="I4175">
            <v>0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</row>
        <row r="4176">
          <cell r="D4176">
            <v>303122</v>
          </cell>
          <cell r="E4176" t="str">
            <v>Lorenzo C. Tanza Memorial National High School</v>
          </cell>
          <cell r="F4176">
            <v>0</v>
          </cell>
          <cell r="G4176">
            <v>0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</row>
        <row r="4177">
          <cell r="D4177">
            <v>303028</v>
          </cell>
          <cell r="E4177" t="str">
            <v>Kinatarcan NHS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</row>
        <row r="4178">
          <cell r="D4178">
            <v>302955</v>
          </cell>
          <cell r="E4178" t="str">
            <v>Cordova NHS</v>
          </cell>
          <cell r="F4178">
            <v>15</v>
          </cell>
          <cell r="G4178">
            <v>0</v>
          </cell>
          <cell r="H4178">
            <v>15</v>
          </cell>
          <cell r="I4178">
            <v>15</v>
          </cell>
          <cell r="J4178">
            <v>0</v>
          </cell>
          <cell r="K4178">
            <v>15</v>
          </cell>
          <cell r="L4178">
            <v>15</v>
          </cell>
          <cell r="M4178">
            <v>0</v>
          </cell>
          <cell r="N4178">
            <v>15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</row>
        <row r="4179">
          <cell r="D4179">
            <v>302940</v>
          </cell>
          <cell r="E4179" t="str">
            <v>Bitoon NVHS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</row>
        <row r="4180">
          <cell r="D4180">
            <v>323010</v>
          </cell>
          <cell r="E4180" t="str">
            <v>LUCILA C. YARED NATIONAL HIGH SCHOOL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</row>
        <row r="4181">
          <cell r="D4181">
            <v>303032</v>
          </cell>
          <cell r="E4181" t="str">
            <v>Dapdap NHS</v>
          </cell>
          <cell r="F4181">
            <v>0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</row>
        <row r="4182">
          <cell r="D4182">
            <v>303091</v>
          </cell>
          <cell r="E4182" t="str">
            <v>Arcelo MNHS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</row>
        <row r="4183">
          <cell r="D4183">
            <v>303079</v>
          </cell>
          <cell r="E4183" t="str">
            <v>PITALO NHS</v>
          </cell>
          <cell r="F4183">
            <v>45</v>
          </cell>
          <cell r="G4183">
            <v>36</v>
          </cell>
          <cell r="H4183">
            <v>81</v>
          </cell>
          <cell r="I4183">
            <v>25</v>
          </cell>
          <cell r="J4183">
            <v>20</v>
          </cell>
          <cell r="K4183">
            <v>45</v>
          </cell>
          <cell r="L4183">
            <v>55</v>
          </cell>
          <cell r="M4183">
            <v>43</v>
          </cell>
          <cell r="N4183">
            <v>98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</row>
        <row r="4184">
          <cell r="D4184">
            <v>303138</v>
          </cell>
          <cell r="E4184" t="str">
            <v>Camp Lapu-Lapu NHS (Day &amp; Night)</v>
          </cell>
          <cell r="F4184">
            <v>0</v>
          </cell>
          <cell r="G4184">
            <v>0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</row>
        <row r="4185">
          <cell r="D4185">
            <v>303142</v>
          </cell>
          <cell r="E4185" t="str">
            <v>Don Carlos Gothong Memorial NHS</v>
          </cell>
          <cell r="F4185">
            <v>468</v>
          </cell>
          <cell r="G4185">
            <v>546</v>
          </cell>
          <cell r="H4185">
            <v>1014</v>
          </cell>
          <cell r="I4185">
            <v>28</v>
          </cell>
          <cell r="J4185">
            <v>41</v>
          </cell>
          <cell r="K4185">
            <v>69</v>
          </cell>
          <cell r="L4185">
            <v>15</v>
          </cell>
          <cell r="M4185">
            <v>26</v>
          </cell>
          <cell r="N4185">
            <v>41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</row>
        <row r="4186">
          <cell r="D4186">
            <v>303160</v>
          </cell>
          <cell r="E4186" t="str">
            <v>Pit-os National High School</v>
          </cell>
          <cell r="F4186">
            <v>0</v>
          </cell>
          <cell r="G4186">
            <v>0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</row>
        <row r="4187">
          <cell r="D4187">
            <v>303147</v>
          </cell>
          <cell r="E4187" t="str">
            <v>Pasil NHS (Night)</v>
          </cell>
          <cell r="F4187">
            <v>0</v>
          </cell>
          <cell r="G4187">
            <v>0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</row>
        <row r="4188">
          <cell r="D4188">
            <v>303133</v>
          </cell>
          <cell r="E4188" t="str">
            <v>Don Vicente Rama Mem. NHS (Basak NHS)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</row>
        <row r="4189">
          <cell r="D4189">
            <v>303165</v>
          </cell>
          <cell r="E4189" t="str">
            <v>Vicente Cosido NHS (Cambinocot NHS)</v>
          </cell>
          <cell r="F4189">
            <v>15</v>
          </cell>
          <cell r="G4189">
            <v>15</v>
          </cell>
          <cell r="H4189">
            <v>30</v>
          </cell>
          <cell r="I4189">
            <v>0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</row>
        <row r="4190">
          <cell r="D4190">
            <v>500223</v>
          </cell>
          <cell r="E4190" t="str">
            <v>Babag Elementary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</row>
        <row r="4191">
          <cell r="D4191">
            <v>303114</v>
          </cell>
          <cell r="E4191" t="str">
            <v>Tayud National High School</v>
          </cell>
          <cell r="F4191">
            <v>0</v>
          </cell>
          <cell r="G4191">
            <v>0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</row>
        <row r="4192">
          <cell r="D4192">
            <v>302921</v>
          </cell>
          <cell r="E4192" t="str">
            <v>Badian NHS</v>
          </cell>
          <cell r="F4192">
            <v>0</v>
          </cell>
          <cell r="G4192">
            <v>0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</row>
        <row r="4193">
          <cell r="D4193">
            <v>323013</v>
          </cell>
          <cell r="E4193" t="str">
            <v>Tangculogan High School</v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</row>
        <row r="4194">
          <cell r="D4194">
            <v>303134</v>
          </cell>
          <cell r="E4194" t="str">
            <v>Bonbon NHS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</row>
        <row r="4195">
          <cell r="D4195">
            <v>324804</v>
          </cell>
          <cell r="E4195" t="str">
            <v>GNHS-Maculos Extension</v>
          </cell>
          <cell r="F4195">
            <v>0</v>
          </cell>
          <cell r="G4195">
            <v>0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</row>
        <row r="4196">
          <cell r="D4196">
            <v>323007</v>
          </cell>
          <cell r="E4196" t="str">
            <v>Mansangaban National High School</v>
          </cell>
          <cell r="F4196">
            <v>0</v>
          </cell>
          <cell r="G4196">
            <v>0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</row>
        <row r="4197">
          <cell r="D4197">
            <v>303047</v>
          </cell>
          <cell r="E4197" t="str">
            <v>Madridejos NHS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</row>
        <row r="4198">
          <cell r="D4198">
            <v>323009</v>
          </cell>
          <cell r="E4198" t="str">
            <v>Tagpo National HS</v>
          </cell>
          <cell r="F4198">
            <v>0</v>
          </cell>
          <cell r="G4198">
            <v>0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</row>
        <row r="4199">
          <cell r="D4199">
            <v>312424</v>
          </cell>
          <cell r="E4199" t="str">
            <v>San Fernando NHS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</row>
        <row r="4200">
          <cell r="D4200">
            <v>302963</v>
          </cell>
          <cell r="E4200" t="str">
            <v>Paypay NHS</v>
          </cell>
          <cell r="F4200">
            <v>0</v>
          </cell>
          <cell r="G4200">
            <v>0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</row>
        <row r="4201">
          <cell r="D4201">
            <v>323003</v>
          </cell>
          <cell r="E4201" t="str">
            <v>Governor Julian L. Teves Memorial HS</v>
          </cell>
          <cell r="F4201">
            <v>0</v>
          </cell>
          <cell r="G4201">
            <v>0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</row>
        <row r="4202">
          <cell r="D4202">
            <v>303216</v>
          </cell>
          <cell r="E4202" t="str">
            <v>Bais City National Science High School</v>
          </cell>
          <cell r="F4202">
            <v>0</v>
          </cell>
          <cell r="G4202">
            <v>0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</row>
        <row r="4203">
          <cell r="D4203">
            <v>323012</v>
          </cell>
          <cell r="E4203" t="str">
            <v>Mayor Praxedes P. Villanueva II Memorial High School</v>
          </cell>
          <cell r="F4203">
            <v>0</v>
          </cell>
          <cell r="G4203">
            <v>0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</row>
        <row r="4204">
          <cell r="D4204">
            <v>323001</v>
          </cell>
          <cell r="E4204" t="str">
            <v>Cabugan National High School</v>
          </cell>
          <cell r="F4204">
            <v>0</v>
          </cell>
          <cell r="G4204">
            <v>0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</row>
        <row r="4205">
          <cell r="D4205">
            <v>312904</v>
          </cell>
          <cell r="E4205" t="str">
            <v>Guba High School</v>
          </cell>
          <cell r="F4205">
            <v>0</v>
          </cell>
          <cell r="G4205">
            <v>0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</row>
        <row r="4206">
          <cell r="D4206">
            <v>324803</v>
          </cell>
          <cell r="E4206" t="str">
            <v>Buenavista National High School</v>
          </cell>
          <cell r="F4206">
            <v>0</v>
          </cell>
          <cell r="G4206">
            <v>0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</row>
        <row r="4207">
          <cell r="D4207">
            <v>323011</v>
          </cell>
          <cell r="E4207" t="str">
            <v>Bais City Olympia National High School</v>
          </cell>
          <cell r="F4207">
            <v>0</v>
          </cell>
          <cell r="G4207">
            <v>0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</row>
        <row r="4208">
          <cell r="D4208">
            <v>303232</v>
          </cell>
          <cell r="E4208" t="str">
            <v>Sandayao National High School</v>
          </cell>
          <cell r="F4208">
            <v>0</v>
          </cell>
          <cell r="G4208">
            <v>0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</row>
        <row r="4209">
          <cell r="D4209">
            <v>323008</v>
          </cell>
          <cell r="E4209" t="str">
            <v>OKIOT NATIONAL HIGH SCHOOL</v>
          </cell>
          <cell r="F4209">
            <v>0</v>
          </cell>
          <cell r="G4209">
            <v>1</v>
          </cell>
          <cell r="H4209">
            <v>1</v>
          </cell>
          <cell r="I4209">
            <v>0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</row>
        <row r="4210">
          <cell r="D4210">
            <v>324802</v>
          </cell>
          <cell r="E4210" t="str">
            <v>P. Zamora National High School</v>
          </cell>
          <cell r="F4210">
            <v>0</v>
          </cell>
          <cell r="G4210">
            <v>0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</row>
        <row r="4211">
          <cell r="D4211">
            <v>312910</v>
          </cell>
          <cell r="E4211" t="str">
            <v>Trinidad National High School</v>
          </cell>
          <cell r="F4211">
            <v>0</v>
          </cell>
          <cell r="G4211">
            <v>0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</row>
        <row r="4212">
          <cell r="D4212">
            <v>303230</v>
          </cell>
          <cell r="E4212" t="str">
            <v>GUIHULNGAN NATIONAL AGRICULTURAL SCHOOL</v>
          </cell>
          <cell r="F4212">
            <v>0</v>
          </cell>
          <cell r="G4212">
            <v>0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</row>
        <row r="4213">
          <cell r="D4213">
            <v>303275</v>
          </cell>
          <cell r="E4213" t="str">
            <v>Tagbino National High School</v>
          </cell>
          <cell r="F4213">
            <v>0</v>
          </cell>
          <cell r="G4213">
            <v>0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</row>
        <row r="4214">
          <cell r="D4214">
            <v>303027</v>
          </cell>
          <cell r="E4214" t="str">
            <v>Medellin National Science and Technology School</v>
          </cell>
          <cell r="F4214">
            <v>54</v>
          </cell>
          <cell r="G4214">
            <v>50</v>
          </cell>
          <cell r="H4214">
            <v>104</v>
          </cell>
          <cell r="I4214">
            <v>0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</row>
        <row r="4215">
          <cell r="D4215">
            <v>303213</v>
          </cell>
          <cell r="E4215" t="str">
            <v>Josefina T. Valencia National High School</v>
          </cell>
          <cell r="F4215">
            <v>0</v>
          </cell>
          <cell r="G4215">
            <v>0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</row>
        <row r="4216">
          <cell r="D4216">
            <v>324801</v>
          </cell>
          <cell r="E4216" t="str">
            <v>Magsaysay National High School</v>
          </cell>
          <cell r="F4216">
            <v>0</v>
          </cell>
          <cell r="G4216">
            <v>0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</row>
        <row r="4217">
          <cell r="D4217">
            <v>324805</v>
          </cell>
          <cell r="E4217" t="str">
            <v>GNHS-Lip-o Extension</v>
          </cell>
          <cell r="F4217">
            <v>0</v>
          </cell>
          <cell r="G4217">
            <v>0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</row>
        <row r="4218">
          <cell r="D4218">
            <v>312960</v>
          </cell>
          <cell r="E4218" t="str">
            <v>Pinucauan High School</v>
          </cell>
          <cell r="F4218">
            <v>0</v>
          </cell>
          <cell r="G4218">
            <v>0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</row>
        <row r="4219">
          <cell r="D4219">
            <v>324806</v>
          </cell>
          <cell r="E4219" t="str">
            <v>GNHS-P, Binobohan Annex</v>
          </cell>
          <cell r="F4219">
            <v>0</v>
          </cell>
          <cell r="G4219">
            <v>0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</row>
        <row r="4220">
          <cell r="D4220">
            <v>303233</v>
          </cell>
          <cell r="E4220" t="str">
            <v>Guihulngan NHS - Hilaitan</v>
          </cell>
          <cell r="F4220">
            <v>0</v>
          </cell>
          <cell r="G4220">
            <v>0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</row>
        <row r="4221">
          <cell r="D4221">
            <v>312952</v>
          </cell>
          <cell r="E4221" t="str">
            <v>Guihulngan National High School-Poblacion (Linantuyan Annex)</v>
          </cell>
          <cell r="F4221">
            <v>0</v>
          </cell>
          <cell r="G4221">
            <v>0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</row>
        <row r="4222">
          <cell r="D4222">
            <v>303505</v>
          </cell>
          <cell r="E4222" t="str">
            <v>Pedro E. Candido Memorial National High School</v>
          </cell>
          <cell r="F4222">
            <v>0</v>
          </cell>
          <cell r="G4222">
            <v>0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</row>
        <row r="4223">
          <cell r="D4223">
            <v>303529</v>
          </cell>
          <cell r="E4223" t="str">
            <v>Taft National High School</v>
          </cell>
          <cell r="F4223">
            <v>0</v>
          </cell>
          <cell r="G4223">
            <v>0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</row>
        <row r="4224">
          <cell r="D4224">
            <v>303334</v>
          </cell>
          <cell r="E4224" t="str">
            <v>Viga National High School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</row>
        <row r="4225">
          <cell r="D4225">
            <v>303521</v>
          </cell>
          <cell r="E4225" t="str">
            <v>Quinapondan National High School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</row>
        <row r="4226">
          <cell r="D4226">
            <v>303464</v>
          </cell>
          <cell r="E4226" t="str">
            <v>Libhu National High School</v>
          </cell>
          <cell r="F4226">
            <v>0</v>
          </cell>
          <cell r="G4226">
            <v>0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</row>
        <row r="4227">
          <cell r="D4227">
            <v>323101</v>
          </cell>
          <cell r="E4227" t="str">
            <v>Ibarra National High School</v>
          </cell>
          <cell r="F4227">
            <v>0</v>
          </cell>
          <cell r="G4227">
            <v>0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</row>
        <row r="4228">
          <cell r="D4228">
            <v>303454</v>
          </cell>
          <cell r="E4228" t="str">
            <v>Dongon NHS</v>
          </cell>
          <cell r="F4228">
            <v>0</v>
          </cell>
          <cell r="G4228">
            <v>0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</row>
        <row r="4229">
          <cell r="D4229">
            <v>303469</v>
          </cell>
          <cell r="E4229" t="str">
            <v>Manhilo National High School</v>
          </cell>
          <cell r="F4229">
            <v>0</v>
          </cell>
          <cell r="G4229">
            <v>0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</row>
        <row r="4230">
          <cell r="D4230">
            <v>344781</v>
          </cell>
          <cell r="E4230" t="str">
            <v>Stand Alone SHS within San Rafael ES</v>
          </cell>
          <cell r="F4230">
            <v>0</v>
          </cell>
          <cell r="G4230">
            <v>0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</row>
        <row r="4231">
          <cell r="D4231">
            <v>303474</v>
          </cell>
          <cell r="E4231" t="str">
            <v>Nonok Norte NHS</v>
          </cell>
          <cell r="F4231">
            <v>0</v>
          </cell>
          <cell r="G4231">
            <v>0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</row>
        <row r="4232">
          <cell r="D4232">
            <v>303467</v>
          </cell>
          <cell r="E4232" t="str">
            <v>Maasin Vocational High School</v>
          </cell>
          <cell r="F4232">
            <v>0</v>
          </cell>
          <cell r="G4232">
            <v>0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</row>
        <row r="4233">
          <cell r="D4233">
            <v>313401</v>
          </cell>
          <cell r="E4233" t="str">
            <v>Maasin City NHS</v>
          </cell>
          <cell r="F4233">
            <v>0</v>
          </cell>
          <cell r="G4233">
            <v>0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</row>
        <row r="4234">
          <cell r="D4234">
            <v>303524</v>
          </cell>
          <cell r="E4234" t="str">
            <v>San Julian National High School</v>
          </cell>
          <cell r="F4234">
            <v>0</v>
          </cell>
          <cell r="G4234">
            <v>0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</row>
        <row r="4235">
          <cell r="D4235">
            <v>313509</v>
          </cell>
          <cell r="E4235" t="str">
            <v>Salcedo Vocational High School</v>
          </cell>
          <cell r="F4235">
            <v>0</v>
          </cell>
          <cell r="G4235">
            <v>0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</row>
        <row r="4236">
          <cell r="D4236">
            <v>303518</v>
          </cell>
          <cell r="E4236" t="str">
            <v>Mercedes National High School</v>
          </cell>
          <cell r="F4236">
            <v>0</v>
          </cell>
          <cell r="G4236">
            <v>0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</row>
        <row r="4237">
          <cell r="D4237">
            <v>303512</v>
          </cell>
          <cell r="E4237" t="str">
            <v>Lawaan National School of Craftsmanship and Home Industries</v>
          </cell>
          <cell r="F4237">
            <v>0</v>
          </cell>
          <cell r="G4237">
            <v>0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</row>
        <row r="4238">
          <cell r="D4238">
            <v>303377</v>
          </cell>
          <cell r="E4238" t="str">
            <v>Inopacan  National High School</v>
          </cell>
          <cell r="F4238">
            <v>0</v>
          </cell>
          <cell r="G4238">
            <v>0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</row>
        <row r="4239">
          <cell r="D4239">
            <v>303478</v>
          </cell>
          <cell r="E4239" t="str">
            <v>Pinut-an National High School</v>
          </cell>
          <cell r="F4239">
            <v>24</v>
          </cell>
          <cell r="G4239">
            <v>18</v>
          </cell>
          <cell r="H4239">
            <v>42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</row>
        <row r="4240">
          <cell r="D4240">
            <v>303502</v>
          </cell>
          <cell r="E4240" t="str">
            <v>Giporlos National Trade School</v>
          </cell>
          <cell r="F4240">
            <v>0</v>
          </cell>
          <cell r="G4240">
            <v>0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</row>
        <row r="4241">
          <cell r="D4241">
            <v>303449</v>
          </cell>
          <cell r="E4241" t="str">
            <v>Consolacion National High School</v>
          </cell>
          <cell r="F4241">
            <v>0</v>
          </cell>
          <cell r="G4241">
            <v>0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</row>
        <row r="4242">
          <cell r="D4242">
            <v>303513</v>
          </cell>
          <cell r="E4242" t="str">
            <v>Llorente National High School</v>
          </cell>
          <cell r="F4242">
            <v>0</v>
          </cell>
          <cell r="G4242">
            <v>0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</row>
        <row r="4243">
          <cell r="D4243">
            <v>313307</v>
          </cell>
          <cell r="E4243" t="str">
            <v>Jugaban National High School</v>
          </cell>
          <cell r="F4243">
            <v>0</v>
          </cell>
          <cell r="G4243">
            <v>0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</row>
        <row r="4244">
          <cell r="D4244">
            <v>313403</v>
          </cell>
          <cell r="E4244" t="str">
            <v>Bontoc National High School</v>
          </cell>
          <cell r="F4244">
            <v>0</v>
          </cell>
          <cell r="G4244">
            <v>0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</row>
        <row r="4245">
          <cell r="D4245">
            <v>303490</v>
          </cell>
          <cell r="E4245" t="str">
            <v>Tambis NHS</v>
          </cell>
          <cell r="F4245">
            <v>0</v>
          </cell>
          <cell r="G4245">
            <v>0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</row>
        <row r="4246">
          <cell r="D4246">
            <v>303402</v>
          </cell>
          <cell r="E4246" t="str">
            <v>Marao National High School</v>
          </cell>
          <cell r="F4246">
            <v>0</v>
          </cell>
          <cell r="G4246">
            <v>0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</row>
        <row r="4247">
          <cell r="D4247">
            <v>313502</v>
          </cell>
          <cell r="E4247" t="str">
            <v>Southern Samar National Comprehensive High School</v>
          </cell>
          <cell r="F4247">
            <v>8</v>
          </cell>
          <cell r="G4247">
            <v>4</v>
          </cell>
          <cell r="H4247">
            <v>12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</row>
        <row r="4248">
          <cell r="D4248">
            <v>313811</v>
          </cell>
          <cell r="E4248" t="str">
            <v>Malaga NHS - Pena I Annex School</v>
          </cell>
          <cell r="F4248">
            <v>49</v>
          </cell>
          <cell r="G4248">
            <v>55</v>
          </cell>
          <cell r="H4248">
            <v>104</v>
          </cell>
          <cell r="I4248">
            <v>32</v>
          </cell>
          <cell r="J4248">
            <v>45</v>
          </cell>
          <cell r="K4248">
            <v>77</v>
          </cell>
          <cell r="L4248">
            <v>49</v>
          </cell>
          <cell r="M4248">
            <v>62</v>
          </cell>
          <cell r="N4248">
            <v>111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</row>
        <row r="4249">
          <cell r="D4249">
            <v>303455</v>
          </cell>
          <cell r="E4249" t="str">
            <v>Esperanza National High School</v>
          </cell>
          <cell r="F4249">
            <v>0</v>
          </cell>
          <cell r="G4249">
            <v>0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</row>
        <row r="4250">
          <cell r="D4250">
            <v>302079</v>
          </cell>
          <cell r="E4250" t="str">
            <v>Padre Burgos National Technical Vocational High School</v>
          </cell>
          <cell r="F4250">
            <v>0</v>
          </cell>
          <cell r="G4250">
            <v>0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</row>
        <row r="4251">
          <cell r="D4251">
            <v>303374</v>
          </cell>
          <cell r="E4251" t="str">
            <v>Hilongos National Vocational School</v>
          </cell>
          <cell r="F4251">
            <v>0</v>
          </cell>
          <cell r="G4251">
            <v>0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</row>
        <row r="4252">
          <cell r="D4252">
            <v>303523</v>
          </cell>
          <cell r="E4252" t="str">
            <v>Samar National Pilot Opportunity School of Agriculture</v>
          </cell>
          <cell r="F4252">
            <v>0</v>
          </cell>
          <cell r="G4252">
            <v>0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</row>
        <row r="4253">
          <cell r="D4253">
            <v>303460</v>
          </cell>
          <cell r="E4253" t="str">
            <v>Himbangan National High School</v>
          </cell>
          <cell r="F4253">
            <v>0</v>
          </cell>
          <cell r="G4253">
            <v>0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</row>
        <row r="4254">
          <cell r="D4254">
            <v>303466</v>
          </cell>
          <cell r="E4254" t="str">
            <v>Lungsodaan National High School</v>
          </cell>
          <cell r="F4254">
            <v>0</v>
          </cell>
          <cell r="G4254">
            <v>0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</row>
        <row r="4255">
          <cell r="D4255">
            <v>303483</v>
          </cell>
          <cell r="E4255" t="str">
            <v>San Ricardo National High School</v>
          </cell>
          <cell r="F4255">
            <v>51</v>
          </cell>
          <cell r="G4255">
            <v>3</v>
          </cell>
          <cell r="H4255">
            <v>54</v>
          </cell>
          <cell r="I4255">
            <v>5</v>
          </cell>
          <cell r="J4255">
            <v>3</v>
          </cell>
          <cell r="K4255">
            <v>8</v>
          </cell>
          <cell r="L4255">
            <v>5</v>
          </cell>
          <cell r="M4255">
            <v>0</v>
          </cell>
          <cell r="N4255">
            <v>5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</row>
        <row r="4256">
          <cell r="D4256">
            <v>313407</v>
          </cell>
          <cell r="E4256" t="str">
            <v>New Guinsaugon National High School</v>
          </cell>
          <cell r="F4256">
            <v>0</v>
          </cell>
          <cell r="G4256">
            <v>0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</row>
        <row r="4257">
          <cell r="D4257">
            <v>303481</v>
          </cell>
          <cell r="E4257" t="str">
            <v>San Juan NHS</v>
          </cell>
          <cell r="F4257">
            <v>0</v>
          </cell>
          <cell r="G4257">
            <v>0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</row>
        <row r="4258">
          <cell r="D4258">
            <v>303456</v>
          </cell>
          <cell r="E4258" t="str">
            <v>Estela National High School</v>
          </cell>
          <cell r="F4258">
            <v>0</v>
          </cell>
          <cell r="G4258">
            <v>0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</row>
        <row r="4259">
          <cell r="D4259">
            <v>303364</v>
          </cell>
          <cell r="E4259" t="str">
            <v>Conalum National High School</v>
          </cell>
          <cell r="F4259">
            <v>0</v>
          </cell>
          <cell r="G4259">
            <v>0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</row>
        <row r="4260">
          <cell r="D4260">
            <v>303447</v>
          </cell>
          <cell r="E4260" t="str">
            <v>Hinunangan National High School</v>
          </cell>
          <cell r="F4260">
            <v>0</v>
          </cell>
          <cell r="G4260">
            <v>0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</row>
        <row r="4261">
          <cell r="D4261">
            <v>303418</v>
          </cell>
          <cell r="E4261" t="str">
            <v>Pinamopoan National High School</v>
          </cell>
          <cell r="F4261">
            <v>0</v>
          </cell>
          <cell r="G4261">
            <v>0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</row>
        <row r="4262">
          <cell r="D4262">
            <v>303462</v>
          </cell>
          <cell r="E4262" t="str">
            <v>Ichon National High School</v>
          </cell>
          <cell r="F4262">
            <v>0</v>
          </cell>
          <cell r="G4262">
            <v>0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</row>
        <row r="4263">
          <cell r="D4263">
            <v>313204</v>
          </cell>
          <cell r="E4263" t="str">
            <v>Naval Night High School</v>
          </cell>
          <cell r="F4263">
            <v>0</v>
          </cell>
          <cell r="G4263">
            <v>0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</row>
        <row r="4264">
          <cell r="D4264">
            <v>303434</v>
          </cell>
          <cell r="E4264" t="str">
            <v>Tabango National High School</v>
          </cell>
          <cell r="F4264">
            <v>0</v>
          </cell>
          <cell r="G4264">
            <v>0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</row>
        <row r="4265">
          <cell r="D4265">
            <v>303335</v>
          </cell>
          <cell r="E4265" t="str">
            <v>Abuyog National High School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</row>
        <row r="4266">
          <cell r="D4266">
            <v>303444</v>
          </cell>
          <cell r="E4266" t="str">
            <v>Anahawan National Vocational High Schoolchool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</row>
        <row r="4267">
          <cell r="D4267">
            <v>303508</v>
          </cell>
          <cell r="E4267" t="str">
            <v>Homonhon National High School</v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</row>
        <row r="4268">
          <cell r="D4268">
            <v>303472</v>
          </cell>
          <cell r="E4268" t="str">
            <v>Rito Monte de Ramos Sr. MHS (Nahaong NHS)</v>
          </cell>
          <cell r="F4268">
            <v>0</v>
          </cell>
          <cell r="G4268">
            <v>0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</row>
        <row r="4269">
          <cell r="D4269">
            <v>303493</v>
          </cell>
          <cell r="E4269" t="str">
            <v>Alugan National School of Craftsmanship and Home Industries</v>
          </cell>
          <cell r="F4269">
            <v>0</v>
          </cell>
          <cell r="G4269">
            <v>0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</row>
        <row r="4270">
          <cell r="D4270">
            <v>303387</v>
          </cell>
          <cell r="E4270" t="str">
            <v>Leyte Agro-Industrial School</v>
          </cell>
          <cell r="F4270">
            <v>0</v>
          </cell>
          <cell r="G4270">
            <v>0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</row>
        <row r="4271">
          <cell r="D4271">
            <v>303459</v>
          </cell>
          <cell r="E4271" t="str">
            <v>Himay-angan NHS</v>
          </cell>
          <cell r="F4271">
            <v>0</v>
          </cell>
          <cell r="G4271">
            <v>0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</row>
        <row r="4272">
          <cell r="D4272">
            <v>313801</v>
          </cell>
          <cell r="E4272" t="str">
            <v>Calbayog City National High School</v>
          </cell>
          <cell r="F4272">
            <v>0</v>
          </cell>
          <cell r="G4272">
            <v>0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</row>
        <row r="4273">
          <cell r="D4273">
            <v>303576</v>
          </cell>
          <cell r="E4273" t="str">
            <v>San Antonio NHS</v>
          </cell>
          <cell r="F4273">
            <v>0</v>
          </cell>
          <cell r="G4273">
            <v>0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</row>
        <row r="4274">
          <cell r="D4274">
            <v>303389</v>
          </cell>
          <cell r="E4274" t="str">
            <v>Villaba National High School (LNCAST)</v>
          </cell>
          <cell r="F4274">
            <v>0</v>
          </cell>
          <cell r="G4274">
            <v>0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</row>
        <row r="4275">
          <cell r="D4275">
            <v>303476</v>
          </cell>
          <cell r="E4275" t="str">
            <v>Pintuyan National High School</v>
          </cell>
          <cell r="F4275">
            <v>0</v>
          </cell>
          <cell r="G4275">
            <v>0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</row>
        <row r="4276">
          <cell r="D4276">
            <v>313514</v>
          </cell>
          <cell r="E4276" t="str">
            <v>Maydolong National High School</v>
          </cell>
          <cell r="F4276">
            <v>182</v>
          </cell>
          <cell r="G4276">
            <v>175</v>
          </cell>
          <cell r="H4276">
            <v>357</v>
          </cell>
          <cell r="I4276">
            <v>54</v>
          </cell>
          <cell r="J4276">
            <v>63</v>
          </cell>
          <cell r="K4276">
            <v>117</v>
          </cell>
          <cell r="L4276">
            <v>54</v>
          </cell>
          <cell r="M4276">
            <v>63</v>
          </cell>
          <cell r="N4276">
            <v>117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37</v>
          </cell>
          <cell r="V4276">
            <v>44</v>
          </cell>
          <cell r="W4276">
            <v>81</v>
          </cell>
          <cell r="X4276">
            <v>5</v>
          </cell>
          <cell r="Y4276">
            <v>11</v>
          </cell>
          <cell r="Z4276">
            <v>16</v>
          </cell>
        </row>
        <row r="4277">
          <cell r="D4277">
            <v>303477</v>
          </cell>
          <cell r="E4277" t="str">
            <v>Pintuyan National Vocational High School</v>
          </cell>
          <cell r="F4277">
            <v>0</v>
          </cell>
          <cell r="G4277">
            <v>0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</row>
        <row r="4278">
          <cell r="D4278">
            <v>303346</v>
          </cell>
          <cell r="E4278" t="str">
            <v>Bato National High School</v>
          </cell>
          <cell r="F4278">
            <v>0</v>
          </cell>
          <cell r="G4278">
            <v>0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</row>
        <row r="4279">
          <cell r="D4279">
            <v>303501</v>
          </cell>
          <cell r="E4279" t="str">
            <v>Gen. MacArthur National Agricultural School</v>
          </cell>
          <cell r="F4279">
            <v>0</v>
          </cell>
          <cell r="G4279">
            <v>0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</row>
        <row r="4280">
          <cell r="D4280">
            <v>303470</v>
          </cell>
          <cell r="E4280" t="str">
            <v>Marayag National High School</v>
          </cell>
          <cell r="F4280">
            <v>0</v>
          </cell>
          <cell r="G4280">
            <v>0</v>
          </cell>
          <cell r="H4280">
            <v>0</v>
          </cell>
          <cell r="I4280">
            <v>0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</row>
        <row r="4281">
          <cell r="D4281">
            <v>303499</v>
          </cell>
          <cell r="E4281" t="str">
            <v>Dolores National High School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</row>
        <row r="4282">
          <cell r="D4282">
            <v>313411</v>
          </cell>
          <cell r="E4282" t="str">
            <v>Libagon National High School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</row>
        <row r="4283">
          <cell r="D4283">
            <v>313323</v>
          </cell>
          <cell r="E4283" t="str">
            <v>Ciabu National High School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</row>
        <row r="4284">
          <cell r="D4284">
            <v>303473</v>
          </cell>
          <cell r="E4284" t="str">
            <v>Nava NHS</v>
          </cell>
          <cell r="F4284">
            <v>0</v>
          </cell>
          <cell r="G4284">
            <v>0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</row>
        <row r="4285">
          <cell r="D4285">
            <v>303471</v>
          </cell>
          <cell r="E4285" t="str">
            <v>Mercedes NHS</v>
          </cell>
          <cell r="F4285">
            <v>0</v>
          </cell>
          <cell r="G4285">
            <v>0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</row>
        <row r="4286">
          <cell r="D4286">
            <v>303495</v>
          </cell>
          <cell r="E4286" t="str">
            <v>Balangkayan National High School</v>
          </cell>
          <cell r="F4286">
            <v>0</v>
          </cell>
          <cell r="G4286">
            <v>0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</row>
        <row r="4287">
          <cell r="D4287">
            <v>313409</v>
          </cell>
          <cell r="E4287" t="str">
            <v>Liloan National Technical Vocational High School</v>
          </cell>
          <cell r="F4287">
            <v>0</v>
          </cell>
          <cell r="G4287">
            <v>0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</row>
        <row r="4288">
          <cell r="D4288">
            <v>303520</v>
          </cell>
          <cell r="E4288" t="str">
            <v>Oras National High School</v>
          </cell>
          <cell r="F4288">
            <v>0</v>
          </cell>
          <cell r="G4288">
            <v>0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</row>
        <row r="4289">
          <cell r="D4289">
            <v>303325</v>
          </cell>
          <cell r="E4289" t="str">
            <v>Fidel M. Limpiado Sr. NHS</v>
          </cell>
          <cell r="F4289">
            <v>0</v>
          </cell>
          <cell r="G4289">
            <v>0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</row>
        <row r="4290">
          <cell r="D4290">
            <v>303401</v>
          </cell>
          <cell r="E4290" t="str">
            <v>Malibago National High School</v>
          </cell>
          <cell r="F4290">
            <v>0</v>
          </cell>
          <cell r="G4290">
            <v>0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</row>
        <row r="4291">
          <cell r="D4291">
            <v>303420</v>
          </cell>
          <cell r="E4291" t="str">
            <v>Pomponan National High School</v>
          </cell>
          <cell r="F4291">
            <v>0</v>
          </cell>
          <cell r="G4291">
            <v>0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</row>
        <row r="4292">
          <cell r="D4292">
            <v>303489</v>
          </cell>
          <cell r="E4292" t="str">
            <v>Sta. Paz National High School</v>
          </cell>
          <cell r="F4292">
            <v>0</v>
          </cell>
          <cell r="G4292">
            <v>0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</row>
        <row r="4293">
          <cell r="D4293">
            <v>303663</v>
          </cell>
          <cell r="E4293" t="str">
            <v>Leyte National High School</v>
          </cell>
          <cell r="F4293">
            <v>0</v>
          </cell>
          <cell r="G4293">
            <v>0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</row>
        <row r="4294">
          <cell r="D4294">
            <v>314005</v>
          </cell>
          <cell r="E4294" t="str">
            <v>Scandinavian National High School</v>
          </cell>
          <cell r="F4294">
            <v>0</v>
          </cell>
          <cell r="G4294">
            <v>0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</row>
        <row r="4295">
          <cell r="D4295">
            <v>344881</v>
          </cell>
          <cell r="E4295" t="str">
            <v>Sto. Nino Senior High School</v>
          </cell>
          <cell r="F4295">
            <v>0</v>
          </cell>
          <cell r="G4295">
            <v>0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</row>
        <row r="4296">
          <cell r="D4296">
            <v>303509</v>
          </cell>
          <cell r="E4296" t="str">
            <v>Homonhon National High School - Sulangan Annex</v>
          </cell>
          <cell r="F4296">
            <v>0</v>
          </cell>
          <cell r="G4296">
            <v>0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</row>
        <row r="4297">
          <cell r="D4297">
            <v>313308</v>
          </cell>
          <cell r="E4297" t="str">
            <v>Juan V. Delantar National High School</v>
          </cell>
          <cell r="F4297">
            <v>0</v>
          </cell>
          <cell r="G4297">
            <v>0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</row>
        <row r="4298">
          <cell r="D4298">
            <v>344593</v>
          </cell>
          <cell r="E4298" t="str">
            <v>Baybay City Senior High School</v>
          </cell>
          <cell r="F4298">
            <v>47</v>
          </cell>
          <cell r="G4298">
            <v>39</v>
          </cell>
          <cell r="H4298">
            <v>86</v>
          </cell>
          <cell r="I4298">
            <v>0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</row>
        <row r="4299">
          <cell r="D4299">
            <v>303320</v>
          </cell>
          <cell r="E4299" t="str">
            <v>Biliran National Agricultural High School</v>
          </cell>
          <cell r="F4299">
            <v>0</v>
          </cell>
          <cell r="G4299">
            <v>0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</row>
        <row r="4300">
          <cell r="D4300">
            <v>303488</v>
          </cell>
          <cell r="E4300" t="str">
            <v>Sta. Cruz NHS</v>
          </cell>
          <cell r="F4300">
            <v>0</v>
          </cell>
          <cell r="G4300">
            <v>0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</row>
        <row r="4301">
          <cell r="D4301">
            <v>303649</v>
          </cell>
          <cell r="E4301" t="str">
            <v>R. Lentejas Mem. School Of Fisheries</v>
          </cell>
          <cell r="F4301">
            <v>117</v>
          </cell>
          <cell r="G4301">
            <v>90</v>
          </cell>
          <cell r="H4301">
            <v>207</v>
          </cell>
          <cell r="I4301">
            <v>4</v>
          </cell>
          <cell r="J4301">
            <v>1</v>
          </cell>
          <cell r="K4301">
            <v>5</v>
          </cell>
          <cell r="L4301">
            <v>4</v>
          </cell>
          <cell r="M4301">
            <v>1</v>
          </cell>
          <cell r="N4301">
            <v>5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</row>
        <row r="4302">
          <cell r="D4302">
            <v>303652</v>
          </cell>
          <cell r="E4302" t="str">
            <v>Tarabucan National High School</v>
          </cell>
          <cell r="F4302">
            <v>0</v>
          </cell>
          <cell r="G4302">
            <v>0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</row>
        <row r="4303">
          <cell r="D4303">
            <v>303516</v>
          </cell>
          <cell r="E4303" t="str">
            <v>Matarinao School of Fisheries</v>
          </cell>
          <cell r="F4303">
            <v>0</v>
          </cell>
          <cell r="G4303">
            <v>0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</row>
        <row r="4304">
          <cell r="D4304">
            <v>303527</v>
          </cell>
          <cell r="E4304" t="str">
            <v>Sulat National High School</v>
          </cell>
          <cell r="F4304">
            <v>0</v>
          </cell>
          <cell r="G4304">
            <v>0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</row>
        <row r="4305">
          <cell r="D4305">
            <v>303378</v>
          </cell>
          <cell r="E4305" t="str">
            <v>Isabel National High School</v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</row>
        <row r="4306">
          <cell r="D4306">
            <v>303515</v>
          </cell>
          <cell r="E4306" t="str">
            <v>Maslog National High School</v>
          </cell>
          <cell r="F4306">
            <v>0</v>
          </cell>
          <cell r="G4306">
            <v>0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</row>
        <row r="4307">
          <cell r="D4307">
            <v>303503</v>
          </cell>
          <cell r="E4307" t="str">
            <v>Guiuan National High School</v>
          </cell>
          <cell r="F4307">
            <v>497</v>
          </cell>
          <cell r="G4307">
            <v>280</v>
          </cell>
          <cell r="H4307">
            <v>777</v>
          </cell>
          <cell r="I4307">
            <v>103</v>
          </cell>
          <cell r="J4307">
            <v>150</v>
          </cell>
          <cell r="K4307">
            <v>253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4</v>
          </cell>
          <cell r="Y4307">
            <v>0</v>
          </cell>
          <cell r="Z4307">
            <v>4</v>
          </cell>
        </row>
        <row r="4308">
          <cell r="D4308">
            <v>303648</v>
          </cell>
          <cell r="E4308" t="str">
            <v>Pilar National Agricultural High School</v>
          </cell>
          <cell r="F4308">
            <v>0</v>
          </cell>
          <cell r="G4308">
            <v>0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</row>
        <row r="4309">
          <cell r="D4309">
            <v>303436</v>
          </cell>
          <cell r="E4309" t="str">
            <v>Tahud National High School</v>
          </cell>
          <cell r="F4309">
            <v>0</v>
          </cell>
          <cell r="G4309">
            <v>0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</row>
        <row r="4310">
          <cell r="D4310">
            <v>303319</v>
          </cell>
          <cell r="E4310" t="str">
            <v>Almeria NHS</v>
          </cell>
          <cell r="F4310">
            <v>0</v>
          </cell>
          <cell r="G4310">
            <v>0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</row>
        <row r="4311">
          <cell r="D4311">
            <v>303510</v>
          </cell>
          <cell r="E4311" t="str">
            <v>Jipapad National High School</v>
          </cell>
          <cell r="F4311">
            <v>0</v>
          </cell>
          <cell r="G4311">
            <v>0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</row>
        <row r="4312">
          <cell r="D4312">
            <v>303650</v>
          </cell>
          <cell r="E4312" t="str">
            <v>San Joaquin National HIgh School</v>
          </cell>
          <cell r="F4312">
            <v>0</v>
          </cell>
          <cell r="G4312">
            <v>0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</row>
        <row r="4313">
          <cell r="D4313">
            <v>303465</v>
          </cell>
          <cell r="E4313" t="str">
            <v>LIMASAWA NATIONAL HIGH SCHOOL</v>
          </cell>
          <cell r="F4313">
            <v>12</v>
          </cell>
          <cell r="G4313">
            <v>3</v>
          </cell>
          <cell r="H4313">
            <v>15</v>
          </cell>
          <cell r="I4313">
            <v>0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</row>
        <row r="4314">
          <cell r="D4314">
            <v>303526</v>
          </cell>
          <cell r="E4314" t="str">
            <v>Maypangdan NHS</v>
          </cell>
          <cell r="F4314">
            <v>0</v>
          </cell>
          <cell r="G4314">
            <v>0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</row>
        <row r="4315">
          <cell r="D4315">
            <v>313202</v>
          </cell>
          <cell r="E4315" t="str">
            <v>Biliran Science High School</v>
          </cell>
          <cell r="F4315">
            <v>0</v>
          </cell>
          <cell r="G4315">
            <v>0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0</v>
          </cell>
          <cell r="U4315">
            <v>0</v>
          </cell>
          <cell r="V4315">
            <v>0</v>
          </cell>
          <cell r="W4315">
            <v>0</v>
          </cell>
          <cell r="X4315">
            <v>0</v>
          </cell>
          <cell r="Y4315">
            <v>0</v>
          </cell>
          <cell r="Z4315">
            <v>0</v>
          </cell>
        </row>
        <row r="4316">
          <cell r="D4316">
            <v>303494</v>
          </cell>
          <cell r="E4316" t="str">
            <v>Arteche National High School</v>
          </cell>
          <cell r="F4316">
            <v>0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</row>
        <row r="4317">
          <cell r="D4317">
            <v>303525</v>
          </cell>
          <cell r="E4317" t="str">
            <v>Sta. Fe NHS</v>
          </cell>
          <cell r="F4317">
            <v>0</v>
          </cell>
          <cell r="G4317">
            <v>0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</row>
        <row r="4318">
          <cell r="D4318">
            <v>313510</v>
          </cell>
          <cell r="E4318" t="str">
            <v>Calingatngan NHS</v>
          </cell>
          <cell r="F4318">
            <v>0</v>
          </cell>
          <cell r="G4318">
            <v>0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</row>
        <row r="4319">
          <cell r="D4319">
            <v>303330</v>
          </cell>
          <cell r="E4319" t="str">
            <v>Naval National High School</v>
          </cell>
          <cell r="F4319">
            <v>0</v>
          </cell>
          <cell r="G4319">
            <v>0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</row>
        <row r="4320">
          <cell r="D4320">
            <v>500807</v>
          </cell>
          <cell r="E4320" t="str">
            <v>Bagacay Integrated School</v>
          </cell>
          <cell r="F4320">
            <v>0</v>
          </cell>
          <cell r="G4320">
            <v>0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</row>
        <row r="4321">
          <cell r="D4321">
            <v>303332</v>
          </cell>
          <cell r="E4321" t="str">
            <v>Tabunan National High School</v>
          </cell>
          <cell r="F4321">
            <v>0</v>
          </cell>
          <cell r="G4321">
            <v>0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</row>
        <row r="4322">
          <cell r="D4322">
            <v>303328</v>
          </cell>
          <cell r="E4322" t="str">
            <v>Caibiran National High School</v>
          </cell>
          <cell r="F4322">
            <v>0</v>
          </cell>
          <cell r="G4322">
            <v>0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</row>
        <row r="4323">
          <cell r="D4323">
            <v>313504</v>
          </cell>
          <cell r="E4323" t="str">
            <v>Benowangan NHS</v>
          </cell>
          <cell r="F4323">
            <v>0</v>
          </cell>
          <cell r="G4323">
            <v>0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</row>
        <row r="4324">
          <cell r="D4324">
            <v>303419</v>
          </cell>
          <cell r="E4324" t="str">
            <v>Plaridel National High School</v>
          </cell>
          <cell r="F4324">
            <v>0</v>
          </cell>
          <cell r="G4324">
            <v>0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</row>
        <row r="4325">
          <cell r="D4325">
            <v>303458</v>
          </cell>
          <cell r="E4325" t="str">
            <v>Hilaan NHS</v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</row>
        <row r="4326">
          <cell r="D4326">
            <v>303321</v>
          </cell>
          <cell r="E4326" t="str">
            <v>Bool NHS</v>
          </cell>
          <cell r="F4326">
            <v>0</v>
          </cell>
          <cell r="G4326">
            <v>0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</row>
        <row r="4327">
          <cell r="D4327">
            <v>303411</v>
          </cell>
          <cell r="E4327" t="str">
            <v>Muertegui National High School</v>
          </cell>
          <cell r="F4327">
            <v>0</v>
          </cell>
          <cell r="G4327">
            <v>0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</row>
        <row r="4328">
          <cell r="D4328">
            <v>313336</v>
          </cell>
          <cell r="E4328" t="str">
            <v>Bienvenido Guillera Celebre National High School</v>
          </cell>
          <cell r="F4328">
            <v>0</v>
          </cell>
          <cell r="G4328">
            <v>0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</row>
        <row r="4329">
          <cell r="D4329">
            <v>313312</v>
          </cell>
          <cell r="E4329" t="str">
            <v>Mailhi National High School</v>
          </cell>
          <cell r="F4329">
            <v>0</v>
          </cell>
          <cell r="G4329">
            <v>0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</row>
        <row r="4330">
          <cell r="D4330">
            <v>313408</v>
          </cell>
          <cell r="E4330" t="str">
            <v>Katipunan NHS</v>
          </cell>
          <cell r="F4330">
            <v>20</v>
          </cell>
          <cell r="G4330">
            <v>0</v>
          </cell>
          <cell r="H4330">
            <v>20</v>
          </cell>
          <cell r="I4330">
            <v>0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</row>
        <row r="4331">
          <cell r="D4331">
            <v>303644</v>
          </cell>
          <cell r="E4331" t="str">
            <v>Mag-ubay National High School</v>
          </cell>
          <cell r="F4331">
            <v>0</v>
          </cell>
          <cell r="G4331">
            <v>0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</row>
        <row r="4332">
          <cell r="D4332">
            <v>303338</v>
          </cell>
          <cell r="E4332" t="str">
            <v>Anahawan National High School</v>
          </cell>
          <cell r="F4332">
            <v>0</v>
          </cell>
          <cell r="G4332">
            <v>0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</row>
        <row r="4333">
          <cell r="D4333">
            <v>313501</v>
          </cell>
          <cell r="E4333" t="str">
            <v>Can-avid National High School</v>
          </cell>
          <cell r="F4333">
            <v>0</v>
          </cell>
          <cell r="G4333">
            <v>0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</row>
        <row r="4334">
          <cell r="D4334">
            <v>303461</v>
          </cell>
          <cell r="E4334" t="str">
            <v>Hingatungan NHS</v>
          </cell>
          <cell r="F4334">
            <v>0</v>
          </cell>
          <cell r="G4334">
            <v>0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</row>
        <row r="4335">
          <cell r="D4335">
            <v>303349</v>
          </cell>
          <cell r="E4335" t="str">
            <v>Bitanhuan National High School</v>
          </cell>
          <cell r="F4335">
            <v>0</v>
          </cell>
          <cell r="G4335">
            <v>0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</row>
        <row r="4336">
          <cell r="D4336">
            <v>303353</v>
          </cell>
          <cell r="E4336" t="str">
            <v>Burauen Comprehensive National High School</v>
          </cell>
          <cell r="F4336">
            <v>0</v>
          </cell>
          <cell r="G4336">
            <v>0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</row>
        <row r="4337">
          <cell r="D4337">
            <v>303451</v>
          </cell>
          <cell r="E4337" t="str">
            <v>Divisoria NHS</v>
          </cell>
          <cell r="F4337">
            <v>0</v>
          </cell>
          <cell r="G4337">
            <v>0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</row>
        <row r="4338">
          <cell r="D4338">
            <v>303352</v>
          </cell>
          <cell r="E4338" t="str">
            <v>Bung-aw National High School</v>
          </cell>
          <cell r="F4338">
            <v>0</v>
          </cell>
          <cell r="G4338">
            <v>0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</row>
        <row r="4339">
          <cell r="D4339">
            <v>303653</v>
          </cell>
          <cell r="E4339" t="str">
            <v>Trinidad National High School-Main Campus</v>
          </cell>
          <cell r="F4339">
            <v>0</v>
          </cell>
          <cell r="G4339">
            <v>0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</row>
        <row r="4340">
          <cell r="D4340">
            <v>303486</v>
          </cell>
          <cell r="E4340" t="str">
            <v>Silago NVHS</v>
          </cell>
          <cell r="F4340">
            <v>0</v>
          </cell>
          <cell r="G4340">
            <v>0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</row>
        <row r="4341">
          <cell r="D4341">
            <v>303500</v>
          </cell>
          <cell r="E4341" t="str">
            <v>E. Samar NCHS</v>
          </cell>
          <cell r="F4341">
            <v>0</v>
          </cell>
          <cell r="G4341">
            <v>0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</row>
        <row r="4342">
          <cell r="D4342">
            <v>500233</v>
          </cell>
          <cell r="E4342" t="str">
            <v>Calubian Integrated School</v>
          </cell>
          <cell r="F4342">
            <v>0</v>
          </cell>
          <cell r="G4342">
            <v>0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</row>
        <row r="4343">
          <cell r="D4343">
            <v>500238</v>
          </cell>
          <cell r="E4343" t="str">
            <v>Tabawan Integrated School</v>
          </cell>
          <cell r="F4343">
            <v>0</v>
          </cell>
          <cell r="G4343">
            <v>0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</row>
        <row r="4344">
          <cell r="D4344">
            <v>303439</v>
          </cell>
          <cell r="E4344" t="str">
            <v>Tinago National High School</v>
          </cell>
          <cell r="F4344">
            <v>0</v>
          </cell>
          <cell r="G4344">
            <v>0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</row>
        <row r="4345">
          <cell r="D4345">
            <v>327501</v>
          </cell>
          <cell r="E4345" t="str">
            <v>Banahao National High School</v>
          </cell>
          <cell r="F4345">
            <v>0</v>
          </cell>
          <cell r="G4345">
            <v>0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</row>
        <row r="4346">
          <cell r="D4346">
            <v>303322</v>
          </cell>
          <cell r="E4346" t="str">
            <v>Cabucgayan National School of Arts and Trade</v>
          </cell>
          <cell r="F4346">
            <v>0</v>
          </cell>
          <cell r="G4346">
            <v>0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</row>
        <row r="4347">
          <cell r="D4347">
            <v>303622</v>
          </cell>
          <cell r="E4347" t="str">
            <v>Antonio G. Tuason National High School</v>
          </cell>
          <cell r="F4347">
            <v>34</v>
          </cell>
          <cell r="G4347">
            <v>0</v>
          </cell>
          <cell r="H4347">
            <v>34</v>
          </cell>
          <cell r="I4347">
            <v>34</v>
          </cell>
          <cell r="J4347">
            <v>0</v>
          </cell>
          <cell r="K4347">
            <v>34</v>
          </cell>
          <cell r="L4347">
            <v>1010</v>
          </cell>
          <cell r="M4347">
            <v>0</v>
          </cell>
          <cell r="N4347">
            <v>1010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17</v>
          </cell>
          <cell r="V4347">
            <v>0</v>
          </cell>
          <cell r="W4347">
            <v>17</v>
          </cell>
          <cell r="X4347">
            <v>0</v>
          </cell>
          <cell r="Y4347">
            <v>0</v>
          </cell>
          <cell r="Z4347">
            <v>0</v>
          </cell>
        </row>
        <row r="4348">
          <cell r="D4348">
            <v>303342</v>
          </cell>
          <cell r="E4348" t="str">
            <v>Atty. Roque A. Marcos Memorial School (La Paz NHS)</v>
          </cell>
          <cell r="F4348">
            <v>0</v>
          </cell>
          <cell r="G4348">
            <v>0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</row>
        <row r="4349">
          <cell r="D4349">
            <v>313802</v>
          </cell>
          <cell r="E4349" t="str">
            <v>Migara National High School</v>
          </cell>
          <cell r="F4349">
            <v>0</v>
          </cell>
          <cell r="G4349">
            <v>0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</row>
        <row r="4350">
          <cell r="D4350">
            <v>303390</v>
          </cell>
          <cell r="E4350" t="str">
            <v>Leyte National High School</v>
          </cell>
          <cell r="F4350">
            <v>0</v>
          </cell>
          <cell r="G4350">
            <v>0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</row>
        <row r="4351">
          <cell r="D4351">
            <v>303446</v>
          </cell>
          <cell r="E4351" t="str">
            <v>Canipaan NHS</v>
          </cell>
          <cell r="F4351">
            <v>0</v>
          </cell>
          <cell r="G4351">
            <v>0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</row>
        <row r="4352">
          <cell r="D4352">
            <v>500672</v>
          </cell>
          <cell r="E4352" t="str">
            <v>Gabas Integrated School</v>
          </cell>
          <cell r="F4352">
            <v>0</v>
          </cell>
          <cell r="G4352">
            <v>0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</row>
        <row r="4353">
          <cell r="D4353">
            <v>303400</v>
          </cell>
          <cell r="E4353" t="str">
            <v>Makinhas National High School</v>
          </cell>
          <cell r="F4353">
            <v>0</v>
          </cell>
          <cell r="G4353">
            <v>0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</row>
        <row r="4354">
          <cell r="D4354">
            <v>313346</v>
          </cell>
          <cell r="E4354" t="str">
            <v>Euperfia Puda National High School</v>
          </cell>
          <cell r="F4354">
            <v>0</v>
          </cell>
          <cell r="G4354">
            <v>0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</row>
        <row r="4355">
          <cell r="D4355">
            <v>303511</v>
          </cell>
          <cell r="E4355" t="str">
            <v>Lalawigan NHS</v>
          </cell>
          <cell r="F4355">
            <v>0</v>
          </cell>
          <cell r="G4355">
            <v>0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</row>
        <row r="4356">
          <cell r="D4356">
            <v>303432</v>
          </cell>
          <cell r="E4356" t="str">
            <v>Sta. Mesa National High School</v>
          </cell>
          <cell r="F4356">
            <v>0</v>
          </cell>
          <cell r="G4356">
            <v>0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</row>
        <row r="4357">
          <cell r="D4357">
            <v>303327</v>
          </cell>
          <cell r="E4357" t="str">
            <v>Lucsoon NHS</v>
          </cell>
          <cell r="F4357">
            <v>0</v>
          </cell>
          <cell r="G4357">
            <v>0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</row>
        <row r="4358">
          <cell r="D4358">
            <v>303645</v>
          </cell>
          <cell r="E4358" t="str">
            <v>Malaga National High School</v>
          </cell>
          <cell r="F4358">
            <v>0</v>
          </cell>
          <cell r="G4358">
            <v>0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</row>
        <row r="4359">
          <cell r="D4359">
            <v>313701</v>
          </cell>
          <cell r="E4359" t="str">
            <v>Catbalogan National Comprehensive High School</v>
          </cell>
          <cell r="F4359">
            <v>13</v>
          </cell>
          <cell r="G4359">
            <v>0</v>
          </cell>
          <cell r="H4359">
            <v>13</v>
          </cell>
          <cell r="I4359">
            <v>13</v>
          </cell>
          <cell r="J4359">
            <v>0</v>
          </cell>
          <cell r="K4359">
            <v>13</v>
          </cell>
          <cell r="L4359">
            <v>383</v>
          </cell>
          <cell r="M4359">
            <v>0</v>
          </cell>
          <cell r="N4359">
            <v>383</v>
          </cell>
          <cell r="O4359">
            <v>13</v>
          </cell>
          <cell r="P4359">
            <v>0</v>
          </cell>
          <cell r="Q4359">
            <v>13</v>
          </cell>
          <cell r="R4359">
            <v>2</v>
          </cell>
          <cell r="S4359">
            <v>0</v>
          </cell>
          <cell r="T4359">
            <v>2</v>
          </cell>
          <cell r="U4359">
            <v>13</v>
          </cell>
          <cell r="V4359">
            <v>0</v>
          </cell>
          <cell r="W4359">
            <v>13</v>
          </cell>
          <cell r="X4359">
            <v>0</v>
          </cell>
          <cell r="Y4359">
            <v>0</v>
          </cell>
          <cell r="Z4359">
            <v>0</v>
          </cell>
        </row>
        <row r="4360">
          <cell r="D4360">
            <v>313303</v>
          </cell>
          <cell r="E4360" t="str">
            <v>Teofilo R. Macaso Memorial NHS</v>
          </cell>
          <cell r="F4360">
            <v>0</v>
          </cell>
          <cell r="G4360">
            <v>0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</row>
        <row r="4361">
          <cell r="D4361">
            <v>313316</v>
          </cell>
          <cell r="E4361" t="str">
            <v>Baybay City National Night High School</v>
          </cell>
          <cell r="F4361">
            <v>0</v>
          </cell>
          <cell r="G4361">
            <v>0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</row>
        <row r="4362">
          <cell r="D4362">
            <v>303625</v>
          </cell>
          <cell r="E4362" t="str">
            <v>SAN ANDRES NHS</v>
          </cell>
          <cell r="F4362">
            <v>0</v>
          </cell>
          <cell r="G4362">
            <v>0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</row>
        <row r="4363">
          <cell r="D4363">
            <v>500746</v>
          </cell>
          <cell r="E4363" t="str">
            <v>Mapgap Integrated School</v>
          </cell>
          <cell r="F4363">
            <v>0</v>
          </cell>
          <cell r="G4363">
            <v>0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</row>
        <row r="4364">
          <cell r="D4364">
            <v>303362</v>
          </cell>
          <cell r="E4364" t="str">
            <v>Carigara National Vocational School</v>
          </cell>
          <cell r="F4364">
            <v>0</v>
          </cell>
          <cell r="G4364">
            <v>0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</row>
        <row r="4365">
          <cell r="D4365">
            <v>303412</v>
          </cell>
          <cell r="E4365" t="str">
            <v>Naval National High School</v>
          </cell>
          <cell r="F4365">
            <v>0</v>
          </cell>
          <cell r="G4365">
            <v>0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</row>
        <row r="4366">
          <cell r="D4366">
            <v>303421</v>
          </cell>
          <cell r="E4366" t="str">
            <v>Emeterio-Federica Gerez National High School</v>
          </cell>
          <cell r="F4366">
            <v>0</v>
          </cell>
          <cell r="G4366">
            <v>0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</row>
        <row r="4367">
          <cell r="D4367">
            <v>303646</v>
          </cell>
          <cell r="E4367" t="str">
            <v>Oquendo National High School</v>
          </cell>
          <cell r="F4367">
            <v>3</v>
          </cell>
          <cell r="G4367">
            <v>3</v>
          </cell>
          <cell r="H4367">
            <v>6</v>
          </cell>
          <cell r="I4367">
            <v>3</v>
          </cell>
          <cell r="J4367">
            <v>3</v>
          </cell>
          <cell r="K4367">
            <v>6</v>
          </cell>
          <cell r="L4367">
            <v>3</v>
          </cell>
          <cell r="M4367">
            <v>3</v>
          </cell>
          <cell r="N4367">
            <v>6</v>
          </cell>
          <cell r="O4367">
            <v>0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1</v>
          </cell>
          <cell r="V4367">
            <v>1</v>
          </cell>
          <cell r="W4367">
            <v>2</v>
          </cell>
          <cell r="X4367">
            <v>0</v>
          </cell>
          <cell r="Y4367">
            <v>0</v>
          </cell>
          <cell r="Z4367">
            <v>0</v>
          </cell>
        </row>
        <row r="4368">
          <cell r="D4368">
            <v>314004</v>
          </cell>
          <cell r="E4368" t="str">
            <v>Northern Tacloban City National High School</v>
          </cell>
          <cell r="F4368">
            <v>0</v>
          </cell>
          <cell r="G4368">
            <v>0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</row>
        <row r="4369">
          <cell r="D4369">
            <v>313304</v>
          </cell>
          <cell r="E4369" t="str">
            <v>Agapito Amado Memorial National High School</v>
          </cell>
          <cell r="F4369">
            <v>0</v>
          </cell>
          <cell r="G4369">
            <v>0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</row>
        <row r="4370">
          <cell r="D4370">
            <v>313332</v>
          </cell>
          <cell r="E4370" t="str">
            <v>Buracan National High School</v>
          </cell>
          <cell r="F4370">
            <v>0</v>
          </cell>
          <cell r="G4370">
            <v>0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</row>
        <row r="4371">
          <cell r="D4371">
            <v>344634</v>
          </cell>
          <cell r="E4371" t="str">
            <v>Calbayog Arts and Design School of Eastern Visayas</v>
          </cell>
          <cell r="F4371">
            <v>70</v>
          </cell>
          <cell r="G4371">
            <v>40</v>
          </cell>
          <cell r="H4371">
            <v>110</v>
          </cell>
          <cell r="I4371">
            <v>0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</row>
        <row r="4372">
          <cell r="D4372">
            <v>313203</v>
          </cell>
          <cell r="E4372" t="str">
            <v>ICT High School of Eastern Biliran</v>
          </cell>
          <cell r="F4372">
            <v>0</v>
          </cell>
          <cell r="G4372">
            <v>0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</row>
        <row r="4373">
          <cell r="D4373">
            <v>303323</v>
          </cell>
          <cell r="E4373" t="str">
            <v>Cabucgayan NHS</v>
          </cell>
          <cell r="F4373">
            <v>0</v>
          </cell>
          <cell r="G4373">
            <v>0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</row>
        <row r="4374">
          <cell r="D4374">
            <v>303373</v>
          </cell>
          <cell r="E4374" t="str">
            <v>Hampipila National High School</v>
          </cell>
          <cell r="F4374">
            <v>0</v>
          </cell>
          <cell r="G4374">
            <v>0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</row>
        <row r="4375">
          <cell r="D4375">
            <v>303448</v>
          </cell>
          <cell r="E4375" t="str">
            <v>Concepcion National High School</v>
          </cell>
          <cell r="F4375">
            <v>0</v>
          </cell>
          <cell r="G4375">
            <v>0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</row>
        <row r="4376">
          <cell r="D4376">
            <v>303388</v>
          </cell>
          <cell r="E4376" t="str">
            <v>Tanauan Sch. Of Craftsmanship &amp; Home Industries (LIT-Tanauan Campus)Campus</v>
          </cell>
          <cell r="F4376">
            <v>0</v>
          </cell>
          <cell r="G4376">
            <v>0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</row>
        <row r="4377">
          <cell r="D4377">
            <v>303425</v>
          </cell>
          <cell r="E4377" t="str">
            <v>San Jose National High School</v>
          </cell>
          <cell r="F4377">
            <v>3</v>
          </cell>
          <cell r="G4377">
            <v>2</v>
          </cell>
          <cell r="H4377">
            <v>5</v>
          </cell>
          <cell r="I4377">
            <v>2</v>
          </cell>
          <cell r="J4377">
            <v>2</v>
          </cell>
          <cell r="K4377">
            <v>4</v>
          </cell>
          <cell r="L4377">
            <v>5</v>
          </cell>
          <cell r="M4377">
            <v>4</v>
          </cell>
          <cell r="N4377">
            <v>9</v>
          </cell>
          <cell r="O4377">
            <v>2</v>
          </cell>
          <cell r="P4377">
            <v>2</v>
          </cell>
          <cell r="Q4377">
            <v>4</v>
          </cell>
          <cell r="R4377">
            <v>1</v>
          </cell>
          <cell r="S4377">
            <v>0</v>
          </cell>
          <cell r="T4377">
            <v>1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</row>
        <row r="4378">
          <cell r="D4378">
            <v>303651</v>
          </cell>
          <cell r="E4378" t="str">
            <v>San Policarpo National High School</v>
          </cell>
          <cell r="F4378">
            <v>0</v>
          </cell>
          <cell r="G4378">
            <v>0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</row>
        <row r="4379">
          <cell r="D4379">
            <v>303666</v>
          </cell>
          <cell r="E4379" t="str">
            <v>Sagkahan National High School</v>
          </cell>
          <cell r="F4379">
            <v>0</v>
          </cell>
          <cell r="G4379">
            <v>0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</row>
        <row r="4380">
          <cell r="D4380">
            <v>303669</v>
          </cell>
          <cell r="E4380" t="str">
            <v>Tacloban National Agricultural School</v>
          </cell>
          <cell r="F4380">
            <v>0</v>
          </cell>
          <cell r="G4380">
            <v>0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</row>
        <row r="4381">
          <cell r="D4381">
            <v>303561</v>
          </cell>
          <cell r="E4381" t="str">
            <v>Basilio B. Chan Mem. Agricultural and Industrial Sch.</v>
          </cell>
          <cell r="F4381">
            <v>0</v>
          </cell>
          <cell r="G4381">
            <v>0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</row>
        <row r="4382">
          <cell r="D4382">
            <v>303365</v>
          </cell>
          <cell r="E4382" t="str">
            <v>Concepcion National High School</v>
          </cell>
          <cell r="F4382">
            <v>0</v>
          </cell>
          <cell r="G4382">
            <v>0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</row>
        <row r="4383">
          <cell r="D4383">
            <v>313901</v>
          </cell>
          <cell r="E4383" t="str">
            <v>Lilo-an National High School</v>
          </cell>
          <cell r="F4383">
            <v>0</v>
          </cell>
          <cell r="G4383">
            <v>0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</row>
        <row r="4384">
          <cell r="D4384">
            <v>303408</v>
          </cell>
          <cell r="E4384" t="str">
            <v>Merida Vocational School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</row>
        <row r="4385">
          <cell r="D4385">
            <v>303657</v>
          </cell>
          <cell r="E4385" t="str">
            <v>Margen National High School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</row>
        <row r="4386">
          <cell r="D4386">
            <v>313515</v>
          </cell>
          <cell r="E4386" t="str">
            <v>Supt. Fidel E. Anacta, Sr. MHS</v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</row>
        <row r="4387">
          <cell r="D4387">
            <v>303368</v>
          </cell>
          <cell r="E4387" t="str">
            <v>Dr. Geronimo B. Zaldivar Memorial School of Fisheries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</row>
        <row r="4388">
          <cell r="D4388">
            <v>303619</v>
          </cell>
          <cell r="E4388" t="str">
            <v>Buenavista National High School</v>
          </cell>
          <cell r="F4388">
            <v>2</v>
          </cell>
          <cell r="G4388">
            <v>0</v>
          </cell>
          <cell r="H4388">
            <v>2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</row>
        <row r="4389">
          <cell r="D4389">
            <v>313309</v>
          </cell>
          <cell r="E4389" t="str">
            <v>Gibacungan National High School</v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</row>
        <row r="4390">
          <cell r="D4390">
            <v>303340</v>
          </cell>
          <cell r="E4390" t="str">
            <v>Astorga National High School</v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</row>
        <row r="4391">
          <cell r="D4391">
            <v>303604</v>
          </cell>
          <cell r="E4391" t="str">
            <v>Eastern Visayas Regional Science High School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</row>
        <row r="4392">
          <cell r="D4392">
            <v>303396</v>
          </cell>
          <cell r="E4392" t="str">
            <v>Lomonon National High School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</row>
        <row r="4393">
          <cell r="D4393">
            <v>313604</v>
          </cell>
          <cell r="E4393" t="str">
            <v>Bantayan NHS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</row>
        <row r="4394">
          <cell r="D4394">
            <v>303534</v>
          </cell>
          <cell r="E4394" t="str">
            <v>BIRI NATIONAL HIGH SCHOOL</v>
          </cell>
          <cell r="F4394">
            <v>0</v>
          </cell>
          <cell r="G4394">
            <v>0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</row>
        <row r="4395">
          <cell r="D4395">
            <v>303392</v>
          </cell>
          <cell r="E4395" t="str">
            <v>Alangalang Agro-Industrial School (LSU - Alangalang Campus)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</row>
        <row r="4396">
          <cell r="D4396">
            <v>303568</v>
          </cell>
          <cell r="E4396" t="str">
            <v>Nenita National High School</v>
          </cell>
          <cell r="F4396">
            <v>0</v>
          </cell>
          <cell r="G4396">
            <v>0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</row>
        <row r="4397">
          <cell r="D4397">
            <v>303535</v>
          </cell>
          <cell r="E4397" t="str">
            <v>Bobon School for Philippine Craftsmen</v>
          </cell>
          <cell r="F4397">
            <v>0</v>
          </cell>
          <cell r="G4397">
            <v>0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</row>
        <row r="4398">
          <cell r="D4398">
            <v>303540</v>
          </cell>
          <cell r="E4398" t="str">
            <v>Capul Agro-Industrial School</v>
          </cell>
          <cell r="F4398">
            <v>0</v>
          </cell>
          <cell r="G4398">
            <v>0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</row>
        <row r="4399">
          <cell r="D4399">
            <v>303531</v>
          </cell>
          <cell r="E4399" t="str">
            <v>Allen National High School</v>
          </cell>
          <cell r="F4399">
            <v>0</v>
          </cell>
          <cell r="G4399">
            <v>0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</row>
        <row r="4400">
          <cell r="D4400">
            <v>303453</v>
          </cell>
          <cell r="E4400" t="str">
            <v>Don Agustin F. Escaño NHS</v>
          </cell>
          <cell r="F4400">
            <v>0</v>
          </cell>
          <cell r="G4400">
            <v>0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</row>
        <row r="4401">
          <cell r="D4401">
            <v>303351</v>
          </cell>
          <cell r="E4401" t="str">
            <v>Bunga National High School</v>
          </cell>
          <cell r="F4401">
            <v>0</v>
          </cell>
          <cell r="G4401">
            <v>0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</row>
        <row r="4402">
          <cell r="D4402">
            <v>303424</v>
          </cell>
          <cell r="E4402" t="str">
            <v>San Joaquin National High School</v>
          </cell>
          <cell r="F4402">
            <v>0</v>
          </cell>
          <cell r="G4402">
            <v>0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</row>
        <row r="4403">
          <cell r="D4403">
            <v>303413</v>
          </cell>
          <cell r="E4403" t="str">
            <v>Pagsulhugon National High School</v>
          </cell>
          <cell r="F4403">
            <v>0</v>
          </cell>
          <cell r="G4403">
            <v>0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</row>
        <row r="4404">
          <cell r="D4404">
            <v>313398</v>
          </cell>
          <cell r="E4404" t="str">
            <v>Borseth National High School</v>
          </cell>
          <cell r="F4404">
            <v>0</v>
          </cell>
          <cell r="G4404">
            <v>0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</row>
        <row r="4405">
          <cell r="D4405">
            <v>303440</v>
          </cell>
          <cell r="E4405" t="str">
            <v>Tolosa National High School</v>
          </cell>
          <cell r="F4405">
            <v>0</v>
          </cell>
          <cell r="G4405">
            <v>0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</row>
        <row r="4406">
          <cell r="D4406">
            <v>303376</v>
          </cell>
          <cell r="E4406" t="str">
            <v>Hitudpan National High School</v>
          </cell>
          <cell r="F4406">
            <v>0</v>
          </cell>
          <cell r="G4406">
            <v>0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</row>
        <row r="4407">
          <cell r="D4407">
            <v>303339</v>
          </cell>
          <cell r="E4407" t="str">
            <v>Anahaway National High School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</row>
        <row r="4408">
          <cell r="D4408">
            <v>303662</v>
          </cell>
          <cell r="E4408" t="str">
            <v>Valencia National High School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</row>
        <row r="4409">
          <cell r="D4409">
            <v>303406</v>
          </cell>
          <cell r="E4409" t="str">
            <v>Matlang National High School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</row>
        <row r="4410">
          <cell r="D4410">
            <v>313333</v>
          </cell>
          <cell r="E4410" t="str">
            <v>Rizal National High School</v>
          </cell>
          <cell r="F4410">
            <v>0</v>
          </cell>
          <cell r="G4410">
            <v>0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</row>
        <row r="4411">
          <cell r="D4411">
            <v>303437</v>
          </cell>
          <cell r="E4411" t="str">
            <v>Tanauan National High School (San Roque NHS)</v>
          </cell>
          <cell r="F4411">
            <v>0</v>
          </cell>
          <cell r="G4411">
            <v>0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</row>
        <row r="4412">
          <cell r="D4412">
            <v>303382</v>
          </cell>
          <cell r="E4412" t="str">
            <v>Justimbaste-Remandaban National High School</v>
          </cell>
          <cell r="F4412">
            <v>0</v>
          </cell>
          <cell r="G4412">
            <v>0</v>
          </cell>
          <cell r="H4412">
            <v>0</v>
          </cell>
          <cell r="I4412">
            <v>0</v>
          </cell>
          <cell r="J4412">
            <v>0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</row>
        <row r="4413">
          <cell r="D4413">
            <v>303426</v>
          </cell>
          <cell r="E4413" t="str">
            <v>San Miguel National High School</v>
          </cell>
          <cell r="F4413">
            <v>0</v>
          </cell>
          <cell r="G4413">
            <v>0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</row>
        <row r="4414">
          <cell r="D4414">
            <v>303409</v>
          </cell>
          <cell r="E4414" t="str">
            <v>Calunangan National High School</v>
          </cell>
          <cell r="F4414">
            <v>14</v>
          </cell>
          <cell r="G4414">
            <v>15</v>
          </cell>
          <cell r="H4414">
            <v>29</v>
          </cell>
          <cell r="I4414">
            <v>9</v>
          </cell>
          <cell r="J4414">
            <v>12</v>
          </cell>
          <cell r="K4414">
            <v>21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</row>
        <row r="4415">
          <cell r="D4415">
            <v>313321</v>
          </cell>
          <cell r="E4415" t="str">
            <v>Cabatoan National High School</v>
          </cell>
          <cell r="F4415">
            <v>22</v>
          </cell>
          <cell r="G4415">
            <v>23</v>
          </cell>
          <cell r="H4415">
            <v>45</v>
          </cell>
          <cell r="I4415">
            <v>0</v>
          </cell>
          <cell r="J4415">
            <v>0</v>
          </cell>
          <cell r="K4415">
            <v>0</v>
          </cell>
          <cell r="L4415">
            <v>10</v>
          </cell>
          <cell r="M4415">
            <v>8</v>
          </cell>
          <cell r="N4415">
            <v>18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</row>
        <row r="4416">
          <cell r="D4416">
            <v>313325</v>
          </cell>
          <cell r="E4416" t="str">
            <v>Hibunauan National High School</v>
          </cell>
          <cell r="F4416">
            <v>0</v>
          </cell>
          <cell r="G4416">
            <v>0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</row>
        <row r="4417">
          <cell r="D4417">
            <v>303361</v>
          </cell>
          <cell r="E4417" t="str">
            <v>Carigara National High School</v>
          </cell>
          <cell r="F4417">
            <v>0</v>
          </cell>
          <cell r="G4417">
            <v>0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</row>
        <row r="4418">
          <cell r="D4418">
            <v>305523</v>
          </cell>
          <cell r="E4418" t="str">
            <v>Sta. Fe Stand Alone Senior High School</v>
          </cell>
          <cell r="F4418">
            <v>0</v>
          </cell>
          <cell r="G4418">
            <v>0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</row>
        <row r="4419">
          <cell r="D4419">
            <v>303429</v>
          </cell>
          <cell r="E4419" t="str">
            <v>Sta. Cruz National High School</v>
          </cell>
          <cell r="F4419">
            <v>0</v>
          </cell>
          <cell r="G4419">
            <v>0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</row>
        <row r="4420">
          <cell r="D4420">
            <v>303397</v>
          </cell>
          <cell r="E4420" t="str">
            <v>Macarthur National High School</v>
          </cell>
          <cell r="F4420">
            <v>0</v>
          </cell>
          <cell r="G4420">
            <v>0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</row>
        <row r="4421">
          <cell r="D4421">
            <v>303358</v>
          </cell>
          <cell r="E4421" t="str">
            <v>Calubian National High School (Calubian Nat'l. Voc'l. School)</v>
          </cell>
          <cell r="F4421">
            <v>0</v>
          </cell>
          <cell r="G4421">
            <v>0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</row>
        <row r="4422">
          <cell r="D4422">
            <v>313341</v>
          </cell>
          <cell r="E4422" t="str">
            <v>Mariano Salazar National High School</v>
          </cell>
          <cell r="F4422">
            <v>0</v>
          </cell>
          <cell r="G4422">
            <v>0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</row>
        <row r="4423">
          <cell r="D4423">
            <v>303654</v>
          </cell>
          <cell r="E4423" t="str">
            <v>Dolores National High School</v>
          </cell>
          <cell r="F4423">
            <v>0</v>
          </cell>
          <cell r="G4423">
            <v>0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</row>
        <row r="4424">
          <cell r="D4424">
            <v>303433</v>
          </cell>
          <cell r="E4424" t="str">
            <v>Sta. Rosa National High School</v>
          </cell>
          <cell r="F4424">
            <v>0</v>
          </cell>
          <cell r="G4424">
            <v>0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</row>
        <row r="4425">
          <cell r="D4425">
            <v>303536</v>
          </cell>
          <cell r="E4425" t="str">
            <v>Buenavista NHS</v>
          </cell>
          <cell r="F4425">
            <v>0</v>
          </cell>
          <cell r="G4425">
            <v>0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</row>
        <row r="4426">
          <cell r="D4426">
            <v>303343</v>
          </cell>
          <cell r="E4426" t="str">
            <v>Juan S. Tismo National High School (Babatngon National High School)</v>
          </cell>
          <cell r="F4426">
            <v>101</v>
          </cell>
          <cell r="G4426">
            <v>66</v>
          </cell>
          <cell r="H4426">
            <v>167</v>
          </cell>
          <cell r="I4426">
            <v>25</v>
          </cell>
          <cell r="J4426">
            <v>35</v>
          </cell>
          <cell r="K4426">
            <v>60</v>
          </cell>
          <cell r="L4426">
            <v>15</v>
          </cell>
          <cell r="M4426">
            <v>23</v>
          </cell>
          <cell r="N4426">
            <v>38</v>
          </cell>
          <cell r="O4426">
            <v>12</v>
          </cell>
          <cell r="P4426">
            <v>19</v>
          </cell>
          <cell r="Q4426">
            <v>31</v>
          </cell>
          <cell r="R4426">
            <v>4</v>
          </cell>
          <cell r="S4426">
            <v>13</v>
          </cell>
          <cell r="T4426">
            <v>17</v>
          </cell>
          <cell r="U4426">
            <v>2</v>
          </cell>
          <cell r="V4426">
            <v>4</v>
          </cell>
          <cell r="W4426">
            <v>6</v>
          </cell>
          <cell r="X4426">
            <v>0</v>
          </cell>
          <cell r="Y4426">
            <v>3</v>
          </cell>
          <cell r="Z4426">
            <v>3</v>
          </cell>
        </row>
        <row r="4427">
          <cell r="D4427">
            <v>303341</v>
          </cell>
          <cell r="E4427" t="str">
            <v>Asuncion S. Melgar National High School</v>
          </cell>
          <cell r="F4427">
            <v>0</v>
          </cell>
          <cell r="G4427">
            <v>21</v>
          </cell>
          <cell r="H4427">
            <v>21</v>
          </cell>
          <cell r="I4427">
            <v>0</v>
          </cell>
          <cell r="J4427">
            <v>21</v>
          </cell>
          <cell r="K4427">
            <v>21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</row>
        <row r="4428">
          <cell r="D4428">
            <v>303355</v>
          </cell>
          <cell r="E4428" t="str">
            <v>Cabacungan National High School</v>
          </cell>
          <cell r="F4428">
            <v>0</v>
          </cell>
          <cell r="G4428">
            <v>0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</row>
        <row r="4429">
          <cell r="D4429">
            <v>303441</v>
          </cell>
          <cell r="E4429" t="str">
            <v>Gregorio C. Catenza NHS (Tunga NHS)</v>
          </cell>
          <cell r="F4429">
            <v>0</v>
          </cell>
          <cell r="G4429">
            <v>0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</row>
        <row r="4430">
          <cell r="D4430">
            <v>344947</v>
          </cell>
          <cell r="E4430" t="str">
            <v>Victoria SHS (Stand Alone)</v>
          </cell>
          <cell r="F4430">
            <v>0</v>
          </cell>
          <cell r="G4430">
            <v>0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</row>
        <row r="4431">
          <cell r="D4431">
            <v>303656</v>
          </cell>
          <cell r="E4431" t="str">
            <v>Linao National High School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</row>
        <row r="4432">
          <cell r="D4432">
            <v>313345</v>
          </cell>
          <cell r="E4432" t="str">
            <v>Sulpa National High School</v>
          </cell>
          <cell r="F4432">
            <v>0</v>
          </cell>
          <cell r="G4432">
            <v>0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</row>
        <row r="4433">
          <cell r="D4433">
            <v>303627</v>
          </cell>
          <cell r="E4433" t="str">
            <v>San Sebastian NHS</v>
          </cell>
          <cell r="F4433">
            <v>3</v>
          </cell>
          <cell r="G4433">
            <v>2</v>
          </cell>
          <cell r="H4433">
            <v>5</v>
          </cell>
          <cell r="I4433">
            <v>0</v>
          </cell>
          <cell r="J4433">
            <v>0</v>
          </cell>
          <cell r="K4433">
            <v>0</v>
          </cell>
          <cell r="L4433">
            <v>3</v>
          </cell>
          <cell r="M4433">
            <v>2</v>
          </cell>
          <cell r="N4433">
            <v>5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</row>
        <row r="4434">
          <cell r="D4434">
            <v>303410</v>
          </cell>
          <cell r="E4434" t="str">
            <v>Puerto Bello National High School</v>
          </cell>
          <cell r="F4434">
            <v>0</v>
          </cell>
          <cell r="G4434">
            <v>0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</row>
        <row r="4435">
          <cell r="D4435">
            <v>303380</v>
          </cell>
          <cell r="E4435" t="str">
            <v>Juan Villablanca Memorial High School</v>
          </cell>
          <cell r="F4435">
            <v>0</v>
          </cell>
          <cell r="G4435">
            <v>0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</row>
        <row r="4436">
          <cell r="D4436">
            <v>313330</v>
          </cell>
          <cell r="E4436" t="str">
            <v>Manaybanay National High School</v>
          </cell>
          <cell r="F4436">
            <v>0</v>
          </cell>
          <cell r="G4436">
            <v>0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</row>
        <row r="4437">
          <cell r="D4437">
            <v>303369</v>
          </cell>
          <cell r="E4437" t="str">
            <v>Dulag National High School</v>
          </cell>
          <cell r="F4437">
            <v>0</v>
          </cell>
          <cell r="G4437">
            <v>0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</row>
        <row r="4438">
          <cell r="D4438">
            <v>303428</v>
          </cell>
          <cell r="E4438" t="str">
            <v>Sta. Ana National High School</v>
          </cell>
          <cell r="F4438">
            <v>0</v>
          </cell>
          <cell r="G4438">
            <v>0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</row>
        <row r="4439">
          <cell r="D4439">
            <v>303443</v>
          </cell>
          <cell r="E4439" t="str">
            <v>Waterloo National High school</v>
          </cell>
          <cell r="F4439">
            <v>0</v>
          </cell>
          <cell r="G4439">
            <v>0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  <cell r="Z4439">
            <v>0</v>
          </cell>
        </row>
        <row r="4440">
          <cell r="D4440">
            <v>303367</v>
          </cell>
          <cell r="E4440" t="str">
            <v>Don Mariano Salvacion Memorial National High School</v>
          </cell>
          <cell r="F4440">
            <v>0</v>
          </cell>
          <cell r="G4440">
            <v>0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  <cell r="Z4440">
            <v>0</v>
          </cell>
        </row>
        <row r="4441">
          <cell r="D4441">
            <v>303422</v>
          </cell>
          <cell r="E4441" t="str">
            <v>San Francisco National High School</v>
          </cell>
          <cell r="F4441">
            <v>0</v>
          </cell>
          <cell r="G4441">
            <v>0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  <cell r="Z4441">
            <v>0</v>
          </cell>
        </row>
        <row r="4442">
          <cell r="D4442">
            <v>313902</v>
          </cell>
          <cell r="E4442" t="str">
            <v>Pedro G. Bañez National High School</v>
          </cell>
          <cell r="F4442">
            <v>60</v>
          </cell>
          <cell r="G4442">
            <v>0</v>
          </cell>
          <cell r="H4442">
            <v>60</v>
          </cell>
          <cell r="I4442">
            <v>0</v>
          </cell>
          <cell r="J4442">
            <v>0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  <cell r="Z4442">
            <v>0</v>
          </cell>
        </row>
        <row r="4443">
          <cell r="D4443">
            <v>313717</v>
          </cell>
          <cell r="E4443" t="str">
            <v>Hinangutdan National High School</v>
          </cell>
          <cell r="F4443">
            <v>0</v>
          </cell>
          <cell r="G4443">
            <v>0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  <cell r="Z4443">
            <v>0</v>
          </cell>
        </row>
        <row r="4444">
          <cell r="D4444">
            <v>303363</v>
          </cell>
          <cell r="E4444" t="str">
            <v>Celestino De Guzman Memorial National High School</v>
          </cell>
          <cell r="F4444">
            <v>0</v>
          </cell>
          <cell r="G4444">
            <v>0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  <cell r="Z4444">
            <v>0</v>
          </cell>
        </row>
        <row r="4445">
          <cell r="D4445">
            <v>303357</v>
          </cell>
          <cell r="E4445" t="str">
            <v>Calingcaguing National High School</v>
          </cell>
          <cell r="F4445">
            <v>0</v>
          </cell>
          <cell r="G4445">
            <v>0</v>
          </cell>
          <cell r="H4445">
            <v>0</v>
          </cell>
          <cell r="I4445">
            <v>0</v>
          </cell>
          <cell r="J4445">
            <v>0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  <cell r="Z4445">
            <v>0</v>
          </cell>
        </row>
        <row r="4446">
          <cell r="D4446">
            <v>303354</v>
          </cell>
          <cell r="E4446" t="str">
            <v>Burauen National High School</v>
          </cell>
          <cell r="F4446">
            <v>0</v>
          </cell>
          <cell r="G4446">
            <v>0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</row>
        <row r="4447">
          <cell r="D4447">
            <v>330523</v>
          </cell>
          <cell r="E4447" t="str">
            <v>Ormoc City Senior High School</v>
          </cell>
          <cell r="F4447">
            <v>0</v>
          </cell>
          <cell r="G4447">
            <v>0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  <cell r="Z4447">
            <v>0</v>
          </cell>
        </row>
        <row r="4448">
          <cell r="D4448">
            <v>303371</v>
          </cell>
          <cell r="E4448" t="str">
            <v>Granja-Kalinawan National High School</v>
          </cell>
          <cell r="F4448">
            <v>0</v>
          </cell>
          <cell r="G4448">
            <v>0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  <cell r="Z4448">
            <v>0</v>
          </cell>
        </row>
        <row r="4449">
          <cell r="D4449">
            <v>303640</v>
          </cell>
          <cell r="E4449" t="str">
            <v>Quintin Quijano SAS</v>
          </cell>
          <cell r="F4449">
            <v>0</v>
          </cell>
          <cell r="G4449">
            <v>0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  <cell r="Z4449">
            <v>0</v>
          </cell>
        </row>
        <row r="4450">
          <cell r="D4450">
            <v>303391</v>
          </cell>
          <cell r="E4450" t="str">
            <v>Daniel Z. Romualdez State Comprehensive School of Fisheries</v>
          </cell>
          <cell r="F4450">
            <v>0</v>
          </cell>
          <cell r="G4450">
            <v>0</v>
          </cell>
          <cell r="H4450">
            <v>0</v>
          </cell>
          <cell r="I4450">
            <v>0</v>
          </cell>
          <cell r="J4450">
            <v>0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</row>
        <row r="4451">
          <cell r="D4451">
            <v>303405</v>
          </cell>
          <cell r="E4451" t="str">
            <v>Matalom National High School</v>
          </cell>
          <cell r="F4451">
            <v>0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  <cell r="Z4451">
            <v>0</v>
          </cell>
        </row>
        <row r="4452">
          <cell r="D4452">
            <v>313324</v>
          </cell>
          <cell r="E4452" t="str">
            <v>Barugo National High School</v>
          </cell>
          <cell r="F4452">
            <v>0</v>
          </cell>
          <cell r="G4452">
            <v>0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  <cell r="Z4452">
            <v>0</v>
          </cell>
        </row>
        <row r="4453">
          <cell r="D4453">
            <v>313343</v>
          </cell>
          <cell r="E4453" t="str">
            <v>Macalpi-ay National High School</v>
          </cell>
          <cell r="F4453">
            <v>0</v>
          </cell>
          <cell r="G4453">
            <v>0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  <cell r="Z4453">
            <v>0</v>
          </cell>
        </row>
        <row r="4454">
          <cell r="D4454">
            <v>303639</v>
          </cell>
          <cell r="E4454" t="str">
            <v>Villareal NHS</v>
          </cell>
          <cell r="F4454">
            <v>0</v>
          </cell>
          <cell r="G4454">
            <v>0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  <cell r="Z4454">
            <v>0</v>
          </cell>
        </row>
        <row r="4455">
          <cell r="D4455">
            <v>313904</v>
          </cell>
          <cell r="E4455" t="str">
            <v>Matica-a National High School</v>
          </cell>
          <cell r="F4455">
            <v>0</v>
          </cell>
          <cell r="G4455">
            <v>0</v>
          </cell>
          <cell r="H4455">
            <v>0</v>
          </cell>
          <cell r="I4455">
            <v>0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  <cell r="Z4455">
            <v>0</v>
          </cell>
        </row>
        <row r="4456">
          <cell r="D4456">
            <v>303607</v>
          </cell>
          <cell r="E4456" t="str">
            <v>Igot National High School</v>
          </cell>
          <cell r="F4456">
            <v>0</v>
          </cell>
          <cell r="G4456">
            <v>0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  <cell r="Z4456">
            <v>0</v>
          </cell>
        </row>
        <row r="4457">
          <cell r="D4457">
            <v>303661</v>
          </cell>
          <cell r="E4457" t="str">
            <v>Genaro B. Lureñana National High School</v>
          </cell>
          <cell r="F4457">
            <v>0</v>
          </cell>
          <cell r="G4457">
            <v>0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  <cell r="Z4457">
            <v>0</v>
          </cell>
        </row>
        <row r="4458">
          <cell r="D4458">
            <v>313905</v>
          </cell>
          <cell r="E4458" t="str">
            <v>Ormoc City Night High School</v>
          </cell>
          <cell r="F4458">
            <v>0</v>
          </cell>
          <cell r="G4458">
            <v>0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  <cell r="Z4458">
            <v>0</v>
          </cell>
        </row>
        <row r="4459">
          <cell r="D4459">
            <v>313903</v>
          </cell>
          <cell r="E4459" t="str">
            <v>Cabintan National High School</v>
          </cell>
          <cell r="F4459">
            <v>0</v>
          </cell>
          <cell r="G4459">
            <v>0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  <cell r="Z4459">
            <v>0</v>
          </cell>
        </row>
        <row r="4460">
          <cell r="D4460">
            <v>344795</v>
          </cell>
          <cell r="E4460" t="str">
            <v>Ormoc City Regional Sports Academy</v>
          </cell>
          <cell r="F4460">
            <v>0</v>
          </cell>
          <cell r="G4460">
            <v>0</v>
          </cell>
          <cell r="H4460">
            <v>0</v>
          </cell>
          <cell r="I4460">
            <v>0</v>
          </cell>
          <cell r="J4460">
            <v>0</v>
          </cell>
          <cell r="K4460">
            <v>0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  <cell r="Z4460">
            <v>0</v>
          </cell>
        </row>
        <row r="4461">
          <cell r="D4461">
            <v>303333</v>
          </cell>
          <cell r="E4461" t="str">
            <v>Tucdao National High School</v>
          </cell>
          <cell r="F4461">
            <v>0</v>
          </cell>
          <cell r="G4461">
            <v>0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  <cell r="Z4461">
            <v>0</v>
          </cell>
        </row>
        <row r="4462">
          <cell r="D4462">
            <v>303552</v>
          </cell>
          <cell r="E4462" t="str">
            <v>Gamay National High School</v>
          </cell>
          <cell r="F4462">
            <v>0</v>
          </cell>
          <cell r="G4462">
            <v>0</v>
          </cell>
          <cell r="H4462">
            <v>0</v>
          </cell>
          <cell r="I4462">
            <v>0</v>
          </cell>
          <cell r="J4462">
            <v>0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  <cell r="Z4462">
            <v>0</v>
          </cell>
        </row>
        <row r="4463">
          <cell r="D4463">
            <v>303660</v>
          </cell>
          <cell r="E4463" t="str">
            <v>Rustico Capahi Sr. Memorial National High School</v>
          </cell>
          <cell r="F4463">
            <v>0</v>
          </cell>
          <cell r="G4463">
            <v>0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  <cell r="Z4463">
            <v>0</v>
          </cell>
        </row>
        <row r="4464">
          <cell r="D4464">
            <v>313906</v>
          </cell>
          <cell r="E4464" t="str">
            <v>Julian C. Gantuangco NHS</v>
          </cell>
          <cell r="F4464">
            <v>0</v>
          </cell>
          <cell r="G4464">
            <v>0</v>
          </cell>
          <cell r="H4464">
            <v>0</v>
          </cell>
          <cell r="I4464">
            <v>0</v>
          </cell>
          <cell r="J4464">
            <v>0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</v>
          </cell>
          <cell r="Y4464">
            <v>0</v>
          </cell>
          <cell r="Z4464">
            <v>0</v>
          </cell>
        </row>
        <row r="4465">
          <cell r="D4465">
            <v>313728</v>
          </cell>
          <cell r="E4465" t="str">
            <v>Lamingao NHS</v>
          </cell>
          <cell r="F4465">
            <v>2</v>
          </cell>
          <cell r="G4465">
            <v>0</v>
          </cell>
          <cell r="H4465">
            <v>2</v>
          </cell>
          <cell r="I4465">
            <v>0</v>
          </cell>
          <cell r="J4465">
            <v>0</v>
          </cell>
          <cell r="K4465">
            <v>0</v>
          </cell>
          <cell r="L4465">
            <v>0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  <cell r="Z4465">
            <v>0</v>
          </cell>
        </row>
        <row r="4466">
          <cell r="D4466">
            <v>303600</v>
          </cell>
          <cell r="E4466" t="str">
            <v>Costa Rica National High School</v>
          </cell>
          <cell r="F4466">
            <v>0</v>
          </cell>
          <cell r="G4466">
            <v>0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  <cell r="Z4466">
            <v>0</v>
          </cell>
        </row>
        <row r="4467">
          <cell r="D4467">
            <v>303479</v>
          </cell>
          <cell r="E4467" t="str">
            <v>RIZAL NATIONAL HIGH SCHOOL</v>
          </cell>
          <cell r="F4467">
            <v>0</v>
          </cell>
          <cell r="G4467">
            <v>0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  <cell r="Z4467">
            <v>0</v>
          </cell>
        </row>
        <row r="4468">
          <cell r="D4468">
            <v>303602</v>
          </cell>
          <cell r="E4468" t="str">
            <v>Mualbual  National High School</v>
          </cell>
          <cell r="F4468">
            <v>0</v>
          </cell>
          <cell r="G4468">
            <v>0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  <cell r="Z4468">
            <v>0</v>
          </cell>
        </row>
        <row r="4469">
          <cell r="D4469">
            <v>313723</v>
          </cell>
          <cell r="E4469" t="str">
            <v>Parasanon NHS</v>
          </cell>
          <cell r="F4469">
            <v>0</v>
          </cell>
          <cell r="G4469">
            <v>0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  <cell r="Z4469">
            <v>0</v>
          </cell>
        </row>
        <row r="4470">
          <cell r="D4470">
            <v>303583</v>
          </cell>
          <cell r="E4470" t="str">
            <v>Silvino Lubos Vocational High School</v>
          </cell>
          <cell r="F4470">
            <v>0</v>
          </cell>
          <cell r="G4470">
            <v>0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  <cell r="Z4470">
            <v>0</v>
          </cell>
        </row>
        <row r="4471">
          <cell r="D4471">
            <v>303435</v>
          </cell>
          <cell r="E4471" t="str">
            <v>Taberna National High School</v>
          </cell>
          <cell r="F4471">
            <v>0</v>
          </cell>
          <cell r="G4471">
            <v>0</v>
          </cell>
          <cell r="H4471">
            <v>0</v>
          </cell>
          <cell r="I4471">
            <v>0</v>
          </cell>
          <cell r="J4471">
            <v>0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</row>
        <row r="4472">
          <cell r="D4472">
            <v>303612</v>
          </cell>
          <cell r="E4472" t="str">
            <v>Matuguinao National High School</v>
          </cell>
          <cell r="F4472">
            <v>0</v>
          </cell>
          <cell r="G4472">
            <v>0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  <cell r="Z4472">
            <v>0</v>
          </cell>
        </row>
        <row r="4473">
          <cell r="D4473">
            <v>313711</v>
          </cell>
          <cell r="E4473" t="str">
            <v>Casapa National High School</v>
          </cell>
          <cell r="F4473">
            <v>0</v>
          </cell>
          <cell r="G4473">
            <v>0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  <cell r="Z4473">
            <v>0</v>
          </cell>
        </row>
        <row r="4474">
          <cell r="D4474">
            <v>303605</v>
          </cell>
          <cell r="E4474" t="str">
            <v>Guintarcan NHS</v>
          </cell>
          <cell r="F4474">
            <v>0</v>
          </cell>
          <cell r="G4474">
            <v>0</v>
          </cell>
          <cell r="H4474">
            <v>0</v>
          </cell>
          <cell r="I4474">
            <v>0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</row>
        <row r="4475">
          <cell r="D4475">
            <v>303631</v>
          </cell>
          <cell r="E4475" t="str">
            <v>Sta. Rita NHS</v>
          </cell>
          <cell r="F4475">
            <v>0</v>
          </cell>
          <cell r="G4475">
            <v>0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  <cell r="Z4475">
            <v>0</v>
          </cell>
        </row>
        <row r="4476">
          <cell r="D4476">
            <v>303442</v>
          </cell>
          <cell r="E4476" t="str">
            <v>Villaba National Comprehensive High School</v>
          </cell>
          <cell r="F4476">
            <v>0</v>
          </cell>
          <cell r="G4476">
            <v>0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  <cell r="Z4476">
            <v>0</v>
          </cell>
        </row>
        <row r="4477">
          <cell r="D4477">
            <v>303599</v>
          </cell>
          <cell r="E4477" t="str">
            <v>Clarencio Calagos Mem SOF</v>
          </cell>
          <cell r="F4477">
            <v>0</v>
          </cell>
          <cell r="G4477">
            <v>0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  <cell r="Z4477">
            <v>0</v>
          </cell>
        </row>
        <row r="4478">
          <cell r="D4478">
            <v>303608</v>
          </cell>
          <cell r="E4478" t="str">
            <v>Independencia NHS</v>
          </cell>
          <cell r="F4478">
            <v>0</v>
          </cell>
          <cell r="G4478">
            <v>0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</row>
        <row r="4479">
          <cell r="D4479">
            <v>303615</v>
          </cell>
          <cell r="E4479" t="str">
            <v>Pagsanghan NHS</v>
          </cell>
          <cell r="F4479">
            <v>0</v>
          </cell>
          <cell r="G4479">
            <v>0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  <cell r="Z4479">
            <v>0</v>
          </cell>
        </row>
        <row r="4480">
          <cell r="D4480">
            <v>303609</v>
          </cell>
          <cell r="E4480" t="str">
            <v>Jiabong National High School</v>
          </cell>
          <cell r="F4480">
            <v>0</v>
          </cell>
          <cell r="G4480">
            <v>0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  <cell r="Z4480">
            <v>0</v>
          </cell>
        </row>
        <row r="4481">
          <cell r="D4481">
            <v>303606</v>
          </cell>
          <cell r="E4481" t="str">
            <v>Hinabangan NHS</v>
          </cell>
          <cell r="F4481">
            <v>0</v>
          </cell>
          <cell r="G4481">
            <v>0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  <cell r="Z4481">
            <v>0</v>
          </cell>
        </row>
        <row r="4482">
          <cell r="D4482">
            <v>313710</v>
          </cell>
          <cell r="E4482" t="str">
            <v>Cuyting Uy National High School</v>
          </cell>
          <cell r="F4482">
            <v>0</v>
          </cell>
          <cell r="G4482">
            <v>0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  <cell r="Z4482">
            <v>0</v>
          </cell>
        </row>
        <row r="4483">
          <cell r="D4483">
            <v>303614</v>
          </cell>
          <cell r="E4483" t="str">
            <v>Osmeña NHS</v>
          </cell>
          <cell r="F4483">
            <v>0</v>
          </cell>
          <cell r="G4483">
            <v>0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  <cell r="Z4483">
            <v>0</v>
          </cell>
        </row>
        <row r="4484">
          <cell r="D4484">
            <v>303566</v>
          </cell>
          <cell r="E4484" t="str">
            <v>Mondragon Agro-Ind'L HS</v>
          </cell>
          <cell r="F4484">
            <v>0</v>
          </cell>
          <cell r="G4484">
            <v>0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  <cell r="Z4484">
            <v>0</v>
          </cell>
        </row>
        <row r="4485">
          <cell r="D4485">
            <v>313315</v>
          </cell>
          <cell r="E4485" t="str">
            <v>San Guillermo National High School</v>
          </cell>
          <cell r="F4485">
            <v>0</v>
          </cell>
          <cell r="G4485">
            <v>0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  <cell r="Z4485">
            <v>0</v>
          </cell>
        </row>
        <row r="4486">
          <cell r="D4486">
            <v>303618</v>
          </cell>
          <cell r="E4486" t="str">
            <v>Ramon T. Diaz NHS</v>
          </cell>
          <cell r="F4486">
            <v>0</v>
          </cell>
          <cell r="G4486">
            <v>0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  <cell r="Z4486">
            <v>0</v>
          </cell>
        </row>
        <row r="4487">
          <cell r="D4487">
            <v>303643</v>
          </cell>
          <cell r="E4487" t="str">
            <v>Zumarraga NHS</v>
          </cell>
          <cell r="F4487">
            <v>0</v>
          </cell>
          <cell r="G4487">
            <v>0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>
            <v>0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  <cell r="Z4487">
            <v>0</v>
          </cell>
        </row>
        <row r="4488">
          <cell r="D4488">
            <v>303617</v>
          </cell>
          <cell r="E4488" t="str">
            <v>Pinabacdao NHS</v>
          </cell>
          <cell r="F4488">
            <v>0</v>
          </cell>
          <cell r="G4488">
            <v>0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  <cell r="Z4488">
            <v>0</v>
          </cell>
        </row>
        <row r="4489">
          <cell r="D4489">
            <v>303588</v>
          </cell>
          <cell r="E4489" t="str">
            <v>Almagro NHS</v>
          </cell>
          <cell r="F4489">
            <v>0</v>
          </cell>
          <cell r="G4489">
            <v>0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  <cell r="Z4489">
            <v>0</v>
          </cell>
        </row>
        <row r="4490">
          <cell r="D4490">
            <v>313337</v>
          </cell>
          <cell r="E4490" t="str">
            <v>Sta. Paz  Integrated  School</v>
          </cell>
          <cell r="F4490">
            <v>0</v>
          </cell>
          <cell r="G4490">
            <v>0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  <cell r="Z4490">
            <v>0</v>
          </cell>
        </row>
        <row r="4491">
          <cell r="D4491">
            <v>303590</v>
          </cell>
          <cell r="E4491" t="str">
            <v>Baquiw NHS</v>
          </cell>
          <cell r="F4491">
            <v>26</v>
          </cell>
          <cell r="G4491">
            <v>28</v>
          </cell>
          <cell r="H4491">
            <v>54</v>
          </cell>
          <cell r="I4491">
            <v>0</v>
          </cell>
          <cell r="J4491">
            <v>0</v>
          </cell>
          <cell r="K4491">
            <v>0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  <cell r="Z4491">
            <v>0</v>
          </cell>
        </row>
        <row r="4492">
          <cell r="D4492">
            <v>303337</v>
          </cell>
          <cell r="E4492" t="str">
            <v>Alfredo Parilla National High School</v>
          </cell>
          <cell r="F4492">
            <v>0</v>
          </cell>
          <cell r="G4492">
            <v>0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  <cell r="Z4492">
            <v>0</v>
          </cell>
        </row>
        <row r="4493">
          <cell r="D4493">
            <v>303630</v>
          </cell>
          <cell r="E4493" t="str">
            <v>Napuro NHS</v>
          </cell>
          <cell r="F4493">
            <v>0</v>
          </cell>
          <cell r="G4493">
            <v>0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  <cell r="Z4493">
            <v>0</v>
          </cell>
        </row>
        <row r="4494">
          <cell r="D4494">
            <v>303356</v>
          </cell>
          <cell r="E4494" t="str">
            <v>Cahagnaan National High School</v>
          </cell>
          <cell r="F4494">
            <v>0</v>
          </cell>
          <cell r="G4494">
            <v>0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  <cell r="Z4494">
            <v>0</v>
          </cell>
        </row>
        <row r="4495">
          <cell r="D4495">
            <v>313335</v>
          </cell>
          <cell r="E4495" t="str">
            <v>Palo National High School-Pawing Annex</v>
          </cell>
          <cell r="F4495">
            <v>0</v>
          </cell>
          <cell r="G4495">
            <v>0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  <cell r="Z4495">
            <v>0</v>
          </cell>
        </row>
        <row r="4496">
          <cell r="D4496">
            <v>303398</v>
          </cell>
          <cell r="E4496" t="str">
            <v>Mahaplag National High School</v>
          </cell>
          <cell r="F4496">
            <v>0</v>
          </cell>
          <cell r="G4496">
            <v>0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  <cell r="Z4496">
            <v>0</v>
          </cell>
        </row>
        <row r="4497">
          <cell r="D4497">
            <v>313313</v>
          </cell>
          <cell r="E4497" t="str">
            <v>Libertad National High School</v>
          </cell>
          <cell r="F4497">
            <v>0</v>
          </cell>
          <cell r="G4497">
            <v>0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  <cell r="Z4497">
            <v>0</v>
          </cell>
        </row>
        <row r="4498">
          <cell r="D4498">
            <v>303655</v>
          </cell>
          <cell r="E4498" t="str">
            <v>Ipil National High School</v>
          </cell>
          <cell r="F4498">
            <v>0</v>
          </cell>
          <cell r="G4498">
            <v>0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  <cell r="Y4498">
            <v>0</v>
          </cell>
          <cell r="Z4498">
            <v>0</v>
          </cell>
        </row>
        <row r="4499">
          <cell r="D4499">
            <v>303344</v>
          </cell>
          <cell r="E4499" t="str">
            <v>Balocawehay National High School</v>
          </cell>
          <cell r="F4499">
            <v>0</v>
          </cell>
          <cell r="G4499">
            <v>0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  <cell r="Z4499">
            <v>0</v>
          </cell>
        </row>
        <row r="4500">
          <cell r="D4500">
            <v>313724</v>
          </cell>
          <cell r="E4500" t="str">
            <v>Balocawe Integrated School</v>
          </cell>
          <cell r="F4500">
            <v>0</v>
          </cell>
          <cell r="G4500">
            <v>0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  <cell r="Z4500">
            <v>0</v>
          </cell>
        </row>
        <row r="4501">
          <cell r="D4501">
            <v>303611</v>
          </cell>
          <cell r="E4501" t="str">
            <v>Marabut NHS</v>
          </cell>
          <cell r="F4501">
            <v>0</v>
          </cell>
          <cell r="G4501">
            <v>0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  <cell r="Z4501">
            <v>0</v>
          </cell>
        </row>
        <row r="4502">
          <cell r="D4502">
            <v>303403</v>
          </cell>
          <cell r="E4502" t="str">
            <v>Marcelino R. Veloso National High School (Marcelino R. Veloso NHS)</v>
          </cell>
          <cell r="F4502">
            <v>0</v>
          </cell>
          <cell r="G4502">
            <v>0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  <cell r="Z4502">
            <v>0</v>
          </cell>
        </row>
        <row r="4503">
          <cell r="D4503">
            <v>303372</v>
          </cell>
          <cell r="E4503" t="str">
            <v>Guinarona National High School</v>
          </cell>
          <cell r="F4503">
            <v>0</v>
          </cell>
          <cell r="G4503">
            <v>0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  <cell r="Z4503">
            <v>0</v>
          </cell>
        </row>
        <row r="4504">
          <cell r="D4504">
            <v>303347</v>
          </cell>
          <cell r="E4504" t="str">
            <v>Bato School of Fisheries</v>
          </cell>
          <cell r="F4504">
            <v>0</v>
          </cell>
          <cell r="G4504">
            <v>0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  <cell r="Z4504">
            <v>0</v>
          </cell>
        </row>
        <row r="4505">
          <cell r="D4505">
            <v>313715</v>
          </cell>
          <cell r="E4505" t="str">
            <v>San Fernando NHS</v>
          </cell>
          <cell r="F4505">
            <v>0</v>
          </cell>
          <cell r="G4505">
            <v>0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  <cell r="Z4505">
            <v>0</v>
          </cell>
        </row>
        <row r="4506">
          <cell r="D4506">
            <v>303438</v>
          </cell>
          <cell r="E4506" t="str">
            <v>Tinabilan National High School</v>
          </cell>
          <cell r="F4506">
            <v>0</v>
          </cell>
          <cell r="G4506">
            <v>0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  <cell r="Z4506">
            <v>0</v>
          </cell>
        </row>
        <row r="4507">
          <cell r="D4507">
            <v>303573</v>
          </cell>
          <cell r="E4507" t="str">
            <v>Rosario National High School</v>
          </cell>
          <cell r="F4507">
            <v>0</v>
          </cell>
          <cell r="G4507">
            <v>0</v>
          </cell>
          <cell r="H4507">
            <v>0</v>
          </cell>
          <cell r="I4507">
            <v>0</v>
          </cell>
          <cell r="J4507">
            <v>0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  <cell r="Z4507">
            <v>0</v>
          </cell>
        </row>
        <row r="4508">
          <cell r="D4508">
            <v>303336</v>
          </cell>
          <cell r="E4508" t="str">
            <v>Alangalang National High School</v>
          </cell>
          <cell r="F4508">
            <v>0</v>
          </cell>
          <cell r="G4508">
            <v>0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  <cell r="Z4508">
            <v>0</v>
          </cell>
        </row>
        <row r="4509">
          <cell r="D4509">
            <v>303370</v>
          </cell>
          <cell r="E4509" t="str">
            <v>Esperanza National High School</v>
          </cell>
          <cell r="F4509">
            <v>0</v>
          </cell>
          <cell r="G4509">
            <v>0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  <cell r="Z4509">
            <v>0</v>
          </cell>
        </row>
        <row r="4510">
          <cell r="D4510">
            <v>313721</v>
          </cell>
          <cell r="E4510" t="str">
            <v>San Isidro NHS</v>
          </cell>
          <cell r="F4510">
            <v>0</v>
          </cell>
          <cell r="G4510">
            <v>0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  <cell r="Z4510">
            <v>0</v>
          </cell>
        </row>
        <row r="4511">
          <cell r="D4511">
            <v>303407</v>
          </cell>
          <cell r="E4511" t="str">
            <v>Mayorga National High School</v>
          </cell>
          <cell r="F4511">
            <v>8</v>
          </cell>
          <cell r="G4511">
            <v>5</v>
          </cell>
          <cell r="H4511">
            <v>13</v>
          </cell>
          <cell r="I4511">
            <v>0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  <cell r="Z4511">
            <v>0</v>
          </cell>
        </row>
        <row r="4512">
          <cell r="D4512">
            <v>303359</v>
          </cell>
          <cell r="E4512" t="str">
            <v>Cantuhaon National High School</v>
          </cell>
          <cell r="F4512">
            <v>0</v>
          </cell>
          <cell r="G4512">
            <v>0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  <cell r="Z4512">
            <v>0</v>
          </cell>
        </row>
        <row r="4513">
          <cell r="D4513">
            <v>303415</v>
          </cell>
          <cell r="E4513" t="str">
            <v>Palo National High School</v>
          </cell>
          <cell r="F4513">
            <v>0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  <cell r="Z4513">
            <v>0</v>
          </cell>
        </row>
        <row r="4514">
          <cell r="D4514">
            <v>303423</v>
          </cell>
          <cell r="E4514" t="str">
            <v>San Isidro National High School</v>
          </cell>
          <cell r="F4514">
            <v>0</v>
          </cell>
          <cell r="G4514">
            <v>0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  <cell r="Z4514">
            <v>0</v>
          </cell>
        </row>
        <row r="4515">
          <cell r="D4515">
            <v>303416</v>
          </cell>
          <cell r="E4515" t="str">
            <v>Pastor Salazar National High School</v>
          </cell>
          <cell r="F4515">
            <v>0</v>
          </cell>
          <cell r="G4515">
            <v>0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  <cell r="Z4515">
            <v>0</v>
          </cell>
        </row>
        <row r="4516">
          <cell r="D4516">
            <v>303621</v>
          </cell>
          <cell r="E4516" t="str">
            <v>Guinsorongan NHS</v>
          </cell>
          <cell r="F4516">
            <v>0</v>
          </cell>
          <cell r="G4516">
            <v>0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  <cell r="Z4516">
            <v>0</v>
          </cell>
        </row>
        <row r="4517">
          <cell r="D4517">
            <v>303379</v>
          </cell>
          <cell r="E4517" t="str">
            <v>Javier National High School</v>
          </cell>
          <cell r="F4517">
            <v>0</v>
          </cell>
          <cell r="G4517">
            <v>0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  <cell r="Z4517">
            <v>0</v>
          </cell>
        </row>
        <row r="4518">
          <cell r="D4518">
            <v>303463</v>
          </cell>
          <cell r="E4518" t="str">
            <v>Libas NHS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  <cell r="Z4518">
            <v>0</v>
          </cell>
        </row>
        <row r="4519">
          <cell r="D4519">
            <v>303394</v>
          </cell>
          <cell r="E4519" t="str">
            <v>Libertad National High School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  <cell r="Z4519">
            <v>0</v>
          </cell>
        </row>
        <row r="4520">
          <cell r="D4520">
            <v>303395</v>
          </cell>
          <cell r="E4520" t="str">
            <v>Lim-ao National High School</v>
          </cell>
          <cell r="F4520">
            <v>0</v>
          </cell>
          <cell r="G4520">
            <v>0</v>
          </cell>
          <cell r="H4520">
            <v>0</v>
          </cell>
          <cell r="I4520">
            <v>0</v>
          </cell>
          <cell r="J4520">
            <v>0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  <cell r="Z4520">
            <v>0</v>
          </cell>
        </row>
        <row r="4521">
          <cell r="D4521">
            <v>303635</v>
          </cell>
          <cell r="E4521" t="str">
            <v>OESTE NHS</v>
          </cell>
          <cell r="F4521">
            <v>91</v>
          </cell>
          <cell r="G4521">
            <v>76</v>
          </cell>
          <cell r="H4521">
            <v>167</v>
          </cell>
          <cell r="I4521">
            <v>0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  <cell r="Z4521">
            <v>0</v>
          </cell>
        </row>
        <row r="4522">
          <cell r="D4522">
            <v>313702</v>
          </cell>
          <cell r="E4522" t="str">
            <v>Plaridel NHS</v>
          </cell>
          <cell r="F4522">
            <v>0</v>
          </cell>
          <cell r="G4522">
            <v>0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  <cell r="Z4522">
            <v>0</v>
          </cell>
        </row>
        <row r="4523">
          <cell r="D4523">
            <v>303386</v>
          </cell>
          <cell r="E4523" t="str">
            <v>Kiling National High School</v>
          </cell>
          <cell r="F4523">
            <v>0</v>
          </cell>
          <cell r="G4523">
            <v>0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  <cell r="Z4523">
            <v>0</v>
          </cell>
        </row>
        <row r="4524">
          <cell r="D4524">
            <v>313329</v>
          </cell>
          <cell r="E4524" t="str">
            <v>Capudlosan National High School</v>
          </cell>
          <cell r="F4524">
            <v>0</v>
          </cell>
          <cell r="G4524">
            <v>0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  <cell r="Z4524">
            <v>0</v>
          </cell>
        </row>
        <row r="4525">
          <cell r="D4525">
            <v>313719</v>
          </cell>
          <cell r="E4525" t="str">
            <v>Bagacay NHS</v>
          </cell>
          <cell r="F4525">
            <v>0</v>
          </cell>
          <cell r="G4525">
            <v>0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  <cell r="Z4525">
            <v>0</v>
          </cell>
        </row>
        <row r="4526">
          <cell r="D4526">
            <v>313707</v>
          </cell>
          <cell r="E4526" t="str">
            <v>Bioso IS</v>
          </cell>
          <cell r="F4526">
            <v>0</v>
          </cell>
          <cell r="G4526">
            <v>0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  <cell r="Z4526">
            <v>0</v>
          </cell>
        </row>
        <row r="4527">
          <cell r="D4527">
            <v>303399</v>
          </cell>
          <cell r="E4527" t="str">
            <v>Mahaplag National High School - Upper RA 7047</v>
          </cell>
          <cell r="F4527">
            <v>0</v>
          </cell>
          <cell r="G4527">
            <v>0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  <cell r="Z4527">
            <v>0</v>
          </cell>
        </row>
        <row r="4528">
          <cell r="D4528">
            <v>303326</v>
          </cell>
          <cell r="E4528" t="str">
            <v>Kawayan National High School</v>
          </cell>
          <cell r="F4528">
            <v>0</v>
          </cell>
          <cell r="G4528">
            <v>0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  <cell r="Z4528">
            <v>0</v>
          </cell>
        </row>
        <row r="4529">
          <cell r="D4529">
            <v>313718</v>
          </cell>
          <cell r="E4529" t="str">
            <v>Primitivo T. Torrechiva NHS</v>
          </cell>
          <cell r="F4529">
            <v>0</v>
          </cell>
          <cell r="G4529">
            <v>0</v>
          </cell>
          <cell r="H4529">
            <v>0</v>
          </cell>
          <cell r="I4529">
            <v>0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  <cell r="Z4529">
            <v>0</v>
          </cell>
        </row>
        <row r="4530">
          <cell r="D4530">
            <v>303375</v>
          </cell>
          <cell r="E4530" t="str">
            <v>Hindang National High School</v>
          </cell>
          <cell r="F4530">
            <v>0</v>
          </cell>
          <cell r="G4530">
            <v>0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  <cell r="Z4530">
            <v>0</v>
          </cell>
        </row>
        <row r="4531">
          <cell r="D4531">
            <v>313709</v>
          </cell>
          <cell r="E4531" t="str">
            <v>Bakhaw NHS</v>
          </cell>
          <cell r="F4531">
            <v>0</v>
          </cell>
          <cell r="G4531">
            <v>0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  <cell r="Y4531">
            <v>0</v>
          </cell>
          <cell r="Z4531">
            <v>0</v>
          </cell>
        </row>
        <row r="4532">
          <cell r="D4532">
            <v>303594</v>
          </cell>
          <cell r="E4532" t="str">
            <v>Old San Agustin NHS</v>
          </cell>
          <cell r="F4532">
            <v>0</v>
          </cell>
          <cell r="G4532">
            <v>0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</row>
        <row r="4533">
          <cell r="D4533">
            <v>313708</v>
          </cell>
          <cell r="E4533" t="str">
            <v>San Jorge NHS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0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  <cell r="Z4533">
            <v>0</v>
          </cell>
        </row>
        <row r="4534">
          <cell r="D4534">
            <v>303492</v>
          </cell>
          <cell r="E4534" t="str">
            <v>VILLA JACINTA NATIONAL VOCATIONAL HIGH SCHOOL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  <cell r="Z4534">
            <v>0</v>
          </cell>
        </row>
        <row r="4535">
          <cell r="D4535">
            <v>303641</v>
          </cell>
          <cell r="E4535" t="str">
            <v>Wright NHS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  <cell r="Z4535">
            <v>0</v>
          </cell>
        </row>
        <row r="4536">
          <cell r="D4536">
            <v>303597</v>
          </cell>
          <cell r="E4536" t="str">
            <v>CALBIGA NHS</v>
          </cell>
          <cell r="F4536">
            <v>6</v>
          </cell>
          <cell r="G4536">
            <v>0</v>
          </cell>
          <cell r="H4536">
            <v>6</v>
          </cell>
          <cell r="I4536">
            <v>4</v>
          </cell>
          <cell r="J4536">
            <v>0</v>
          </cell>
          <cell r="K4536">
            <v>4</v>
          </cell>
          <cell r="L4536">
            <v>4</v>
          </cell>
          <cell r="M4536">
            <v>0</v>
          </cell>
          <cell r="N4536">
            <v>4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  <cell r="Z4536">
            <v>0</v>
          </cell>
        </row>
        <row r="4537">
          <cell r="D4537">
            <v>303601</v>
          </cell>
          <cell r="E4537" t="str">
            <v>Daram NHS</v>
          </cell>
          <cell r="F4537">
            <v>0</v>
          </cell>
          <cell r="G4537">
            <v>0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  <cell r="Z4537">
            <v>0</v>
          </cell>
        </row>
        <row r="4538">
          <cell r="D4538">
            <v>303329</v>
          </cell>
          <cell r="E4538" t="str">
            <v>Maripipi NVS</v>
          </cell>
          <cell r="F4538">
            <v>72</v>
          </cell>
          <cell r="G4538">
            <v>74</v>
          </cell>
          <cell r="H4538">
            <v>146</v>
          </cell>
          <cell r="I4538">
            <v>5</v>
          </cell>
          <cell r="J4538">
            <v>3</v>
          </cell>
          <cell r="K4538">
            <v>8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  <cell r="Z4538">
            <v>0</v>
          </cell>
        </row>
        <row r="4539">
          <cell r="D4539">
            <v>303638</v>
          </cell>
          <cell r="E4539" t="str">
            <v>Villahermosa NHS</v>
          </cell>
          <cell r="F4539">
            <v>45</v>
          </cell>
          <cell r="G4539">
            <v>69</v>
          </cell>
          <cell r="H4539">
            <v>114</v>
          </cell>
          <cell r="I4539">
            <v>14</v>
          </cell>
          <cell r="J4539">
            <v>11</v>
          </cell>
          <cell r="K4539">
            <v>25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  <cell r="Z4539">
            <v>0</v>
          </cell>
        </row>
        <row r="4540">
          <cell r="D4540">
            <v>303636</v>
          </cell>
          <cell r="E4540" t="str">
            <v>Tominamos IS</v>
          </cell>
          <cell r="F4540">
            <v>0</v>
          </cell>
          <cell r="G4540">
            <v>0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  <cell r="Z4540">
            <v>0</v>
          </cell>
        </row>
        <row r="4541">
          <cell r="D4541">
            <v>303628</v>
          </cell>
          <cell r="E4541" t="str">
            <v>Simeon Ocdol NHS</v>
          </cell>
          <cell r="F4541">
            <v>0</v>
          </cell>
          <cell r="G4541">
            <v>0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  <cell r="Z4541">
            <v>0</v>
          </cell>
        </row>
        <row r="4542">
          <cell r="D4542">
            <v>303331</v>
          </cell>
          <cell r="E4542" t="str">
            <v>Naval School of Fisheries</v>
          </cell>
          <cell r="F4542">
            <v>0</v>
          </cell>
          <cell r="G4542">
            <v>0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  <cell r="Z4542">
            <v>0</v>
          </cell>
        </row>
        <row r="4543">
          <cell r="D4543">
            <v>313320</v>
          </cell>
          <cell r="E4543" t="str">
            <v>Buli National High School</v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  <cell r="Z4543">
            <v>0</v>
          </cell>
        </row>
        <row r="4544">
          <cell r="D4544">
            <v>313334</v>
          </cell>
          <cell r="E4544" t="str">
            <v>Putingbato, Cangag, Canandan, Consolacion St. Filomena National High School</v>
          </cell>
          <cell r="F4544">
            <v>0</v>
          </cell>
          <cell r="G4544">
            <v>0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  <cell r="Z4544">
            <v>0</v>
          </cell>
        </row>
        <row r="4545">
          <cell r="D4545">
            <v>303485</v>
          </cell>
          <cell r="E4545" t="str">
            <v>San Roque National High School</v>
          </cell>
          <cell r="F4545">
            <v>0</v>
          </cell>
          <cell r="G4545">
            <v>0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  <cell r="Z4545">
            <v>0</v>
          </cell>
        </row>
        <row r="4546">
          <cell r="D4546">
            <v>303593</v>
          </cell>
          <cell r="E4546" t="str">
            <v>Burgos IS</v>
          </cell>
          <cell r="F4546">
            <v>0</v>
          </cell>
          <cell r="G4546">
            <v>0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  <cell r="Z4546">
            <v>0</v>
          </cell>
        </row>
        <row r="4547">
          <cell r="D4547">
            <v>313616</v>
          </cell>
          <cell r="E4547" t="str">
            <v>San Miguel National High School</v>
          </cell>
          <cell r="F4547">
            <v>0</v>
          </cell>
          <cell r="G4547">
            <v>0</v>
          </cell>
          <cell r="H4547">
            <v>0</v>
          </cell>
          <cell r="I4547">
            <v>0</v>
          </cell>
          <cell r="J4547">
            <v>0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  <cell r="Z4547">
            <v>0</v>
          </cell>
        </row>
        <row r="4548">
          <cell r="D4548">
            <v>313722</v>
          </cell>
          <cell r="E4548" t="str">
            <v>Majacob Integrated School</v>
          </cell>
          <cell r="F4548">
            <v>0</v>
          </cell>
          <cell r="G4548">
            <v>0</v>
          </cell>
          <cell r="H4548">
            <v>0</v>
          </cell>
          <cell r="I4548">
            <v>0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  <cell r="Z4548">
            <v>0</v>
          </cell>
        </row>
        <row r="4549">
          <cell r="D4549">
            <v>303633</v>
          </cell>
          <cell r="E4549" t="str">
            <v>Tagapul-an NHS</v>
          </cell>
          <cell r="F4549">
            <v>61</v>
          </cell>
          <cell r="G4549">
            <v>47</v>
          </cell>
          <cell r="H4549">
            <v>108</v>
          </cell>
          <cell r="I4549">
            <v>0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  <cell r="Z4549">
            <v>0</v>
          </cell>
        </row>
        <row r="4550">
          <cell r="D4550">
            <v>303603</v>
          </cell>
          <cell r="E4550" t="str">
            <v>Sua NHS</v>
          </cell>
          <cell r="F4550">
            <v>2</v>
          </cell>
          <cell r="G4550">
            <v>4</v>
          </cell>
          <cell r="H4550">
            <v>6</v>
          </cell>
          <cell r="I4550">
            <v>0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  <cell r="Z4550">
            <v>0</v>
          </cell>
        </row>
        <row r="4551">
          <cell r="D4551">
            <v>313619</v>
          </cell>
          <cell r="E4551" t="str">
            <v>Romualdo T. Vicencio National High School</v>
          </cell>
          <cell r="F4551">
            <v>0</v>
          </cell>
          <cell r="G4551">
            <v>0</v>
          </cell>
          <cell r="H4551">
            <v>0</v>
          </cell>
          <cell r="I4551">
            <v>0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  <cell r="Z4551">
            <v>0</v>
          </cell>
        </row>
        <row r="4552">
          <cell r="D4552">
            <v>303366</v>
          </cell>
          <cell r="E4552" t="str">
            <v>Damulaan National High School</v>
          </cell>
          <cell r="F4552">
            <v>0</v>
          </cell>
          <cell r="G4552">
            <v>0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  <cell r="Z4552">
            <v>0</v>
          </cell>
        </row>
        <row r="4553">
          <cell r="D4553">
            <v>313705</v>
          </cell>
          <cell r="E4553" t="str">
            <v>Rizal Integrated School</v>
          </cell>
          <cell r="F4553">
            <v>0</v>
          </cell>
          <cell r="G4553">
            <v>0</v>
          </cell>
          <cell r="H4553">
            <v>0</v>
          </cell>
          <cell r="I4553">
            <v>0</v>
          </cell>
          <cell r="J4553">
            <v>0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  <cell r="Z4553">
            <v>0</v>
          </cell>
        </row>
        <row r="4554">
          <cell r="D4554">
            <v>313302</v>
          </cell>
          <cell r="E4554" t="str">
            <v>Isabel National Comprehensive High School</v>
          </cell>
          <cell r="F4554">
            <v>0</v>
          </cell>
          <cell r="G4554">
            <v>0</v>
          </cell>
          <cell r="H4554">
            <v>0</v>
          </cell>
          <cell r="I4554">
            <v>0</v>
          </cell>
          <cell r="J4554">
            <v>0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  <cell r="Z4554">
            <v>0</v>
          </cell>
        </row>
        <row r="4555">
          <cell r="D4555">
            <v>303596</v>
          </cell>
          <cell r="E4555" t="str">
            <v>Calapi NHS</v>
          </cell>
          <cell r="F4555">
            <v>0</v>
          </cell>
          <cell r="G4555">
            <v>0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  <cell r="Z4555">
            <v>0</v>
          </cell>
        </row>
        <row r="4556">
          <cell r="D4556">
            <v>313344</v>
          </cell>
          <cell r="E4556" t="str">
            <v>Manlilisid National High School</v>
          </cell>
          <cell r="F4556">
            <v>0</v>
          </cell>
          <cell r="G4556">
            <v>0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  <cell r="Z4556">
            <v>0</v>
          </cell>
        </row>
        <row r="4557">
          <cell r="D4557">
            <v>303626</v>
          </cell>
          <cell r="E4557" t="str">
            <v>San Jose de Buan NHS</v>
          </cell>
          <cell r="F4557">
            <v>0</v>
          </cell>
          <cell r="G4557">
            <v>0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  <cell r="Z4557">
            <v>0</v>
          </cell>
        </row>
        <row r="4558">
          <cell r="D4558">
            <v>313703</v>
          </cell>
          <cell r="E4558" t="str">
            <v>Cabunga-an IS</v>
          </cell>
          <cell r="F4558">
            <v>2</v>
          </cell>
          <cell r="G4558">
            <v>0</v>
          </cell>
          <cell r="H4558">
            <v>2</v>
          </cell>
          <cell r="I4558">
            <v>0</v>
          </cell>
          <cell r="J4558">
            <v>0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  <cell r="Z4558">
            <v>0</v>
          </cell>
        </row>
        <row r="4559">
          <cell r="D4559">
            <v>303591</v>
          </cell>
          <cell r="E4559" t="str">
            <v>Baras NHS</v>
          </cell>
          <cell r="F4559">
            <v>0</v>
          </cell>
          <cell r="G4559">
            <v>0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  <cell r="Z4559">
            <v>0</v>
          </cell>
        </row>
        <row r="4560">
          <cell r="D4560">
            <v>303487</v>
          </cell>
          <cell r="E4560" t="str">
            <v>Sogod National High School</v>
          </cell>
          <cell r="F4560">
            <v>0</v>
          </cell>
          <cell r="G4560">
            <v>0</v>
          </cell>
          <cell r="H4560">
            <v>0</v>
          </cell>
          <cell r="I4560">
            <v>0</v>
          </cell>
          <cell r="J4560">
            <v>0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  <cell r="Z4560">
            <v>0</v>
          </cell>
        </row>
        <row r="4561">
          <cell r="D4561">
            <v>313317</v>
          </cell>
          <cell r="E4561" t="str">
            <v>Felix Caneja Lafuente National High School</v>
          </cell>
          <cell r="F4561">
            <v>0</v>
          </cell>
          <cell r="G4561">
            <v>0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  <cell r="Z4561">
            <v>0</v>
          </cell>
        </row>
        <row r="4562">
          <cell r="D4562">
            <v>313727</v>
          </cell>
          <cell r="E4562" t="str">
            <v>Mabini NHS</v>
          </cell>
          <cell r="F4562">
            <v>0</v>
          </cell>
          <cell r="G4562">
            <v>0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  <cell r="Z4562">
            <v>0</v>
          </cell>
        </row>
        <row r="4563">
          <cell r="D4563">
            <v>303414</v>
          </cell>
          <cell r="E4563" t="str">
            <v>Palale National High School</v>
          </cell>
          <cell r="F4563">
            <v>0</v>
          </cell>
          <cell r="G4563">
            <v>0</v>
          </cell>
          <cell r="H4563">
            <v>0</v>
          </cell>
          <cell r="I4563">
            <v>0</v>
          </cell>
          <cell r="J4563">
            <v>0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  <cell r="Z4563">
            <v>0</v>
          </cell>
        </row>
        <row r="4564">
          <cell r="D4564">
            <v>303629</v>
          </cell>
          <cell r="E4564" t="str">
            <v>Sta. Margarita NHS</v>
          </cell>
          <cell r="F4564">
            <v>0</v>
          </cell>
          <cell r="G4564">
            <v>0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  <cell r="Z4564">
            <v>0</v>
          </cell>
        </row>
        <row r="4565">
          <cell r="D4565">
            <v>303475</v>
          </cell>
          <cell r="E4565" t="str">
            <v>Paku NHS</v>
          </cell>
          <cell r="F4565">
            <v>0</v>
          </cell>
          <cell r="G4565">
            <v>0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  <cell r="Z4565">
            <v>0</v>
          </cell>
        </row>
        <row r="4566">
          <cell r="D4566">
            <v>313340</v>
          </cell>
          <cell r="E4566" t="str">
            <v>Rafaelito Cabanas Martinez National High School</v>
          </cell>
          <cell r="F4566">
            <v>0</v>
          </cell>
          <cell r="G4566">
            <v>0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  <cell r="Z4566">
            <v>0</v>
          </cell>
        </row>
        <row r="4567">
          <cell r="D4567">
            <v>330503</v>
          </cell>
          <cell r="E4567" t="str">
            <v>V&amp;G National High School</v>
          </cell>
          <cell r="F4567">
            <v>0</v>
          </cell>
          <cell r="G4567">
            <v>0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  <cell r="Z4567">
            <v>0</v>
          </cell>
        </row>
        <row r="4568">
          <cell r="D4568">
            <v>303632</v>
          </cell>
          <cell r="E4568" t="str">
            <v>Sto. Nino NHS</v>
          </cell>
          <cell r="F4568">
            <v>0</v>
          </cell>
          <cell r="G4568">
            <v>0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  <cell r="Z4568">
            <v>0</v>
          </cell>
        </row>
        <row r="4569">
          <cell r="D4569">
            <v>303598</v>
          </cell>
          <cell r="E4569" t="str">
            <v>Casandig NHS</v>
          </cell>
          <cell r="F4569">
            <v>0</v>
          </cell>
          <cell r="G4569">
            <v>0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  <cell r="Z4569">
            <v>0</v>
          </cell>
        </row>
        <row r="4570">
          <cell r="D4570">
            <v>303385</v>
          </cell>
          <cell r="E4570" t="str">
            <v>Kikilo National High School</v>
          </cell>
          <cell r="F4570">
            <v>0</v>
          </cell>
          <cell r="G4570">
            <v>0</v>
          </cell>
          <cell r="H4570">
            <v>0</v>
          </cell>
          <cell r="I4570">
            <v>0</v>
          </cell>
          <cell r="J4570">
            <v>0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  <cell r="Z4570">
            <v>0</v>
          </cell>
        </row>
        <row r="4571">
          <cell r="D4571">
            <v>303616</v>
          </cell>
          <cell r="E4571" t="str">
            <v>Parasan NHS</v>
          </cell>
          <cell r="F4571">
            <v>0</v>
          </cell>
          <cell r="G4571">
            <v>0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  <cell r="Z4571">
            <v>0</v>
          </cell>
        </row>
        <row r="4572">
          <cell r="D4572">
            <v>303480</v>
          </cell>
          <cell r="E4572" t="str">
            <v>San Isidro NHS</v>
          </cell>
          <cell r="F4572">
            <v>0</v>
          </cell>
          <cell r="G4572">
            <v>0</v>
          </cell>
          <cell r="H4572">
            <v>0</v>
          </cell>
          <cell r="I4572">
            <v>0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  <cell r="Z4572">
            <v>0</v>
          </cell>
        </row>
        <row r="4573">
          <cell r="D4573">
            <v>303350</v>
          </cell>
          <cell r="E4573" t="str">
            <v>Bontoc Senior High School</v>
          </cell>
          <cell r="F4573">
            <v>0</v>
          </cell>
          <cell r="G4573">
            <v>0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  <cell r="Z4573">
            <v>0</v>
          </cell>
        </row>
        <row r="4574">
          <cell r="D4574">
            <v>313201</v>
          </cell>
          <cell r="E4574" t="str">
            <v>Western Biliran High School for the Arts and Culture</v>
          </cell>
          <cell r="F4574">
            <v>0</v>
          </cell>
          <cell r="G4574">
            <v>0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  <cell r="Z4574">
            <v>0</v>
          </cell>
        </row>
        <row r="4575">
          <cell r="D4575">
            <v>313327</v>
          </cell>
          <cell r="E4575" t="str">
            <v>Rizal National High School</v>
          </cell>
          <cell r="F4575">
            <v>0</v>
          </cell>
          <cell r="G4575">
            <v>0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  <cell r="Y4575">
            <v>0</v>
          </cell>
          <cell r="Z4575">
            <v>0</v>
          </cell>
        </row>
        <row r="4576">
          <cell r="D4576">
            <v>305521</v>
          </cell>
          <cell r="E4576" t="str">
            <v>Seguinon Stand Alone Senior High School</v>
          </cell>
          <cell r="F4576">
            <v>0</v>
          </cell>
          <cell r="G4576">
            <v>0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  <cell r="Z4576">
            <v>0</v>
          </cell>
        </row>
        <row r="4577">
          <cell r="D4577">
            <v>313306</v>
          </cell>
          <cell r="E4577" t="str">
            <v>Palompon National High School</v>
          </cell>
          <cell r="F4577">
            <v>0</v>
          </cell>
          <cell r="G4577">
            <v>0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  <cell r="Z4577">
            <v>0</v>
          </cell>
        </row>
        <row r="4578">
          <cell r="D4578">
            <v>313624</v>
          </cell>
          <cell r="E4578" t="str">
            <v>Oleras NHS</v>
          </cell>
          <cell r="F4578">
            <v>0</v>
          </cell>
          <cell r="G4578">
            <v>0</v>
          </cell>
          <cell r="H4578">
            <v>0</v>
          </cell>
          <cell r="I4578">
            <v>0</v>
          </cell>
          <cell r="J4578">
            <v>0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  <cell r="Z4578">
            <v>0</v>
          </cell>
        </row>
        <row r="4579">
          <cell r="D4579">
            <v>303637</v>
          </cell>
          <cell r="E4579" t="str">
            <v>Valeriano C. Yancha MAS</v>
          </cell>
          <cell r="F4579">
            <v>12</v>
          </cell>
          <cell r="G4579">
            <v>5</v>
          </cell>
          <cell r="H4579">
            <v>17</v>
          </cell>
          <cell r="I4579">
            <v>10</v>
          </cell>
          <cell r="J4579">
            <v>5</v>
          </cell>
          <cell r="K4579">
            <v>15</v>
          </cell>
          <cell r="L4579">
            <v>5</v>
          </cell>
          <cell r="M4579">
            <v>2</v>
          </cell>
          <cell r="N4579">
            <v>7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  <cell r="Z4579">
            <v>0</v>
          </cell>
        </row>
        <row r="4580">
          <cell r="D4580">
            <v>303345</v>
          </cell>
          <cell r="E4580" t="str">
            <v>Balugo National High School</v>
          </cell>
          <cell r="F4580">
            <v>0</v>
          </cell>
          <cell r="G4580">
            <v>0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  <cell r="Z4580">
            <v>0</v>
          </cell>
        </row>
        <row r="4581">
          <cell r="D4581">
            <v>303431</v>
          </cell>
          <cell r="E4581" t="str">
            <v>Sta. Margarita National High School</v>
          </cell>
          <cell r="F4581">
            <v>0</v>
          </cell>
          <cell r="G4581">
            <v>0</v>
          </cell>
          <cell r="H4581">
            <v>0</v>
          </cell>
          <cell r="I4581">
            <v>0</v>
          </cell>
          <cell r="J4581">
            <v>0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  <cell r="Z4581">
            <v>0</v>
          </cell>
        </row>
        <row r="4582">
          <cell r="D4582">
            <v>303383</v>
          </cell>
          <cell r="E4582" t="str">
            <v>Kananga National High School - Main</v>
          </cell>
          <cell r="F4582">
            <v>0</v>
          </cell>
          <cell r="G4582">
            <v>0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  <cell r="Z4582">
            <v>0</v>
          </cell>
        </row>
        <row r="4583">
          <cell r="D4583">
            <v>303610</v>
          </cell>
          <cell r="E4583" t="str">
            <v>Lawaan NHS</v>
          </cell>
          <cell r="F4583">
            <v>0</v>
          </cell>
          <cell r="G4583">
            <v>0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  <cell r="Z4583">
            <v>0</v>
          </cell>
        </row>
        <row r="4584">
          <cell r="D4584">
            <v>303567</v>
          </cell>
          <cell r="E4584" t="str">
            <v>Mongolbongol NHS</v>
          </cell>
          <cell r="F4584">
            <v>0</v>
          </cell>
          <cell r="G4584">
            <v>0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  <cell r="Z4584">
            <v>0</v>
          </cell>
        </row>
        <row r="4585">
          <cell r="D4585">
            <v>303575</v>
          </cell>
          <cell r="E4585" t="str">
            <v>San Antonio Agricultural &amp; Vocational Sch.</v>
          </cell>
          <cell r="F4585">
            <v>0</v>
          </cell>
          <cell r="G4585">
            <v>0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  <cell r="Z4585">
            <v>0</v>
          </cell>
        </row>
        <row r="4586">
          <cell r="D4586">
            <v>303667</v>
          </cell>
          <cell r="E4586" t="str">
            <v>San Jose National High School</v>
          </cell>
          <cell r="F4586">
            <v>0</v>
          </cell>
          <cell r="G4586">
            <v>0</v>
          </cell>
          <cell r="H4586">
            <v>0</v>
          </cell>
          <cell r="I4586">
            <v>0</v>
          </cell>
          <cell r="J4586">
            <v>0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  <cell r="Z4586">
            <v>0</v>
          </cell>
        </row>
        <row r="4587">
          <cell r="D4587">
            <v>303553</v>
          </cell>
          <cell r="E4587" t="str">
            <v>Bangon NHS</v>
          </cell>
          <cell r="F4587">
            <v>64</v>
          </cell>
          <cell r="G4587">
            <v>46</v>
          </cell>
          <cell r="H4587">
            <v>110</v>
          </cell>
          <cell r="I4587">
            <v>0</v>
          </cell>
          <cell r="J4587">
            <v>0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  <cell r="Z4587">
            <v>0</v>
          </cell>
        </row>
        <row r="4588">
          <cell r="D4588">
            <v>344946</v>
          </cell>
          <cell r="E4588" t="str">
            <v>Lope de Vega NHS (Stand Alone)</v>
          </cell>
          <cell r="F4588">
            <v>0</v>
          </cell>
          <cell r="G4588">
            <v>0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  <cell r="Z4588">
            <v>0</v>
          </cell>
        </row>
        <row r="4589">
          <cell r="D4589">
            <v>303537</v>
          </cell>
          <cell r="E4589" t="str">
            <v>Cabacungan NHS</v>
          </cell>
          <cell r="F4589">
            <v>0</v>
          </cell>
          <cell r="G4589">
            <v>0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  <cell r="Z4589">
            <v>0</v>
          </cell>
        </row>
        <row r="4590">
          <cell r="D4590">
            <v>303613</v>
          </cell>
          <cell r="E4590" t="str">
            <v>Motiong NHS</v>
          </cell>
          <cell r="F4590">
            <v>0</v>
          </cell>
          <cell r="G4590">
            <v>0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  <cell r="Z4590">
            <v>0</v>
          </cell>
        </row>
        <row r="4591">
          <cell r="D4591">
            <v>303580</v>
          </cell>
          <cell r="E4591" t="str">
            <v>San Jose Technical HS</v>
          </cell>
          <cell r="F4591">
            <v>0</v>
          </cell>
          <cell r="G4591">
            <v>0</v>
          </cell>
          <cell r="H4591">
            <v>0</v>
          </cell>
          <cell r="I4591">
            <v>0</v>
          </cell>
          <cell r="J4591">
            <v>0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  <cell r="Z4591">
            <v>0</v>
          </cell>
        </row>
        <row r="4592">
          <cell r="D4592">
            <v>303530</v>
          </cell>
          <cell r="E4592" t="str">
            <v>Alegria NHS</v>
          </cell>
          <cell r="F4592">
            <v>0</v>
          </cell>
          <cell r="G4592">
            <v>0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  <cell r="Z4592">
            <v>0</v>
          </cell>
        </row>
        <row r="4593">
          <cell r="D4593">
            <v>303577</v>
          </cell>
          <cell r="E4593" t="str">
            <v>San Isidro Agro-Industrial High School</v>
          </cell>
          <cell r="F4593">
            <v>70</v>
          </cell>
          <cell r="G4593">
            <v>78</v>
          </cell>
          <cell r="H4593">
            <v>148</v>
          </cell>
          <cell r="I4593">
            <v>15</v>
          </cell>
          <cell r="J4593">
            <v>18</v>
          </cell>
          <cell r="K4593">
            <v>33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  <cell r="Z4593">
            <v>0</v>
          </cell>
        </row>
        <row r="4594">
          <cell r="D4594">
            <v>303589</v>
          </cell>
          <cell r="E4594" t="str">
            <v>Bagacay NHS</v>
          </cell>
          <cell r="F4594">
            <v>0</v>
          </cell>
          <cell r="G4594">
            <v>0</v>
          </cell>
          <cell r="H4594">
            <v>0</v>
          </cell>
          <cell r="I4594">
            <v>0</v>
          </cell>
          <cell r="J4594">
            <v>0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  <cell r="Z4594">
            <v>0</v>
          </cell>
        </row>
        <row r="4595">
          <cell r="D4595">
            <v>303592</v>
          </cell>
          <cell r="E4595" t="str">
            <v>BASEY NHS</v>
          </cell>
          <cell r="F4595">
            <v>500</v>
          </cell>
          <cell r="G4595">
            <v>462</v>
          </cell>
          <cell r="H4595">
            <v>962</v>
          </cell>
          <cell r="I4595">
            <v>0</v>
          </cell>
          <cell r="J4595">
            <v>0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  <cell r="Z4595">
            <v>0</v>
          </cell>
        </row>
        <row r="4596">
          <cell r="D4596">
            <v>313712</v>
          </cell>
          <cell r="E4596" t="str">
            <v>Piñaplata Integrated School</v>
          </cell>
          <cell r="F4596">
            <v>0</v>
          </cell>
          <cell r="G4596">
            <v>0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  <cell r="Z4596">
            <v>0</v>
          </cell>
        </row>
        <row r="4597">
          <cell r="D4597">
            <v>314003</v>
          </cell>
          <cell r="E4597" t="str">
            <v>Antonio Balmes National High School</v>
          </cell>
          <cell r="F4597">
            <v>0</v>
          </cell>
          <cell r="G4597">
            <v>0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  <cell r="Z4597">
            <v>0</v>
          </cell>
        </row>
        <row r="4598">
          <cell r="D4598">
            <v>303634</v>
          </cell>
          <cell r="E4598" t="str">
            <v>Tarangnan NHS</v>
          </cell>
          <cell r="F4598">
            <v>0</v>
          </cell>
          <cell r="G4598">
            <v>0</v>
          </cell>
          <cell r="H4598">
            <v>0</v>
          </cell>
          <cell r="I4598">
            <v>0</v>
          </cell>
          <cell r="J4598">
            <v>0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  <cell r="Z4598">
            <v>0</v>
          </cell>
        </row>
        <row r="4599">
          <cell r="D4599">
            <v>303595</v>
          </cell>
          <cell r="E4599" t="str">
            <v>Birawan NHS</v>
          </cell>
          <cell r="F4599">
            <v>83</v>
          </cell>
          <cell r="G4599">
            <v>76</v>
          </cell>
          <cell r="H4599">
            <v>159</v>
          </cell>
          <cell r="I4599">
            <v>0</v>
          </cell>
          <cell r="J4599">
            <v>0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  <cell r="Z4599">
            <v>0</v>
          </cell>
        </row>
        <row r="4600">
          <cell r="D4600">
            <v>305522</v>
          </cell>
          <cell r="E4600" t="str">
            <v>Matag-ob Stand Alone Senior High School</v>
          </cell>
          <cell r="F4600">
            <v>0</v>
          </cell>
          <cell r="G4600">
            <v>0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  <cell r="Z4600">
            <v>0</v>
          </cell>
        </row>
        <row r="4601">
          <cell r="D4601">
            <v>303417</v>
          </cell>
          <cell r="E4601" t="str">
            <v>Patoc National High School</v>
          </cell>
          <cell r="F4601">
            <v>0</v>
          </cell>
          <cell r="G4601">
            <v>0</v>
          </cell>
          <cell r="H4601">
            <v>0</v>
          </cell>
          <cell r="I4601">
            <v>0</v>
          </cell>
          <cell r="J4601">
            <v>0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  <cell r="Z4601">
            <v>0</v>
          </cell>
        </row>
        <row r="4602">
          <cell r="D4602">
            <v>303548</v>
          </cell>
          <cell r="E4602" t="str">
            <v>Eladio T. Balite Memorial School of Fisheries</v>
          </cell>
          <cell r="F4602">
            <v>158</v>
          </cell>
          <cell r="G4602">
            <v>175</v>
          </cell>
          <cell r="H4602">
            <v>333</v>
          </cell>
          <cell r="I4602">
            <v>87</v>
          </cell>
          <cell r="J4602">
            <v>118</v>
          </cell>
          <cell r="K4602">
            <v>205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2</v>
          </cell>
          <cell r="V4602">
            <v>5</v>
          </cell>
          <cell r="W4602">
            <v>7</v>
          </cell>
          <cell r="X4602">
            <v>0</v>
          </cell>
          <cell r="Y4602">
            <v>0</v>
          </cell>
          <cell r="Z4602">
            <v>0</v>
          </cell>
        </row>
        <row r="4603">
          <cell r="D4603">
            <v>313314</v>
          </cell>
          <cell r="E4603" t="str">
            <v>Polahongon National High School</v>
          </cell>
          <cell r="F4603">
            <v>47</v>
          </cell>
          <cell r="G4603">
            <v>81</v>
          </cell>
          <cell r="H4603">
            <v>128</v>
          </cell>
          <cell r="I4603">
            <v>9</v>
          </cell>
          <cell r="J4603">
            <v>15</v>
          </cell>
          <cell r="K4603">
            <v>24</v>
          </cell>
          <cell r="L4603">
            <v>9</v>
          </cell>
          <cell r="M4603">
            <v>15</v>
          </cell>
          <cell r="N4603">
            <v>24</v>
          </cell>
          <cell r="O4603">
            <v>12</v>
          </cell>
          <cell r="P4603">
            <v>9</v>
          </cell>
          <cell r="Q4603">
            <v>21</v>
          </cell>
          <cell r="R4603">
            <v>12</v>
          </cell>
          <cell r="S4603">
            <v>9</v>
          </cell>
          <cell r="T4603">
            <v>21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  <cell r="Z4603">
            <v>0</v>
          </cell>
        </row>
        <row r="4604">
          <cell r="D4604">
            <v>303539</v>
          </cell>
          <cell r="E4604" t="str">
            <v>Capacujan NHS</v>
          </cell>
          <cell r="F4604">
            <v>0</v>
          </cell>
          <cell r="G4604">
            <v>0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  <cell r="Z4604">
            <v>0</v>
          </cell>
        </row>
        <row r="4605">
          <cell r="D4605">
            <v>303581</v>
          </cell>
          <cell r="E4605" t="str">
            <v>San Roque-Pambujan Vocational High School</v>
          </cell>
          <cell r="F4605">
            <v>0</v>
          </cell>
          <cell r="G4605">
            <v>0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  <cell r="Z4605">
            <v>0</v>
          </cell>
        </row>
        <row r="4606">
          <cell r="D4606">
            <v>303582</v>
          </cell>
          <cell r="E4606" t="str">
            <v>San Vicente School of Fisheries</v>
          </cell>
          <cell r="F4606">
            <v>0</v>
          </cell>
          <cell r="G4606">
            <v>0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  <cell r="Z4606">
            <v>0</v>
          </cell>
        </row>
        <row r="4607">
          <cell r="D4607">
            <v>303620</v>
          </cell>
          <cell r="E4607" t="str">
            <v>Samar National School</v>
          </cell>
          <cell r="F4607">
            <v>0</v>
          </cell>
          <cell r="G4607">
            <v>0</v>
          </cell>
          <cell r="H4607">
            <v>0</v>
          </cell>
          <cell r="I4607">
            <v>0</v>
          </cell>
          <cell r="J4607">
            <v>0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  <cell r="Z4607">
            <v>0</v>
          </cell>
        </row>
        <row r="4608">
          <cell r="D4608">
            <v>303551</v>
          </cell>
          <cell r="E4608" t="str">
            <v>Gala Vocational School</v>
          </cell>
          <cell r="F4608">
            <v>0</v>
          </cell>
          <cell r="G4608">
            <v>0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  <cell r="Z4608">
            <v>0</v>
          </cell>
        </row>
        <row r="4609">
          <cell r="D4609">
            <v>303546</v>
          </cell>
          <cell r="E4609" t="str">
            <v>Don Juan F. Avalon National High School</v>
          </cell>
          <cell r="F4609">
            <v>430</v>
          </cell>
          <cell r="G4609">
            <v>417</v>
          </cell>
          <cell r="H4609">
            <v>847</v>
          </cell>
          <cell r="I4609">
            <v>0</v>
          </cell>
          <cell r="J4609">
            <v>0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  <cell r="Z4609">
            <v>0</v>
          </cell>
        </row>
        <row r="4610">
          <cell r="D4610">
            <v>313618</v>
          </cell>
          <cell r="E4610" t="str">
            <v>Balnasan National High School</v>
          </cell>
          <cell r="F4610">
            <v>0</v>
          </cell>
          <cell r="G4610">
            <v>0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  <cell r="Z4610">
            <v>0</v>
          </cell>
        </row>
        <row r="4611">
          <cell r="D4611">
            <v>303578</v>
          </cell>
          <cell r="E4611" t="str">
            <v>San Isidro NHS (San Isidro)</v>
          </cell>
          <cell r="F4611">
            <v>0</v>
          </cell>
          <cell r="G4611">
            <v>0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  <cell r="Z4611">
            <v>0</v>
          </cell>
        </row>
        <row r="4612">
          <cell r="D4612">
            <v>303586</v>
          </cell>
          <cell r="E4612" t="str">
            <v>Vigo National High School</v>
          </cell>
          <cell r="F4612">
            <v>0</v>
          </cell>
          <cell r="G4612">
            <v>0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  <cell r="Z4612">
            <v>0</v>
          </cell>
        </row>
        <row r="4613">
          <cell r="D4613">
            <v>313621</v>
          </cell>
          <cell r="E4613" t="str">
            <v>Zoilo T. Lobos Memorial High School</v>
          </cell>
          <cell r="F4613">
            <v>0</v>
          </cell>
          <cell r="G4613">
            <v>0</v>
          </cell>
          <cell r="H4613">
            <v>0</v>
          </cell>
          <cell r="I4613">
            <v>0</v>
          </cell>
          <cell r="J4613">
            <v>0</v>
          </cell>
          <cell r="K4613">
            <v>0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  <cell r="Z4613">
            <v>0</v>
          </cell>
        </row>
        <row r="4614">
          <cell r="D4614">
            <v>313617</v>
          </cell>
          <cell r="E4614" t="str">
            <v>San Vicente National High School</v>
          </cell>
          <cell r="F4614">
            <v>0</v>
          </cell>
          <cell r="G4614">
            <v>0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  <cell r="Z4614">
            <v>0</v>
          </cell>
        </row>
        <row r="4615">
          <cell r="D4615">
            <v>303565</v>
          </cell>
          <cell r="E4615" t="str">
            <v>Marubay NHS</v>
          </cell>
          <cell r="F4615">
            <v>0</v>
          </cell>
          <cell r="G4615">
            <v>0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  <cell r="Z4615">
            <v>0</v>
          </cell>
        </row>
        <row r="4616">
          <cell r="D4616">
            <v>303556</v>
          </cell>
          <cell r="E4616" t="str">
            <v>Laoang National Technical High School</v>
          </cell>
          <cell r="F4616">
            <v>0</v>
          </cell>
          <cell r="G4616">
            <v>0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  <cell r="Z4616">
            <v>0</v>
          </cell>
        </row>
        <row r="4617">
          <cell r="D4617">
            <v>313602</v>
          </cell>
          <cell r="E4617" t="str">
            <v>Anito NHS</v>
          </cell>
          <cell r="F4617">
            <v>0</v>
          </cell>
          <cell r="G4617">
            <v>0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  <cell r="Z4617">
            <v>0</v>
          </cell>
        </row>
        <row r="4618">
          <cell r="D4618">
            <v>303543</v>
          </cell>
          <cell r="E4618" t="str">
            <v>Galutan NHS</v>
          </cell>
          <cell r="F4618">
            <v>0</v>
          </cell>
          <cell r="G4618">
            <v>0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  <cell r="Z4618">
            <v>0</v>
          </cell>
        </row>
        <row r="4619">
          <cell r="D4619">
            <v>313605</v>
          </cell>
          <cell r="E4619" t="str">
            <v>Leonardo M. Amigo High School</v>
          </cell>
          <cell r="F4619">
            <v>0</v>
          </cell>
          <cell r="G4619">
            <v>0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  <cell r="Z4619">
            <v>0</v>
          </cell>
        </row>
        <row r="4620">
          <cell r="D4620">
            <v>303560</v>
          </cell>
          <cell r="E4620" t="str">
            <v>Las Navas National High School</v>
          </cell>
          <cell r="F4620">
            <v>0</v>
          </cell>
          <cell r="G4620">
            <v>0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  <cell r="Z4620">
            <v>0</v>
          </cell>
        </row>
        <row r="4621">
          <cell r="D4621">
            <v>303554</v>
          </cell>
          <cell r="E4621" t="str">
            <v>Hibubullao NHS</v>
          </cell>
          <cell r="F4621">
            <v>11</v>
          </cell>
          <cell r="G4621">
            <v>9</v>
          </cell>
          <cell r="H4621">
            <v>20</v>
          </cell>
          <cell r="I4621">
            <v>0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  <cell r="Z4621">
            <v>0</v>
          </cell>
        </row>
        <row r="4622">
          <cell r="D4622">
            <v>303538</v>
          </cell>
          <cell r="E4622" t="str">
            <v>Cahayagan NHS</v>
          </cell>
          <cell r="F4622">
            <v>0</v>
          </cell>
          <cell r="G4622">
            <v>0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  <cell r="Z4622">
            <v>0</v>
          </cell>
        </row>
        <row r="4623">
          <cell r="D4623">
            <v>313623</v>
          </cell>
          <cell r="E4623" t="str">
            <v>GUILLERMO C. ADRIATICO, SR. NATIONAL HIGH SCHOOL</v>
          </cell>
          <cell r="F4623">
            <v>0</v>
          </cell>
          <cell r="G4623">
            <v>0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  <cell r="Z4623">
            <v>0</v>
          </cell>
        </row>
        <row r="4624">
          <cell r="D4624">
            <v>303584</v>
          </cell>
          <cell r="E4624" t="str">
            <v>SUMOROY AGRO-INDUSTRIAL SCHOOL</v>
          </cell>
          <cell r="F4624">
            <v>0</v>
          </cell>
          <cell r="G4624">
            <v>0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  <cell r="Z4624">
            <v>0</v>
          </cell>
        </row>
        <row r="4625">
          <cell r="D4625">
            <v>303533</v>
          </cell>
          <cell r="E4625" t="str">
            <v>Batag NHS</v>
          </cell>
          <cell r="F4625">
            <v>0</v>
          </cell>
          <cell r="G4625">
            <v>0</v>
          </cell>
          <cell r="H4625">
            <v>0</v>
          </cell>
          <cell r="I4625">
            <v>0</v>
          </cell>
          <cell r="J4625">
            <v>0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  <cell r="Z4625">
            <v>0</v>
          </cell>
        </row>
        <row r="4626">
          <cell r="D4626">
            <v>313609</v>
          </cell>
          <cell r="E4626" t="str">
            <v>Cabatuan NHS</v>
          </cell>
          <cell r="F4626">
            <v>0</v>
          </cell>
          <cell r="G4626">
            <v>0</v>
          </cell>
          <cell r="H4626">
            <v>0</v>
          </cell>
          <cell r="I4626">
            <v>0</v>
          </cell>
          <cell r="J4626">
            <v>0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  <cell r="Z4626">
            <v>0</v>
          </cell>
        </row>
        <row r="4627">
          <cell r="D4627">
            <v>303557</v>
          </cell>
          <cell r="E4627" t="str">
            <v>Laoang NHS</v>
          </cell>
          <cell r="F4627">
            <v>0</v>
          </cell>
          <cell r="G4627">
            <v>0</v>
          </cell>
          <cell r="H4627">
            <v>0</v>
          </cell>
          <cell r="I4627">
            <v>0</v>
          </cell>
          <cell r="J4627">
            <v>0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  <cell r="Z4627">
            <v>0</v>
          </cell>
        </row>
        <row r="4628">
          <cell r="D4628">
            <v>303623</v>
          </cell>
          <cell r="E4628" t="str">
            <v>Silanga NHS</v>
          </cell>
          <cell r="F4628">
            <v>37</v>
          </cell>
          <cell r="G4628">
            <v>35</v>
          </cell>
          <cell r="H4628">
            <v>72</v>
          </cell>
          <cell r="I4628">
            <v>37</v>
          </cell>
          <cell r="J4628">
            <v>35</v>
          </cell>
          <cell r="K4628">
            <v>72</v>
          </cell>
          <cell r="L4628">
            <v>1106</v>
          </cell>
          <cell r="M4628">
            <v>1064</v>
          </cell>
          <cell r="N4628">
            <v>2170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15</v>
          </cell>
          <cell r="V4628">
            <v>6</v>
          </cell>
          <cell r="W4628">
            <v>21</v>
          </cell>
          <cell r="X4628">
            <v>0</v>
          </cell>
          <cell r="Y4628">
            <v>0</v>
          </cell>
          <cell r="Z4628">
            <v>0</v>
          </cell>
        </row>
        <row r="4629">
          <cell r="D4629">
            <v>303544</v>
          </cell>
          <cell r="E4629" t="str">
            <v>Catubig Valley NHS</v>
          </cell>
          <cell r="F4629">
            <v>0</v>
          </cell>
          <cell r="G4629">
            <v>0</v>
          </cell>
          <cell r="H4629">
            <v>0</v>
          </cell>
          <cell r="I4629">
            <v>0</v>
          </cell>
          <cell r="J4629">
            <v>0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  <cell r="Z4629">
            <v>0</v>
          </cell>
        </row>
        <row r="4630">
          <cell r="D4630">
            <v>313706</v>
          </cell>
          <cell r="E4630" t="str">
            <v>Pangdan National High School</v>
          </cell>
          <cell r="F4630">
            <v>0</v>
          </cell>
          <cell r="G4630">
            <v>0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  <cell r="Z4630">
            <v>0</v>
          </cell>
        </row>
        <row r="4631">
          <cell r="D4631">
            <v>313305</v>
          </cell>
          <cell r="E4631" t="str">
            <v>Tanauan School of Arts and Trade</v>
          </cell>
          <cell r="F4631">
            <v>0</v>
          </cell>
          <cell r="G4631">
            <v>0</v>
          </cell>
          <cell r="H4631">
            <v>0</v>
          </cell>
          <cell r="I4631">
            <v>0</v>
          </cell>
          <cell r="J4631">
            <v>0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  <cell r="Z4631">
            <v>0</v>
          </cell>
        </row>
        <row r="4632">
          <cell r="D4632">
            <v>303550</v>
          </cell>
          <cell r="E4632" t="str">
            <v>Francisca Dominice NHS</v>
          </cell>
          <cell r="F4632">
            <v>0</v>
          </cell>
          <cell r="G4632">
            <v>0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  <cell r="Z4632">
            <v>0</v>
          </cell>
        </row>
        <row r="4633">
          <cell r="D4633">
            <v>303559</v>
          </cell>
          <cell r="E4633" t="str">
            <v>Lorenzo S. Menzon AIS</v>
          </cell>
          <cell r="F4633">
            <v>0</v>
          </cell>
          <cell r="G4633">
            <v>0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  <cell r="Z4633">
            <v>0</v>
          </cell>
        </row>
        <row r="4634">
          <cell r="D4634">
            <v>303569</v>
          </cell>
          <cell r="E4634" t="str">
            <v>Pambujan NHS</v>
          </cell>
          <cell r="F4634">
            <v>0</v>
          </cell>
          <cell r="G4634">
            <v>0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  <cell r="Z4634">
            <v>0</v>
          </cell>
        </row>
        <row r="4635">
          <cell r="D4635">
            <v>313603</v>
          </cell>
          <cell r="E4635" t="str">
            <v>Rawis National High School</v>
          </cell>
          <cell r="F4635">
            <v>0</v>
          </cell>
          <cell r="G4635">
            <v>0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  <cell r="Z4635">
            <v>0</v>
          </cell>
        </row>
        <row r="4636">
          <cell r="D4636">
            <v>303541</v>
          </cell>
          <cell r="E4636" t="str">
            <v>Catarman National High School</v>
          </cell>
          <cell r="F4636">
            <v>0</v>
          </cell>
          <cell r="G4636">
            <v>0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  <cell r="Z4636">
            <v>0</v>
          </cell>
        </row>
        <row r="4637">
          <cell r="D4637">
            <v>303570</v>
          </cell>
          <cell r="E4637" t="str">
            <v>Polangi National HIgh School</v>
          </cell>
          <cell r="F4637">
            <v>0</v>
          </cell>
          <cell r="G4637">
            <v>0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  <cell r="Z4637">
            <v>0</v>
          </cell>
        </row>
        <row r="4638">
          <cell r="D4638">
            <v>303564</v>
          </cell>
          <cell r="E4638" t="str">
            <v>Mapanas Agro-Industrial High School</v>
          </cell>
          <cell r="F4638">
            <v>15</v>
          </cell>
          <cell r="G4638">
            <v>10</v>
          </cell>
          <cell r="H4638">
            <v>25</v>
          </cell>
          <cell r="I4638">
            <v>2</v>
          </cell>
          <cell r="J4638">
            <v>1</v>
          </cell>
          <cell r="K4638">
            <v>3</v>
          </cell>
          <cell r="L4638">
            <v>2</v>
          </cell>
          <cell r="M4638">
            <v>2</v>
          </cell>
          <cell r="N4638">
            <v>4</v>
          </cell>
          <cell r="O4638">
            <v>2</v>
          </cell>
          <cell r="P4638">
            <v>2</v>
          </cell>
          <cell r="Q4638">
            <v>4</v>
          </cell>
          <cell r="R4638">
            <v>1</v>
          </cell>
          <cell r="S4638">
            <v>1</v>
          </cell>
          <cell r="T4638">
            <v>2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  <cell r="Z4638">
            <v>0</v>
          </cell>
        </row>
        <row r="4639">
          <cell r="D4639">
            <v>303324</v>
          </cell>
          <cell r="E4639" t="str">
            <v>Culaba NVS</v>
          </cell>
          <cell r="F4639">
            <v>32</v>
          </cell>
          <cell r="G4639">
            <v>40</v>
          </cell>
          <cell r="H4639">
            <v>72</v>
          </cell>
          <cell r="I4639">
            <v>8</v>
          </cell>
          <cell r="J4639">
            <v>5</v>
          </cell>
          <cell r="K4639">
            <v>13</v>
          </cell>
          <cell r="L4639">
            <v>11</v>
          </cell>
          <cell r="M4639">
            <v>7</v>
          </cell>
          <cell r="N4639">
            <v>18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  <cell r="Z4639">
            <v>0</v>
          </cell>
        </row>
        <row r="4640">
          <cell r="D4640">
            <v>303452</v>
          </cell>
          <cell r="E4640" t="str">
            <v>Catbalogan City Agro-Industrial School</v>
          </cell>
          <cell r="F4640">
            <v>0</v>
          </cell>
          <cell r="G4640">
            <v>0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  <cell r="Z4640">
            <v>0</v>
          </cell>
        </row>
        <row r="4641">
          <cell r="D4641">
            <v>303737</v>
          </cell>
          <cell r="E4641" t="str">
            <v>Sibutad National High School</v>
          </cell>
          <cell r="F4641">
            <v>0</v>
          </cell>
          <cell r="G4641">
            <v>0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  <cell r="Z4641">
            <v>0</v>
          </cell>
        </row>
        <row r="4642">
          <cell r="D4642">
            <v>303724</v>
          </cell>
          <cell r="E4642" t="str">
            <v>San Jose NHS</v>
          </cell>
          <cell r="F4642">
            <v>0</v>
          </cell>
          <cell r="G4642">
            <v>0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  <cell r="Z4642">
            <v>0</v>
          </cell>
        </row>
        <row r="4643">
          <cell r="D4643">
            <v>303726</v>
          </cell>
          <cell r="E4643" t="str">
            <v>Sebaca NHS</v>
          </cell>
          <cell r="F4643">
            <v>0</v>
          </cell>
          <cell r="G4643">
            <v>0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  <cell r="Z4643">
            <v>0</v>
          </cell>
        </row>
        <row r="4644">
          <cell r="D4644">
            <v>303720</v>
          </cell>
          <cell r="E4644" t="str">
            <v>Rizal National High School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  <cell r="Z4644">
            <v>0</v>
          </cell>
        </row>
        <row r="4645">
          <cell r="D4645">
            <v>303704</v>
          </cell>
          <cell r="E4645" t="str">
            <v>La Libertad NHS</v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  <cell r="Z4645">
            <v>0</v>
          </cell>
        </row>
        <row r="4646">
          <cell r="D4646">
            <v>303745</v>
          </cell>
          <cell r="E4646" t="str">
            <v>Tampilisan NHS</v>
          </cell>
          <cell r="F4646">
            <v>0</v>
          </cell>
          <cell r="G4646">
            <v>0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  <cell r="Z4646">
            <v>0</v>
          </cell>
        </row>
        <row r="4647">
          <cell r="D4647">
            <v>303728</v>
          </cell>
          <cell r="E4647" t="str">
            <v>Sergio Osmena NHS</v>
          </cell>
          <cell r="F4647">
            <v>0</v>
          </cell>
          <cell r="G4647">
            <v>0</v>
          </cell>
          <cell r="H4647">
            <v>0</v>
          </cell>
          <cell r="I4647">
            <v>0</v>
          </cell>
          <cell r="J4647">
            <v>0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  <cell r="Z4647">
            <v>0</v>
          </cell>
        </row>
        <row r="4648">
          <cell r="D4648">
            <v>303715</v>
          </cell>
          <cell r="E4648" t="str">
            <v>Pinan National High School</v>
          </cell>
          <cell r="F4648">
            <v>138</v>
          </cell>
          <cell r="G4648">
            <v>92</v>
          </cell>
          <cell r="H4648">
            <v>230</v>
          </cell>
          <cell r="I4648">
            <v>14</v>
          </cell>
          <cell r="J4648">
            <v>6</v>
          </cell>
          <cell r="K4648">
            <v>20</v>
          </cell>
          <cell r="L4648">
            <v>8</v>
          </cell>
          <cell r="M4648">
            <v>4</v>
          </cell>
          <cell r="N4648">
            <v>12</v>
          </cell>
          <cell r="O4648">
            <v>16</v>
          </cell>
          <cell r="P4648">
            <v>8</v>
          </cell>
          <cell r="Q4648">
            <v>24</v>
          </cell>
          <cell r="R4648">
            <v>0</v>
          </cell>
          <cell r="S4648">
            <v>0</v>
          </cell>
          <cell r="T4648">
            <v>0</v>
          </cell>
          <cell r="U4648">
            <v>8</v>
          </cell>
          <cell r="V4648">
            <v>8</v>
          </cell>
          <cell r="W4648">
            <v>16</v>
          </cell>
          <cell r="X4648">
            <v>0</v>
          </cell>
          <cell r="Y4648">
            <v>0</v>
          </cell>
          <cell r="Z4648">
            <v>0</v>
          </cell>
        </row>
        <row r="4649">
          <cell r="D4649">
            <v>303695</v>
          </cell>
          <cell r="E4649" t="str">
            <v>Sawang NHS</v>
          </cell>
          <cell r="F4649">
            <v>0</v>
          </cell>
          <cell r="G4649">
            <v>0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  <cell r="Z4649">
            <v>0</v>
          </cell>
        </row>
        <row r="4650">
          <cell r="D4650">
            <v>303685</v>
          </cell>
          <cell r="E4650" t="str">
            <v>Raba National High School</v>
          </cell>
          <cell r="F4650">
            <v>0</v>
          </cell>
          <cell r="G4650">
            <v>0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  <cell r="Z4650">
            <v>0</v>
          </cell>
        </row>
        <row r="4651">
          <cell r="D4651">
            <v>314121</v>
          </cell>
          <cell r="E4651" t="str">
            <v>Gutalac NHS Ext. - San Juan</v>
          </cell>
          <cell r="F4651">
            <v>0</v>
          </cell>
          <cell r="G4651">
            <v>0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  <cell r="Y4651">
            <v>0</v>
          </cell>
          <cell r="Z4651">
            <v>0</v>
          </cell>
        </row>
        <row r="4652">
          <cell r="D4652">
            <v>303729</v>
          </cell>
          <cell r="E4652" t="str">
            <v>Siari John H. Roemer NHS</v>
          </cell>
          <cell r="F4652">
            <v>0</v>
          </cell>
          <cell r="G4652">
            <v>0</v>
          </cell>
          <cell r="H4652">
            <v>0</v>
          </cell>
          <cell r="I4652">
            <v>0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  <cell r="Z4652">
            <v>0</v>
          </cell>
        </row>
        <row r="4653">
          <cell r="D4653">
            <v>314124</v>
          </cell>
          <cell r="E4653" t="str">
            <v>Gutalac NHS-Panganuran Ext.</v>
          </cell>
          <cell r="F4653">
            <v>0</v>
          </cell>
          <cell r="G4653">
            <v>0</v>
          </cell>
          <cell r="H4653">
            <v>0</v>
          </cell>
          <cell r="I4653">
            <v>0</v>
          </cell>
          <cell r="J4653">
            <v>0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  <cell r="Z4653">
            <v>0</v>
          </cell>
        </row>
        <row r="4654">
          <cell r="D4654">
            <v>303690</v>
          </cell>
          <cell r="E4654" t="str">
            <v>Kalawit NHS</v>
          </cell>
          <cell r="F4654">
            <v>0</v>
          </cell>
          <cell r="G4654">
            <v>0</v>
          </cell>
          <cell r="H4654">
            <v>0</v>
          </cell>
          <cell r="I4654">
            <v>0</v>
          </cell>
          <cell r="J4654">
            <v>0</v>
          </cell>
          <cell r="K4654">
            <v>0</v>
          </cell>
          <cell r="L4654">
            <v>0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  <cell r="Z4654">
            <v>0</v>
          </cell>
        </row>
        <row r="4655">
          <cell r="D4655">
            <v>303723</v>
          </cell>
          <cell r="E4655" t="str">
            <v>San Isidro NHS</v>
          </cell>
          <cell r="F4655">
            <v>0</v>
          </cell>
          <cell r="G4655">
            <v>0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  <cell r="Z4655">
            <v>0</v>
          </cell>
        </row>
        <row r="4656">
          <cell r="D4656">
            <v>314109</v>
          </cell>
          <cell r="E4656" t="str">
            <v>Canatuan National High School</v>
          </cell>
          <cell r="F4656">
            <v>0</v>
          </cell>
          <cell r="G4656">
            <v>0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  <cell r="Z4656">
            <v>0</v>
          </cell>
        </row>
        <row r="4657">
          <cell r="D4657">
            <v>314116</v>
          </cell>
          <cell r="E4657" t="str">
            <v>Gatas NHS</v>
          </cell>
          <cell r="F4657">
            <v>0</v>
          </cell>
          <cell r="G4657">
            <v>0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  <cell r="Z4657">
            <v>0</v>
          </cell>
        </row>
        <row r="4658">
          <cell r="D4658">
            <v>303730</v>
          </cell>
          <cell r="E4658" t="str">
            <v>Siayan National High School</v>
          </cell>
          <cell r="F4658">
            <v>0</v>
          </cell>
          <cell r="G4658">
            <v>0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  <cell r="Z4658">
            <v>0</v>
          </cell>
        </row>
        <row r="4659">
          <cell r="D4659">
            <v>303732</v>
          </cell>
          <cell r="E4659" t="str">
            <v>Gunyan NHS</v>
          </cell>
          <cell r="F4659">
            <v>0</v>
          </cell>
          <cell r="G4659">
            <v>0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  <cell r="Z4659">
            <v>0</v>
          </cell>
        </row>
        <row r="4660">
          <cell r="D4660">
            <v>303693</v>
          </cell>
          <cell r="E4660" t="str">
            <v>TUGOP NATIONAL HIGH SCHOOL</v>
          </cell>
          <cell r="F4660">
            <v>0</v>
          </cell>
          <cell r="G4660">
            <v>0</v>
          </cell>
          <cell r="H4660">
            <v>0</v>
          </cell>
          <cell r="I4660">
            <v>0</v>
          </cell>
          <cell r="J4660">
            <v>0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  <cell r="Z4660">
            <v>0</v>
          </cell>
        </row>
        <row r="4661">
          <cell r="D4661">
            <v>303691</v>
          </cell>
          <cell r="E4661" t="str">
            <v>Batayan NHS</v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  <cell r="J4661">
            <v>0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  <cell r="Z4661">
            <v>0</v>
          </cell>
        </row>
        <row r="4662">
          <cell r="D4662">
            <v>303672</v>
          </cell>
          <cell r="E4662" t="str">
            <v>Bacungan NHS</v>
          </cell>
          <cell r="F4662">
            <v>0</v>
          </cell>
          <cell r="G4662">
            <v>0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0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  <cell r="Z4662">
            <v>0</v>
          </cell>
        </row>
        <row r="4663">
          <cell r="D4663">
            <v>314104</v>
          </cell>
          <cell r="E4663" t="str">
            <v>Matam NHS</v>
          </cell>
          <cell r="F4663">
            <v>0</v>
          </cell>
          <cell r="G4663">
            <v>0</v>
          </cell>
          <cell r="H4663">
            <v>0</v>
          </cell>
          <cell r="I4663">
            <v>0</v>
          </cell>
          <cell r="J4663">
            <v>0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  <cell r="Z4663">
            <v>0</v>
          </cell>
        </row>
        <row r="4664">
          <cell r="D4664">
            <v>303734</v>
          </cell>
          <cell r="E4664" t="str">
            <v>Sibuco National High School</v>
          </cell>
          <cell r="F4664">
            <v>0</v>
          </cell>
          <cell r="G4664">
            <v>0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  <cell r="Z4664">
            <v>0</v>
          </cell>
        </row>
        <row r="4665">
          <cell r="D4665">
            <v>303684</v>
          </cell>
          <cell r="E4665" t="str">
            <v>GODOD NATIONAL HIGH SCHOOL</v>
          </cell>
          <cell r="F4665">
            <v>0</v>
          </cell>
          <cell r="G4665">
            <v>0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>
            <v>0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  <cell r="Z4665">
            <v>0</v>
          </cell>
        </row>
        <row r="4666">
          <cell r="D4666">
            <v>501156</v>
          </cell>
          <cell r="E4666" t="str">
            <v>Bulawan Integrated School</v>
          </cell>
          <cell r="F4666">
            <v>0</v>
          </cell>
          <cell r="G4666">
            <v>0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  <cell r="Z4666">
            <v>0</v>
          </cell>
        </row>
        <row r="4667">
          <cell r="D4667">
            <v>314111</v>
          </cell>
          <cell r="E4667" t="str">
            <v>Lapero NHS</v>
          </cell>
          <cell r="F4667">
            <v>0</v>
          </cell>
          <cell r="G4667">
            <v>0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  <cell r="Y4667">
            <v>0</v>
          </cell>
          <cell r="Z4667">
            <v>0</v>
          </cell>
        </row>
        <row r="4668">
          <cell r="D4668">
            <v>303712</v>
          </cell>
          <cell r="E4668" t="str">
            <v>Marupay NHS</v>
          </cell>
          <cell r="F4668">
            <v>0</v>
          </cell>
          <cell r="G4668">
            <v>0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  <cell r="Z4668">
            <v>0</v>
          </cell>
        </row>
        <row r="4669">
          <cell r="D4669">
            <v>303744</v>
          </cell>
          <cell r="E4669" t="str">
            <v>Sirawai NHS Annex - Piacan</v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  <cell r="Z4669">
            <v>0</v>
          </cell>
        </row>
        <row r="4670">
          <cell r="D4670">
            <v>303692</v>
          </cell>
          <cell r="E4670" t="str">
            <v>Kalawit NHS Annex - Pianon</v>
          </cell>
          <cell r="F4670">
            <v>0</v>
          </cell>
          <cell r="G4670">
            <v>0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  <cell r="Y4670">
            <v>0</v>
          </cell>
          <cell r="Z4670">
            <v>0</v>
          </cell>
        </row>
        <row r="4671">
          <cell r="D4671">
            <v>314108</v>
          </cell>
          <cell r="E4671" t="str">
            <v>Alam Mudja Sai NHS</v>
          </cell>
          <cell r="F4671">
            <v>0</v>
          </cell>
          <cell r="G4671">
            <v>0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  <cell r="Y4671">
            <v>0</v>
          </cell>
          <cell r="Z4671">
            <v>0</v>
          </cell>
        </row>
        <row r="4672">
          <cell r="D4672">
            <v>314118</v>
          </cell>
          <cell r="E4672" t="str">
            <v>Saluyong NHS</v>
          </cell>
          <cell r="F4672">
            <v>0</v>
          </cell>
          <cell r="G4672">
            <v>0</v>
          </cell>
          <cell r="H4672">
            <v>0</v>
          </cell>
          <cell r="I4672">
            <v>0</v>
          </cell>
          <cell r="J4672">
            <v>0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0</v>
          </cell>
          <cell r="Y4672">
            <v>0</v>
          </cell>
          <cell r="Z4672">
            <v>0</v>
          </cell>
        </row>
        <row r="4673">
          <cell r="D4673">
            <v>314119</v>
          </cell>
          <cell r="E4673" t="str">
            <v>Mutia National High School Extension - Alvenda</v>
          </cell>
          <cell r="F4673">
            <v>0</v>
          </cell>
          <cell r="G4673">
            <v>0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  <cell r="Y4673">
            <v>0</v>
          </cell>
          <cell r="Z4673">
            <v>0</v>
          </cell>
        </row>
        <row r="4674">
          <cell r="D4674">
            <v>303751</v>
          </cell>
          <cell r="E4674" t="str">
            <v>Malintuboan National High School</v>
          </cell>
          <cell r="F4674">
            <v>17</v>
          </cell>
          <cell r="G4674">
            <v>13</v>
          </cell>
          <cell r="H4674">
            <v>30</v>
          </cell>
          <cell r="I4674">
            <v>0</v>
          </cell>
          <cell r="J4674">
            <v>0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  <cell r="Y4674">
            <v>0</v>
          </cell>
          <cell r="Z4674">
            <v>0</v>
          </cell>
        </row>
        <row r="4675">
          <cell r="D4675">
            <v>303713</v>
          </cell>
          <cell r="E4675" t="str">
            <v>Mutia NHS</v>
          </cell>
          <cell r="F4675">
            <v>0</v>
          </cell>
          <cell r="G4675">
            <v>0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  <cell r="Z4675">
            <v>0</v>
          </cell>
        </row>
        <row r="4676">
          <cell r="D4676">
            <v>303677</v>
          </cell>
          <cell r="E4676" t="str">
            <v>Baliguian NHS</v>
          </cell>
          <cell r="F4676">
            <v>0</v>
          </cell>
          <cell r="G4676">
            <v>0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  <cell r="Z4676">
            <v>0</v>
          </cell>
        </row>
        <row r="4677">
          <cell r="D4677">
            <v>303742</v>
          </cell>
          <cell r="E4677" t="str">
            <v>Sirawai National High School</v>
          </cell>
          <cell r="F4677">
            <v>0</v>
          </cell>
          <cell r="G4677">
            <v>0</v>
          </cell>
          <cell r="H4677">
            <v>0</v>
          </cell>
          <cell r="I4677">
            <v>0</v>
          </cell>
          <cell r="J4677">
            <v>0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  <cell r="Z4677">
            <v>0</v>
          </cell>
        </row>
        <row r="4678">
          <cell r="D4678">
            <v>303689</v>
          </cell>
          <cell r="E4678" t="str">
            <v>Julian Soriano Memorial Comprehensive High School</v>
          </cell>
          <cell r="F4678">
            <v>0</v>
          </cell>
          <cell r="G4678">
            <v>0</v>
          </cell>
          <cell r="H4678">
            <v>0</v>
          </cell>
          <cell r="I4678">
            <v>0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  <cell r="Y4678">
            <v>0</v>
          </cell>
          <cell r="Z4678">
            <v>0</v>
          </cell>
        </row>
        <row r="4679">
          <cell r="D4679">
            <v>303681</v>
          </cell>
          <cell r="E4679" t="str">
            <v>Bartolome Aripal Memorial NHS</v>
          </cell>
          <cell r="F4679">
            <v>0</v>
          </cell>
          <cell r="G4679">
            <v>0</v>
          </cell>
          <cell r="H4679">
            <v>0</v>
          </cell>
          <cell r="I4679">
            <v>0</v>
          </cell>
          <cell r="J4679">
            <v>0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  <cell r="Z4679">
            <v>0</v>
          </cell>
        </row>
        <row r="4680">
          <cell r="D4680">
            <v>303725</v>
          </cell>
          <cell r="E4680" t="str">
            <v>San Pedro National High School</v>
          </cell>
          <cell r="F4680">
            <v>0</v>
          </cell>
          <cell r="G4680">
            <v>0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  <cell r="Z4680">
            <v>0</v>
          </cell>
        </row>
        <row r="4681">
          <cell r="D4681">
            <v>303716</v>
          </cell>
          <cell r="E4681" t="str">
            <v>Polanco NHS</v>
          </cell>
          <cell r="F4681">
            <v>0</v>
          </cell>
          <cell r="G4681">
            <v>0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  <cell r="Y4681">
            <v>0</v>
          </cell>
          <cell r="Z4681">
            <v>0</v>
          </cell>
        </row>
        <row r="4682">
          <cell r="D4682">
            <v>303696</v>
          </cell>
          <cell r="E4682" t="str">
            <v>Katipunan National High School</v>
          </cell>
          <cell r="F4682">
            <v>0</v>
          </cell>
          <cell r="G4682">
            <v>0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0</v>
          </cell>
          <cell r="Y4682">
            <v>0</v>
          </cell>
          <cell r="Z4682">
            <v>0</v>
          </cell>
        </row>
        <row r="4683">
          <cell r="D4683">
            <v>314107</v>
          </cell>
          <cell r="E4683" t="str">
            <v>Cawit-Cawit National High School</v>
          </cell>
          <cell r="F4683">
            <v>0</v>
          </cell>
          <cell r="G4683">
            <v>0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  <cell r="Z4683">
            <v>0</v>
          </cell>
        </row>
        <row r="4684">
          <cell r="D4684">
            <v>303718</v>
          </cell>
          <cell r="E4684" t="str">
            <v>Silawe NHS</v>
          </cell>
          <cell r="F4684">
            <v>0</v>
          </cell>
          <cell r="G4684">
            <v>0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  <cell r="Y4684">
            <v>0</v>
          </cell>
          <cell r="Z4684">
            <v>0</v>
          </cell>
        </row>
        <row r="4685">
          <cell r="D4685">
            <v>303683</v>
          </cell>
          <cell r="E4685" t="str">
            <v>Dumalogdog National High School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  <cell r="Y4685">
            <v>0</v>
          </cell>
          <cell r="Z4685">
            <v>0</v>
          </cell>
        </row>
        <row r="4686">
          <cell r="D4686">
            <v>303752</v>
          </cell>
          <cell r="E4686" t="str">
            <v>Jesus A. Ramos NHS</v>
          </cell>
          <cell r="F4686">
            <v>0</v>
          </cell>
          <cell r="G4686">
            <v>0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  <cell r="Z4686">
            <v>0</v>
          </cell>
        </row>
        <row r="4687">
          <cell r="D4687">
            <v>314114</v>
          </cell>
          <cell r="E4687" t="str">
            <v>Binoni NHS</v>
          </cell>
          <cell r="F4687">
            <v>0</v>
          </cell>
          <cell r="G4687">
            <v>0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  <cell r="Z4687">
            <v>0</v>
          </cell>
        </row>
        <row r="4688">
          <cell r="D4688">
            <v>303694</v>
          </cell>
          <cell r="E4688" t="str">
            <v>Kanim NHS</v>
          </cell>
          <cell r="F4688">
            <v>0</v>
          </cell>
          <cell r="G4688">
            <v>0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  <cell r="Z4688">
            <v>0</v>
          </cell>
        </row>
        <row r="4689">
          <cell r="D4689">
            <v>303708</v>
          </cell>
          <cell r="E4689" t="str">
            <v>Malayal NHS</v>
          </cell>
          <cell r="F4689">
            <v>0</v>
          </cell>
          <cell r="G4689">
            <v>0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  <cell r="Y4689">
            <v>0</v>
          </cell>
          <cell r="Z4689">
            <v>0</v>
          </cell>
        </row>
        <row r="4690">
          <cell r="D4690">
            <v>303727</v>
          </cell>
          <cell r="E4690" t="str">
            <v>Seres NHS</v>
          </cell>
          <cell r="F4690">
            <v>0</v>
          </cell>
          <cell r="G4690">
            <v>0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</row>
        <row r="4691">
          <cell r="D4691">
            <v>501210</v>
          </cell>
          <cell r="E4691" t="str">
            <v>Doña Natividad L. Macias Integrated School</v>
          </cell>
          <cell r="F4691">
            <v>0</v>
          </cell>
          <cell r="G4691">
            <v>0</v>
          </cell>
          <cell r="H4691">
            <v>0</v>
          </cell>
          <cell r="I4691">
            <v>0</v>
          </cell>
          <cell r="J4691">
            <v>0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  <cell r="Z4691">
            <v>0</v>
          </cell>
        </row>
        <row r="4692">
          <cell r="D4692">
            <v>303705</v>
          </cell>
          <cell r="E4692" t="str">
            <v>Langatian NHS</v>
          </cell>
          <cell r="F4692">
            <v>0</v>
          </cell>
          <cell r="G4692">
            <v>0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  <cell r="Y4692">
            <v>0</v>
          </cell>
          <cell r="Z4692">
            <v>0</v>
          </cell>
        </row>
        <row r="4693">
          <cell r="D4693">
            <v>303707</v>
          </cell>
          <cell r="E4693" t="str">
            <v>COMPRA NATIONAL HIGH SCHOOL</v>
          </cell>
          <cell r="F4693">
            <v>0</v>
          </cell>
          <cell r="G4693">
            <v>0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  <cell r="Z4693">
            <v>0</v>
          </cell>
        </row>
        <row r="4694">
          <cell r="D4694">
            <v>303678</v>
          </cell>
          <cell r="E4694" t="str">
            <v>Bartolome  Lira, Sr. NHS</v>
          </cell>
          <cell r="F4694">
            <v>0</v>
          </cell>
          <cell r="G4694">
            <v>0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  <cell r="Y4694">
            <v>0</v>
          </cell>
          <cell r="Z4694">
            <v>0</v>
          </cell>
        </row>
        <row r="4695">
          <cell r="D4695">
            <v>303682</v>
          </cell>
          <cell r="E4695" t="str">
            <v>Dohinob NHS</v>
          </cell>
          <cell r="F4695">
            <v>0</v>
          </cell>
          <cell r="G4695">
            <v>0</v>
          </cell>
          <cell r="H4695">
            <v>0</v>
          </cell>
          <cell r="I4695">
            <v>0</v>
          </cell>
          <cell r="J4695">
            <v>0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  <cell r="Z4695">
            <v>0</v>
          </cell>
        </row>
        <row r="4696">
          <cell r="D4696">
            <v>303702</v>
          </cell>
          <cell r="E4696" t="str">
            <v>Sitog National High School</v>
          </cell>
          <cell r="F4696">
            <v>0</v>
          </cell>
          <cell r="G4696">
            <v>0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  <cell r="Z4696">
            <v>0</v>
          </cell>
        </row>
        <row r="4697">
          <cell r="D4697">
            <v>303709</v>
          </cell>
          <cell r="E4697" t="str">
            <v>Manawan National High School</v>
          </cell>
          <cell r="F4697">
            <v>66</v>
          </cell>
          <cell r="G4697">
            <v>75</v>
          </cell>
          <cell r="H4697">
            <v>141</v>
          </cell>
          <cell r="I4697">
            <v>0</v>
          </cell>
          <cell r="J4697">
            <v>0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  <cell r="Y4697">
            <v>0</v>
          </cell>
          <cell r="Z4697">
            <v>0</v>
          </cell>
        </row>
        <row r="4698">
          <cell r="D4698">
            <v>303686</v>
          </cell>
          <cell r="E4698" t="str">
            <v>Gutalac NHS</v>
          </cell>
          <cell r="F4698">
            <v>0</v>
          </cell>
          <cell r="G4698">
            <v>0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  <cell r="Y4698">
            <v>0</v>
          </cell>
          <cell r="Z4698">
            <v>0</v>
          </cell>
        </row>
        <row r="4699">
          <cell r="D4699">
            <v>314103</v>
          </cell>
          <cell r="E4699" t="str">
            <v>Moliton National High School</v>
          </cell>
          <cell r="F4699">
            <v>0</v>
          </cell>
          <cell r="G4699">
            <v>0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  <cell r="Y4699">
            <v>0</v>
          </cell>
          <cell r="Z4699">
            <v>0</v>
          </cell>
        </row>
        <row r="4700">
          <cell r="D4700">
            <v>303748</v>
          </cell>
          <cell r="E4700" t="str">
            <v>Tampilisan NHS Annex - Situbo</v>
          </cell>
          <cell r="F4700">
            <v>22</v>
          </cell>
          <cell r="G4700">
            <v>17</v>
          </cell>
          <cell r="H4700">
            <v>39</v>
          </cell>
          <cell r="I4700">
            <v>0</v>
          </cell>
          <cell r="J4700">
            <v>0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  <cell r="Y4700">
            <v>0</v>
          </cell>
          <cell r="Z4700">
            <v>0</v>
          </cell>
        </row>
        <row r="4701">
          <cell r="D4701">
            <v>314105</v>
          </cell>
          <cell r="E4701" t="str">
            <v>Polanco NHS Ext. - Isis</v>
          </cell>
          <cell r="F4701">
            <v>0</v>
          </cell>
          <cell r="G4701">
            <v>0</v>
          </cell>
          <cell r="H4701">
            <v>0</v>
          </cell>
          <cell r="I4701">
            <v>0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>
            <v>0</v>
          </cell>
          <cell r="V4701">
            <v>0</v>
          </cell>
          <cell r="W4701">
            <v>0</v>
          </cell>
          <cell r="X4701">
            <v>0</v>
          </cell>
          <cell r="Y4701">
            <v>0</v>
          </cell>
          <cell r="Z4701">
            <v>0</v>
          </cell>
        </row>
        <row r="4702">
          <cell r="D4702">
            <v>303697</v>
          </cell>
          <cell r="E4702" t="str">
            <v>Basagan National High School</v>
          </cell>
          <cell r="F4702">
            <v>0</v>
          </cell>
          <cell r="G4702">
            <v>0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  <cell r="Y4702">
            <v>0</v>
          </cell>
          <cell r="Z4702">
            <v>0</v>
          </cell>
        </row>
        <row r="4703">
          <cell r="D4703">
            <v>303750</v>
          </cell>
          <cell r="E4703" t="str">
            <v>Ubay National High School</v>
          </cell>
          <cell r="F4703">
            <v>0</v>
          </cell>
          <cell r="G4703">
            <v>0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  <cell r="V4703">
            <v>0</v>
          </cell>
          <cell r="W4703">
            <v>0</v>
          </cell>
          <cell r="X4703">
            <v>0</v>
          </cell>
          <cell r="Y4703">
            <v>0</v>
          </cell>
          <cell r="Z4703">
            <v>0</v>
          </cell>
        </row>
        <row r="4704">
          <cell r="D4704">
            <v>303701</v>
          </cell>
          <cell r="E4704" t="str">
            <v>Katipunan NHS -Sinuyak Annex</v>
          </cell>
          <cell r="F4704">
            <v>0</v>
          </cell>
          <cell r="G4704">
            <v>0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0</v>
          </cell>
          <cell r="W4704">
            <v>0</v>
          </cell>
          <cell r="X4704">
            <v>0</v>
          </cell>
          <cell r="Y4704">
            <v>0</v>
          </cell>
          <cell r="Z4704">
            <v>0</v>
          </cell>
        </row>
        <row r="4705">
          <cell r="D4705">
            <v>303671</v>
          </cell>
          <cell r="E4705" t="str">
            <v>Bacong NHS</v>
          </cell>
          <cell r="F4705">
            <v>98</v>
          </cell>
          <cell r="G4705">
            <v>82</v>
          </cell>
          <cell r="H4705">
            <v>180</v>
          </cell>
          <cell r="I4705">
            <v>3</v>
          </cell>
          <cell r="J4705">
            <v>1</v>
          </cell>
          <cell r="K4705">
            <v>4</v>
          </cell>
          <cell r="L4705">
            <v>1</v>
          </cell>
          <cell r="M4705">
            <v>2</v>
          </cell>
          <cell r="N4705">
            <v>3</v>
          </cell>
          <cell r="O4705">
            <v>1</v>
          </cell>
          <cell r="P4705">
            <v>1</v>
          </cell>
          <cell r="Q4705">
            <v>2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</row>
        <row r="4706">
          <cell r="D4706">
            <v>314115</v>
          </cell>
          <cell r="E4706" t="str">
            <v>SIANAN NATIONAL HIGH SCHOOL</v>
          </cell>
          <cell r="F4706">
            <v>0</v>
          </cell>
          <cell r="G4706">
            <v>0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>
            <v>0</v>
          </cell>
          <cell r="V4706">
            <v>0</v>
          </cell>
          <cell r="W4706">
            <v>0</v>
          </cell>
          <cell r="X4706">
            <v>0</v>
          </cell>
          <cell r="Y4706">
            <v>0</v>
          </cell>
          <cell r="Z4706">
            <v>0</v>
          </cell>
        </row>
        <row r="4707">
          <cell r="D4707">
            <v>303710</v>
          </cell>
          <cell r="E4707" t="str">
            <v>Manukan NHS</v>
          </cell>
          <cell r="F4707">
            <v>0</v>
          </cell>
          <cell r="G4707">
            <v>0</v>
          </cell>
          <cell r="H4707">
            <v>0</v>
          </cell>
          <cell r="I4707">
            <v>0</v>
          </cell>
          <cell r="J4707">
            <v>0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  <cell r="Y4707">
            <v>0</v>
          </cell>
          <cell r="Z4707">
            <v>0</v>
          </cell>
        </row>
        <row r="4708">
          <cell r="D4708">
            <v>303719</v>
          </cell>
          <cell r="E4708" t="str">
            <v>Ponot NHS</v>
          </cell>
          <cell r="F4708">
            <v>0</v>
          </cell>
          <cell r="G4708">
            <v>0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  <cell r="Z4708">
            <v>0</v>
          </cell>
        </row>
        <row r="4709">
          <cell r="D4709">
            <v>303721</v>
          </cell>
          <cell r="E4709" t="str">
            <v>Salug National High School</v>
          </cell>
          <cell r="F4709">
            <v>0</v>
          </cell>
          <cell r="G4709">
            <v>0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>
            <v>0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  <cell r="Y4709">
            <v>0</v>
          </cell>
          <cell r="Z4709">
            <v>0</v>
          </cell>
        </row>
        <row r="4710">
          <cell r="D4710">
            <v>303675</v>
          </cell>
          <cell r="E4710" t="str">
            <v>Tinuyop National High school</v>
          </cell>
          <cell r="F4710">
            <v>0</v>
          </cell>
          <cell r="G4710">
            <v>0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>
            <v>0</v>
          </cell>
          <cell r="Z4710">
            <v>0</v>
          </cell>
        </row>
        <row r="4711">
          <cell r="D4711">
            <v>303743</v>
          </cell>
          <cell r="E4711" t="str">
            <v>Dacon National High School (Sirawai NHS - Guban Annex)</v>
          </cell>
          <cell r="F4711">
            <v>0</v>
          </cell>
          <cell r="G4711">
            <v>0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  <cell r="Z4711">
            <v>0</v>
          </cell>
        </row>
        <row r="4712">
          <cell r="D4712">
            <v>303740</v>
          </cell>
          <cell r="E4712" t="str">
            <v>Siocon National High School</v>
          </cell>
          <cell r="F4712">
            <v>0</v>
          </cell>
          <cell r="G4712">
            <v>0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  <cell r="Y4712">
            <v>0</v>
          </cell>
          <cell r="Z4712">
            <v>0</v>
          </cell>
        </row>
        <row r="4713">
          <cell r="D4713">
            <v>303738</v>
          </cell>
          <cell r="E4713" t="str">
            <v>SINDANGAN NATIONAL AGRICULTURAL SCHOOL</v>
          </cell>
          <cell r="F4713">
            <v>0</v>
          </cell>
          <cell r="G4713">
            <v>0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  <cell r="Z4713">
            <v>0</v>
          </cell>
        </row>
        <row r="4714">
          <cell r="D4714">
            <v>314128</v>
          </cell>
          <cell r="E4714" t="str">
            <v>MATIAS C. RANILLO NATIONAL HIGH SCHOOL</v>
          </cell>
          <cell r="F4714">
            <v>0</v>
          </cell>
          <cell r="G4714">
            <v>0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  <cell r="Z4714">
            <v>0</v>
          </cell>
        </row>
        <row r="4715">
          <cell r="D4715">
            <v>303676</v>
          </cell>
          <cell r="E4715" t="str">
            <v>Balakan NHS</v>
          </cell>
          <cell r="F4715">
            <v>0</v>
          </cell>
          <cell r="G4715">
            <v>0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  <cell r="Z4715">
            <v>0</v>
          </cell>
        </row>
        <row r="4716">
          <cell r="D4716">
            <v>303739</v>
          </cell>
          <cell r="E4716" t="str">
            <v>Sindangan National High School</v>
          </cell>
          <cell r="F4716">
            <v>0</v>
          </cell>
          <cell r="G4716">
            <v>0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  <cell r="Y4716">
            <v>0</v>
          </cell>
          <cell r="Z4716">
            <v>0</v>
          </cell>
        </row>
        <row r="4717">
          <cell r="D4717">
            <v>303680</v>
          </cell>
          <cell r="E4717" t="str">
            <v>DINASAN NATIONAL HIGH SCHOOL</v>
          </cell>
          <cell r="F4717">
            <v>0</v>
          </cell>
          <cell r="G4717">
            <v>0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  <cell r="Z4717">
            <v>0</v>
          </cell>
        </row>
        <row r="4718">
          <cell r="D4718">
            <v>303688</v>
          </cell>
          <cell r="E4718" t="str">
            <v>Gutalac NHS Mamawan - Annex</v>
          </cell>
          <cell r="F4718">
            <v>0</v>
          </cell>
          <cell r="G4718">
            <v>0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  <cell r="Y4718">
            <v>0</v>
          </cell>
          <cell r="Z4718">
            <v>0</v>
          </cell>
        </row>
        <row r="4719">
          <cell r="D4719">
            <v>303679</v>
          </cell>
          <cell r="E4719" t="str">
            <v>Dilawa NHS</v>
          </cell>
          <cell r="F4719">
            <v>0</v>
          </cell>
          <cell r="G4719">
            <v>0</v>
          </cell>
          <cell r="H4719">
            <v>0</v>
          </cell>
          <cell r="I4719">
            <v>0</v>
          </cell>
          <cell r="J4719">
            <v>0</v>
          </cell>
          <cell r="K4719">
            <v>0</v>
          </cell>
          <cell r="L4719">
            <v>0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  <cell r="Y4719">
            <v>0</v>
          </cell>
          <cell r="Z4719">
            <v>0</v>
          </cell>
        </row>
        <row r="4720">
          <cell r="D4720">
            <v>303687</v>
          </cell>
          <cell r="E4720" t="str">
            <v>Canuto Enerio National High School</v>
          </cell>
          <cell r="F4720">
            <v>0</v>
          </cell>
          <cell r="G4720">
            <v>0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  <cell r="Y4720">
            <v>0</v>
          </cell>
          <cell r="Z4720">
            <v>0</v>
          </cell>
        </row>
        <row r="4721">
          <cell r="D4721">
            <v>303698</v>
          </cell>
          <cell r="E4721" t="str">
            <v>Don Teotimo Z. Ochotorena NHS</v>
          </cell>
          <cell r="F4721">
            <v>0</v>
          </cell>
          <cell r="G4721">
            <v>0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  <cell r="Y4721">
            <v>0</v>
          </cell>
          <cell r="Z4721">
            <v>0</v>
          </cell>
        </row>
        <row r="4722">
          <cell r="D4722">
            <v>314110</v>
          </cell>
          <cell r="E4722" t="str">
            <v>Polanco NHS Ext. - Lingasad</v>
          </cell>
          <cell r="F4722">
            <v>26</v>
          </cell>
          <cell r="G4722">
            <v>0</v>
          </cell>
          <cell r="H4722">
            <v>26</v>
          </cell>
          <cell r="I4722">
            <v>14</v>
          </cell>
          <cell r="J4722">
            <v>0</v>
          </cell>
          <cell r="K4722">
            <v>14</v>
          </cell>
          <cell r="L4722">
            <v>5</v>
          </cell>
          <cell r="M4722">
            <v>0</v>
          </cell>
          <cell r="N4722">
            <v>5</v>
          </cell>
          <cell r="O4722">
            <v>5</v>
          </cell>
          <cell r="P4722">
            <v>0</v>
          </cell>
          <cell r="Q4722">
            <v>5</v>
          </cell>
          <cell r="R4722">
            <v>5</v>
          </cell>
          <cell r="S4722">
            <v>0</v>
          </cell>
          <cell r="T4722">
            <v>5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  <cell r="Y4722">
            <v>0</v>
          </cell>
          <cell r="Z4722">
            <v>0</v>
          </cell>
        </row>
        <row r="4723">
          <cell r="D4723">
            <v>303674</v>
          </cell>
          <cell r="E4723" t="str">
            <v>Talinga National High School</v>
          </cell>
          <cell r="F4723">
            <v>0</v>
          </cell>
          <cell r="G4723">
            <v>0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  <cell r="Z4723">
            <v>0</v>
          </cell>
        </row>
        <row r="4724">
          <cell r="D4724">
            <v>303703</v>
          </cell>
          <cell r="E4724" t="str">
            <v>Kipit Agro-Fishery NHS</v>
          </cell>
          <cell r="F4724">
            <v>57</v>
          </cell>
          <cell r="G4724">
            <v>83</v>
          </cell>
          <cell r="H4724">
            <v>140</v>
          </cell>
          <cell r="I4724">
            <v>34</v>
          </cell>
          <cell r="J4724">
            <v>69</v>
          </cell>
          <cell r="K4724">
            <v>103</v>
          </cell>
          <cell r="L4724">
            <v>2</v>
          </cell>
          <cell r="M4724">
            <v>3</v>
          </cell>
          <cell r="N4724">
            <v>5</v>
          </cell>
          <cell r="O4724">
            <v>23</v>
          </cell>
          <cell r="P4724">
            <v>36</v>
          </cell>
          <cell r="Q4724">
            <v>59</v>
          </cell>
          <cell r="R4724">
            <v>2</v>
          </cell>
          <cell r="S4724">
            <v>5</v>
          </cell>
          <cell r="T4724">
            <v>7</v>
          </cell>
          <cell r="U4724">
            <v>9</v>
          </cell>
          <cell r="V4724">
            <v>22</v>
          </cell>
          <cell r="W4724">
            <v>31</v>
          </cell>
          <cell r="X4724">
            <v>3</v>
          </cell>
          <cell r="Y4724">
            <v>2</v>
          </cell>
          <cell r="Z4724">
            <v>5</v>
          </cell>
        </row>
        <row r="4725">
          <cell r="D4725">
            <v>314122</v>
          </cell>
          <cell r="E4725" t="str">
            <v>Gutalac NHS Ext. - Tipan</v>
          </cell>
          <cell r="F4725">
            <v>0</v>
          </cell>
          <cell r="G4725">
            <v>0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  <cell r="Z4725">
            <v>0</v>
          </cell>
        </row>
        <row r="4726">
          <cell r="D4726">
            <v>314126</v>
          </cell>
          <cell r="E4726" t="str">
            <v>Sergio Osmena NHS Ext. - Marapong</v>
          </cell>
          <cell r="F4726">
            <v>0</v>
          </cell>
          <cell r="G4726">
            <v>0</v>
          </cell>
          <cell r="H4726">
            <v>0</v>
          </cell>
          <cell r="I4726">
            <v>0</v>
          </cell>
          <cell r="J4726">
            <v>0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  <cell r="Y4726">
            <v>0</v>
          </cell>
          <cell r="Z4726">
            <v>0</v>
          </cell>
        </row>
        <row r="4727">
          <cell r="D4727">
            <v>314120</v>
          </cell>
          <cell r="E4727" t="str">
            <v>Balas National High School</v>
          </cell>
          <cell r="F4727">
            <v>0</v>
          </cell>
          <cell r="G4727">
            <v>0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  <cell r="Y4727">
            <v>0</v>
          </cell>
          <cell r="Z4727">
            <v>0</v>
          </cell>
        </row>
        <row r="4728">
          <cell r="D4728">
            <v>303815</v>
          </cell>
          <cell r="E4728" t="str">
            <v>Simata NHS</v>
          </cell>
          <cell r="F4728">
            <v>0</v>
          </cell>
          <cell r="G4728">
            <v>0</v>
          </cell>
          <cell r="H4728">
            <v>0</v>
          </cell>
          <cell r="I4728">
            <v>0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  <cell r="Y4728">
            <v>0</v>
          </cell>
          <cell r="Z4728">
            <v>0</v>
          </cell>
        </row>
        <row r="4729">
          <cell r="D4729">
            <v>314216</v>
          </cell>
          <cell r="E4729" t="str">
            <v>Bulawan National High School</v>
          </cell>
          <cell r="F4729">
            <v>0</v>
          </cell>
          <cell r="G4729">
            <v>0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  <cell r="Z4729">
            <v>0</v>
          </cell>
        </row>
        <row r="4730">
          <cell r="D4730">
            <v>303755</v>
          </cell>
          <cell r="E4730" t="str">
            <v>Bag-ong Kahayag NHS</v>
          </cell>
          <cell r="F4730">
            <v>0</v>
          </cell>
          <cell r="G4730">
            <v>0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  <cell r="Z4730">
            <v>0</v>
          </cell>
        </row>
        <row r="4731">
          <cell r="D4731">
            <v>303810</v>
          </cell>
          <cell r="E4731" t="str">
            <v>Saloagan NHS</v>
          </cell>
          <cell r="F4731">
            <v>0</v>
          </cell>
          <cell r="G4731">
            <v>0</v>
          </cell>
          <cell r="H4731">
            <v>0</v>
          </cell>
          <cell r="I4731">
            <v>3</v>
          </cell>
          <cell r="J4731">
            <v>0</v>
          </cell>
          <cell r="K4731">
            <v>3</v>
          </cell>
          <cell r="L4731">
            <v>3</v>
          </cell>
          <cell r="M4731">
            <v>0</v>
          </cell>
          <cell r="N4731">
            <v>3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  <cell r="Y4731">
            <v>0</v>
          </cell>
          <cell r="Z4731">
            <v>0</v>
          </cell>
        </row>
        <row r="4732">
          <cell r="D4732">
            <v>303814</v>
          </cell>
          <cell r="E4732" t="str">
            <v>Sapa Anding Agricultural Vocational Technical School</v>
          </cell>
          <cell r="F4732">
            <v>0</v>
          </cell>
          <cell r="G4732">
            <v>0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  <cell r="Y4732">
            <v>0</v>
          </cell>
          <cell r="Z4732">
            <v>0</v>
          </cell>
        </row>
        <row r="4733">
          <cell r="D4733">
            <v>501159</v>
          </cell>
          <cell r="E4733" t="str">
            <v>Bogo Calabat Integrated School</v>
          </cell>
          <cell r="F4733">
            <v>0</v>
          </cell>
          <cell r="G4733">
            <v>0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  <cell r="Y4733">
            <v>0</v>
          </cell>
          <cell r="Z4733">
            <v>0</v>
          </cell>
        </row>
        <row r="4734">
          <cell r="D4734">
            <v>303803</v>
          </cell>
          <cell r="E4734" t="str">
            <v>Mahayag School of Arts and Trade (Mahayag NHS)</v>
          </cell>
          <cell r="F4734">
            <v>0</v>
          </cell>
          <cell r="G4734">
            <v>0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  <cell r="Z4734">
            <v>0</v>
          </cell>
        </row>
        <row r="4735">
          <cell r="D4735">
            <v>314217</v>
          </cell>
          <cell r="E4735" t="str">
            <v>Bibilik NHS</v>
          </cell>
          <cell r="F4735">
            <v>0</v>
          </cell>
          <cell r="G4735">
            <v>0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  <cell r="Y4735">
            <v>0</v>
          </cell>
          <cell r="Z4735">
            <v>0</v>
          </cell>
        </row>
        <row r="4736">
          <cell r="D4736">
            <v>303766</v>
          </cell>
          <cell r="E4736" t="str">
            <v>Commonwealth NHS</v>
          </cell>
          <cell r="F4736">
            <v>32</v>
          </cell>
          <cell r="G4736">
            <v>28</v>
          </cell>
          <cell r="H4736">
            <v>60</v>
          </cell>
          <cell r="I4736">
            <v>22</v>
          </cell>
          <cell r="J4736">
            <v>18</v>
          </cell>
          <cell r="K4736">
            <v>40</v>
          </cell>
          <cell r="L4736">
            <v>0</v>
          </cell>
          <cell r="M4736">
            <v>0</v>
          </cell>
          <cell r="N4736">
            <v>0</v>
          </cell>
          <cell r="O4736">
            <v>15</v>
          </cell>
          <cell r="P4736">
            <v>10</v>
          </cell>
          <cell r="Q4736">
            <v>25</v>
          </cell>
          <cell r="R4736">
            <v>0</v>
          </cell>
          <cell r="S4736">
            <v>0</v>
          </cell>
          <cell r="T4736">
            <v>0</v>
          </cell>
          <cell r="U4736">
            <v>1</v>
          </cell>
          <cell r="V4736">
            <v>1</v>
          </cell>
          <cell r="W4736">
            <v>2</v>
          </cell>
          <cell r="X4736">
            <v>0</v>
          </cell>
          <cell r="Y4736">
            <v>0</v>
          </cell>
          <cell r="Z4736">
            <v>0</v>
          </cell>
        </row>
        <row r="4737">
          <cell r="D4737">
            <v>303790</v>
          </cell>
          <cell r="E4737" t="str">
            <v>Legarda Dos NHS</v>
          </cell>
          <cell r="F4737">
            <v>0</v>
          </cell>
          <cell r="G4737">
            <v>0</v>
          </cell>
          <cell r="H4737">
            <v>0</v>
          </cell>
          <cell r="I4737">
            <v>0</v>
          </cell>
          <cell r="J4737">
            <v>0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  <cell r="Y4737">
            <v>0</v>
          </cell>
          <cell r="Z4737">
            <v>0</v>
          </cell>
        </row>
        <row r="4738">
          <cell r="D4738">
            <v>303807</v>
          </cell>
          <cell r="E4738" t="str">
            <v>Proper Dimaya NHS</v>
          </cell>
          <cell r="F4738">
            <v>0</v>
          </cell>
          <cell r="G4738">
            <v>0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  <cell r="Y4738">
            <v>0</v>
          </cell>
          <cell r="Z4738">
            <v>0</v>
          </cell>
        </row>
        <row r="4739">
          <cell r="D4739">
            <v>314257</v>
          </cell>
          <cell r="E4739" t="str">
            <v>Midsalip NHS - Buloron Extension</v>
          </cell>
          <cell r="F4739">
            <v>0</v>
          </cell>
          <cell r="G4739">
            <v>0</v>
          </cell>
          <cell r="H4739">
            <v>0</v>
          </cell>
          <cell r="I4739">
            <v>0</v>
          </cell>
          <cell r="J4739">
            <v>0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  <cell r="Z4739">
            <v>0</v>
          </cell>
        </row>
        <row r="4740">
          <cell r="D4740">
            <v>314252</v>
          </cell>
          <cell r="E4740" t="str">
            <v>Locuban NHS</v>
          </cell>
          <cell r="F4740">
            <v>0</v>
          </cell>
          <cell r="G4740">
            <v>0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  <cell r="Z4740">
            <v>0</v>
          </cell>
        </row>
        <row r="4741">
          <cell r="D4741">
            <v>303804</v>
          </cell>
          <cell r="E4741" t="str">
            <v>Paulino Dari NHS</v>
          </cell>
          <cell r="F4741">
            <v>0</v>
          </cell>
          <cell r="G4741">
            <v>0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  <cell r="Z4741">
            <v>0</v>
          </cell>
        </row>
        <row r="4742">
          <cell r="D4742">
            <v>303777</v>
          </cell>
          <cell r="E4742" t="str">
            <v>Guinicolalay NHS</v>
          </cell>
          <cell r="F4742">
            <v>0</v>
          </cell>
          <cell r="G4742">
            <v>0</v>
          </cell>
          <cell r="H4742">
            <v>0</v>
          </cell>
          <cell r="I4742">
            <v>0</v>
          </cell>
          <cell r="J4742">
            <v>0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  <cell r="Y4742">
            <v>0</v>
          </cell>
          <cell r="Z4742">
            <v>0</v>
          </cell>
        </row>
        <row r="4743">
          <cell r="D4743">
            <v>303756</v>
          </cell>
          <cell r="E4743" t="str">
            <v>Balongating National High School</v>
          </cell>
          <cell r="F4743">
            <v>5</v>
          </cell>
          <cell r="G4743">
            <v>8</v>
          </cell>
          <cell r="H4743">
            <v>13</v>
          </cell>
          <cell r="I4743">
            <v>3</v>
          </cell>
          <cell r="J4743">
            <v>3</v>
          </cell>
          <cell r="K4743">
            <v>6</v>
          </cell>
          <cell r="L4743">
            <v>3</v>
          </cell>
          <cell r="M4743">
            <v>3</v>
          </cell>
          <cell r="N4743">
            <v>6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  <cell r="Y4743">
            <v>0</v>
          </cell>
          <cell r="Z4743">
            <v>0</v>
          </cell>
        </row>
        <row r="4744">
          <cell r="D4744">
            <v>303786</v>
          </cell>
          <cell r="E4744" t="str">
            <v>Lantungan National High School</v>
          </cell>
          <cell r="F4744">
            <v>0</v>
          </cell>
          <cell r="G4744">
            <v>0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  <cell r="Y4744">
            <v>0</v>
          </cell>
          <cell r="Z4744">
            <v>0</v>
          </cell>
        </row>
        <row r="4745">
          <cell r="D4745">
            <v>303767</v>
          </cell>
          <cell r="E4745" t="str">
            <v>CONCEPCION NATIONAL HIGH SCHOOL</v>
          </cell>
          <cell r="F4745">
            <v>0</v>
          </cell>
          <cell r="G4745">
            <v>0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  <cell r="Z4745">
            <v>0</v>
          </cell>
        </row>
        <row r="4746">
          <cell r="D4746">
            <v>314255</v>
          </cell>
          <cell r="E4746" t="str">
            <v>Old Mirapao NHS</v>
          </cell>
          <cell r="F4746">
            <v>0</v>
          </cell>
          <cell r="G4746">
            <v>0</v>
          </cell>
          <cell r="H4746">
            <v>0</v>
          </cell>
          <cell r="I4746">
            <v>0</v>
          </cell>
          <cell r="J4746">
            <v>0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  <cell r="Y4746">
            <v>0</v>
          </cell>
          <cell r="Z4746">
            <v>0</v>
          </cell>
        </row>
        <row r="4747">
          <cell r="D4747">
            <v>314237</v>
          </cell>
          <cell r="E4747" t="str">
            <v>Mecolong National High School</v>
          </cell>
          <cell r="F4747">
            <v>0</v>
          </cell>
          <cell r="G4747">
            <v>0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  <cell r="Y4747">
            <v>0</v>
          </cell>
          <cell r="Z4747">
            <v>0</v>
          </cell>
        </row>
        <row r="4748">
          <cell r="D4748">
            <v>303754</v>
          </cell>
          <cell r="E4748" t="str">
            <v>Baganian NHS</v>
          </cell>
          <cell r="F4748">
            <v>0</v>
          </cell>
          <cell r="G4748">
            <v>0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  <cell r="Y4748">
            <v>0</v>
          </cell>
          <cell r="Z4748">
            <v>0</v>
          </cell>
        </row>
        <row r="4749">
          <cell r="D4749">
            <v>303784</v>
          </cell>
          <cell r="E4749" t="str">
            <v>Kumalarang NHS</v>
          </cell>
          <cell r="F4749">
            <v>0</v>
          </cell>
          <cell r="G4749">
            <v>0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  <cell r="Y4749">
            <v>0</v>
          </cell>
          <cell r="Z4749">
            <v>0</v>
          </cell>
        </row>
        <row r="4750">
          <cell r="D4750">
            <v>314228</v>
          </cell>
          <cell r="E4750" t="str">
            <v>Sapa Anding NHS - Ramon Magsaysay Extension</v>
          </cell>
          <cell r="F4750">
            <v>0</v>
          </cell>
          <cell r="G4750">
            <v>0</v>
          </cell>
          <cell r="H4750">
            <v>0</v>
          </cell>
          <cell r="I4750">
            <v>0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  <cell r="Z4750">
            <v>0</v>
          </cell>
        </row>
        <row r="4751">
          <cell r="D4751">
            <v>303759</v>
          </cell>
          <cell r="E4751" t="str">
            <v>Binuay NHS</v>
          </cell>
          <cell r="F4751">
            <v>0</v>
          </cell>
          <cell r="G4751">
            <v>0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  <cell r="Z4751">
            <v>0</v>
          </cell>
        </row>
        <row r="4752">
          <cell r="D4752">
            <v>303787</v>
          </cell>
          <cell r="E4752" t="str">
            <v>Laperian National High School</v>
          </cell>
          <cell r="F4752">
            <v>0</v>
          </cell>
          <cell r="G4752">
            <v>0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  <cell r="Y4752">
            <v>0</v>
          </cell>
          <cell r="Z4752">
            <v>0</v>
          </cell>
        </row>
        <row r="4753">
          <cell r="D4753">
            <v>303770</v>
          </cell>
          <cell r="E4753" t="str">
            <v>Dimataling National High School</v>
          </cell>
          <cell r="F4753">
            <v>0</v>
          </cell>
          <cell r="G4753">
            <v>0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  <cell r="Y4753">
            <v>0</v>
          </cell>
          <cell r="Z4753">
            <v>0</v>
          </cell>
        </row>
        <row r="4754">
          <cell r="D4754">
            <v>303753</v>
          </cell>
          <cell r="E4754" t="str">
            <v>Antonio NHS</v>
          </cell>
          <cell r="F4754">
            <v>71</v>
          </cell>
          <cell r="G4754">
            <v>64</v>
          </cell>
          <cell r="H4754">
            <v>135</v>
          </cell>
          <cell r="I4754">
            <v>25</v>
          </cell>
          <cell r="J4754">
            <v>10</v>
          </cell>
          <cell r="K4754">
            <v>35</v>
          </cell>
          <cell r="L4754">
            <v>24</v>
          </cell>
          <cell r="M4754">
            <v>11</v>
          </cell>
          <cell r="N4754">
            <v>35</v>
          </cell>
          <cell r="O4754">
            <v>20</v>
          </cell>
          <cell r="P4754">
            <v>9</v>
          </cell>
          <cell r="Q4754">
            <v>29</v>
          </cell>
          <cell r="R4754">
            <v>20</v>
          </cell>
          <cell r="S4754">
            <v>11</v>
          </cell>
          <cell r="T4754">
            <v>31</v>
          </cell>
          <cell r="U4754">
            <v>10</v>
          </cell>
          <cell r="V4754">
            <v>8</v>
          </cell>
          <cell r="W4754">
            <v>18</v>
          </cell>
          <cell r="X4754">
            <v>10</v>
          </cell>
          <cell r="Y4754">
            <v>5</v>
          </cell>
          <cell r="Z4754">
            <v>15</v>
          </cell>
        </row>
        <row r="4755">
          <cell r="D4755">
            <v>314241</v>
          </cell>
          <cell r="E4755" t="str">
            <v>Libayoy NHS</v>
          </cell>
          <cell r="F4755">
            <v>0</v>
          </cell>
          <cell r="G4755">
            <v>0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  <cell r="Z4755">
            <v>0</v>
          </cell>
        </row>
        <row r="4756">
          <cell r="D4756">
            <v>314263</v>
          </cell>
          <cell r="E4756" t="str">
            <v>Ma. Clara Lobregat NHS</v>
          </cell>
          <cell r="F4756">
            <v>0</v>
          </cell>
          <cell r="G4756">
            <v>0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  <cell r="Y4756">
            <v>0</v>
          </cell>
          <cell r="Z4756">
            <v>0</v>
          </cell>
        </row>
        <row r="4757">
          <cell r="D4757">
            <v>314204</v>
          </cell>
          <cell r="E4757" t="str">
            <v>Sumalig NHS</v>
          </cell>
          <cell r="F4757">
            <v>0</v>
          </cell>
          <cell r="G4757">
            <v>0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  <cell r="Z4757">
            <v>0</v>
          </cell>
        </row>
        <row r="4758">
          <cell r="D4758">
            <v>303773</v>
          </cell>
          <cell r="E4758" t="str">
            <v>Dumingag National High School</v>
          </cell>
          <cell r="F4758">
            <v>0</v>
          </cell>
          <cell r="G4758">
            <v>0</v>
          </cell>
          <cell r="H4758">
            <v>0</v>
          </cell>
          <cell r="I4758">
            <v>0</v>
          </cell>
          <cell r="J4758">
            <v>0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  <cell r="Y4758">
            <v>0</v>
          </cell>
          <cell r="Z4758">
            <v>0</v>
          </cell>
        </row>
        <row r="4759">
          <cell r="D4759">
            <v>303775</v>
          </cell>
          <cell r="E4759" t="str">
            <v>Esperanza Switch NHS</v>
          </cell>
          <cell r="F4759">
            <v>0</v>
          </cell>
          <cell r="G4759">
            <v>0</v>
          </cell>
          <cell r="H4759">
            <v>0</v>
          </cell>
          <cell r="I4759">
            <v>0</v>
          </cell>
          <cell r="J4759">
            <v>0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  <cell r="Z4759">
            <v>0</v>
          </cell>
        </row>
        <row r="4760">
          <cell r="D4760">
            <v>303800</v>
          </cell>
          <cell r="E4760" t="str">
            <v>Nilo NHS</v>
          </cell>
          <cell r="F4760">
            <v>0</v>
          </cell>
          <cell r="G4760">
            <v>0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  <cell r="Y4760">
            <v>0</v>
          </cell>
          <cell r="Z4760">
            <v>0</v>
          </cell>
        </row>
        <row r="4761">
          <cell r="D4761">
            <v>303819</v>
          </cell>
          <cell r="E4761" t="str">
            <v>Tambulig NHS</v>
          </cell>
          <cell r="F4761">
            <v>100</v>
          </cell>
          <cell r="G4761">
            <v>50</v>
          </cell>
          <cell r="H4761">
            <v>150</v>
          </cell>
          <cell r="I4761">
            <v>15</v>
          </cell>
          <cell r="J4761">
            <v>10</v>
          </cell>
          <cell r="K4761">
            <v>25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  <cell r="Z4761">
            <v>0</v>
          </cell>
        </row>
        <row r="4762">
          <cell r="D4762">
            <v>303789</v>
          </cell>
          <cell r="E4762" t="str">
            <v>Maruing NHS</v>
          </cell>
          <cell r="F4762">
            <v>0</v>
          </cell>
          <cell r="G4762">
            <v>0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  <cell r="Y4762">
            <v>0</v>
          </cell>
          <cell r="Z4762">
            <v>0</v>
          </cell>
        </row>
        <row r="4763">
          <cell r="D4763">
            <v>303811</v>
          </cell>
          <cell r="E4763" t="str">
            <v>Tukuran Tech. Voc'l. HS</v>
          </cell>
          <cell r="F4763">
            <v>44</v>
          </cell>
          <cell r="G4763">
            <v>377</v>
          </cell>
          <cell r="H4763">
            <v>421</v>
          </cell>
          <cell r="I4763">
            <v>0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  <cell r="Z4763">
            <v>0</v>
          </cell>
        </row>
        <row r="4764">
          <cell r="D4764">
            <v>303792</v>
          </cell>
          <cell r="E4764" t="str">
            <v>Leonardo NHS</v>
          </cell>
          <cell r="F4764">
            <v>0</v>
          </cell>
          <cell r="G4764">
            <v>0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  <cell r="Z4764">
            <v>0</v>
          </cell>
        </row>
        <row r="4765">
          <cell r="D4765">
            <v>303761</v>
          </cell>
          <cell r="E4765" t="str">
            <v>Bokong NHS</v>
          </cell>
          <cell r="F4765">
            <v>0</v>
          </cell>
          <cell r="G4765">
            <v>0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  <cell r="Y4765">
            <v>0</v>
          </cell>
          <cell r="Z4765">
            <v>0</v>
          </cell>
        </row>
        <row r="4766">
          <cell r="D4766">
            <v>314223</v>
          </cell>
          <cell r="E4766" t="str">
            <v>Potenciano Solon Bandolon Memorial National High School</v>
          </cell>
          <cell r="F4766">
            <v>0</v>
          </cell>
          <cell r="G4766">
            <v>0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</row>
        <row r="4767">
          <cell r="D4767">
            <v>303788</v>
          </cell>
          <cell r="E4767" t="str">
            <v>Lapuyan NHS</v>
          </cell>
          <cell r="F4767">
            <v>0</v>
          </cell>
          <cell r="G4767">
            <v>0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  <cell r="Y4767">
            <v>0</v>
          </cell>
          <cell r="Z4767">
            <v>0</v>
          </cell>
        </row>
        <row r="4768">
          <cell r="D4768">
            <v>345844</v>
          </cell>
          <cell r="E4768" t="str">
            <v>SHS in Labangan, Zamboanga Del Sur</v>
          </cell>
          <cell r="F4768">
            <v>0</v>
          </cell>
          <cell r="G4768">
            <v>0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  <cell r="Y4768">
            <v>0</v>
          </cell>
          <cell r="Z4768">
            <v>0</v>
          </cell>
        </row>
        <row r="4769">
          <cell r="D4769">
            <v>303764</v>
          </cell>
          <cell r="E4769" t="str">
            <v>Laureano Salusod NHS</v>
          </cell>
          <cell r="F4769">
            <v>10</v>
          </cell>
          <cell r="G4769">
            <v>10</v>
          </cell>
          <cell r="H4769">
            <v>20</v>
          </cell>
          <cell r="I4769">
            <v>9</v>
          </cell>
          <cell r="J4769">
            <v>5</v>
          </cell>
          <cell r="K4769">
            <v>14</v>
          </cell>
          <cell r="L4769">
            <v>3</v>
          </cell>
          <cell r="M4769">
            <v>2</v>
          </cell>
          <cell r="N4769">
            <v>5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2</v>
          </cell>
          <cell r="Y4769">
            <v>1</v>
          </cell>
          <cell r="Z4769">
            <v>3</v>
          </cell>
        </row>
        <row r="4770">
          <cell r="D4770">
            <v>303778</v>
          </cell>
          <cell r="E4770" t="str">
            <v>Guipos NHS</v>
          </cell>
          <cell r="F4770">
            <v>0</v>
          </cell>
          <cell r="G4770">
            <v>0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  <cell r="Y4770">
            <v>0</v>
          </cell>
          <cell r="Z4770">
            <v>0</v>
          </cell>
        </row>
        <row r="4771">
          <cell r="D4771">
            <v>303817</v>
          </cell>
          <cell r="E4771" t="str">
            <v>Sominot National High School</v>
          </cell>
          <cell r="F4771">
            <v>0</v>
          </cell>
          <cell r="G4771">
            <v>0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  <cell r="Y4771">
            <v>0</v>
          </cell>
          <cell r="Z4771">
            <v>0</v>
          </cell>
        </row>
        <row r="4772">
          <cell r="D4772">
            <v>303776</v>
          </cell>
          <cell r="E4772" t="str">
            <v>Eugenia Andrin NHS</v>
          </cell>
          <cell r="F4772">
            <v>0</v>
          </cell>
          <cell r="G4772">
            <v>0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  <cell r="Y4772">
            <v>0</v>
          </cell>
          <cell r="Z4772">
            <v>0</v>
          </cell>
        </row>
        <row r="4773">
          <cell r="D4773">
            <v>303757</v>
          </cell>
          <cell r="E4773" t="str">
            <v>Bayog National Technical Vocational High School</v>
          </cell>
          <cell r="F4773">
            <v>33</v>
          </cell>
          <cell r="G4773">
            <v>39</v>
          </cell>
          <cell r="H4773">
            <v>72</v>
          </cell>
          <cell r="I4773">
            <v>33</v>
          </cell>
          <cell r="J4773">
            <v>39</v>
          </cell>
          <cell r="K4773">
            <v>72</v>
          </cell>
          <cell r="L4773">
            <v>33</v>
          </cell>
          <cell r="M4773">
            <v>39</v>
          </cell>
          <cell r="N4773">
            <v>72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  <cell r="Y4773">
            <v>0</v>
          </cell>
          <cell r="Z4773">
            <v>0</v>
          </cell>
        </row>
        <row r="4774">
          <cell r="D4774">
            <v>303821</v>
          </cell>
          <cell r="E4774" t="str">
            <v>Tigbao NHS</v>
          </cell>
          <cell r="F4774">
            <v>0</v>
          </cell>
          <cell r="G4774">
            <v>0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  <cell r="Z4774">
            <v>0</v>
          </cell>
        </row>
        <row r="4775">
          <cell r="D4775">
            <v>303818</v>
          </cell>
          <cell r="E4775" t="str">
            <v>Subanen Agricultural NHS</v>
          </cell>
          <cell r="F4775">
            <v>0</v>
          </cell>
          <cell r="G4775">
            <v>0</v>
          </cell>
          <cell r="H4775">
            <v>0</v>
          </cell>
          <cell r="I4775">
            <v>0</v>
          </cell>
          <cell r="J4775">
            <v>0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  <cell r="Y4775">
            <v>0</v>
          </cell>
          <cell r="Z4775">
            <v>0</v>
          </cell>
        </row>
        <row r="4776">
          <cell r="D4776">
            <v>303805</v>
          </cell>
          <cell r="E4776" t="str">
            <v>Panubigan NHS</v>
          </cell>
          <cell r="F4776">
            <v>0</v>
          </cell>
          <cell r="G4776">
            <v>0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  <cell r="Z4776">
            <v>0</v>
          </cell>
        </row>
        <row r="4777">
          <cell r="D4777">
            <v>314218</v>
          </cell>
          <cell r="E4777" t="str">
            <v>Bag-ong Kauswagan NHS</v>
          </cell>
          <cell r="F4777">
            <v>0</v>
          </cell>
          <cell r="G4777">
            <v>0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  <cell r="Z4777">
            <v>0</v>
          </cell>
        </row>
        <row r="4778">
          <cell r="D4778">
            <v>303771</v>
          </cell>
          <cell r="E4778" t="str">
            <v>Dinas NHS</v>
          </cell>
          <cell r="F4778">
            <v>84</v>
          </cell>
          <cell r="G4778">
            <v>91</v>
          </cell>
          <cell r="H4778">
            <v>175</v>
          </cell>
          <cell r="I4778">
            <v>47</v>
          </cell>
          <cell r="J4778">
            <v>53</v>
          </cell>
          <cell r="K4778">
            <v>100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  <cell r="Y4778">
            <v>0</v>
          </cell>
          <cell r="Z4778">
            <v>0</v>
          </cell>
        </row>
        <row r="4779">
          <cell r="D4779">
            <v>303823</v>
          </cell>
          <cell r="E4779" t="str">
            <v>Vicenta C. Enerio National High School</v>
          </cell>
          <cell r="F4779">
            <v>0</v>
          </cell>
          <cell r="G4779">
            <v>0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  <cell r="Z4779">
            <v>0</v>
          </cell>
        </row>
        <row r="4780">
          <cell r="D4780">
            <v>303782</v>
          </cell>
          <cell r="E4780" t="str">
            <v>Kabatan National High School</v>
          </cell>
          <cell r="F4780">
            <v>10</v>
          </cell>
          <cell r="G4780">
            <v>10</v>
          </cell>
          <cell r="H4780">
            <v>20</v>
          </cell>
          <cell r="I4780">
            <v>10</v>
          </cell>
          <cell r="J4780">
            <v>10</v>
          </cell>
          <cell r="K4780">
            <v>20</v>
          </cell>
          <cell r="L4780">
            <v>10</v>
          </cell>
          <cell r="M4780">
            <v>10</v>
          </cell>
          <cell r="N4780">
            <v>20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  <cell r="Y4780">
            <v>0</v>
          </cell>
          <cell r="Z4780">
            <v>0</v>
          </cell>
        </row>
        <row r="4781">
          <cell r="D4781">
            <v>303791</v>
          </cell>
          <cell r="E4781" t="str">
            <v>Betinan NHS</v>
          </cell>
          <cell r="F4781">
            <v>0</v>
          </cell>
          <cell r="G4781">
            <v>0</v>
          </cell>
          <cell r="H4781">
            <v>0</v>
          </cell>
          <cell r="I4781">
            <v>0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  <cell r="Z4781">
            <v>0</v>
          </cell>
        </row>
        <row r="4782">
          <cell r="D4782">
            <v>303758</v>
          </cell>
          <cell r="E4782" t="str">
            <v>Damit NHS</v>
          </cell>
          <cell r="F4782">
            <v>0</v>
          </cell>
          <cell r="G4782">
            <v>0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  <cell r="Y4782">
            <v>0</v>
          </cell>
          <cell r="Z4782">
            <v>0</v>
          </cell>
        </row>
        <row r="4783">
          <cell r="D4783">
            <v>303816</v>
          </cell>
          <cell r="E4783" t="str">
            <v>Parasan National High School</v>
          </cell>
          <cell r="F4783">
            <v>0</v>
          </cell>
          <cell r="G4783">
            <v>0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  <cell r="Z4783">
            <v>0</v>
          </cell>
        </row>
        <row r="4784">
          <cell r="D4784">
            <v>303812</v>
          </cell>
          <cell r="E4784" t="str">
            <v>San Jose NHS</v>
          </cell>
          <cell r="F4784">
            <v>0</v>
          </cell>
          <cell r="G4784">
            <v>0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  <cell r="Z4784">
            <v>0</v>
          </cell>
        </row>
        <row r="4785">
          <cell r="D4785">
            <v>303765</v>
          </cell>
          <cell r="E4785" t="str">
            <v>Cogon National High School</v>
          </cell>
          <cell r="F4785">
            <v>0</v>
          </cell>
          <cell r="G4785">
            <v>0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  <cell r="Y4785">
            <v>0</v>
          </cell>
          <cell r="Z4785">
            <v>0</v>
          </cell>
        </row>
        <row r="4786">
          <cell r="D4786">
            <v>303809</v>
          </cell>
          <cell r="E4786" t="str">
            <v>Sagacad NHS</v>
          </cell>
          <cell r="F4786">
            <v>0</v>
          </cell>
          <cell r="G4786">
            <v>0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  <cell r="Z4786">
            <v>0</v>
          </cell>
        </row>
        <row r="4787">
          <cell r="D4787">
            <v>303760</v>
          </cell>
          <cell r="E4787" t="str">
            <v>Bobuan NHS</v>
          </cell>
          <cell r="F4787">
            <v>0</v>
          </cell>
          <cell r="G4787">
            <v>0</v>
          </cell>
          <cell r="H4787">
            <v>0</v>
          </cell>
          <cell r="I4787">
            <v>0</v>
          </cell>
          <cell r="J4787">
            <v>0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  <cell r="Z4787">
            <v>0</v>
          </cell>
        </row>
        <row r="4788">
          <cell r="D4788">
            <v>303797</v>
          </cell>
          <cell r="E4788" t="str">
            <v>Molave Vocational Technical School</v>
          </cell>
          <cell r="F4788">
            <v>0</v>
          </cell>
          <cell r="G4788">
            <v>0</v>
          </cell>
          <cell r="H4788">
            <v>0</v>
          </cell>
          <cell r="I4788">
            <v>0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  <cell r="Y4788">
            <v>0</v>
          </cell>
          <cell r="Z4788">
            <v>0</v>
          </cell>
        </row>
        <row r="4789">
          <cell r="D4789">
            <v>314229</v>
          </cell>
          <cell r="E4789" t="str">
            <v>Tiguha National High School</v>
          </cell>
          <cell r="F4789">
            <v>0</v>
          </cell>
          <cell r="G4789">
            <v>0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  <cell r="Z4789">
            <v>0</v>
          </cell>
        </row>
        <row r="4790">
          <cell r="D4790">
            <v>303813</v>
          </cell>
          <cell r="E4790" t="str">
            <v>San Pablo NHS</v>
          </cell>
          <cell r="F4790">
            <v>0</v>
          </cell>
          <cell r="G4790">
            <v>0</v>
          </cell>
          <cell r="H4790">
            <v>0</v>
          </cell>
          <cell r="I4790">
            <v>0</v>
          </cell>
          <cell r="J4790">
            <v>0</v>
          </cell>
          <cell r="K4790">
            <v>0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  <cell r="Z4790">
            <v>0</v>
          </cell>
        </row>
        <row r="4791">
          <cell r="D4791">
            <v>314234</v>
          </cell>
          <cell r="E4791" t="str">
            <v>Dulop NHS - Bag-ong Valencia Extension</v>
          </cell>
          <cell r="F4791">
            <v>0</v>
          </cell>
          <cell r="G4791">
            <v>0</v>
          </cell>
          <cell r="H4791">
            <v>0</v>
          </cell>
          <cell r="I4791">
            <v>0</v>
          </cell>
          <cell r="J4791">
            <v>0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  <cell r="Y4791">
            <v>0</v>
          </cell>
          <cell r="Z4791">
            <v>0</v>
          </cell>
        </row>
        <row r="4792">
          <cell r="D4792">
            <v>314239</v>
          </cell>
          <cell r="E4792" t="str">
            <v>Dao-an NHS</v>
          </cell>
          <cell r="F4792">
            <v>0</v>
          </cell>
          <cell r="G4792">
            <v>0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  <cell r="Y4792">
            <v>0</v>
          </cell>
          <cell r="Z4792">
            <v>0</v>
          </cell>
        </row>
        <row r="4793">
          <cell r="D4793">
            <v>303769</v>
          </cell>
          <cell r="E4793" t="str">
            <v>Culabay NHS</v>
          </cell>
          <cell r="F4793">
            <v>0</v>
          </cell>
          <cell r="G4793">
            <v>0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  <cell r="Y4793">
            <v>0</v>
          </cell>
          <cell r="Z4793">
            <v>0</v>
          </cell>
        </row>
        <row r="4794">
          <cell r="D4794">
            <v>314222</v>
          </cell>
          <cell r="E4794" t="str">
            <v>Golictop National High School</v>
          </cell>
          <cell r="F4794">
            <v>0</v>
          </cell>
          <cell r="G4794">
            <v>0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  <cell r="Z4794">
            <v>0</v>
          </cell>
        </row>
        <row r="4795">
          <cell r="D4795">
            <v>303783</v>
          </cell>
          <cell r="E4795" t="str">
            <v>Kalian NHS</v>
          </cell>
          <cell r="F4795">
            <v>0</v>
          </cell>
          <cell r="G4795">
            <v>0</v>
          </cell>
          <cell r="H4795">
            <v>0</v>
          </cell>
          <cell r="I4795">
            <v>0</v>
          </cell>
          <cell r="J4795">
            <v>0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  <cell r="Y4795">
            <v>0</v>
          </cell>
          <cell r="Z4795">
            <v>0</v>
          </cell>
        </row>
        <row r="4796">
          <cell r="D4796">
            <v>314219</v>
          </cell>
          <cell r="E4796" t="str">
            <v>Malim NHS</v>
          </cell>
          <cell r="F4796">
            <v>0</v>
          </cell>
          <cell r="G4796">
            <v>0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  <cell r="Y4796">
            <v>0</v>
          </cell>
          <cell r="Z4796">
            <v>0</v>
          </cell>
        </row>
        <row r="4797">
          <cell r="D4797">
            <v>314249</v>
          </cell>
          <cell r="E4797" t="str">
            <v>Poblacion Comprehensive NHS</v>
          </cell>
          <cell r="F4797">
            <v>0</v>
          </cell>
          <cell r="G4797">
            <v>0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  <cell r="Z4797">
            <v>0</v>
          </cell>
        </row>
        <row r="4798">
          <cell r="D4798">
            <v>303806</v>
          </cell>
          <cell r="E4798" t="str">
            <v>Payag NHS</v>
          </cell>
          <cell r="F4798">
            <v>0</v>
          </cell>
          <cell r="G4798">
            <v>0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  <cell r="Y4798">
            <v>0</v>
          </cell>
          <cell r="Z4798">
            <v>0</v>
          </cell>
        </row>
        <row r="4799">
          <cell r="D4799">
            <v>314220</v>
          </cell>
          <cell r="E4799" t="str">
            <v>Teniapan NHS</v>
          </cell>
          <cell r="F4799">
            <v>0</v>
          </cell>
          <cell r="G4799">
            <v>0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  <cell r="Z4799">
            <v>0</v>
          </cell>
        </row>
        <row r="4800">
          <cell r="D4800">
            <v>303795</v>
          </cell>
          <cell r="E4800" t="str">
            <v>Maestro Cornelio S. Minor NHS</v>
          </cell>
          <cell r="F4800">
            <v>0</v>
          </cell>
          <cell r="G4800">
            <v>0</v>
          </cell>
          <cell r="H4800">
            <v>0</v>
          </cell>
          <cell r="I4800">
            <v>0</v>
          </cell>
          <cell r="J4800">
            <v>0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  <cell r="Y4800">
            <v>0</v>
          </cell>
          <cell r="Z4800">
            <v>0</v>
          </cell>
        </row>
        <row r="4801">
          <cell r="D4801">
            <v>303781</v>
          </cell>
          <cell r="E4801" t="str">
            <v>Judge Edmundo Pinga NHS</v>
          </cell>
          <cell r="F4801">
            <v>0</v>
          </cell>
          <cell r="G4801">
            <v>0</v>
          </cell>
          <cell r="H4801">
            <v>0</v>
          </cell>
          <cell r="I4801">
            <v>0</v>
          </cell>
          <cell r="J4801">
            <v>0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  <cell r="Y4801">
            <v>0</v>
          </cell>
          <cell r="Z4801">
            <v>0</v>
          </cell>
        </row>
        <row r="4802">
          <cell r="D4802">
            <v>314240</v>
          </cell>
          <cell r="E4802" t="str">
            <v>Fatima NHS</v>
          </cell>
          <cell r="F4802">
            <v>0</v>
          </cell>
          <cell r="G4802">
            <v>0</v>
          </cell>
          <cell r="H4802">
            <v>0</v>
          </cell>
          <cell r="I4802">
            <v>32</v>
          </cell>
          <cell r="J4802">
            <v>28</v>
          </cell>
          <cell r="K4802">
            <v>60</v>
          </cell>
          <cell r="L4802">
            <v>103</v>
          </cell>
          <cell r="M4802">
            <v>84</v>
          </cell>
          <cell r="N4802">
            <v>187</v>
          </cell>
          <cell r="O4802">
            <v>2</v>
          </cell>
          <cell r="P4802">
            <v>2</v>
          </cell>
          <cell r="Q4802">
            <v>4</v>
          </cell>
          <cell r="R4802">
            <v>8</v>
          </cell>
          <cell r="S4802">
            <v>8</v>
          </cell>
          <cell r="T4802">
            <v>16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  <cell r="Z4802">
            <v>0</v>
          </cell>
        </row>
        <row r="4803">
          <cell r="D4803">
            <v>314212</v>
          </cell>
          <cell r="E4803" t="str">
            <v>Monte Alegre National High School</v>
          </cell>
          <cell r="F4803">
            <v>0</v>
          </cell>
          <cell r="G4803">
            <v>0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  <cell r="Z4803">
            <v>0</v>
          </cell>
        </row>
        <row r="4804">
          <cell r="D4804">
            <v>314231</v>
          </cell>
          <cell r="E4804" t="str">
            <v>Tambulig NHS - Lower Tiparak Annex</v>
          </cell>
          <cell r="F4804">
            <v>0</v>
          </cell>
          <cell r="G4804">
            <v>0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  <cell r="Z4804">
            <v>0</v>
          </cell>
        </row>
        <row r="4805">
          <cell r="D4805">
            <v>314208</v>
          </cell>
          <cell r="E4805" t="str">
            <v>Sagucan NHS</v>
          </cell>
          <cell r="F4805">
            <v>0</v>
          </cell>
          <cell r="G4805">
            <v>0</v>
          </cell>
          <cell r="H4805">
            <v>0</v>
          </cell>
          <cell r="I4805">
            <v>0</v>
          </cell>
          <cell r="J4805">
            <v>0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  <cell r="Z4805">
            <v>0</v>
          </cell>
        </row>
        <row r="4806">
          <cell r="D4806">
            <v>303774</v>
          </cell>
          <cell r="E4806" t="str">
            <v>Dumalinao NHS</v>
          </cell>
          <cell r="F4806">
            <v>0</v>
          </cell>
          <cell r="G4806">
            <v>0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  <cell r="Z4806">
            <v>0</v>
          </cell>
        </row>
        <row r="4807">
          <cell r="D4807">
            <v>303794</v>
          </cell>
          <cell r="E4807" t="str">
            <v>Lintugop National High School</v>
          </cell>
          <cell r="F4807">
            <v>0</v>
          </cell>
          <cell r="G4807">
            <v>0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  <cell r="Z4807">
            <v>0</v>
          </cell>
        </row>
        <row r="4808">
          <cell r="D4808">
            <v>314233</v>
          </cell>
          <cell r="E4808" t="str">
            <v>Daniel C. Mantos NHS</v>
          </cell>
          <cell r="F4808">
            <v>0</v>
          </cell>
          <cell r="G4808">
            <v>0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  <cell r="Z4808">
            <v>0</v>
          </cell>
        </row>
        <row r="4809">
          <cell r="D4809">
            <v>314224</v>
          </cell>
          <cell r="E4809" t="str">
            <v>Balintawak National High School</v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  <cell r="Z4809">
            <v>0</v>
          </cell>
        </row>
        <row r="4810">
          <cell r="D4810">
            <v>303785</v>
          </cell>
          <cell r="E4810" t="str">
            <v>Picanan NHS</v>
          </cell>
          <cell r="F4810">
            <v>0</v>
          </cell>
          <cell r="G4810">
            <v>0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  <cell r="Z4810">
            <v>0</v>
          </cell>
        </row>
        <row r="4811">
          <cell r="D4811">
            <v>303772</v>
          </cell>
          <cell r="E4811" t="str">
            <v>Dulop National High School</v>
          </cell>
          <cell r="F4811">
            <v>0</v>
          </cell>
          <cell r="G4811">
            <v>0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  <cell r="Z4811">
            <v>0</v>
          </cell>
        </row>
        <row r="4812">
          <cell r="D4812">
            <v>314203</v>
          </cell>
          <cell r="E4812" t="str">
            <v>Boniao National High School</v>
          </cell>
          <cell r="F4812">
            <v>0</v>
          </cell>
          <cell r="G4812">
            <v>0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  <cell r="Z4812">
            <v>0</v>
          </cell>
        </row>
        <row r="4813">
          <cell r="D4813">
            <v>314207</v>
          </cell>
          <cell r="E4813" t="str">
            <v>Guling National High School</v>
          </cell>
          <cell r="F4813">
            <v>0</v>
          </cell>
          <cell r="G4813">
            <v>0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  <cell r="Y4813">
            <v>0</v>
          </cell>
          <cell r="Z4813">
            <v>0</v>
          </cell>
        </row>
        <row r="4814">
          <cell r="D4814">
            <v>303799</v>
          </cell>
          <cell r="E4814" t="str">
            <v>New Labangan NHS</v>
          </cell>
          <cell r="F4814">
            <v>5</v>
          </cell>
          <cell r="G4814">
            <v>5</v>
          </cell>
          <cell r="H4814">
            <v>10</v>
          </cell>
          <cell r="I4814">
            <v>0</v>
          </cell>
          <cell r="J4814">
            <v>0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  <cell r="Y4814">
            <v>0</v>
          </cell>
          <cell r="Z4814">
            <v>0</v>
          </cell>
        </row>
        <row r="4815">
          <cell r="D4815">
            <v>303793</v>
          </cell>
          <cell r="E4815" t="str">
            <v>Libertad NHS</v>
          </cell>
          <cell r="F4815">
            <v>0</v>
          </cell>
          <cell r="G4815">
            <v>0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  <cell r="Z4815">
            <v>0</v>
          </cell>
        </row>
        <row r="4816">
          <cell r="D4816">
            <v>303780</v>
          </cell>
          <cell r="E4816" t="str">
            <v>Aurora National High School</v>
          </cell>
          <cell r="F4816">
            <v>10</v>
          </cell>
          <cell r="G4816">
            <v>10</v>
          </cell>
          <cell r="H4816">
            <v>20</v>
          </cell>
          <cell r="I4816">
            <v>0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  <cell r="Y4816">
            <v>0</v>
          </cell>
          <cell r="Z4816">
            <v>0</v>
          </cell>
        </row>
        <row r="4817">
          <cell r="D4817">
            <v>303796</v>
          </cell>
          <cell r="E4817" t="str">
            <v>Midsalip NHS- Main</v>
          </cell>
          <cell r="F4817">
            <v>0</v>
          </cell>
          <cell r="G4817">
            <v>0</v>
          </cell>
          <cell r="H4817">
            <v>0</v>
          </cell>
          <cell r="I4817">
            <v>0</v>
          </cell>
          <cell r="J4817">
            <v>0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  <cell r="Y4817">
            <v>0</v>
          </cell>
          <cell r="Z4817">
            <v>0</v>
          </cell>
        </row>
        <row r="4818">
          <cell r="D4818">
            <v>303822</v>
          </cell>
          <cell r="E4818" t="str">
            <v>Toribio Minor NHS</v>
          </cell>
          <cell r="F4818">
            <v>0</v>
          </cell>
          <cell r="G4818">
            <v>0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  <cell r="Z4818">
            <v>0</v>
          </cell>
        </row>
        <row r="4819">
          <cell r="D4819">
            <v>303768</v>
          </cell>
          <cell r="E4819" t="str">
            <v>Tabina National High School</v>
          </cell>
          <cell r="F4819">
            <v>0</v>
          </cell>
          <cell r="G4819">
            <v>0</v>
          </cell>
          <cell r="H4819">
            <v>0</v>
          </cell>
          <cell r="I4819">
            <v>0</v>
          </cell>
          <cell r="J4819">
            <v>0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  <cell r="Z4819">
            <v>0</v>
          </cell>
        </row>
        <row r="4820">
          <cell r="D4820">
            <v>303808</v>
          </cell>
          <cell r="E4820" t="str">
            <v>Rebokon AVHS</v>
          </cell>
          <cell r="F4820">
            <v>8</v>
          </cell>
          <cell r="G4820">
            <v>5</v>
          </cell>
          <cell r="H4820">
            <v>13</v>
          </cell>
          <cell r="I4820">
            <v>8</v>
          </cell>
          <cell r="J4820">
            <v>5</v>
          </cell>
          <cell r="K4820">
            <v>13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  <cell r="Z4820">
            <v>0</v>
          </cell>
        </row>
        <row r="4821">
          <cell r="D4821">
            <v>303843</v>
          </cell>
          <cell r="E4821" t="str">
            <v>Laih-Batu NHS</v>
          </cell>
          <cell r="F4821">
            <v>0</v>
          </cell>
          <cell r="G4821">
            <v>0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  <cell r="Z4821">
            <v>0</v>
          </cell>
        </row>
        <row r="4822">
          <cell r="D4822">
            <v>303865</v>
          </cell>
          <cell r="E4822" t="str">
            <v>Monching National High School</v>
          </cell>
          <cell r="F4822">
            <v>0</v>
          </cell>
          <cell r="G4822">
            <v>0</v>
          </cell>
          <cell r="H4822">
            <v>0</v>
          </cell>
          <cell r="I4822">
            <v>0</v>
          </cell>
          <cell r="J4822">
            <v>0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  <cell r="Y4822">
            <v>0</v>
          </cell>
          <cell r="Z4822">
            <v>0</v>
          </cell>
        </row>
        <row r="4823">
          <cell r="D4823">
            <v>303864</v>
          </cell>
          <cell r="E4823" t="str">
            <v>Siay NHS</v>
          </cell>
          <cell r="F4823">
            <v>2</v>
          </cell>
          <cell r="G4823">
            <v>2</v>
          </cell>
          <cell r="H4823">
            <v>4</v>
          </cell>
          <cell r="I4823">
            <v>15</v>
          </cell>
          <cell r="J4823">
            <v>13</v>
          </cell>
          <cell r="K4823">
            <v>28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  <cell r="Z4823">
            <v>0</v>
          </cell>
        </row>
        <row r="4824">
          <cell r="D4824">
            <v>303838</v>
          </cell>
          <cell r="E4824" t="str">
            <v>Ipil NHS</v>
          </cell>
          <cell r="F4824">
            <v>0</v>
          </cell>
          <cell r="G4824">
            <v>0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  <cell r="Z4824">
            <v>0</v>
          </cell>
        </row>
        <row r="4825">
          <cell r="D4825">
            <v>314316</v>
          </cell>
          <cell r="E4825" t="str">
            <v>Camanga NHS</v>
          </cell>
          <cell r="F4825">
            <v>0</v>
          </cell>
          <cell r="G4825">
            <v>0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  <cell r="Y4825">
            <v>0</v>
          </cell>
          <cell r="Z4825">
            <v>0</v>
          </cell>
        </row>
        <row r="4826">
          <cell r="D4826">
            <v>314309</v>
          </cell>
          <cell r="E4826" t="str">
            <v>Gango NHS</v>
          </cell>
          <cell r="F4826">
            <v>0</v>
          </cell>
          <cell r="G4826">
            <v>0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  <cell r="Y4826">
            <v>0</v>
          </cell>
          <cell r="Z4826">
            <v>0</v>
          </cell>
        </row>
        <row r="4827">
          <cell r="D4827">
            <v>303839</v>
          </cell>
          <cell r="E4827" t="str">
            <v>Kabasalan NHS</v>
          </cell>
          <cell r="F4827">
            <v>0</v>
          </cell>
          <cell r="G4827">
            <v>0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  <cell r="Z4827">
            <v>0</v>
          </cell>
        </row>
        <row r="4828">
          <cell r="D4828">
            <v>303874</v>
          </cell>
          <cell r="E4828" t="str">
            <v>Tungawan NHS</v>
          </cell>
          <cell r="F4828">
            <v>0</v>
          </cell>
          <cell r="G4828">
            <v>0</v>
          </cell>
          <cell r="H4828">
            <v>0</v>
          </cell>
          <cell r="I4828">
            <v>0</v>
          </cell>
          <cell r="J4828">
            <v>0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  <cell r="Z4828">
            <v>0</v>
          </cell>
        </row>
        <row r="4829">
          <cell r="D4829">
            <v>314324</v>
          </cell>
          <cell r="E4829" t="str">
            <v>Kitabog NHS</v>
          </cell>
          <cell r="F4829">
            <v>0</v>
          </cell>
          <cell r="G4829">
            <v>0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  <cell r="Y4829">
            <v>0</v>
          </cell>
          <cell r="Z4829">
            <v>0</v>
          </cell>
        </row>
        <row r="4830">
          <cell r="D4830">
            <v>314319</v>
          </cell>
          <cell r="E4830" t="str">
            <v>Sto. Rosario National High School</v>
          </cell>
          <cell r="F4830">
            <v>0</v>
          </cell>
          <cell r="G4830">
            <v>0</v>
          </cell>
          <cell r="H4830">
            <v>0</v>
          </cell>
          <cell r="I4830">
            <v>0</v>
          </cell>
          <cell r="J4830">
            <v>0</v>
          </cell>
          <cell r="K4830">
            <v>0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  <cell r="Z4830">
            <v>0</v>
          </cell>
        </row>
        <row r="4831">
          <cell r="D4831">
            <v>303867</v>
          </cell>
          <cell r="E4831" t="str">
            <v>Malubal NHS</v>
          </cell>
          <cell r="F4831">
            <v>0</v>
          </cell>
          <cell r="G4831">
            <v>0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  <cell r="Y4831">
            <v>0</v>
          </cell>
          <cell r="Z4831">
            <v>0</v>
          </cell>
        </row>
        <row r="4832">
          <cell r="D4832">
            <v>314323</v>
          </cell>
          <cell r="E4832" t="str">
            <v>Sta. Fe National High School</v>
          </cell>
          <cell r="F4832">
            <v>0</v>
          </cell>
          <cell r="G4832">
            <v>0</v>
          </cell>
          <cell r="H4832">
            <v>0</v>
          </cell>
          <cell r="I4832">
            <v>0</v>
          </cell>
          <cell r="J4832">
            <v>0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  <cell r="Z4832">
            <v>0</v>
          </cell>
        </row>
        <row r="4833">
          <cell r="D4833">
            <v>303854</v>
          </cell>
          <cell r="E4833" t="str">
            <v>Zamboanga Sibugay NHS</v>
          </cell>
          <cell r="F4833">
            <v>0</v>
          </cell>
          <cell r="G4833">
            <v>0</v>
          </cell>
          <cell r="H4833">
            <v>0</v>
          </cell>
          <cell r="I4833">
            <v>0</v>
          </cell>
          <cell r="J4833">
            <v>0</v>
          </cell>
          <cell r="K4833">
            <v>0</v>
          </cell>
          <cell r="L4833">
            <v>0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  <cell r="Y4833">
            <v>0</v>
          </cell>
          <cell r="Z4833">
            <v>0</v>
          </cell>
        </row>
        <row r="4834">
          <cell r="D4834">
            <v>303829</v>
          </cell>
          <cell r="E4834" t="str">
            <v>Buug NHS</v>
          </cell>
          <cell r="F4834">
            <v>0</v>
          </cell>
          <cell r="G4834">
            <v>0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  <cell r="Y4834">
            <v>0</v>
          </cell>
          <cell r="Z4834">
            <v>0</v>
          </cell>
        </row>
        <row r="4835">
          <cell r="D4835">
            <v>303875</v>
          </cell>
          <cell r="E4835" t="str">
            <v>San Isidro NHS</v>
          </cell>
          <cell r="F4835">
            <v>0</v>
          </cell>
          <cell r="G4835">
            <v>0</v>
          </cell>
          <cell r="H4835">
            <v>0</v>
          </cell>
          <cell r="I4835">
            <v>0</v>
          </cell>
          <cell r="J4835">
            <v>0</v>
          </cell>
          <cell r="K4835">
            <v>0</v>
          </cell>
          <cell r="L4835">
            <v>0</v>
          </cell>
          <cell r="M4835">
            <v>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  <cell r="Y4835">
            <v>0</v>
          </cell>
          <cell r="Z4835">
            <v>0</v>
          </cell>
        </row>
        <row r="4836">
          <cell r="D4836">
            <v>303866</v>
          </cell>
          <cell r="E4836" t="str">
            <v>Surabay NHS</v>
          </cell>
          <cell r="F4836">
            <v>0</v>
          </cell>
          <cell r="G4836">
            <v>0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  <cell r="Y4836">
            <v>0</v>
          </cell>
          <cell r="Z4836">
            <v>0</v>
          </cell>
        </row>
        <row r="4837">
          <cell r="D4837">
            <v>314314</v>
          </cell>
          <cell r="E4837" t="str">
            <v>Ditay NHS</v>
          </cell>
          <cell r="F4837">
            <v>0</v>
          </cell>
          <cell r="G4837">
            <v>0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  <cell r="Y4837">
            <v>0</v>
          </cell>
          <cell r="Z4837">
            <v>0</v>
          </cell>
        </row>
        <row r="4838">
          <cell r="D4838">
            <v>314325</v>
          </cell>
          <cell r="E4838" t="str">
            <v>Dionisio Lopez Sr. National High School</v>
          </cell>
          <cell r="F4838">
            <v>9</v>
          </cell>
          <cell r="G4838">
            <v>0</v>
          </cell>
          <cell r="H4838">
            <v>9</v>
          </cell>
          <cell r="I4838">
            <v>9</v>
          </cell>
          <cell r="J4838">
            <v>0</v>
          </cell>
          <cell r="K4838">
            <v>9</v>
          </cell>
          <cell r="L4838">
            <v>78</v>
          </cell>
          <cell r="M4838">
            <v>0</v>
          </cell>
          <cell r="N4838">
            <v>78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7</v>
          </cell>
          <cell r="V4838">
            <v>0</v>
          </cell>
          <cell r="W4838">
            <v>7</v>
          </cell>
          <cell r="X4838">
            <v>8</v>
          </cell>
          <cell r="Y4838">
            <v>0</v>
          </cell>
          <cell r="Z4838">
            <v>8</v>
          </cell>
        </row>
        <row r="4839">
          <cell r="D4839">
            <v>302764</v>
          </cell>
          <cell r="E4839" t="str">
            <v>Sandayong NHS</v>
          </cell>
          <cell r="F4839">
            <v>0</v>
          </cell>
          <cell r="G4839">
            <v>0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  <cell r="Y4839">
            <v>0</v>
          </cell>
          <cell r="Z4839">
            <v>0</v>
          </cell>
        </row>
        <row r="4840">
          <cell r="D4840">
            <v>303828</v>
          </cell>
          <cell r="E4840" t="str">
            <v>Diplahan NHS</v>
          </cell>
          <cell r="F4840">
            <v>0</v>
          </cell>
          <cell r="G4840">
            <v>0</v>
          </cell>
          <cell r="H4840">
            <v>0</v>
          </cell>
          <cell r="I4840">
            <v>0</v>
          </cell>
          <cell r="J4840">
            <v>0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  <cell r="Y4840">
            <v>0</v>
          </cell>
          <cell r="Z4840">
            <v>0</v>
          </cell>
        </row>
        <row r="4841">
          <cell r="D4841">
            <v>303873</v>
          </cell>
          <cell r="E4841" t="str">
            <v>Malagandis NHS</v>
          </cell>
          <cell r="F4841">
            <v>0</v>
          </cell>
          <cell r="G4841">
            <v>0</v>
          </cell>
          <cell r="H4841">
            <v>0</v>
          </cell>
          <cell r="I4841">
            <v>0</v>
          </cell>
          <cell r="J4841">
            <v>0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  <cell r="Z4841">
            <v>0</v>
          </cell>
        </row>
        <row r="4842">
          <cell r="D4842">
            <v>303840</v>
          </cell>
          <cell r="E4842" t="str">
            <v>Kabasalan Sci. &amp; Tech. HS</v>
          </cell>
          <cell r="F4842">
            <v>0</v>
          </cell>
          <cell r="G4842">
            <v>0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  <cell r="Z4842">
            <v>0</v>
          </cell>
        </row>
        <row r="4843">
          <cell r="D4843">
            <v>303859</v>
          </cell>
          <cell r="E4843" t="str">
            <v>Pioneer NHS</v>
          </cell>
          <cell r="F4843">
            <v>0</v>
          </cell>
          <cell r="G4843">
            <v>0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  <cell r="Y4843">
            <v>0</v>
          </cell>
          <cell r="Z4843">
            <v>0</v>
          </cell>
        </row>
        <row r="4844">
          <cell r="D4844">
            <v>303849</v>
          </cell>
          <cell r="E4844" t="str">
            <v>Naga NHS</v>
          </cell>
          <cell r="F4844">
            <v>0</v>
          </cell>
          <cell r="G4844">
            <v>0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  <cell r="Y4844">
            <v>0</v>
          </cell>
          <cell r="Z4844">
            <v>0</v>
          </cell>
        </row>
        <row r="4845">
          <cell r="D4845">
            <v>314311</v>
          </cell>
          <cell r="E4845" t="str">
            <v>Simbol National High School</v>
          </cell>
          <cell r="F4845">
            <v>0</v>
          </cell>
          <cell r="G4845">
            <v>0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  <cell r="Z4845">
            <v>0</v>
          </cell>
        </row>
        <row r="4846">
          <cell r="D4846">
            <v>314321</v>
          </cell>
          <cell r="E4846" t="str">
            <v>Palinta NHS</v>
          </cell>
          <cell r="F4846">
            <v>0</v>
          </cell>
          <cell r="G4846">
            <v>0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  <cell r="Z4846">
            <v>0</v>
          </cell>
        </row>
        <row r="4847">
          <cell r="D4847">
            <v>314308</v>
          </cell>
          <cell r="E4847" t="str">
            <v>Laparay NHS</v>
          </cell>
          <cell r="F4847">
            <v>0</v>
          </cell>
          <cell r="G4847">
            <v>0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  <cell r="Z4847">
            <v>0</v>
          </cell>
        </row>
        <row r="4848">
          <cell r="D4848">
            <v>303856</v>
          </cell>
          <cell r="E4848" t="str">
            <v>Payao NHS</v>
          </cell>
          <cell r="F4848">
            <v>0</v>
          </cell>
          <cell r="G4848">
            <v>0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  <cell r="Y4848">
            <v>0</v>
          </cell>
          <cell r="Z4848">
            <v>0</v>
          </cell>
        </row>
        <row r="4849">
          <cell r="D4849">
            <v>314326</v>
          </cell>
          <cell r="E4849" t="str">
            <v>Langon NHS</v>
          </cell>
          <cell r="F4849">
            <v>0</v>
          </cell>
          <cell r="G4849">
            <v>0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>
            <v>0</v>
          </cell>
          <cell r="M4849">
            <v>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  <cell r="Y4849">
            <v>0</v>
          </cell>
          <cell r="Z4849">
            <v>0</v>
          </cell>
        </row>
        <row r="4850">
          <cell r="D4850">
            <v>500241</v>
          </cell>
          <cell r="E4850" t="str">
            <v>Talairan IS</v>
          </cell>
          <cell r="F4850">
            <v>0</v>
          </cell>
          <cell r="G4850">
            <v>0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</row>
        <row r="4851">
          <cell r="D4851">
            <v>314301</v>
          </cell>
          <cell r="E4851" t="str">
            <v>Dalama NHS</v>
          </cell>
          <cell r="F4851">
            <v>0</v>
          </cell>
          <cell r="G4851">
            <v>0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  <cell r="Z4851">
            <v>0</v>
          </cell>
        </row>
        <row r="4852">
          <cell r="D4852">
            <v>303872</v>
          </cell>
          <cell r="E4852" t="str">
            <v>Titay NHS</v>
          </cell>
          <cell r="F4852">
            <v>0</v>
          </cell>
          <cell r="G4852">
            <v>0</v>
          </cell>
          <cell r="H4852">
            <v>0</v>
          </cell>
          <cell r="I4852">
            <v>0</v>
          </cell>
          <cell r="J4852">
            <v>0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  <cell r="Y4852">
            <v>0</v>
          </cell>
          <cell r="Z4852">
            <v>0</v>
          </cell>
        </row>
        <row r="4853">
          <cell r="D4853">
            <v>303824</v>
          </cell>
          <cell r="E4853" t="str">
            <v>Alicia NHS</v>
          </cell>
          <cell r="F4853">
            <v>0</v>
          </cell>
          <cell r="G4853">
            <v>0</v>
          </cell>
          <cell r="H4853">
            <v>0</v>
          </cell>
          <cell r="I4853">
            <v>0</v>
          </cell>
          <cell r="J4853">
            <v>0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  <cell r="Y4853">
            <v>0</v>
          </cell>
          <cell r="Z4853">
            <v>0</v>
          </cell>
        </row>
        <row r="4854">
          <cell r="D4854">
            <v>303836</v>
          </cell>
          <cell r="E4854" t="str">
            <v>Guintolan NHS</v>
          </cell>
          <cell r="F4854">
            <v>0</v>
          </cell>
          <cell r="G4854">
            <v>0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  <cell r="Y4854">
            <v>0</v>
          </cell>
          <cell r="Z4854">
            <v>0</v>
          </cell>
        </row>
        <row r="4855">
          <cell r="D4855">
            <v>303835</v>
          </cell>
          <cell r="E4855" t="str">
            <v>Natan National High School</v>
          </cell>
          <cell r="F4855">
            <v>0</v>
          </cell>
          <cell r="G4855">
            <v>0</v>
          </cell>
          <cell r="H4855">
            <v>0</v>
          </cell>
          <cell r="I4855">
            <v>0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  <cell r="Y4855">
            <v>0</v>
          </cell>
          <cell r="Z4855">
            <v>0</v>
          </cell>
        </row>
        <row r="4856">
          <cell r="D4856">
            <v>303868</v>
          </cell>
          <cell r="E4856" t="str">
            <v>San Fernandino NHS</v>
          </cell>
          <cell r="F4856">
            <v>0</v>
          </cell>
          <cell r="G4856">
            <v>0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  <cell r="Y4856">
            <v>0</v>
          </cell>
          <cell r="Z4856">
            <v>0</v>
          </cell>
        </row>
        <row r="4857">
          <cell r="D4857">
            <v>303830</v>
          </cell>
          <cell r="E4857" t="str">
            <v>Del Monte NHS</v>
          </cell>
          <cell r="F4857">
            <v>0</v>
          </cell>
          <cell r="G4857">
            <v>0</v>
          </cell>
          <cell r="H4857">
            <v>0</v>
          </cell>
          <cell r="I4857">
            <v>0</v>
          </cell>
          <cell r="J4857">
            <v>0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  <cell r="Y4857">
            <v>0</v>
          </cell>
          <cell r="Z4857">
            <v>0</v>
          </cell>
        </row>
        <row r="4858">
          <cell r="D4858">
            <v>314315</v>
          </cell>
          <cell r="E4858" t="str">
            <v>Mabuhay Agro-Industrial HS</v>
          </cell>
          <cell r="F4858">
            <v>0</v>
          </cell>
          <cell r="G4858">
            <v>0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  <cell r="Y4858">
            <v>0</v>
          </cell>
          <cell r="Z4858">
            <v>0</v>
          </cell>
        </row>
        <row r="4859">
          <cell r="D4859">
            <v>303858</v>
          </cell>
          <cell r="E4859" t="str">
            <v>Bulawan NHS</v>
          </cell>
          <cell r="F4859">
            <v>0</v>
          </cell>
          <cell r="G4859">
            <v>0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  <cell r="Z4859">
            <v>0</v>
          </cell>
        </row>
        <row r="4860">
          <cell r="D4860">
            <v>303844</v>
          </cell>
          <cell r="E4860" t="str">
            <v>Makilas NHS</v>
          </cell>
          <cell r="F4860">
            <v>0</v>
          </cell>
          <cell r="G4860">
            <v>0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  <cell r="Z4860">
            <v>0</v>
          </cell>
        </row>
        <row r="4861">
          <cell r="D4861">
            <v>303837</v>
          </cell>
          <cell r="E4861" t="str">
            <v>Imelda NHS</v>
          </cell>
          <cell r="F4861">
            <v>0</v>
          </cell>
          <cell r="G4861">
            <v>0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  <cell r="Z4861">
            <v>0</v>
          </cell>
        </row>
        <row r="4862">
          <cell r="D4862">
            <v>314322</v>
          </cell>
          <cell r="E4862" t="str">
            <v>Taway NHS</v>
          </cell>
          <cell r="F4862">
            <v>0</v>
          </cell>
          <cell r="G4862">
            <v>0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  <cell r="Z4862">
            <v>0</v>
          </cell>
        </row>
        <row r="4863">
          <cell r="D4863">
            <v>303861</v>
          </cell>
          <cell r="E4863" t="str">
            <v>Sta. Clara NHS</v>
          </cell>
          <cell r="F4863">
            <v>0</v>
          </cell>
          <cell r="G4863">
            <v>0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  <cell r="Z4863">
            <v>0</v>
          </cell>
        </row>
        <row r="4864">
          <cell r="D4864">
            <v>303846</v>
          </cell>
          <cell r="E4864" t="str">
            <v>Catituan NHS</v>
          </cell>
          <cell r="F4864">
            <v>0</v>
          </cell>
          <cell r="G4864">
            <v>0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  <cell r="Z4864">
            <v>0</v>
          </cell>
        </row>
        <row r="4865">
          <cell r="D4865">
            <v>303848</v>
          </cell>
          <cell r="E4865" t="str">
            <v>Minsulao National High School</v>
          </cell>
          <cell r="F4865">
            <v>0</v>
          </cell>
          <cell r="G4865">
            <v>0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  <cell r="Z4865">
            <v>0</v>
          </cell>
        </row>
        <row r="4866">
          <cell r="D4866">
            <v>303870</v>
          </cell>
          <cell r="E4866" t="str">
            <v>Talusan NHS</v>
          </cell>
          <cell r="F4866">
            <v>0</v>
          </cell>
          <cell r="G4866">
            <v>0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  <cell r="Z4866">
            <v>0</v>
          </cell>
        </row>
        <row r="4867">
          <cell r="D4867">
            <v>303863</v>
          </cell>
          <cell r="E4867" t="str">
            <v>Sulo National High School</v>
          </cell>
          <cell r="F4867">
            <v>0</v>
          </cell>
          <cell r="G4867">
            <v>0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  <cell r="Z4867">
            <v>0</v>
          </cell>
        </row>
        <row r="4868">
          <cell r="D4868">
            <v>303852</v>
          </cell>
          <cell r="E4868" t="str">
            <v>Mabuhay NHS</v>
          </cell>
          <cell r="F4868">
            <v>0</v>
          </cell>
          <cell r="G4868">
            <v>0</v>
          </cell>
          <cell r="H4868">
            <v>0</v>
          </cell>
          <cell r="I4868">
            <v>0</v>
          </cell>
          <cell r="J4868">
            <v>0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  <cell r="Z4868">
            <v>0</v>
          </cell>
        </row>
        <row r="4869">
          <cell r="D4869">
            <v>303825</v>
          </cell>
          <cell r="E4869" t="str">
            <v>Dawa-Dawa NHS</v>
          </cell>
          <cell r="F4869">
            <v>0</v>
          </cell>
          <cell r="G4869">
            <v>0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  <cell r="Y4869">
            <v>0</v>
          </cell>
          <cell r="Z4869">
            <v>0</v>
          </cell>
        </row>
        <row r="4870">
          <cell r="D4870">
            <v>314305</v>
          </cell>
          <cell r="E4870" t="str">
            <v>Basalem NHS</v>
          </cell>
          <cell r="F4870">
            <v>0</v>
          </cell>
          <cell r="G4870">
            <v>0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  <cell r="Z4870">
            <v>0</v>
          </cell>
        </row>
        <row r="4871">
          <cell r="D4871">
            <v>303853</v>
          </cell>
          <cell r="E4871" t="str">
            <v>Palomoc NHS</v>
          </cell>
          <cell r="F4871">
            <v>0</v>
          </cell>
          <cell r="G4871">
            <v>0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  <cell r="Z4871">
            <v>0</v>
          </cell>
        </row>
        <row r="4872">
          <cell r="D4872">
            <v>303827</v>
          </cell>
          <cell r="E4872" t="str">
            <v>Francisco Ramos NHS</v>
          </cell>
          <cell r="F4872">
            <v>10</v>
          </cell>
          <cell r="G4872">
            <v>15</v>
          </cell>
          <cell r="H4872">
            <v>25</v>
          </cell>
          <cell r="I4872">
            <v>6</v>
          </cell>
          <cell r="J4872">
            <v>13</v>
          </cell>
          <cell r="K4872">
            <v>19</v>
          </cell>
          <cell r="L4872">
            <v>0</v>
          </cell>
          <cell r="M4872">
            <v>0</v>
          </cell>
          <cell r="N4872">
            <v>0</v>
          </cell>
          <cell r="O4872">
            <v>4</v>
          </cell>
          <cell r="P4872">
            <v>2</v>
          </cell>
          <cell r="Q4872">
            <v>6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  <cell r="Z4872">
            <v>0</v>
          </cell>
        </row>
        <row r="4873">
          <cell r="D4873">
            <v>314313</v>
          </cell>
          <cell r="E4873" t="str">
            <v>Magdaup National High School</v>
          </cell>
          <cell r="F4873">
            <v>0</v>
          </cell>
          <cell r="G4873">
            <v>0</v>
          </cell>
          <cell r="H4873">
            <v>0</v>
          </cell>
          <cell r="I4873">
            <v>0</v>
          </cell>
          <cell r="J4873">
            <v>0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  <cell r="Z4873">
            <v>0</v>
          </cell>
        </row>
        <row r="4874">
          <cell r="D4874">
            <v>303851</v>
          </cell>
          <cell r="E4874" t="str">
            <v>Olutanga NHS</v>
          </cell>
          <cell r="F4874">
            <v>0</v>
          </cell>
          <cell r="G4874">
            <v>0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  <cell r="Z4874">
            <v>0</v>
          </cell>
        </row>
        <row r="4875">
          <cell r="D4875">
            <v>303841</v>
          </cell>
          <cell r="E4875" t="str">
            <v>Kawayan NHS</v>
          </cell>
          <cell r="F4875">
            <v>0</v>
          </cell>
          <cell r="G4875">
            <v>0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  <cell r="Y4875">
            <v>0</v>
          </cell>
          <cell r="Z4875">
            <v>0</v>
          </cell>
        </row>
        <row r="4876">
          <cell r="D4876">
            <v>314312</v>
          </cell>
          <cell r="E4876" t="str">
            <v>Timalang NHS</v>
          </cell>
          <cell r="F4876">
            <v>0</v>
          </cell>
          <cell r="G4876">
            <v>0</v>
          </cell>
          <cell r="H4876">
            <v>0</v>
          </cell>
          <cell r="I4876">
            <v>0</v>
          </cell>
          <cell r="J4876">
            <v>0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  <cell r="Y4876">
            <v>0</v>
          </cell>
          <cell r="Z4876">
            <v>0</v>
          </cell>
        </row>
        <row r="4877">
          <cell r="D4877">
            <v>303834</v>
          </cell>
          <cell r="E4877" t="str">
            <v>Villacastor NHS</v>
          </cell>
          <cell r="F4877">
            <v>0</v>
          </cell>
          <cell r="G4877">
            <v>0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  <cell r="Z4877">
            <v>0</v>
          </cell>
        </row>
        <row r="4878">
          <cell r="D4878">
            <v>303855</v>
          </cell>
          <cell r="E4878" t="str">
            <v>Bacalan National High School</v>
          </cell>
          <cell r="F4878">
            <v>0</v>
          </cell>
          <cell r="G4878">
            <v>0</v>
          </cell>
          <cell r="H4878">
            <v>0</v>
          </cell>
          <cell r="I4878">
            <v>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  <cell r="Y4878">
            <v>0</v>
          </cell>
          <cell r="Z4878">
            <v>0</v>
          </cell>
        </row>
        <row r="4879">
          <cell r="D4879">
            <v>303845</v>
          </cell>
          <cell r="E4879" t="str">
            <v>Malangas NHS</v>
          </cell>
          <cell r="F4879">
            <v>0</v>
          </cell>
          <cell r="G4879">
            <v>26</v>
          </cell>
          <cell r="H4879">
            <v>26</v>
          </cell>
          <cell r="I4879">
            <v>0</v>
          </cell>
          <cell r="J4879">
            <v>26</v>
          </cell>
          <cell r="K4879">
            <v>26</v>
          </cell>
          <cell r="L4879">
            <v>0</v>
          </cell>
          <cell r="M4879">
            <v>205</v>
          </cell>
          <cell r="N4879">
            <v>205</v>
          </cell>
          <cell r="O4879">
            <v>0</v>
          </cell>
          <cell r="P4879">
            <v>2</v>
          </cell>
          <cell r="Q4879">
            <v>2</v>
          </cell>
          <cell r="R4879">
            <v>0</v>
          </cell>
          <cell r="S4879">
            <v>3</v>
          </cell>
          <cell r="T4879">
            <v>3</v>
          </cell>
          <cell r="U4879">
            <v>0</v>
          </cell>
          <cell r="V4879">
            <v>54</v>
          </cell>
          <cell r="W4879">
            <v>54</v>
          </cell>
          <cell r="X4879">
            <v>0</v>
          </cell>
          <cell r="Y4879">
            <v>9</v>
          </cell>
          <cell r="Z4879">
            <v>9</v>
          </cell>
        </row>
        <row r="4880">
          <cell r="D4880">
            <v>314306</v>
          </cell>
          <cell r="E4880" t="str">
            <v>San Pedro NHS</v>
          </cell>
          <cell r="F4880">
            <v>0</v>
          </cell>
          <cell r="G4880">
            <v>0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  <cell r="Y4880">
            <v>0</v>
          </cell>
          <cell r="Z4880">
            <v>0</v>
          </cell>
        </row>
        <row r="4881">
          <cell r="D4881">
            <v>314304</v>
          </cell>
          <cell r="E4881" t="str">
            <v>Sisay NHS</v>
          </cell>
          <cell r="F4881">
            <v>0</v>
          </cell>
          <cell r="G4881">
            <v>0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  <cell r="Z4881">
            <v>0</v>
          </cell>
        </row>
        <row r="4882">
          <cell r="D4882">
            <v>303860</v>
          </cell>
          <cell r="E4882" t="str">
            <v>San Antonio NHS</v>
          </cell>
          <cell r="F4882">
            <v>0</v>
          </cell>
          <cell r="G4882">
            <v>0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  <cell r="Z4882">
            <v>0</v>
          </cell>
        </row>
        <row r="4883">
          <cell r="D4883">
            <v>314307</v>
          </cell>
          <cell r="E4883" t="str">
            <v>Tambanan National High School</v>
          </cell>
          <cell r="F4883">
            <v>0</v>
          </cell>
          <cell r="G4883">
            <v>0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  <cell r="Z4883">
            <v>0</v>
          </cell>
        </row>
        <row r="4884">
          <cell r="D4884">
            <v>303884</v>
          </cell>
          <cell r="E4884" t="str">
            <v>Sulangon NHS</v>
          </cell>
          <cell r="F4884">
            <v>0</v>
          </cell>
          <cell r="G4884">
            <v>0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  <cell r="Z4884">
            <v>0</v>
          </cell>
        </row>
        <row r="4885">
          <cell r="D4885">
            <v>303880</v>
          </cell>
          <cell r="E4885" t="str">
            <v>Dapitan City National High School</v>
          </cell>
          <cell r="F4885">
            <v>0</v>
          </cell>
          <cell r="G4885">
            <v>0</v>
          </cell>
          <cell r="H4885">
            <v>0</v>
          </cell>
          <cell r="I4885">
            <v>0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  <cell r="Y4885">
            <v>0</v>
          </cell>
          <cell r="Z4885">
            <v>0</v>
          </cell>
        </row>
        <row r="4886">
          <cell r="D4886">
            <v>303878</v>
          </cell>
          <cell r="E4886" t="str">
            <v>Baylimango NHS</v>
          </cell>
          <cell r="F4886">
            <v>0</v>
          </cell>
          <cell r="G4886">
            <v>0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  <cell r="Z4886">
            <v>0</v>
          </cell>
        </row>
        <row r="4887">
          <cell r="D4887">
            <v>303876</v>
          </cell>
          <cell r="E4887" t="str">
            <v>Aseniero NHS</v>
          </cell>
          <cell r="F4887">
            <v>0</v>
          </cell>
          <cell r="G4887">
            <v>0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>
            <v>0</v>
          </cell>
          <cell r="M4887">
            <v>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  <cell r="Y4887">
            <v>0</v>
          </cell>
          <cell r="Z4887">
            <v>0</v>
          </cell>
        </row>
        <row r="4888">
          <cell r="D4888">
            <v>303877</v>
          </cell>
          <cell r="E4888" t="str">
            <v>Barcelona National High School</v>
          </cell>
          <cell r="F4888">
            <v>0</v>
          </cell>
          <cell r="G4888">
            <v>0</v>
          </cell>
          <cell r="H4888">
            <v>0</v>
          </cell>
          <cell r="I4888">
            <v>0</v>
          </cell>
          <cell r="J4888">
            <v>0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  <cell r="Z4888">
            <v>0</v>
          </cell>
        </row>
        <row r="4889">
          <cell r="D4889">
            <v>303881</v>
          </cell>
          <cell r="E4889" t="str">
            <v>Ilaya NHS</v>
          </cell>
          <cell r="F4889">
            <v>0</v>
          </cell>
          <cell r="G4889">
            <v>0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  <cell r="Z4889">
            <v>0</v>
          </cell>
        </row>
        <row r="4890">
          <cell r="D4890">
            <v>500675</v>
          </cell>
          <cell r="E4890" t="str">
            <v>Kauswagan IS</v>
          </cell>
          <cell r="F4890">
            <v>0</v>
          </cell>
          <cell r="G4890">
            <v>0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  <cell r="Y4890">
            <v>0</v>
          </cell>
          <cell r="Z4890">
            <v>0</v>
          </cell>
        </row>
        <row r="4891">
          <cell r="D4891">
            <v>303883</v>
          </cell>
          <cell r="E4891" t="str">
            <v>Potungan NHS</v>
          </cell>
          <cell r="F4891">
            <v>0</v>
          </cell>
          <cell r="G4891">
            <v>0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  <cell r="Z4891">
            <v>0</v>
          </cell>
        </row>
        <row r="4892">
          <cell r="D4892">
            <v>303879</v>
          </cell>
          <cell r="E4892" t="str">
            <v>Dakak National High School</v>
          </cell>
          <cell r="F4892">
            <v>0</v>
          </cell>
          <cell r="G4892">
            <v>0</v>
          </cell>
          <cell r="H4892">
            <v>0</v>
          </cell>
          <cell r="I4892">
            <v>0</v>
          </cell>
          <cell r="J4892">
            <v>0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  <cell r="Z4892">
            <v>0</v>
          </cell>
        </row>
        <row r="4893">
          <cell r="D4893">
            <v>303891</v>
          </cell>
          <cell r="E4893" t="str">
            <v>Punta National High School</v>
          </cell>
          <cell r="F4893">
            <v>0</v>
          </cell>
          <cell r="G4893">
            <v>0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  <cell r="Z4893">
            <v>0</v>
          </cell>
        </row>
        <row r="4894">
          <cell r="D4894">
            <v>303886</v>
          </cell>
          <cell r="E4894" t="str">
            <v>Cogon NHS</v>
          </cell>
          <cell r="F4894">
            <v>0</v>
          </cell>
          <cell r="G4894">
            <v>0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  <cell r="Z4894">
            <v>0</v>
          </cell>
        </row>
        <row r="4895">
          <cell r="D4895">
            <v>303887</v>
          </cell>
          <cell r="E4895" t="str">
            <v>Dipolog City NHS (Barra)</v>
          </cell>
          <cell r="F4895">
            <v>0</v>
          </cell>
          <cell r="G4895">
            <v>0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  <cell r="Z4895">
            <v>0</v>
          </cell>
        </row>
        <row r="4896">
          <cell r="D4896">
            <v>303893</v>
          </cell>
          <cell r="E4896" t="str">
            <v>Zamboanga Norte NHS</v>
          </cell>
          <cell r="F4896">
            <v>0</v>
          </cell>
          <cell r="G4896">
            <v>0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  <cell r="Z4896">
            <v>0</v>
          </cell>
        </row>
        <row r="4897">
          <cell r="D4897">
            <v>303888</v>
          </cell>
          <cell r="E4897" t="str">
            <v>Galas NHS</v>
          </cell>
          <cell r="F4897">
            <v>0</v>
          </cell>
          <cell r="G4897">
            <v>0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  <cell r="Z4897">
            <v>0</v>
          </cell>
        </row>
        <row r="4898">
          <cell r="D4898">
            <v>303890</v>
          </cell>
          <cell r="E4898" t="str">
            <v>Pamansalan Eco. Tech. HS</v>
          </cell>
          <cell r="F4898">
            <v>0</v>
          </cell>
          <cell r="G4898">
            <v>0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  <cell r="Y4898">
            <v>0</v>
          </cell>
          <cell r="Z4898">
            <v>0</v>
          </cell>
        </row>
        <row r="4899">
          <cell r="D4899">
            <v>303892</v>
          </cell>
          <cell r="E4899" t="str">
            <v>Sicayab National High School</v>
          </cell>
          <cell r="F4899">
            <v>0</v>
          </cell>
          <cell r="G4899">
            <v>0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  <cell r="Z4899">
            <v>0</v>
          </cell>
        </row>
        <row r="4900">
          <cell r="D4900">
            <v>500242</v>
          </cell>
          <cell r="E4900" t="str">
            <v>Upper Dicayas Integrated School</v>
          </cell>
          <cell r="F4900">
            <v>0</v>
          </cell>
          <cell r="G4900">
            <v>0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  <cell r="Y4900">
            <v>0</v>
          </cell>
          <cell r="Z4900">
            <v>0</v>
          </cell>
        </row>
        <row r="4901">
          <cell r="D4901">
            <v>303885</v>
          </cell>
          <cell r="E4901" t="str">
            <v>Alberto Q. Ubay Mem. Agro-Tech'l. Sci. HS</v>
          </cell>
          <cell r="F4901">
            <v>0</v>
          </cell>
          <cell r="G4901">
            <v>0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  <cell r="Z4901">
            <v>0</v>
          </cell>
        </row>
        <row r="4902">
          <cell r="D4902">
            <v>303894</v>
          </cell>
          <cell r="E4902" t="str">
            <v>Basilan NHS</v>
          </cell>
          <cell r="F4902">
            <v>0</v>
          </cell>
          <cell r="G4902">
            <v>0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  <cell r="Z4902">
            <v>0</v>
          </cell>
        </row>
        <row r="4903">
          <cell r="D4903">
            <v>303898</v>
          </cell>
          <cell r="E4903" t="str">
            <v>Tandung Ahas NHS</v>
          </cell>
          <cell r="F4903">
            <v>0</v>
          </cell>
          <cell r="G4903">
            <v>0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  <cell r="Z4903">
            <v>0</v>
          </cell>
        </row>
        <row r="4904">
          <cell r="D4904">
            <v>303895</v>
          </cell>
          <cell r="E4904" t="str">
            <v>Malamawi National High School</v>
          </cell>
          <cell r="F4904">
            <v>0</v>
          </cell>
          <cell r="G4904">
            <v>0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  <cell r="Y4904">
            <v>0</v>
          </cell>
          <cell r="Z4904">
            <v>0</v>
          </cell>
        </row>
        <row r="4905">
          <cell r="D4905">
            <v>303897</v>
          </cell>
          <cell r="E4905" t="str">
            <v>Begang NHS</v>
          </cell>
          <cell r="F4905">
            <v>0</v>
          </cell>
          <cell r="G4905">
            <v>0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  <cell r="Z4905">
            <v>0</v>
          </cell>
        </row>
        <row r="4906">
          <cell r="D4906">
            <v>314603</v>
          </cell>
          <cell r="E4906" t="str">
            <v>Baluno National High School</v>
          </cell>
          <cell r="F4906">
            <v>10</v>
          </cell>
          <cell r="G4906">
            <v>15</v>
          </cell>
          <cell r="H4906">
            <v>25</v>
          </cell>
          <cell r="I4906">
            <v>3</v>
          </cell>
          <cell r="J4906">
            <v>7</v>
          </cell>
          <cell r="K4906">
            <v>10</v>
          </cell>
          <cell r="L4906">
            <v>3</v>
          </cell>
          <cell r="M4906">
            <v>7</v>
          </cell>
          <cell r="N4906">
            <v>10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  <cell r="Z4906">
            <v>0</v>
          </cell>
        </row>
        <row r="4907">
          <cell r="D4907">
            <v>314601</v>
          </cell>
          <cell r="E4907" t="str">
            <v>Isabela City NHS</v>
          </cell>
          <cell r="F4907">
            <v>0</v>
          </cell>
          <cell r="G4907">
            <v>0</v>
          </cell>
          <cell r="H4907">
            <v>0</v>
          </cell>
          <cell r="I4907">
            <v>0</v>
          </cell>
          <cell r="J4907">
            <v>0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  <cell r="Z4907">
            <v>0</v>
          </cell>
        </row>
        <row r="4908">
          <cell r="D4908">
            <v>500243</v>
          </cell>
          <cell r="E4908" t="str">
            <v>Geras Integrated School</v>
          </cell>
          <cell r="F4908">
            <v>0</v>
          </cell>
          <cell r="G4908">
            <v>0</v>
          </cell>
          <cell r="H4908">
            <v>0</v>
          </cell>
          <cell r="I4908">
            <v>0</v>
          </cell>
          <cell r="J4908">
            <v>0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  <cell r="Z4908">
            <v>0</v>
          </cell>
        </row>
        <row r="4909">
          <cell r="D4909">
            <v>314602</v>
          </cell>
          <cell r="E4909" t="str">
            <v>Calvario Peak National High School</v>
          </cell>
          <cell r="F4909">
            <v>0</v>
          </cell>
          <cell r="G4909">
            <v>0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  <cell r="Z4909">
            <v>0</v>
          </cell>
        </row>
        <row r="4910">
          <cell r="D4910">
            <v>314704</v>
          </cell>
          <cell r="E4910" t="str">
            <v>Pagadian City Science High School</v>
          </cell>
          <cell r="F4910">
            <v>0</v>
          </cell>
          <cell r="G4910">
            <v>0</v>
          </cell>
          <cell r="H4910">
            <v>0</v>
          </cell>
          <cell r="I4910">
            <v>0</v>
          </cell>
          <cell r="J4910">
            <v>0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  <cell r="Z4910">
            <v>0</v>
          </cell>
        </row>
        <row r="4911">
          <cell r="D4911">
            <v>303906</v>
          </cell>
          <cell r="E4911" t="str">
            <v>Pagadian City National Comprehensive High School</v>
          </cell>
          <cell r="F4911">
            <v>0</v>
          </cell>
          <cell r="G4911">
            <v>0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</row>
        <row r="4912">
          <cell r="D4912">
            <v>303909</v>
          </cell>
          <cell r="E4912" t="str">
            <v>Tawagan Sur NHS</v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  <cell r="Z4912">
            <v>0</v>
          </cell>
        </row>
        <row r="4913">
          <cell r="D4913">
            <v>303900</v>
          </cell>
          <cell r="E4913" t="str">
            <v>Ditoray NHS</v>
          </cell>
          <cell r="F4913">
            <v>0</v>
          </cell>
          <cell r="G4913">
            <v>0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  <cell r="Z4913">
            <v>0</v>
          </cell>
        </row>
        <row r="4914">
          <cell r="D4914">
            <v>314701</v>
          </cell>
          <cell r="E4914" t="str">
            <v>Macasing NHS (PCNHS Annex, Macasing)</v>
          </cell>
          <cell r="F4914">
            <v>0</v>
          </cell>
          <cell r="G4914">
            <v>0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  <cell r="Y4914">
            <v>0</v>
          </cell>
          <cell r="Z4914">
            <v>0</v>
          </cell>
        </row>
        <row r="4915">
          <cell r="D4915">
            <v>303901</v>
          </cell>
          <cell r="E4915" t="str">
            <v>Lala National High School</v>
          </cell>
          <cell r="F4915">
            <v>0</v>
          </cell>
          <cell r="G4915">
            <v>0</v>
          </cell>
          <cell r="H4915">
            <v>0</v>
          </cell>
          <cell r="I4915">
            <v>0</v>
          </cell>
          <cell r="J4915">
            <v>0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  <cell r="Z4915">
            <v>0</v>
          </cell>
        </row>
        <row r="4916">
          <cell r="D4916">
            <v>303911</v>
          </cell>
          <cell r="E4916" t="str">
            <v>ZAMBOANGA DEL SUR NATIONAL HIGH SCHOOL-SAN PEDRO ANNEX</v>
          </cell>
          <cell r="F4916">
            <v>0</v>
          </cell>
          <cell r="G4916">
            <v>0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  <cell r="Y4916">
            <v>0</v>
          </cell>
          <cell r="Z4916">
            <v>0</v>
          </cell>
        </row>
        <row r="4917">
          <cell r="D4917">
            <v>303908</v>
          </cell>
          <cell r="E4917" t="str">
            <v>Pagadian City NHS</v>
          </cell>
          <cell r="F4917">
            <v>0</v>
          </cell>
          <cell r="G4917">
            <v>0</v>
          </cell>
          <cell r="H4917">
            <v>0</v>
          </cell>
          <cell r="I4917">
            <v>0</v>
          </cell>
          <cell r="J4917">
            <v>0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  <cell r="Y4917">
            <v>0</v>
          </cell>
          <cell r="Z4917">
            <v>0</v>
          </cell>
        </row>
        <row r="4918">
          <cell r="D4918">
            <v>303904</v>
          </cell>
          <cell r="E4918" t="str">
            <v>Manga NHS</v>
          </cell>
          <cell r="F4918">
            <v>15</v>
          </cell>
          <cell r="G4918">
            <v>29</v>
          </cell>
          <cell r="H4918">
            <v>44</v>
          </cell>
          <cell r="I4918">
            <v>0</v>
          </cell>
          <cell r="J4918">
            <v>0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1</v>
          </cell>
          <cell r="P4918">
            <v>0</v>
          </cell>
          <cell r="Q4918">
            <v>1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  <cell r="Y4918">
            <v>0</v>
          </cell>
          <cell r="Z4918">
            <v>0</v>
          </cell>
        </row>
        <row r="4919">
          <cell r="D4919">
            <v>314705</v>
          </cell>
          <cell r="E4919" t="str">
            <v>Co Tek Chun National Trade School</v>
          </cell>
          <cell r="F4919">
            <v>0</v>
          </cell>
          <cell r="G4919">
            <v>0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  <cell r="Y4919">
            <v>0</v>
          </cell>
          <cell r="Z4919">
            <v>0</v>
          </cell>
        </row>
        <row r="4920">
          <cell r="D4920">
            <v>303907</v>
          </cell>
          <cell r="E4920" t="str">
            <v>Otto Lingue National High School</v>
          </cell>
          <cell r="F4920">
            <v>0</v>
          </cell>
          <cell r="G4920">
            <v>0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  <cell r="Z4920">
            <v>0</v>
          </cell>
        </row>
        <row r="4921">
          <cell r="D4921">
            <v>303912</v>
          </cell>
          <cell r="E4921" t="str">
            <v>Sta. Lucia NHS (ZDS NHS, Sta. Lucia Annex)</v>
          </cell>
          <cell r="F4921">
            <v>10</v>
          </cell>
          <cell r="G4921">
            <v>0</v>
          </cell>
          <cell r="H4921">
            <v>10</v>
          </cell>
          <cell r="I4921">
            <v>9</v>
          </cell>
          <cell r="J4921">
            <v>22</v>
          </cell>
          <cell r="K4921">
            <v>31</v>
          </cell>
          <cell r="L4921">
            <v>9</v>
          </cell>
          <cell r="M4921">
            <v>22</v>
          </cell>
          <cell r="N4921">
            <v>31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  <cell r="Z4921">
            <v>0</v>
          </cell>
        </row>
        <row r="4922">
          <cell r="D4922">
            <v>303913</v>
          </cell>
          <cell r="E4922" t="str">
            <v>ZAMBOANGA DEL SUR SCHOOL OF ARTS AND TRADES</v>
          </cell>
          <cell r="F4922">
            <v>0</v>
          </cell>
          <cell r="G4922">
            <v>0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  <cell r="Z4922">
            <v>0</v>
          </cell>
        </row>
        <row r="4923">
          <cell r="D4923">
            <v>314702</v>
          </cell>
          <cell r="E4923" t="str">
            <v>Norberta Guillar Memorial NHS</v>
          </cell>
          <cell r="F4923">
            <v>43</v>
          </cell>
          <cell r="G4923">
            <v>31</v>
          </cell>
          <cell r="H4923">
            <v>74</v>
          </cell>
          <cell r="I4923">
            <v>1</v>
          </cell>
          <cell r="J4923">
            <v>1</v>
          </cell>
          <cell r="K4923">
            <v>2</v>
          </cell>
          <cell r="L4923">
            <v>2</v>
          </cell>
          <cell r="M4923">
            <v>2</v>
          </cell>
          <cell r="N4923">
            <v>4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  <cell r="Z4923">
            <v>0</v>
          </cell>
        </row>
        <row r="4924">
          <cell r="D4924">
            <v>314706</v>
          </cell>
          <cell r="E4924" t="str">
            <v>Bulatok Integrated School</v>
          </cell>
          <cell r="F4924">
            <v>0</v>
          </cell>
          <cell r="G4924">
            <v>0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  <cell r="Z4924">
            <v>0</v>
          </cell>
        </row>
        <row r="4925">
          <cell r="D4925">
            <v>303903</v>
          </cell>
          <cell r="E4925" t="str">
            <v>Lison Valley NHS</v>
          </cell>
          <cell r="F4925">
            <v>0</v>
          </cell>
          <cell r="G4925">
            <v>0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</row>
        <row r="4926">
          <cell r="D4926">
            <v>303902</v>
          </cell>
          <cell r="E4926" t="str">
            <v>Lourdes National High School(R.A.:10125)</v>
          </cell>
          <cell r="F4926">
            <v>0</v>
          </cell>
          <cell r="G4926">
            <v>0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</row>
        <row r="4927">
          <cell r="D4927">
            <v>303930</v>
          </cell>
          <cell r="E4927" t="str">
            <v>Sangali NHS</v>
          </cell>
          <cell r="F4927">
            <v>215</v>
          </cell>
          <cell r="G4927">
            <v>121</v>
          </cell>
          <cell r="H4927">
            <v>336</v>
          </cell>
          <cell r="I4927">
            <v>78</v>
          </cell>
          <cell r="J4927">
            <v>61</v>
          </cell>
          <cell r="K4927">
            <v>139</v>
          </cell>
          <cell r="L4927">
            <v>78</v>
          </cell>
          <cell r="M4927">
            <v>61</v>
          </cell>
          <cell r="N4927">
            <v>139</v>
          </cell>
          <cell r="O4927">
            <v>43</v>
          </cell>
          <cell r="P4927">
            <v>81</v>
          </cell>
          <cell r="Q4927">
            <v>124</v>
          </cell>
          <cell r="R4927">
            <v>43</v>
          </cell>
          <cell r="S4927">
            <v>81</v>
          </cell>
          <cell r="T4927">
            <v>124</v>
          </cell>
          <cell r="U4927">
            <v>3</v>
          </cell>
          <cell r="V4927">
            <v>4</v>
          </cell>
          <cell r="W4927">
            <v>7</v>
          </cell>
          <cell r="X4927">
            <v>0</v>
          </cell>
          <cell r="Y4927">
            <v>0</v>
          </cell>
          <cell r="Z4927">
            <v>0</v>
          </cell>
        </row>
        <row r="4928">
          <cell r="D4928">
            <v>303937</v>
          </cell>
          <cell r="E4928" t="str">
            <v>Tolosa NHS</v>
          </cell>
          <cell r="F4928">
            <v>0</v>
          </cell>
          <cell r="G4928">
            <v>4</v>
          </cell>
          <cell r="H4928">
            <v>4</v>
          </cell>
          <cell r="I4928">
            <v>0</v>
          </cell>
          <cell r="J4928">
            <v>0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  <cell r="Y4928">
            <v>0</v>
          </cell>
          <cell r="Z4928">
            <v>0</v>
          </cell>
        </row>
        <row r="4929">
          <cell r="D4929">
            <v>303928</v>
          </cell>
          <cell r="E4929" t="str">
            <v>Manicahan NHS</v>
          </cell>
          <cell r="F4929">
            <v>10</v>
          </cell>
          <cell r="G4929">
            <v>8</v>
          </cell>
          <cell r="H4929">
            <v>18</v>
          </cell>
          <cell r="I4929">
            <v>2</v>
          </cell>
          <cell r="J4929">
            <v>2</v>
          </cell>
          <cell r="K4929">
            <v>4</v>
          </cell>
          <cell r="L4929">
            <v>3</v>
          </cell>
          <cell r="M4929">
            <v>2</v>
          </cell>
          <cell r="N4929">
            <v>5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  <cell r="Y4929">
            <v>0</v>
          </cell>
          <cell r="Z4929">
            <v>0</v>
          </cell>
        </row>
        <row r="4930">
          <cell r="D4930">
            <v>303919</v>
          </cell>
          <cell r="E4930" t="str">
            <v>Cabaluay NHS</v>
          </cell>
          <cell r="F4930">
            <v>48</v>
          </cell>
          <cell r="G4930">
            <v>46</v>
          </cell>
          <cell r="H4930">
            <v>94</v>
          </cell>
          <cell r="I4930">
            <v>40</v>
          </cell>
          <cell r="J4930">
            <v>39</v>
          </cell>
          <cell r="K4930">
            <v>79</v>
          </cell>
          <cell r="L4930">
            <v>93</v>
          </cell>
          <cell r="M4930">
            <v>81</v>
          </cell>
          <cell r="N4930">
            <v>174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  <cell r="Z4930">
            <v>0</v>
          </cell>
        </row>
        <row r="4931">
          <cell r="D4931">
            <v>345869</v>
          </cell>
          <cell r="E4931" t="str">
            <v>Baliwasan Senior High School - Stand Alone</v>
          </cell>
          <cell r="F4931">
            <v>0</v>
          </cell>
          <cell r="G4931">
            <v>0</v>
          </cell>
          <cell r="H4931">
            <v>0</v>
          </cell>
          <cell r="I4931">
            <v>0</v>
          </cell>
          <cell r="J4931">
            <v>0</v>
          </cell>
          <cell r="K4931">
            <v>0</v>
          </cell>
          <cell r="L4931">
            <v>0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  <cell r="Y4931">
            <v>0</v>
          </cell>
          <cell r="Z4931">
            <v>0</v>
          </cell>
        </row>
        <row r="4932">
          <cell r="D4932">
            <v>303921</v>
          </cell>
          <cell r="E4932" t="str">
            <v>Curuan NHS</v>
          </cell>
          <cell r="F4932">
            <v>20</v>
          </cell>
          <cell r="G4932">
            <v>10</v>
          </cell>
          <cell r="H4932">
            <v>30</v>
          </cell>
          <cell r="I4932">
            <v>20</v>
          </cell>
          <cell r="J4932">
            <v>10</v>
          </cell>
          <cell r="K4932">
            <v>30</v>
          </cell>
          <cell r="L4932">
            <v>30</v>
          </cell>
          <cell r="M4932">
            <v>20</v>
          </cell>
          <cell r="N4932">
            <v>50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10</v>
          </cell>
          <cell r="V4932">
            <v>10</v>
          </cell>
          <cell r="W4932">
            <v>20</v>
          </cell>
          <cell r="X4932">
            <v>0</v>
          </cell>
          <cell r="Y4932">
            <v>0</v>
          </cell>
          <cell r="Z4932">
            <v>0</v>
          </cell>
        </row>
        <row r="4933">
          <cell r="D4933">
            <v>303924</v>
          </cell>
          <cell r="E4933" t="str">
            <v>Ramon Enriquez HS</v>
          </cell>
          <cell r="F4933">
            <v>0</v>
          </cell>
          <cell r="G4933">
            <v>0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  <cell r="Y4933">
            <v>0</v>
          </cell>
          <cell r="Z4933">
            <v>0</v>
          </cell>
        </row>
        <row r="4934">
          <cell r="D4934">
            <v>303922</v>
          </cell>
          <cell r="E4934" t="str">
            <v>Maria Clara L. Lobregat NHS</v>
          </cell>
          <cell r="F4934">
            <v>300</v>
          </cell>
          <cell r="G4934">
            <v>210</v>
          </cell>
          <cell r="H4934">
            <v>510</v>
          </cell>
          <cell r="I4934">
            <v>49</v>
          </cell>
          <cell r="J4934">
            <v>36</v>
          </cell>
          <cell r="K4934">
            <v>85</v>
          </cell>
          <cell r="L4934">
            <v>49</v>
          </cell>
          <cell r="M4934">
            <v>36</v>
          </cell>
          <cell r="N4934">
            <v>85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3</v>
          </cell>
          <cell r="V4934">
            <v>2</v>
          </cell>
          <cell r="W4934">
            <v>5</v>
          </cell>
          <cell r="X4934">
            <v>1</v>
          </cell>
          <cell r="Y4934">
            <v>2</v>
          </cell>
          <cell r="Z4934">
            <v>3</v>
          </cell>
        </row>
        <row r="4935">
          <cell r="D4935">
            <v>303935</v>
          </cell>
          <cell r="E4935" t="str">
            <v>Talisayan NHS</v>
          </cell>
          <cell r="F4935">
            <v>0</v>
          </cell>
          <cell r="G4935">
            <v>0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  <cell r="Y4935">
            <v>0</v>
          </cell>
          <cell r="Z4935">
            <v>0</v>
          </cell>
        </row>
        <row r="4936">
          <cell r="D4936">
            <v>303925</v>
          </cell>
          <cell r="E4936" t="str">
            <v>Sinubong NHS</v>
          </cell>
          <cell r="F4936">
            <v>0</v>
          </cell>
          <cell r="G4936">
            <v>0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  <cell r="Y4936">
            <v>0</v>
          </cell>
          <cell r="Z4936">
            <v>0</v>
          </cell>
        </row>
        <row r="4937">
          <cell r="D4937">
            <v>303917</v>
          </cell>
          <cell r="E4937" t="str">
            <v>Bolong NHS</v>
          </cell>
          <cell r="F4937">
            <v>0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  <cell r="Z4937">
            <v>0</v>
          </cell>
        </row>
        <row r="4938">
          <cell r="D4938">
            <v>303927</v>
          </cell>
          <cell r="E4938" t="str">
            <v>Limpapa NHS</v>
          </cell>
          <cell r="F4938">
            <v>62</v>
          </cell>
          <cell r="G4938">
            <v>23</v>
          </cell>
          <cell r="H4938">
            <v>85</v>
          </cell>
          <cell r="I4938">
            <v>60</v>
          </cell>
          <cell r="J4938">
            <v>21</v>
          </cell>
          <cell r="K4938">
            <v>81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  <cell r="Y4938">
            <v>0</v>
          </cell>
          <cell r="Z4938">
            <v>0</v>
          </cell>
        </row>
        <row r="4939">
          <cell r="D4939">
            <v>303933</v>
          </cell>
          <cell r="E4939" t="str">
            <v>Southcom NHS</v>
          </cell>
          <cell r="F4939">
            <v>0</v>
          </cell>
          <cell r="G4939">
            <v>0</v>
          </cell>
          <cell r="H4939">
            <v>0</v>
          </cell>
          <cell r="I4939">
            <v>0</v>
          </cell>
          <cell r="J4939">
            <v>0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</row>
        <row r="4940">
          <cell r="D4940">
            <v>314809</v>
          </cell>
          <cell r="E4940" t="str">
            <v>San Roque NHS</v>
          </cell>
          <cell r="F4940">
            <v>20</v>
          </cell>
          <cell r="G4940">
            <v>0</v>
          </cell>
          <cell r="H4940">
            <v>20</v>
          </cell>
          <cell r="I4940">
            <v>0</v>
          </cell>
          <cell r="J4940">
            <v>0</v>
          </cell>
          <cell r="K4940">
            <v>0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</row>
        <row r="4941">
          <cell r="D4941">
            <v>303920</v>
          </cell>
          <cell r="E4941" t="str">
            <v>Culianan NHS</v>
          </cell>
          <cell r="F4941">
            <v>257</v>
          </cell>
          <cell r="G4941">
            <v>247</v>
          </cell>
          <cell r="H4941">
            <v>504</v>
          </cell>
          <cell r="I4941">
            <v>102</v>
          </cell>
          <cell r="J4941">
            <v>89</v>
          </cell>
          <cell r="K4941">
            <v>191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35</v>
          </cell>
          <cell r="V4941">
            <v>20</v>
          </cell>
          <cell r="W4941">
            <v>55</v>
          </cell>
          <cell r="X4941">
            <v>0</v>
          </cell>
          <cell r="Y4941">
            <v>0</v>
          </cell>
          <cell r="Z4941">
            <v>0</v>
          </cell>
        </row>
        <row r="4942">
          <cell r="D4942">
            <v>314807</v>
          </cell>
          <cell r="E4942" t="str">
            <v>Tulungatung NHS</v>
          </cell>
          <cell r="F4942">
            <v>0</v>
          </cell>
          <cell r="G4942">
            <v>0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  <cell r="Y4942">
            <v>0</v>
          </cell>
          <cell r="Z4942">
            <v>0</v>
          </cell>
        </row>
        <row r="4943">
          <cell r="D4943">
            <v>314804</v>
          </cell>
          <cell r="E4943" t="str">
            <v>Capisan NHS</v>
          </cell>
          <cell r="F4943">
            <v>33</v>
          </cell>
          <cell r="G4943">
            <v>0</v>
          </cell>
          <cell r="H4943">
            <v>33</v>
          </cell>
          <cell r="I4943">
            <v>21</v>
          </cell>
          <cell r="J4943">
            <v>0</v>
          </cell>
          <cell r="K4943">
            <v>21</v>
          </cell>
          <cell r="L4943">
            <v>21</v>
          </cell>
          <cell r="M4943">
            <v>0</v>
          </cell>
          <cell r="N4943">
            <v>21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  <cell r="Z4943">
            <v>0</v>
          </cell>
        </row>
        <row r="4944">
          <cell r="D4944">
            <v>303914</v>
          </cell>
          <cell r="E4944" t="str">
            <v>Arena Blanco NHS</v>
          </cell>
          <cell r="F4944">
            <v>0</v>
          </cell>
          <cell r="G4944">
            <v>0</v>
          </cell>
          <cell r="H4944">
            <v>0</v>
          </cell>
          <cell r="I4944">
            <v>0</v>
          </cell>
          <cell r="J4944">
            <v>0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  <cell r="Z4944">
            <v>0</v>
          </cell>
        </row>
        <row r="4945">
          <cell r="D4945">
            <v>303939</v>
          </cell>
          <cell r="E4945" t="str">
            <v>Vitali NHS</v>
          </cell>
          <cell r="F4945">
            <v>0</v>
          </cell>
          <cell r="G4945">
            <v>0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  <cell r="Y4945">
            <v>0</v>
          </cell>
          <cell r="Z4945">
            <v>0</v>
          </cell>
        </row>
        <row r="4946">
          <cell r="D4946">
            <v>500244</v>
          </cell>
          <cell r="E4946" t="str">
            <v>Mangusu Integrated School</v>
          </cell>
          <cell r="F4946">
            <v>0</v>
          </cell>
          <cell r="G4946">
            <v>0</v>
          </cell>
          <cell r="H4946">
            <v>0</v>
          </cell>
          <cell r="I4946">
            <v>0</v>
          </cell>
          <cell r="J4946">
            <v>0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</row>
        <row r="4947">
          <cell r="D4947">
            <v>314805</v>
          </cell>
          <cell r="E4947" t="str">
            <v>Recodo NHS</v>
          </cell>
          <cell r="F4947">
            <v>0</v>
          </cell>
          <cell r="G4947">
            <v>0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  <cell r="Z4947">
            <v>0</v>
          </cell>
        </row>
        <row r="4948">
          <cell r="D4948">
            <v>303936</v>
          </cell>
          <cell r="E4948" t="str">
            <v>Tictapul NHS</v>
          </cell>
          <cell r="F4948">
            <v>0</v>
          </cell>
          <cell r="G4948">
            <v>0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  <cell r="Y4948">
            <v>0</v>
          </cell>
          <cell r="Z4948">
            <v>0</v>
          </cell>
        </row>
        <row r="4949">
          <cell r="D4949">
            <v>303926</v>
          </cell>
          <cell r="E4949" t="str">
            <v>Limaong NHS</v>
          </cell>
          <cell r="F4949">
            <v>0</v>
          </cell>
          <cell r="G4949">
            <v>0</v>
          </cell>
          <cell r="H4949">
            <v>0</v>
          </cell>
          <cell r="I4949">
            <v>0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  <cell r="Z4949">
            <v>0</v>
          </cell>
        </row>
        <row r="4950">
          <cell r="D4950">
            <v>303931</v>
          </cell>
          <cell r="E4950" t="str">
            <v>Sibulao NHS</v>
          </cell>
          <cell r="F4950">
            <v>32</v>
          </cell>
          <cell r="G4950">
            <v>29</v>
          </cell>
          <cell r="H4950">
            <v>61</v>
          </cell>
          <cell r="I4950">
            <v>20</v>
          </cell>
          <cell r="J4950">
            <v>19</v>
          </cell>
          <cell r="K4950">
            <v>39</v>
          </cell>
          <cell r="L4950">
            <v>25</v>
          </cell>
          <cell r="M4950">
            <v>22</v>
          </cell>
          <cell r="N4950">
            <v>47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  <cell r="Y4950">
            <v>0</v>
          </cell>
          <cell r="Z4950">
            <v>0</v>
          </cell>
        </row>
        <row r="4951">
          <cell r="D4951">
            <v>501110</v>
          </cell>
          <cell r="E4951" t="str">
            <v>Manalipa Integrated School</v>
          </cell>
          <cell r="F4951">
            <v>0</v>
          </cell>
          <cell r="G4951">
            <v>0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  <cell r="Z4951">
            <v>0</v>
          </cell>
        </row>
        <row r="4952">
          <cell r="D4952">
            <v>303934</v>
          </cell>
          <cell r="E4952" t="str">
            <v>Tagasilay NHS</v>
          </cell>
          <cell r="F4952">
            <v>0</v>
          </cell>
          <cell r="G4952">
            <v>0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  <cell r="Z4952">
            <v>0</v>
          </cell>
        </row>
        <row r="4953">
          <cell r="D4953">
            <v>314803</v>
          </cell>
          <cell r="E4953" t="str">
            <v>Arena Blanco NHS- Landang Gua Annex</v>
          </cell>
          <cell r="F4953">
            <v>0</v>
          </cell>
          <cell r="G4953">
            <v>0</v>
          </cell>
          <cell r="H4953">
            <v>0</v>
          </cell>
          <cell r="I4953">
            <v>0</v>
          </cell>
          <cell r="J4953">
            <v>0</v>
          </cell>
          <cell r="K4953">
            <v>0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</row>
        <row r="4954">
          <cell r="D4954">
            <v>303918</v>
          </cell>
          <cell r="E4954" t="str">
            <v>Bunguiao NHS</v>
          </cell>
          <cell r="F4954">
            <v>0</v>
          </cell>
          <cell r="G4954">
            <v>0</v>
          </cell>
          <cell r="H4954">
            <v>0</v>
          </cell>
          <cell r="I4954">
            <v>0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</row>
        <row r="4955">
          <cell r="D4955">
            <v>314808</v>
          </cell>
          <cell r="E4955" t="str">
            <v>Pasonanca NHS</v>
          </cell>
          <cell r="F4955">
            <v>0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  <cell r="Z4955">
            <v>0</v>
          </cell>
        </row>
        <row r="4956">
          <cell r="D4956">
            <v>303940</v>
          </cell>
          <cell r="E4956" t="str">
            <v>Zamboanga City HS, Main</v>
          </cell>
          <cell r="F4956">
            <v>0</v>
          </cell>
          <cell r="G4956">
            <v>0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  <cell r="Y4956">
            <v>0</v>
          </cell>
          <cell r="Z4956">
            <v>0</v>
          </cell>
        </row>
        <row r="4957">
          <cell r="D4957">
            <v>302765</v>
          </cell>
          <cell r="E4957" t="str">
            <v>Don Pablo A. Lorenzo Memorial SHS</v>
          </cell>
          <cell r="F4957">
            <v>0</v>
          </cell>
          <cell r="G4957">
            <v>0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  <cell r="Z4957">
            <v>0</v>
          </cell>
        </row>
        <row r="4958">
          <cell r="D4958">
            <v>303916</v>
          </cell>
          <cell r="E4958" t="str">
            <v>Enerdino C. Coronel - Baluno NHS</v>
          </cell>
          <cell r="F4958">
            <v>0</v>
          </cell>
          <cell r="G4958">
            <v>0</v>
          </cell>
          <cell r="H4958">
            <v>0</v>
          </cell>
          <cell r="I4958">
            <v>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  <cell r="Y4958">
            <v>0</v>
          </cell>
          <cell r="Z4958">
            <v>0</v>
          </cell>
        </row>
        <row r="4959">
          <cell r="D4959">
            <v>303915</v>
          </cell>
          <cell r="E4959" t="str">
            <v>Ayala NHS</v>
          </cell>
          <cell r="F4959">
            <v>588</v>
          </cell>
          <cell r="G4959">
            <v>401</v>
          </cell>
          <cell r="H4959">
            <v>989</v>
          </cell>
          <cell r="I4959">
            <v>126</v>
          </cell>
          <cell r="J4959">
            <v>99</v>
          </cell>
          <cell r="K4959">
            <v>225</v>
          </cell>
          <cell r="L4959">
            <v>297</v>
          </cell>
          <cell r="M4959">
            <v>143</v>
          </cell>
          <cell r="N4959">
            <v>440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  <cell r="Z4959">
            <v>0</v>
          </cell>
        </row>
        <row r="4960">
          <cell r="D4960">
            <v>314801</v>
          </cell>
          <cell r="E4960" t="str">
            <v>Talon-Talon NHS</v>
          </cell>
          <cell r="F4960">
            <v>0</v>
          </cell>
          <cell r="G4960">
            <v>0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  <cell r="Z4960">
            <v>0</v>
          </cell>
        </row>
        <row r="4961">
          <cell r="D4961">
            <v>314802</v>
          </cell>
          <cell r="E4961" t="str">
            <v>Lubigan NHS, Curuan Annex</v>
          </cell>
          <cell r="F4961">
            <v>39</v>
          </cell>
          <cell r="G4961">
            <v>30</v>
          </cell>
          <cell r="H4961">
            <v>69</v>
          </cell>
          <cell r="I4961">
            <v>0</v>
          </cell>
          <cell r="J4961">
            <v>0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  <cell r="Z4961">
            <v>0</v>
          </cell>
        </row>
        <row r="4962">
          <cell r="D4962">
            <v>501155</v>
          </cell>
          <cell r="E4962" t="str">
            <v>Tuan Datu Hj. Abdulla Nuño Integrated School</v>
          </cell>
          <cell r="F4962">
            <v>0</v>
          </cell>
          <cell r="G4962">
            <v>0</v>
          </cell>
          <cell r="H4962">
            <v>0</v>
          </cell>
          <cell r="I4962">
            <v>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  <cell r="Z4962">
            <v>0</v>
          </cell>
        </row>
        <row r="4963">
          <cell r="D4963">
            <v>303929</v>
          </cell>
          <cell r="E4963" t="str">
            <v>Mercedes NHS</v>
          </cell>
          <cell r="F4963">
            <v>150</v>
          </cell>
          <cell r="G4963">
            <v>138</v>
          </cell>
          <cell r="H4963">
            <v>288</v>
          </cell>
          <cell r="I4963">
            <v>40</v>
          </cell>
          <cell r="J4963">
            <v>35</v>
          </cell>
          <cell r="K4963">
            <v>75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  <cell r="Z4963">
            <v>0</v>
          </cell>
        </row>
        <row r="4964">
          <cell r="D4964">
            <v>303943</v>
          </cell>
          <cell r="E4964" t="str">
            <v>Regional Science HS</v>
          </cell>
          <cell r="F4964">
            <v>121</v>
          </cell>
          <cell r="G4964">
            <v>89</v>
          </cell>
          <cell r="H4964">
            <v>210</v>
          </cell>
          <cell r="I4964">
            <v>110</v>
          </cell>
          <cell r="J4964">
            <v>65</v>
          </cell>
          <cell r="K4964">
            <v>175</v>
          </cell>
          <cell r="L4964">
            <v>0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  <cell r="Z4964">
            <v>0</v>
          </cell>
        </row>
        <row r="4965">
          <cell r="D4965">
            <v>303932</v>
          </cell>
          <cell r="E4965" t="str">
            <v>Sinunuc NHS</v>
          </cell>
          <cell r="F4965">
            <v>0</v>
          </cell>
          <cell r="G4965">
            <v>0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  <cell r="Z4965">
            <v>0</v>
          </cell>
        </row>
        <row r="4966">
          <cell r="D4966">
            <v>304019</v>
          </cell>
          <cell r="E4966" t="str">
            <v>Pantar NHS</v>
          </cell>
          <cell r="F4966">
            <v>0</v>
          </cell>
          <cell r="G4966">
            <v>0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0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  <cell r="Y4966">
            <v>0</v>
          </cell>
          <cell r="Z4966">
            <v>0</v>
          </cell>
        </row>
        <row r="4967">
          <cell r="D4967">
            <v>304163</v>
          </cell>
          <cell r="E4967" t="str">
            <v>Labo National High School</v>
          </cell>
          <cell r="F4967">
            <v>0</v>
          </cell>
          <cell r="G4967">
            <v>0</v>
          </cell>
          <cell r="H4967">
            <v>0</v>
          </cell>
          <cell r="I4967">
            <v>0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  <cell r="Z4967">
            <v>0</v>
          </cell>
        </row>
        <row r="4968">
          <cell r="D4968">
            <v>304164</v>
          </cell>
          <cell r="E4968" t="str">
            <v>Jose Lim Ho National High School</v>
          </cell>
          <cell r="F4968">
            <v>0</v>
          </cell>
          <cell r="G4968">
            <v>0</v>
          </cell>
          <cell r="H4968">
            <v>0</v>
          </cell>
          <cell r="I4968">
            <v>0</v>
          </cell>
          <cell r="J4968">
            <v>0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  <cell r="Z4968">
            <v>0</v>
          </cell>
        </row>
        <row r="4969">
          <cell r="D4969">
            <v>304161</v>
          </cell>
          <cell r="E4969" t="str">
            <v>Labinay National High School</v>
          </cell>
          <cell r="F4969">
            <v>0</v>
          </cell>
          <cell r="G4969">
            <v>0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  <cell r="Y4969">
            <v>0</v>
          </cell>
          <cell r="Z4969">
            <v>0</v>
          </cell>
        </row>
        <row r="4970">
          <cell r="D4970">
            <v>304166</v>
          </cell>
          <cell r="E4970" t="str">
            <v>Montol National High School</v>
          </cell>
          <cell r="F4970">
            <v>0</v>
          </cell>
          <cell r="G4970">
            <v>0</v>
          </cell>
          <cell r="H4970">
            <v>0</v>
          </cell>
          <cell r="I4970">
            <v>0</v>
          </cell>
          <cell r="J4970">
            <v>0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  <cell r="Z4970">
            <v>0</v>
          </cell>
        </row>
        <row r="4971">
          <cell r="D4971">
            <v>304093</v>
          </cell>
          <cell r="E4971" t="str">
            <v>Talisayan NHS</v>
          </cell>
          <cell r="F4971">
            <v>0</v>
          </cell>
          <cell r="G4971">
            <v>0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  <cell r="Y4971">
            <v>0</v>
          </cell>
          <cell r="Z4971">
            <v>0</v>
          </cell>
        </row>
        <row r="4972">
          <cell r="D4972">
            <v>304167</v>
          </cell>
          <cell r="E4972" t="str">
            <v>Ozamiz City National High School</v>
          </cell>
          <cell r="F4972">
            <v>0</v>
          </cell>
          <cell r="G4972">
            <v>0</v>
          </cell>
          <cell r="H4972">
            <v>0</v>
          </cell>
          <cell r="I4972">
            <v>0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  <cell r="Y4972">
            <v>0</v>
          </cell>
          <cell r="Z4972">
            <v>0</v>
          </cell>
        </row>
        <row r="4973">
          <cell r="D4973">
            <v>304165</v>
          </cell>
          <cell r="E4973" t="str">
            <v>San Antonio National High School</v>
          </cell>
          <cell r="F4973">
            <v>0</v>
          </cell>
          <cell r="G4973">
            <v>0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  <cell r="Z4973">
            <v>0</v>
          </cell>
        </row>
        <row r="4974">
          <cell r="D4974">
            <v>304168</v>
          </cell>
          <cell r="E4974" t="str">
            <v>Ozamiz City School of Arts and Trades</v>
          </cell>
          <cell r="F4974">
            <v>0</v>
          </cell>
          <cell r="G4974">
            <v>0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  <cell r="Y4974">
            <v>0</v>
          </cell>
          <cell r="Z4974">
            <v>0</v>
          </cell>
        </row>
        <row r="4975">
          <cell r="D4975">
            <v>304083</v>
          </cell>
          <cell r="E4975" t="str">
            <v>Malagana NHS</v>
          </cell>
          <cell r="F4975">
            <v>0</v>
          </cell>
          <cell r="G4975">
            <v>0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  <cell r="Y4975">
            <v>0</v>
          </cell>
          <cell r="Z4975">
            <v>0</v>
          </cell>
        </row>
        <row r="4976">
          <cell r="D4976">
            <v>304162</v>
          </cell>
          <cell r="E4976" t="str">
            <v>Tabid National High School</v>
          </cell>
          <cell r="F4976">
            <v>0</v>
          </cell>
          <cell r="G4976">
            <v>0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  <cell r="Z4976">
            <v>0</v>
          </cell>
        </row>
        <row r="4977">
          <cell r="D4977">
            <v>304169</v>
          </cell>
          <cell r="E4977" t="str">
            <v>Pulot National High School</v>
          </cell>
          <cell r="F4977">
            <v>25</v>
          </cell>
          <cell r="G4977">
            <v>31</v>
          </cell>
          <cell r="H4977">
            <v>56</v>
          </cell>
          <cell r="I4977">
            <v>25</v>
          </cell>
          <cell r="J4977">
            <v>31</v>
          </cell>
          <cell r="K4977">
            <v>56</v>
          </cell>
          <cell r="L4977">
            <v>425</v>
          </cell>
          <cell r="M4977">
            <v>628</v>
          </cell>
          <cell r="N4977">
            <v>1053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  <cell r="Z4977">
            <v>0</v>
          </cell>
        </row>
        <row r="4978">
          <cell r="D4978">
            <v>304016</v>
          </cell>
          <cell r="E4978" t="str">
            <v>Nunungan NHS</v>
          </cell>
          <cell r="F4978">
            <v>0</v>
          </cell>
          <cell r="G4978">
            <v>0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  <cell r="Z4978">
            <v>0</v>
          </cell>
        </row>
        <row r="4979">
          <cell r="D4979">
            <v>303962</v>
          </cell>
          <cell r="E4979" t="str">
            <v>Kimanait NHS</v>
          </cell>
          <cell r="F4979">
            <v>0</v>
          </cell>
          <cell r="G4979">
            <v>0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  <cell r="Z4979">
            <v>0</v>
          </cell>
        </row>
        <row r="4980">
          <cell r="D4980">
            <v>501209</v>
          </cell>
          <cell r="E4980" t="str">
            <v>Marcelino C. Regis Integrated School</v>
          </cell>
          <cell r="F4980">
            <v>0</v>
          </cell>
          <cell r="G4980">
            <v>0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  <cell r="Z4980">
            <v>0</v>
          </cell>
        </row>
        <row r="4981">
          <cell r="D4981">
            <v>500703</v>
          </cell>
          <cell r="E4981" t="str">
            <v>Dagatkidavao Integrated School</v>
          </cell>
          <cell r="F4981">
            <v>2</v>
          </cell>
          <cell r="G4981">
            <v>3</v>
          </cell>
          <cell r="H4981">
            <v>5</v>
          </cell>
          <cell r="I4981">
            <v>0</v>
          </cell>
          <cell r="J4981">
            <v>0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  <cell r="Z4981">
            <v>0</v>
          </cell>
        </row>
        <row r="4982">
          <cell r="D4982">
            <v>303957</v>
          </cell>
          <cell r="E4982" t="str">
            <v>Kalabugao NHS</v>
          </cell>
          <cell r="F4982">
            <v>0</v>
          </cell>
          <cell r="G4982">
            <v>0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  <cell r="Y4982">
            <v>0</v>
          </cell>
          <cell r="Z4982">
            <v>0</v>
          </cell>
        </row>
        <row r="4983">
          <cell r="D4983">
            <v>304088</v>
          </cell>
          <cell r="E4983" t="str">
            <v>Mat-i (Naawan) NHS</v>
          </cell>
          <cell r="F4983">
            <v>0</v>
          </cell>
          <cell r="G4983">
            <v>0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  <cell r="Y4983">
            <v>0</v>
          </cell>
          <cell r="Z4983">
            <v>0</v>
          </cell>
        </row>
        <row r="4984">
          <cell r="D4984">
            <v>303998</v>
          </cell>
          <cell r="E4984" t="str">
            <v>Baloi National High School</v>
          </cell>
          <cell r="F4984">
            <v>4</v>
          </cell>
          <cell r="G4984">
            <v>3</v>
          </cell>
          <cell r="H4984">
            <v>7</v>
          </cell>
          <cell r="I4984">
            <v>3</v>
          </cell>
          <cell r="J4984">
            <v>2</v>
          </cell>
          <cell r="K4984">
            <v>5</v>
          </cell>
          <cell r="L4984">
            <v>2</v>
          </cell>
          <cell r="M4984">
            <v>2</v>
          </cell>
          <cell r="N4984">
            <v>4</v>
          </cell>
          <cell r="O4984">
            <v>1</v>
          </cell>
          <cell r="P4984">
            <v>1</v>
          </cell>
          <cell r="Q4984">
            <v>2</v>
          </cell>
          <cell r="R4984">
            <v>2</v>
          </cell>
          <cell r="S4984">
            <v>1</v>
          </cell>
          <cell r="T4984">
            <v>3</v>
          </cell>
          <cell r="U4984">
            <v>1</v>
          </cell>
          <cell r="V4984">
            <v>1</v>
          </cell>
          <cell r="W4984">
            <v>2</v>
          </cell>
          <cell r="X4984">
            <v>1</v>
          </cell>
          <cell r="Y4984">
            <v>0</v>
          </cell>
          <cell r="Z4984">
            <v>1</v>
          </cell>
        </row>
        <row r="4985">
          <cell r="D4985">
            <v>500687</v>
          </cell>
          <cell r="E4985" t="str">
            <v>Dalama Integrated School</v>
          </cell>
          <cell r="F4985">
            <v>0</v>
          </cell>
          <cell r="G4985">
            <v>0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  <cell r="Y4985">
            <v>0</v>
          </cell>
          <cell r="Z4985">
            <v>0</v>
          </cell>
        </row>
        <row r="4986">
          <cell r="D4986">
            <v>315307</v>
          </cell>
          <cell r="E4986" t="str">
            <v>Manticao NHS</v>
          </cell>
          <cell r="F4986">
            <v>0</v>
          </cell>
          <cell r="G4986">
            <v>0</v>
          </cell>
          <cell r="H4986">
            <v>0</v>
          </cell>
          <cell r="I4986">
            <v>0</v>
          </cell>
          <cell r="J4986">
            <v>0</v>
          </cell>
          <cell r="K4986">
            <v>0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  <cell r="Z4986">
            <v>0</v>
          </cell>
        </row>
        <row r="4987">
          <cell r="D4987">
            <v>304057</v>
          </cell>
          <cell r="E4987" t="str">
            <v>Talairon NHS</v>
          </cell>
          <cell r="F4987">
            <v>0</v>
          </cell>
          <cell r="G4987">
            <v>0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  <cell r="Z4987">
            <v>0</v>
          </cell>
        </row>
        <row r="4988">
          <cell r="D4988">
            <v>323302</v>
          </cell>
          <cell r="E4988" t="str">
            <v>Simasay NHS</v>
          </cell>
          <cell r="F4988">
            <v>0</v>
          </cell>
          <cell r="G4988">
            <v>0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  <cell r="Z4988">
            <v>0</v>
          </cell>
        </row>
        <row r="4989">
          <cell r="D4989">
            <v>304086</v>
          </cell>
          <cell r="E4989" t="str">
            <v>Matangad NHS</v>
          </cell>
          <cell r="F4989">
            <v>3</v>
          </cell>
          <cell r="G4989">
            <v>5</v>
          </cell>
          <cell r="H4989">
            <v>8</v>
          </cell>
          <cell r="I4989">
            <v>0</v>
          </cell>
          <cell r="J4989">
            <v>0</v>
          </cell>
          <cell r="K4989">
            <v>0</v>
          </cell>
          <cell r="L4989">
            <v>0</v>
          </cell>
          <cell r="M4989">
            <v>0</v>
          </cell>
          <cell r="N4989">
            <v>0</v>
          </cell>
          <cell r="O4989">
            <v>0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  <cell r="Y4989">
            <v>0</v>
          </cell>
          <cell r="Z4989">
            <v>0</v>
          </cell>
        </row>
        <row r="4990">
          <cell r="D4990">
            <v>304011</v>
          </cell>
          <cell r="E4990" t="str">
            <v>Marcela T. Mabanta NHS</v>
          </cell>
          <cell r="F4990">
            <v>0</v>
          </cell>
          <cell r="G4990">
            <v>0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  <cell r="Z4990">
            <v>0</v>
          </cell>
        </row>
        <row r="4991">
          <cell r="D4991">
            <v>303975</v>
          </cell>
          <cell r="E4991" t="str">
            <v>New Nongnongan NHS</v>
          </cell>
          <cell r="F4991">
            <v>0</v>
          </cell>
          <cell r="G4991">
            <v>0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  <cell r="Y4991">
            <v>0</v>
          </cell>
          <cell r="Z4991">
            <v>0</v>
          </cell>
        </row>
        <row r="4992">
          <cell r="D4992">
            <v>500401</v>
          </cell>
          <cell r="E4992" t="str">
            <v>Mobod IS</v>
          </cell>
          <cell r="F4992">
            <v>0</v>
          </cell>
          <cell r="G4992">
            <v>0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  <cell r="Z4992">
            <v>0</v>
          </cell>
        </row>
        <row r="4993">
          <cell r="D4993">
            <v>304080</v>
          </cell>
          <cell r="E4993" t="str">
            <v>Looc NHS</v>
          </cell>
          <cell r="F4993">
            <v>34</v>
          </cell>
          <cell r="G4993">
            <v>27</v>
          </cell>
          <cell r="H4993">
            <v>61</v>
          </cell>
          <cell r="I4993">
            <v>0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  <cell r="Y4993">
            <v>0</v>
          </cell>
          <cell r="Z4993">
            <v>0</v>
          </cell>
        </row>
        <row r="4994">
          <cell r="D4994">
            <v>500753</v>
          </cell>
          <cell r="E4994" t="str">
            <v>Maquilao Integrated School</v>
          </cell>
          <cell r="F4994">
            <v>0</v>
          </cell>
          <cell r="G4994">
            <v>0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  <cell r="Y4994">
            <v>0</v>
          </cell>
          <cell r="Z4994">
            <v>0</v>
          </cell>
        </row>
        <row r="4995">
          <cell r="D4995">
            <v>304077</v>
          </cell>
          <cell r="E4995" t="str">
            <v>Kinoguitan Nat'l Agricultural HS</v>
          </cell>
          <cell r="F4995">
            <v>0</v>
          </cell>
          <cell r="G4995">
            <v>0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  <cell r="Z4995">
            <v>0</v>
          </cell>
        </row>
        <row r="4996">
          <cell r="D4996">
            <v>500690</v>
          </cell>
          <cell r="E4996" t="str">
            <v>Sultan Ali Dimaporo Memorial IS</v>
          </cell>
          <cell r="F4996">
            <v>0</v>
          </cell>
          <cell r="G4996">
            <v>0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  <cell r="Z4996">
            <v>0</v>
          </cell>
        </row>
        <row r="4997">
          <cell r="D4997">
            <v>341230</v>
          </cell>
          <cell r="E4997" t="str">
            <v>Maputi Senior High School</v>
          </cell>
          <cell r="F4997">
            <v>0</v>
          </cell>
          <cell r="G4997">
            <v>0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  <cell r="Z4997">
            <v>0</v>
          </cell>
        </row>
        <row r="4998">
          <cell r="D4998">
            <v>341231</v>
          </cell>
          <cell r="E4998" t="str">
            <v>Tagoloan Senior High School</v>
          </cell>
          <cell r="F4998">
            <v>0</v>
          </cell>
          <cell r="G4998">
            <v>0</v>
          </cell>
          <cell r="H4998">
            <v>0</v>
          </cell>
          <cell r="I4998">
            <v>0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  <cell r="Y4998">
            <v>0</v>
          </cell>
          <cell r="Z4998">
            <v>0</v>
          </cell>
        </row>
        <row r="4999">
          <cell r="D4999">
            <v>304098</v>
          </cell>
          <cell r="E4999" t="str">
            <v>San Juan National High School</v>
          </cell>
          <cell r="F4999">
            <v>0</v>
          </cell>
          <cell r="G4999">
            <v>0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  <cell r="Y4999">
            <v>0</v>
          </cell>
          <cell r="Z4999">
            <v>0</v>
          </cell>
        </row>
        <row r="5000">
          <cell r="D5000">
            <v>304045</v>
          </cell>
          <cell r="E5000" t="str">
            <v>Misamis Occidental NHS</v>
          </cell>
          <cell r="F5000">
            <v>137</v>
          </cell>
          <cell r="G5000">
            <v>33</v>
          </cell>
          <cell r="H5000">
            <v>170</v>
          </cell>
          <cell r="I5000">
            <v>27</v>
          </cell>
          <cell r="J5000">
            <v>19</v>
          </cell>
          <cell r="K5000">
            <v>46</v>
          </cell>
          <cell r="L5000">
            <v>33</v>
          </cell>
          <cell r="M5000">
            <v>20</v>
          </cell>
          <cell r="N5000">
            <v>53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2</v>
          </cell>
          <cell r="V5000">
            <v>3</v>
          </cell>
          <cell r="W5000">
            <v>5</v>
          </cell>
          <cell r="X5000">
            <v>0</v>
          </cell>
          <cell r="Y5000">
            <v>0</v>
          </cell>
          <cell r="Z5000">
            <v>0</v>
          </cell>
        </row>
        <row r="5001">
          <cell r="D5001">
            <v>304020</v>
          </cell>
          <cell r="E5001" t="str">
            <v>Geronima Cabrera NHS (Riverside NHS)</v>
          </cell>
          <cell r="F5001">
            <v>0</v>
          </cell>
          <cell r="G5001">
            <v>0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  <cell r="Z5001">
            <v>0</v>
          </cell>
        </row>
        <row r="5002">
          <cell r="D5002">
            <v>303963</v>
          </cell>
          <cell r="E5002" t="str">
            <v>Kitaotao NHS</v>
          </cell>
          <cell r="F5002">
            <v>0</v>
          </cell>
          <cell r="G5002">
            <v>0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>
            <v>0</v>
          </cell>
          <cell r="M5002">
            <v>0</v>
          </cell>
          <cell r="N5002">
            <v>0</v>
          </cell>
          <cell r="O5002">
            <v>0</v>
          </cell>
          <cell r="P5002">
            <v>0</v>
          </cell>
          <cell r="Q5002">
            <v>0</v>
          </cell>
          <cell r="R5002">
            <v>0</v>
          </cell>
          <cell r="S5002">
            <v>0</v>
          </cell>
          <cell r="T5002">
            <v>0</v>
          </cell>
          <cell r="U5002">
            <v>0</v>
          </cell>
          <cell r="V5002">
            <v>0</v>
          </cell>
          <cell r="W5002">
            <v>0</v>
          </cell>
          <cell r="X5002">
            <v>0</v>
          </cell>
          <cell r="Y5002">
            <v>0</v>
          </cell>
          <cell r="Z5002">
            <v>0</v>
          </cell>
        </row>
        <row r="5003">
          <cell r="D5003">
            <v>360847</v>
          </cell>
          <cell r="E5003" t="str">
            <v>Lugait Senior High School</v>
          </cell>
          <cell r="F5003">
            <v>0</v>
          </cell>
          <cell r="G5003">
            <v>0</v>
          </cell>
          <cell r="H5003">
            <v>0</v>
          </cell>
          <cell r="I5003">
            <v>0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  <cell r="Y5003">
            <v>0</v>
          </cell>
          <cell r="Z5003">
            <v>0</v>
          </cell>
        </row>
        <row r="5004">
          <cell r="D5004">
            <v>304059</v>
          </cell>
          <cell r="E5004" t="str">
            <v>Alubijid NCHS</v>
          </cell>
          <cell r="F5004">
            <v>0</v>
          </cell>
          <cell r="G5004">
            <v>0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  <cell r="Y5004">
            <v>0</v>
          </cell>
          <cell r="Z5004">
            <v>0</v>
          </cell>
        </row>
        <row r="5005">
          <cell r="D5005">
            <v>304018</v>
          </cell>
          <cell r="E5005" t="str">
            <v>Pantao Ragat Agro-Ind. HS</v>
          </cell>
          <cell r="F5005">
            <v>0</v>
          </cell>
          <cell r="G5005">
            <v>0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  <cell r="Y5005">
            <v>0</v>
          </cell>
          <cell r="Z5005">
            <v>0</v>
          </cell>
        </row>
        <row r="5006">
          <cell r="D5006">
            <v>304047</v>
          </cell>
          <cell r="E5006" t="str">
            <v>Oroquieta City National High School - Villaflor Campus</v>
          </cell>
          <cell r="F5006">
            <v>0</v>
          </cell>
          <cell r="G5006">
            <v>0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  <cell r="Z5006">
            <v>0</v>
          </cell>
        </row>
        <row r="5007">
          <cell r="D5007">
            <v>304044</v>
          </cell>
          <cell r="E5007" t="str">
            <v>Misamis Occidental Science and Technology High School</v>
          </cell>
          <cell r="F5007">
            <v>0</v>
          </cell>
          <cell r="G5007">
            <v>0</v>
          </cell>
          <cell r="H5007">
            <v>0</v>
          </cell>
          <cell r="I5007">
            <v>0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N5007">
            <v>0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  <cell r="Y5007">
            <v>0</v>
          </cell>
          <cell r="Z5007">
            <v>0</v>
          </cell>
        </row>
        <row r="5008">
          <cell r="D5008">
            <v>303973</v>
          </cell>
          <cell r="E5008" t="str">
            <v>Managok NHS</v>
          </cell>
          <cell r="F5008">
            <v>0</v>
          </cell>
          <cell r="G5008">
            <v>0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  <cell r="Y5008">
            <v>0</v>
          </cell>
          <cell r="Z5008">
            <v>0</v>
          </cell>
        </row>
        <row r="5009">
          <cell r="D5009">
            <v>314916</v>
          </cell>
          <cell r="E5009" t="str">
            <v>Malaybalay City NHS</v>
          </cell>
          <cell r="F5009">
            <v>10</v>
          </cell>
          <cell r="G5009">
            <v>10</v>
          </cell>
          <cell r="H5009">
            <v>20</v>
          </cell>
          <cell r="I5009">
            <v>10</v>
          </cell>
          <cell r="J5009">
            <v>10</v>
          </cell>
          <cell r="K5009">
            <v>20</v>
          </cell>
          <cell r="L5009">
            <v>0</v>
          </cell>
          <cell r="M5009">
            <v>0</v>
          </cell>
          <cell r="N5009">
            <v>0</v>
          </cell>
          <cell r="O5009">
            <v>0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  <cell r="Y5009">
            <v>0</v>
          </cell>
          <cell r="Z5009">
            <v>0</v>
          </cell>
        </row>
        <row r="5010">
          <cell r="D5010">
            <v>304061</v>
          </cell>
          <cell r="E5010" t="str">
            <v>Baliwagan NHS</v>
          </cell>
          <cell r="F5010">
            <v>0</v>
          </cell>
          <cell r="G5010">
            <v>0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  <cell r="Y5010">
            <v>0</v>
          </cell>
          <cell r="Z5010">
            <v>0</v>
          </cell>
        </row>
        <row r="5011">
          <cell r="D5011">
            <v>304062</v>
          </cell>
          <cell r="E5011" t="str">
            <v>Binuangan NHS</v>
          </cell>
          <cell r="F5011">
            <v>0</v>
          </cell>
          <cell r="G5011">
            <v>0</v>
          </cell>
          <cell r="H5011">
            <v>0</v>
          </cell>
          <cell r="I5011">
            <v>0</v>
          </cell>
          <cell r="J5011">
            <v>0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  <cell r="Y5011">
            <v>0</v>
          </cell>
          <cell r="Z5011">
            <v>0</v>
          </cell>
        </row>
        <row r="5012">
          <cell r="D5012">
            <v>315306</v>
          </cell>
          <cell r="E5012" t="str">
            <v>Rosario NHS</v>
          </cell>
          <cell r="F5012">
            <v>0</v>
          </cell>
          <cell r="G5012">
            <v>0</v>
          </cell>
          <cell r="H5012">
            <v>0</v>
          </cell>
          <cell r="I5012">
            <v>0</v>
          </cell>
          <cell r="J5012">
            <v>0</v>
          </cell>
          <cell r="K5012">
            <v>0</v>
          </cell>
          <cell r="L5012">
            <v>0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  <cell r="Y5012">
            <v>0</v>
          </cell>
          <cell r="Z5012">
            <v>0</v>
          </cell>
        </row>
        <row r="5013">
          <cell r="D5013">
            <v>304056</v>
          </cell>
          <cell r="E5013" t="str">
            <v>Sumirap NHS</v>
          </cell>
          <cell r="F5013">
            <v>12</v>
          </cell>
          <cell r="G5013">
            <v>19</v>
          </cell>
          <cell r="H5013">
            <v>31</v>
          </cell>
          <cell r="I5013">
            <v>0</v>
          </cell>
          <cell r="J5013">
            <v>0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  <cell r="Z5013">
            <v>0</v>
          </cell>
        </row>
        <row r="5014">
          <cell r="D5014">
            <v>304064</v>
          </cell>
          <cell r="E5014" t="str">
            <v>Cabalantian NHS</v>
          </cell>
          <cell r="F5014">
            <v>0</v>
          </cell>
          <cell r="G5014">
            <v>0</v>
          </cell>
          <cell r="H5014">
            <v>0</v>
          </cell>
          <cell r="I5014">
            <v>0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  <cell r="Y5014">
            <v>0</v>
          </cell>
          <cell r="Z5014">
            <v>0</v>
          </cell>
        </row>
        <row r="5015">
          <cell r="D5015">
            <v>304022</v>
          </cell>
          <cell r="E5015" t="str">
            <v>Andres Bersales, Sr. Nat'l. HS (Pandanan NHS)</v>
          </cell>
          <cell r="F5015">
            <v>0</v>
          </cell>
          <cell r="G5015">
            <v>0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  <cell r="Z5015">
            <v>0</v>
          </cell>
        </row>
        <row r="5016">
          <cell r="D5016">
            <v>325501</v>
          </cell>
          <cell r="E5016" t="str">
            <v>Managok NHS - Annex Lalawan</v>
          </cell>
          <cell r="F5016">
            <v>22</v>
          </cell>
          <cell r="G5016">
            <v>30</v>
          </cell>
          <cell r="H5016">
            <v>52</v>
          </cell>
          <cell r="I5016">
            <v>0</v>
          </cell>
          <cell r="J5016">
            <v>0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  <cell r="Y5016">
            <v>0</v>
          </cell>
          <cell r="Z5016">
            <v>0</v>
          </cell>
        </row>
        <row r="5017">
          <cell r="D5017">
            <v>315301</v>
          </cell>
          <cell r="E5017" t="str">
            <v>Bagocboc NHS</v>
          </cell>
          <cell r="F5017">
            <v>0</v>
          </cell>
          <cell r="G5017">
            <v>0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  <cell r="Z5017">
            <v>0</v>
          </cell>
        </row>
        <row r="5018">
          <cell r="D5018">
            <v>304096</v>
          </cell>
          <cell r="E5018" t="str">
            <v>Salay NHS</v>
          </cell>
          <cell r="F5018">
            <v>0</v>
          </cell>
          <cell r="G5018">
            <v>0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  <cell r="Y5018">
            <v>0</v>
          </cell>
          <cell r="Z5018">
            <v>0</v>
          </cell>
        </row>
        <row r="5019">
          <cell r="D5019">
            <v>304081</v>
          </cell>
          <cell r="E5019" t="str">
            <v>Lourdes Alubijid NHS</v>
          </cell>
          <cell r="F5019">
            <v>0</v>
          </cell>
          <cell r="G5019">
            <v>0</v>
          </cell>
          <cell r="H5019">
            <v>0</v>
          </cell>
          <cell r="I5019">
            <v>0</v>
          </cell>
          <cell r="J5019">
            <v>0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  <cell r="Z5019">
            <v>0</v>
          </cell>
        </row>
        <row r="5020">
          <cell r="D5020">
            <v>315304</v>
          </cell>
          <cell r="E5020" t="str">
            <v>Lumbo NHS</v>
          </cell>
          <cell r="F5020">
            <v>0</v>
          </cell>
          <cell r="G5020">
            <v>0</v>
          </cell>
          <cell r="H5020">
            <v>0</v>
          </cell>
          <cell r="I5020">
            <v>0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0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  <cell r="Y5020">
            <v>0</v>
          </cell>
          <cell r="Z5020">
            <v>0</v>
          </cell>
        </row>
        <row r="5021">
          <cell r="D5021">
            <v>341228</v>
          </cell>
          <cell r="E5021" t="str">
            <v>Mantangale Senior High School</v>
          </cell>
          <cell r="F5021">
            <v>0</v>
          </cell>
          <cell r="G5021">
            <v>0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  <cell r="Y5021">
            <v>0</v>
          </cell>
          <cell r="Z5021">
            <v>0</v>
          </cell>
        </row>
        <row r="5022">
          <cell r="D5022">
            <v>304101</v>
          </cell>
          <cell r="E5022" t="str">
            <v>Sugbongcogon NHS</v>
          </cell>
          <cell r="F5022">
            <v>0</v>
          </cell>
          <cell r="G5022">
            <v>0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  <cell r="Z5022">
            <v>0</v>
          </cell>
        </row>
        <row r="5023">
          <cell r="D5023">
            <v>303950</v>
          </cell>
          <cell r="E5023" t="str">
            <v>Bukidnon NHS</v>
          </cell>
          <cell r="F5023">
            <v>87</v>
          </cell>
          <cell r="G5023">
            <v>123</v>
          </cell>
          <cell r="H5023">
            <v>210</v>
          </cell>
          <cell r="I5023">
            <v>32</v>
          </cell>
          <cell r="J5023">
            <v>26</v>
          </cell>
          <cell r="K5023">
            <v>58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  <cell r="Y5023">
            <v>0</v>
          </cell>
          <cell r="Z5023">
            <v>0</v>
          </cell>
        </row>
        <row r="5024">
          <cell r="D5024">
            <v>314910</v>
          </cell>
          <cell r="E5024" t="str">
            <v>Miaray National High School</v>
          </cell>
          <cell r="F5024">
            <v>50</v>
          </cell>
          <cell r="G5024">
            <v>55</v>
          </cell>
          <cell r="H5024">
            <v>105</v>
          </cell>
          <cell r="I5024">
            <v>0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  <cell r="Y5024">
            <v>0</v>
          </cell>
          <cell r="Z5024">
            <v>0</v>
          </cell>
        </row>
        <row r="5025">
          <cell r="D5025">
            <v>304145</v>
          </cell>
          <cell r="E5025" t="str">
            <v>Iligan City NHS</v>
          </cell>
          <cell r="F5025">
            <v>0</v>
          </cell>
          <cell r="G5025">
            <v>0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  <cell r="Z5025">
            <v>0</v>
          </cell>
        </row>
        <row r="5026">
          <cell r="D5026">
            <v>304005</v>
          </cell>
          <cell r="E5026" t="str">
            <v>Lanao del Norte NCHS</v>
          </cell>
          <cell r="F5026">
            <v>0</v>
          </cell>
          <cell r="G5026">
            <v>0</v>
          </cell>
          <cell r="H5026">
            <v>0</v>
          </cell>
          <cell r="I5026">
            <v>0</v>
          </cell>
          <cell r="J5026">
            <v>0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  <cell r="Y5026">
            <v>0</v>
          </cell>
          <cell r="Z5026">
            <v>0</v>
          </cell>
        </row>
        <row r="5027">
          <cell r="D5027">
            <v>325504</v>
          </cell>
          <cell r="E5027" t="str">
            <v>Bukidnon NHS - Annex Dalwangan</v>
          </cell>
          <cell r="F5027">
            <v>0</v>
          </cell>
          <cell r="G5027">
            <v>0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</row>
        <row r="5028">
          <cell r="D5028">
            <v>304069</v>
          </cell>
          <cell r="E5028" t="str">
            <v>Dr. Gerardo Sabal MNHS</v>
          </cell>
          <cell r="F5028">
            <v>0</v>
          </cell>
          <cell r="G5028">
            <v>0</v>
          </cell>
          <cell r="H5028">
            <v>0</v>
          </cell>
          <cell r="I5028">
            <v>0</v>
          </cell>
          <cell r="J5028">
            <v>0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  <cell r="Y5028">
            <v>0</v>
          </cell>
          <cell r="Z5028">
            <v>0</v>
          </cell>
        </row>
        <row r="5029">
          <cell r="D5029">
            <v>341234</v>
          </cell>
          <cell r="E5029" t="str">
            <v>Lagonglong Senior High School</v>
          </cell>
          <cell r="F5029">
            <v>0</v>
          </cell>
          <cell r="G5029">
            <v>0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  <cell r="Z5029">
            <v>0</v>
          </cell>
        </row>
        <row r="5030">
          <cell r="D5030">
            <v>314922</v>
          </cell>
          <cell r="E5030" t="str">
            <v>San Nicolas National High School</v>
          </cell>
          <cell r="F5030">
            <v>0</v>
          </cell>
          <cell r="G5030">
            <v>0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  <cell r="Y5030">
            <v>0</v>
          </cell>
          <cell r="Z5030">
            <v>0</v>
          </cell>
        </row>
        <row r="5031">
          <cell r="D5031">
            <v>303960</v>
          </cell>
          <cell r="E5031" t="str">
            <v>KIBAWE NATIONAL HIGH SCHOOL</v>
          </cell>
          <cell r="F5031">
            <v>20</v>
          </cell>
          <cell r="G5031">
            <v>10</v>
          </cell>
          <cell r="H5031">
            <v>30</v>
          </cell>
          <cell r="I5031">
            <v>48</v>
          </cell>
          <cell r="J5031">
            <v>22</v>
          </cell>
          <cell r="K5031">
            <v>70</v>
          </cell>
          <cell r="L5031">
            <v>48</v>
          </cell>
          <cell r="M5031">
            <v>22</v>
          </cell>
          <cell r="N5031">
            <v>70</v>
          </cell>
          <cell r="O5031">
            <v>33</v>
          </cell>
          <cell r="P5031">
            <v>24</v>
          </cell>
          <cell r="Q5031">
            <v>57</v>
          </cell>
          <cell r="R5031">
            <v>33</v>
          </cell>
          <cell r="S5031">
            <v>44</v>
          </cell>
          <cell r="T5031">
            <v>77</v>
          </cell>
          <cell r="U5031">
            <v>8</v>
          </cell>
          <cell r="V5031">
            <v>3</v>
          </cell>
          <cell r="W5031">
            <v>11</v>
          </cell>
          <cell r="X5031">
            <v>2</v>
          </cell>
          <cell r="Y5031">
            <v>1</v>
          </cell>
          <cell r="Z5031">
            <v>3</v>
          </cell>
        </row>
        <row r="5032">
          <cell r="D5032">
            <v>314924</v>
          </cell>
          <cell r="E5032" t="str">
            <v>Sumilao NHS - Vista Villa Annex</v>
          </cell>
          <cell r="F5032">
            <v>0</v>
          </cell>
          <cell r="G5032">
            <v>0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  <cell r="Y5032">
            <v>0</v>
          </cell>
          <cell r="Z5032">
            <v>0</v>
          </cell>
        </row>
        <row r="5033">
          <cell r="D5033">
            <v>304094</v>
          </cell>
          <cell r="E5033" t="str">
            <v>Opol NSTS</v>
          </cell>
          <cell r="F5033">
            <v>0</v>
          </cell>
          <cell r="G5033">
            <v>0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  <cell r="Z5033">
            <v>0</v>
          </cell>
        </row>
        <row r="5034">
          <cell r="D5034">
            <v>315315</v>
          </cell>
          <cell r="E5034" t="str">
            <v>Tambobong-Balacanas NHS</v>
          </cell>
          <cell r="F5034">
            <v>0</v>
          </cell>
          <cell r="G5034">
            <v>0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  <cell r="Z5034">
            <v>0</v>
          </cell>
        </row>
        <row r="5035">
          <cell r="D5035">
            <v>314905</v>
          </cell>
          <cell r="E5035" t="str">
            <v>ST. PETER NATIONAL HIGH SCHOOL</v>
          </cell>
          <cell r="F5035">
            <v>0</v>
          </cell>
          <cell r="G5035">
            <v>0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  <cell r="Z5035">
            <v>0</v>
          </cell>
        </row>
        <row r="5036">
          <cell r="D5036">
            <v>500251</v>
          </cell>
          <cell r="E5036" t="str">
            <v>Lantad IS</v>
          </cell>
          <cell r="F5036">
            <v>0</v>
          </cell>
          <cell r="G5036">
            <v>0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  <cell r="Y5036">
            <v>0</v>
          </cell>
          <cell r="Z5036">
            <v>0</v>
          </cell>
        </row>
        <row r="5037">
          <cell r="D5037">
            <v>360848</v>
          </cell>
          <cell r="E5037" t="str">
            <v>Esperanza Senior High School</v>
          </cell>
          <cell r="F5037">
            <v>0</v>
          </cell>
          <cell r="G5037">
            <v>0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  <cell r="Z5037">
            <v>0</v>
          </cell>
        </row>
        <row r="5038">
          <cell r="D5038">
            <v>303984</v>
          </cell>
          <cell r="E5038" t="str">
            <v>Silae NHS</v>
          </cell>
          <cell r="F5038">
            <v>0</v>
          </cell>
          <cell r="G5038">
            <v>0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  <cell r="Z5038">
            <v>0</v>
          </cell>
        </row>
        <row r="5039">
          <cell r="D5039">
            <v>314912</v>
          </cell>
          <cell r="E5039" t="str">
            <v>Quezon National High School</v>
          </cell>
          <cell r="F5039">
            <v>34</v>
          </cell>
          <cell r="G5039">
            <v>9</v>
          </cell>
          <cell r="H5039">
            <v>43</v>
          </cell>
          <cell r="I5039">
            <v>0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  <cell r="Z5039">
            <v>0</v>
          </cell>
        </row>
        <row r="5040">
          <cell r="D5040">
            <v>500689</v>
          </cell>
          <cell r="E5040" t="str">
            <v>Lala Proper ES</v>
          </cell>
          <cell r="F5040">
            <v>0</v>
          </cell>
          <cell r="G5040">
            <v>0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  <cell r="Z5040">
            <v>0</v>
          </cell>
        </row>
        <row r="5041">
          <cell r="D5041">
            <v>314923</v>
          </cell>
          <cell r="E5041" t="str">
            <v>Impasugong NHS-Kapitan Bayong Annex</v>
          </cell>
          <cell r="F5041">
            <v>0</v>
          </cell>
          <cell r="G5041">
            <v>0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  <cell r="Z5041">
            <v>0</v>
          </cell>
        </row>
        <row r="5042">
          <cell r="D5042">
            <v>303968</v>
          </cell>
          <cell r="E5042" t="str">
            <v>Libona NHS</v>
          </cell>
          <cell r="F5042">
            <v>20</v>
          </cell>
          <cell r="G5042">
            <v>30</v>
          </cell>
          <cell r="H5042">
            <v>50</v>
          </cell>
          <cell r="I5042">
            <v>0</v>
          </cell>
          <cell r="J5042">
            <v>0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  <cell r="Z5042">
            <v>0</v>
          </cell>
        </row>
        <row r="5043">
          <cell r="D5043">
            <v>304072</v>
          </cell>
          <cell r="E5043" t="str">
            <v>Initao NCHS</v>
          </cell>
          <cell r="F5043">
            <v>0</v>
          </cell>
          <cell r="G5043">
            <v>0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  <cell r="Z5043">
            <v>0</v>
          </cell>
        </row>
        <row r="5044">
          <cell r="D5044">
            <v>303999</v>
          </cell>
          <cell r="E5044" t="str">
            <v>Bansarvil NHS</v>
          </cell>
          <cell r="F5044">
            <v>0</v>
          </cell>
          <cell r="G5044">
            <v>0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  <cell r="Y5044">
            <v>0</v>
          </cell>
          <cell r="Z5044">
            <v>0</v>
          </cell>
        </row>
        <row r="5045">
          <cell r="D5045">
            <v>304002</v>
          </cell>
          <cell r="E5045" t="str">
            <v>Arsenio A. Quibranza NHS (LNNAIHS)</v>
          </cell>
          <cell r="F5045">
            <v>0</v>
          </cell>
          <cell r="G5045">
            <v>0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  <cell r="Z5045">
            <v>0</v>
          </cell>
        </row>
        <row r="5046">
          <cell r="D5046">
            <v>500691</v>
          </cell>
          <cell r="E5046" t="str">
            <v>Sultan Naga Dimaporo Memorial Integrated School</v>
          </cell>
          <cell r="F5046">
            <v>0</v>
          </cell>
          <cell r="G5046">
            <v>0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>
            <v>0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  <cell r="Z5046">
            <v>0</v>
          </cell>
        </row>
        <row r="5047">
          <cell r="D5047">
            <v>303992</v>
          </cell>
          <cell r="E5047" t="str">
            <v>Lawigan-Bura National High School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  <cell r="Y5047">
            <v>0</v>
          </cell>
          <cell r="Z5047">
            <v>0</v>
          </cell>
        </row>
        <row r="5048">
          <cell r="D5048">
            <v>314908</v>
          </cell>
          <cell r="E5048" t="str">
            <v>Cabulohan-Paradise NHS - Townsite Annex</v>
          </cell>
          <cell r="F5048">
            <v>0</v>
          </cell>
          <cell r="G5048">
            <v>0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  <cell r="Z5048">
            <v>0</v>
          </cell>
        </row>
        <row r="5049">
          <cell r="D5049">
            <v>304052</v>
          </cell>
          <cell r="E5049" t="str">
            <v>Senote NHS</v>
          </cell>
          <cell r="F5049">
            <v>0</v>
          </cell>
          <cell r="G5049">
            <v>0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  <cell r="Z5049">
            <v>0</v>
          </cell>
        </row>
        <row r="5050">
          <cell r="D5050">
            <v>315102</v>
          </cell>
          <cell r="E5050" t="str">
            <v>Lanao del Norte Provincial Science and Technology HS (former Malingao NHS (Annex New Pualas NHS)</v>
          </cell>
          <cell r="F5050">
            <v>0</v>
          </cell>
          <cell r="G5050">
            <v>0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  <cell r="Z5050">
            <v>0</v>
          </cell>
        </row>
        <row r="5051">
          <cell r="D5051">
            <v>341232</v>
          </cell>
          <cell r="E5051" t="str">
            <v>Villanueva Senior High School</v>
          </cell>
          <cell r="F5051">
            <v>2</v>
          </cell>
          <cell r="G5051">
            <v>1</v>
          </cell>
          <cell r="H5051">
            <v>3</v>
          </cell>
          <cell r="I5051">
            <v>0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  <cell r="Z5051">
            <v>0</v>
          </cell>
        </row>
        <row r="5052">
          <cell r="D5052">
            <v>501030</v>
          </cell>
          <cell r="E5052" t="str">
            <v>Samburon Integrated School</v>
          </cell>
          <cell r="F5052">
            <v>0</v>
          </cell>
          <cell r="G5052">
            <v>0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  <cell r="Z5052">
            <v>0</v>
          </cell>
        </row>
        <row r="5053">
          <cell r="D5053">
            <v>304054</v>
          </cell>
          <cell r="E5053" t="str">
            <v>Caniangan NHS</v>
          </cell>
          <cell r="F5053">
            <v>0</v>
          </cell>
          <cell r="G5053">
            <v>0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  <cell r="Z5053">
            <v>0</v>
          </cell>
        </row>
        <row r="5054">
          <cell r="D5054">
            <v>304007</v>
          </cell>
          <cell r="E5054" t="str">
            <v>Liangan NHS</v>
          </cell>
          <cell r="F5054">
            <v>0</v>
          </cell>
          <cell r="G5054">
            <v>0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  <cell r="Z5054">
            <v>0</v>
          </cell>
        </row>
        <row r="5055">
          <cell r="D5055">
            <v>315309</v>
          </cell>
          <cell r="E5055" t="str">
            <v>Aposkahoy NHS</v>
          </cell>
          <cell r="F5055">
            <v>0</v>
          </cell>
          <cell r="G5055">
            <v>0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  <cell r="Y5055">
            <v>0</v>
          </cell>
          <cell r="Z5055">
            <v>0</v>
          </cell>
        </row>
        <row r="5056">
          <cell r="D5056">
            <v>314927</v>
          </cell>
          <cell r="E5056" t="str">
            <v>Kiara National High School</v>
          </cell>
          <cell r="F5056">
            <v>0</v>
          </cell>
          <cell r="G5056">
            <v>0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  <cell r="Z5056">
            <v>0</v>
          </cell>
        </row>
        <row r="5057">
          <cell r="D5057">
            <v>341235</v>
          </cell>
          <cell r="E5057" t="str">
            <v>Sta. Ines Senior High School</v>
          </cell>
          <cell r="F5057">
            <v>0</v>
          </cell>
          <cell r="G5057">
            <v>0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  <cell r="Z5057">
            <v>0</v>
          </cell>
        </row>
        <row r="5058">
          <cell r="D5058">
            <v>304078</v>
          </cell>
          <cell r="E5058" t="str">
            <v>Laguindingan NHS</v>
          </cell>
          <cell r="F5058">
            <v>0</v>
          </cell>
          <cell r="G5058">
            <v>0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  <cell r="Y5058">
            <v>0</v>
          </cell>
          <cell r="Z5058">
            <v>0</v>
          </cell>
        </row>
        <row r="5059">
          <cell r="D5059">
            <v>303961</v>
          </cell>
          <cell r="E5059" t="str">
            <v>Kiburiao National High School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  <cell r="Y5059">
            <v>0</v>
          </cell>
          <cell r="Z5059">
            <v>0</v>
          </cell>
        </row>
        <row r="5060">
          <cell r="D5060">
            <v>304000</v>
          </cell>
          <cell r="E5060" t="str">
            <v>Binuni-Demologan NHS</v>
          </cell>
          <cell r="F5060">
            <v>0</v>
          </cell>
          <cell r="G5060">
            <v>0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  <cell r="Y5060">
            <v>0</v>
          </cell>
          <cell r="Z5060">
            <v>0</v>
          </cell>
        </row>
        <row r="5061">
          <cell r="D5061">
            <v>304156</v>
          </cell>
          <cell r="E5061" t="str">
            <v>Suarez National High School</v>
          </cell>
          <cell r="F5061">
            <v>0</v>
          </cell>
          <cell r="G5061">
            <v>0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  <cell r="Y5061">
            <v>0</v>
          </cell>
          <cell r="Z5061">
            <v>0</v>
          </cell>
        </row>
        <row r="5062">
          <cell r="D5062">
            <v>303995</v>
          </cell>
          <cell r="E5062" t="str">
            <v>Eulalio U. Pabillore National High Sschool</v>
          </cell>
          <cell r="F5062">
            <v>0</v>
          </cell>
          <cell r="G5062">
            <v>0</v>
          </cell>
          <cell r="H5062">
            <v>0</v>
          </cell>
          <cell r="I5062">
            <v>0</v>
          </cell>
          <cell r="J5062">
            <v>0</v>
          </cell>
          <cell r="K5062">
            <v>0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  <cell r="Y5062">
            <v>0</v>
          </cell>
          <cell r="Z5062">
            <v>0</v>
          </cell>
        </row>
        <row r="5063">
          <cell r="D5063">
            <v>304029</v>
          </cell>
          <cell r="E5063" t="str">
            <v>Bunga NHS</v>
          </cell>
          <cell r="F5063">
            <v>0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  <cell r="Y5063">
            <v>0</v>
          </cell>
          <cell r="Z5063">
            <v>0</v>
          </cell>
        </row>
        <row r="5064">
          <cell r="D5064">
            <v>304073</v>
          </cell>
          <cell r="E5064" t="str">
            <v>Jasaan NHS</v>
          </cell>
          <cell r="F5064">
            <v>0</v>
          </cell>
          <cell r="G5064">
            <v>0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  <cell r="Z5064">
            <v>0</v>
          </cell>
        </row>
        <row r="5065">
          <cell r="D5065">
            <v>304074</v>
          </cell>
          <cell r="E5065" t="str">
            <v>Kalingagan NHS</v>
          </cell>
          <cell r="F5065">
            <v>0</v>
          </cell>
          <cell r="G5065">
            <v>0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  <cell r="Z5065">
            <v>0</v>
          </cell>
        </row>
        <row r="5066">
          <cell r="D5066">
            <v>304152</v>
          </cell>
          <cell r="E5066" t="str">
            <v>Maria Cristina National High School</v>
          </cell>
          <cell r="F5066">
            <v>0</v>
          </cell>
          <cell r="G5066">
            <v>0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  <cell r="Z5066">
            <v>0</v>
          </cell>
        </row>
        <row r="5067">
          <cell r="D5067">
            <v>304099</v>
          </cell>
          <cell r="E5067" t="str">
            <v>Sta. Ana NHS</v>
          </cell>
          <cell r="F5067">
            <v>0</v>
          </cell>
          <cell r="G5067">
            <v>0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  <cell r="Y5067">
            <v>0</v>
          </cell>
          <cell r="Z5067">
            <v>0</v>
          </cell>
        </row>
        <row r="5068">
          <cell r="D5068">
            <v>500704</v>
          </cell>
          <cell r="E5068" t="str">
            <v>LOURDES INTEGRATED SCHOOL</v>
          </cell>
          <cell r="F5068">
            <v>0</v>
          </cell>
          <cell r="G5068">
            <v>0</v>
          </cell>
          <cell r="H5068">
            <v>0</v>
          </cell>
          <cell r="I5068">
            <v>0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  <cell r="Y5068">
            <v>0</v>
          </cell>
          <cell r="Z5068">
            <v>0</v>
          </cell>
        </row>
        <row r="5069">
          <cell r="D5069">
            <v>304071</v>
          </cell>
          <cell r="E5069" t="str">
            <v>Hinaplanan NHS</v>
          </cell>
          <cell r="F5069">
            <v>0</v>
          </cell>
          <cell r="G5069">
            <v>0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  <cell r="Z5069">
            <v>0</v>
          </cell>
        </row>
        <row r="5070">
          <cell r="D5070">
            <v>304063</v>
          </cell>
          <cell r="E5070" t="str">
            <v>Bobontugan NHS</v>
          </cell>
          <cell r="F5070">
            <v>54</v>
          </cell>
          <cell r="G5070">
            <v>0</v>
          </cell>
          <cell r="H5070">
            <v>54</v>
          </cell>
          <cell r="I5070">
            <v>0</v>
          </cell>
          <cell r="J5070">
            <v>0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  <cell r="Y5070">
            <v>0</v>
          </cell>
          <cell r="Z5070">
            <v>0</v>
          </cell>
        </row>
        <row r="5071">
          <cell r="D5071">
            <v>315305</v>
          </cell>
          <cell r="E5071" t="str">
            <v>MOLUGAN NATIONAL HIGH SCHOOL</v>
          </cell>
          <cell r="F5071">
            <v>0</v>
          </cell>
          <cell r="G5071">
            <v>0</v>
          </cell>
          <cell r="H5071">
            <v>0</v>
          </cell>
          <cell r="I5071">
            <v>0</v>
          </cell>
          <cell r="J5071">
            <v>0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  <cell r="Y5071">
            <v>0</v>
          </cell>
          <cell r="Z5071">
            <v>0</v>
          </cell>
        </row>
        <row r="5072">
          <cell r="D5072">
            <v>314913</v>
          </cell>
          <cell r="E5072" t="str">
            <v>Don Carlos NHS</v>
          </cell>
          <cell r="F5072">
            <v>0</v>
          </cell>
          <cell r="G5072">
            <v>0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  <cell r="Z5072">
            <v>0</v>
          </cell>
        </row>
        <row r="5073">
          <cell r="D5073">
            <v>500686</v>
          </cell>
          <cell r="E5073" t="str">
            <v>Sto. Niño Integrated School</v>
          </cell>
          <cell r="F5073">
            <v>0</v>
          </cell>
          <cell r="G5073">
            <v>0</v>
          </cell>
          <cell r="H5073">
            <v>0</v>
          </cell>
          <cell r="I5073">
            <v>0</v>
          </cell>
          <cell r="J5073">
            <v>0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</row>
        <row r="5074">
          <cell r="D5074">
            <v>500696</v>
          </cell>
          <cell r="E5074" t="str">
            <v>Francisco Laya Memorial Integrated School</v>
          </cell>
          <cell r="F5074">
            <v>0</v>
          </cell>
          <cell r="G5074">
            <v>0</v>
          </cell>
          <cell r="H5074">
            <v>0</v>
          </cell>
          <cell r="I5074">
            <v>2</v>
          </cell>
          <cell r="J5074">
            <v>1</v>
          </cell>
          <cell r="K5074">
            <v>3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  <cell r="Y5074">
            <v>0</v>
          </cell>
          <cell r="Z5074">
            <v>0</v>
          </cell>
        </row>
        <row r="5075">
          <cell r="D5075">
            <v>315110</v>
          </cell>
          <cell r="E5075" t="str">
            <v>SERGIO P. CERUJALES, JR. NHS</v>
          </cell>
          <cell r="F5075">
            <v>27</v>
          </cell>
          <cell r="G5075">
            <v>19</v>
          </cell>
          <cell r="H5075">
            <v>46</v>
          </cell>
          <cell r="I5075">
            <v>5</v>
          </cell>
          <cell r="J5075">
            <v>3</v>
          </cell>
          <cell r="K5075">
            <v>8</v>
          </cell>
          <cell r="L5075">
            <v>0</v>
          </cell>
          <cell r="M5075">
            <v>0</v>
          </cell>
          <cell r="N5075">
            <v>0</v>
          </cell>
          <cell r="O5075">
            <v>2</v>
          </cell>
          <cell r="P5075">
            <v>7</v>
          </cell>
          <cell r="Q5075">
            <v>9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  <cell r="Y5075">
            <v>0</v>
          </cell>
          <cell r="Z5075">
            <v>0</v>
          </cell>
        </row>
        <row r="5076">
          <cell r="D5076">
            <v>315104</v>
          </cell>
          <cell r="E5076" t="str">
            <v>Poonapiagapo NHS(Annex Matungao NHS)</v>
          </cell>
          <cell r="F5076">
            <v>0</v>
          </cell>
          <cell r="G5076">
            <v>0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  <cell r="Z5076">
            <v>0</v>
          </cell>
        </row>
        <row r="5077">
          <cell r="D5077">
            <v>304015</v>
          </cell>
          <cell r="E5077" t="str">
            <v>Teofila C. Quibranza NHS (New Pualas NHS)</v>
          </cell>
          <cell r="F5077">
            <v>0</v>
          </cell>
          <cell r="G5077">
            <v>0</v>
          </cell>
          <cell r="H5077">
            <v>0</v>
          </cell>
          <cell r="I5077">
            <v>0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  <cell r="Z5077">
            <v>0</v>
          </cell>
        </row>
        <row r="5078">
          <cell r="D5078">
            <v>315001</v>
          </cell>
          <cell r="E5078" t="str">
            <v>Maac National High School</v>
          </cell>
          <cell r="F5078">
            <v>0</v>
          </cell>
          <cell r="G5078">
            <v>0</v>
          </cell>
          <cell r="H5078">
            <v>0</v>
          </cell>
          <cell r="I5078">
            <v>0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  <cell r="Y5078">
            <v>0</v>
          </cell>
          <cell r="Z5078">
            <v>0</v>
          </cell>
        </row>
        <row r="5079">
          <cell r="D5079">
            <v>500248</v>
          </cell>
          <cell r="E5079" t="str">
            <v>Pagayawan IS</v>
          </cell>
          <cell r="F5079">
            <v>0</v>
          </cell>
          <cell r="G5079">
            <v>0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  <cell r="Z5079">
            <v>0</v>
          </cell>
        </row>
        <row r="5080">
          <cell r="D5080">
            <v>314903</v>
          </cell>
          <cell r="E5080" t="str">
            <v>San Vicente National High School</v>
          </cell>
          <cell r="F5080">
            <v>0</v>
          </cell>
          <cell r="G5080">
            <v>0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  <cell r="Y5080">
            <v>0</v>
          </cell>
          <cell r="Z5080">
            <v>0</v>
          </cell>
        </row>
        <row r="5081">
          <cell r="D5081">
            <v>315317</v>
          </cell>
          <cell r="E5081" t="str">
            <v>Kalacapan NHS</v>
          </cell>
          <cell r="F5081">
            <v>0</v>
          </cell>
          <cell r="G5081">
            <v>0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  <cell r="Z5081">
            <v>0</v>
          </cell>
        </row>
        <row r="5082">
          <cell r="D5082">
            <v>304010</v>
          </cell>
          <cell r="E5082" t="str">
            <v>Maigo NHS</v>
          </cell>
          <cell r="F5082">
            <v>199</v>
          </cell>
          <cell r="G5082">
            <v>172</v>
          </cell>
          <cell r="H5082">
            <v>371</v>
          </cell>
          <cell r="I5082">
            <v>0</v>
          </cell>
          <cell r="J5082">
            <v>0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  <cell r="Z5082">
            <v>0</v>
          </cell>
        </row>
        <row r="5083">
          <cell r="D5083">
            <v>315318</v>
          </cell>
          <cell r="E5083" t="str">
            <v>Hinigdaan NHS</v>
          </cell>
          <cell r="F5083">
            <v>0</v>
          </cell>
          <cell r="G5083">
            <v>0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</row>
        <row r="5084">
          <cell r="D5084">
            <v>315106</v>
          </cell>
          <cell r="E5084" t="str">
            <v>Sultan Dimasangcay Mananggolo IS (Delabayan ES)</v>
          </cell>
          <cell r="F5084">
            <v>0</v>
          </cell>
          <cell r="G5084">
            <v>0</v>
          </cell>
          <cell r="H5084">
            <v>0</v>
          </cell>
          <cell r="I5084">
            <v>0</v>
          </cell>
          <cell r="J5084">
            <v>0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  <cell r="Y5084">
            <v>0</v>
          </cell>
          <cell r="Z5084">
            <v>0</v>
          </cell>
        </row>
        <row r="5085">
          <cell r="D5085">
            <v>315003</v>
          </cell>
          <cell r="E5085" t="str">
            <v>Mahinog National High School II</v>
          </cell>
          <cell r="F5085">
            <v>0</v>
          </cell>
          <cell r="G5085">
            <v>0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  <cell r="Y5085">
            <v>0</v>
          </cell>
          <cell r="Z5085">
            <v>0</v>
          </cell>
        </row>
        <row r="5086">
          <cell r="D5086">
            <v>315103</v>
          </cell>
          <cell r="E5086" t="str">
            <v>Tangcal NHS (Annex Magsaysay NHS)</v>
          </cell>
          <cell r="F5086">
            <v>0</v>
          </cell>
          <cell r="G5086">
            <v>0</v>
          </cell>
          <cell r="H5086">
            <v>0</v>
          </cell>
          <cell r="I5086">
            <v>0</v>
          </cell>
          <cell r="J5086">
            <v>0</v>
          </cell>
          <cell r="K5086">
            <v>0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  <cell r="Y5086">
            <v>0</v>
          </cell>
          <cell r="Z5086">
            <v>0</v>
          </cell>
        </row>
        <row r="5087">
          <cell r="D5087">
            <v>304004</v>
          </cell>
          <cell r="E5087" t="str">
            <v>Lala NHS</v>
          </cell>
          <cell r="F5087">
            <v>446</v>
          </cell>
          <cell r="G5087">
            <v>321</v>
          </cell>
          <cell r="H5087">
            <v>767</v>
          </cell>
          <cell r="I5087">
            <v>69</v>
          </cell>
          <cell r="J5087">
            <v>76</v>
          </cell>
          <cell r="K5087">
            <v>145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0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  <cell r="Y5087">
            <v>0</v>
          </cell>
          <cell r="Z5087">
            <v>0</v>
          </cell>
        </row>
        <row r="5088">
          <cell r="D5088">
            <v>304065</v>
          </cell>
          <cell r="E5088" t="str">
            <v>Cogon NHS</v>
          </cell>
          <cell r="F5088">
            <v>0</v>
          </cell>
          <cell r="G5088">
            <v>0</v>
          </cell>
          <cell r="H5088">
            <v>0</v>
          </cell>
          <cell r="I5088">
            <v>0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  <cell r="Y5088">
            <v>0</v>
          </cell>
          <cell r="Z5088">
            <v>0</v>
          </cell>
        </row>
        <row r="5089">
          <cell r="D5089">
            <v>304017</v>
          </cell>
          <cell r="E5089" t="str">
            <v>Panoloon NHS</v>
          </cell>
          <cell r="F5089">
            <v>0</v>
          </cell>
          <cell r="G5089">
            <v>0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  <cell r="Z5089">
            <v>0</v>
          </cell>
        </row>
        <row r="5090">
          <cell r="D5090">
            <v>500688</v>
          </cell>
          <cell r="E5090" t="str">
            <v>Taguitic Integrated School</v>
          </cell>
          <cell r="F5090">
            <v>0</v>
          </cell>
          <cell r="G5090">
            <v>0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  <cell r="Z5090">
            <v>0</v>
          </cell>
        </row>
        <row r="5091">
          <cell r="D5091">
            <v>500705</v>
          </cell>
          <cell r="E5091" t="str">
            <v>Mt. Nebo Integrated School</v>
          </cell>
          <cell r="F5091">
            <v>0</v>
          </cell>
          <cell r="G5091">
            <v>0</v>
          </cell>
          <cell r="H5091">
            <v>0</v>
          </cell>
          <cell r="I5091">
            <v>0</v>
          </cell>
          <cell r="J5091">
            <v>0</v>
          </cell>
          <cell r="K5091">
            <v>0</v>
          </cell>
          <cell r="L5091">
            <v>0</v>
          </cell>
          <cell r="M5091">
            <v>0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  <cell r="Z5091">
            <v>0</v>
          </cell>
        </row>
        <row r="5092">
          <cell r="D5092">
            <v>341233</v>
          </cell>
          <cell r="E5092" t="str">
            <v>Kinoguitan Senior High School</v>
          </cell>
          <cell r="F5092">
            <v>0</v>
          </cell>
          <cell r="G5092">
            <v>0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  <cell r="Z5092">
            <v>0</v>
          </cell>
        </row>
        <row r="5093">
          <cell r="D5093">
            <v>341227</v>
          </cell>
          <cell r="E5093" t="str">
            <v>Balingasag Senior High School</v>
          </cell>
          <cell r="F5093">
            <v>0</v>
          </cell>
          <cell r="G5093">
            <v>0</v>
          </cell>
          <cell r="H5093">
            <v>0</v>
          </cell>
          <cell r="I5093">
            <v>0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  <cell r="Y5093">
            <v>0</v>
          </cell>
          <cell r="Z5093">
            <v>0</v>
          </cell>
        </row>
        <row r="5094">
          <cell r="D5094">
            <v>500249</v>
          </cell>
          <cell r="E5094" t="str">
            <v>Carusa Integrated School</v>
          </cell>
          <cell r="F5094">
            <v>0</v>
          </cell>
          <cell r="G5094">
            <v>0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  <cell r="Y5094">
            <v>0</v>
          </cell>
          <cell r="Z5094">
            <v>0</v>
          </cell>
        </row>
        <row r="5095">
          <cell r="D5095">
            <v>304003</v>
          </cell>
          <cell r="E5095" t="str">
            <v>Kapatagan NHS</v>
          </cell>
          <cell r="F5095">
            <v>7</v>
          </cell>
          <cell r="G5095">
            <v>0</v>
          </cell>
          <cell r="H5095">
            <v>7</v>
          </cell>
          <cell r="I5095">
            <v>4</v>
          </cell>
          <cell r="J5095">
            <v>0</v>
          </cell>
          <cell r="K5095">
            <v>4</v>
          </cell>
          <cell r="L5095">
            <v>3</v>
          </cell>
          <cell r="M5095">
            <v>0</v>
          </cell>
          <cell r="N5095">
            <v>3</v>
          </cell>
          <cell r="O5095">
            <v>5</v>
          </cell>
          <cell r="P5095">
            <v>0</v>
          </cell>
          <cell r="Q5095">
            <v>5</v>
          </cell>
          <cell r="R5095">
            <v>5</v>
          </cell>
          <cell r="S5095">
            <v>0</v>
          </cell>
          <cell r="T5095">
            <v>5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  <cell r="Y5095">
            <v>0</v>
          </cell>
          <cell r="Z5095">
            <v>0</v>
          </cell>
        </row>
        <row r="5096">
          <cell r="D5096">
            <v>304006</v>
          </cell>
          <cell r="E5096" t="str">
            <v>Placida Mequiabas Mem. NHS (Lapinig NHS)</v>
          </cell>
          <cell r="F5096">
            <v>0</v>
          </cell>
          <cell r="G5096">
            <v>0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>
            <v>0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  <cell r="Y5096">
            <v>0</v>
          </cell>
          <cell r="Z5096">
            <v>0</v>
          </cell>
        </row>
        <row r="5097">
          <cell r="D5097">
            <v>314909</v>
          </cell>
          <cell r="E5097" t="str">
            <v>Guinuyoran National High School</v>
          </cell>
          <cell r="F5097">
            <v>0</v>
          </cell>
          <cell r="G5097">
            <v>0</v>
          </cell>
          <cell r="H5097">
            <v>0</v>
          </cell>
          <cell r="I5097">
            <v>0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  <cell r="Y5097">
            <v>0</v>
          </cell>
          <cell r="Z5097">
            <v>0</v>
          </cell>
        </row>
        <row r="5098">
          <cell r="D5098">
            <v>500698</v>
          </cell>
          <cell r="E5098" t="str">
            <v>Del Carmen Integrated School</v>
          </cell>
          <cell r="F5098">
            <v>0</v>
          </cell>
          <cell r="G5098">
            <v>0</v>
          </cell>
          <cell r="H5098">
            <v>0</v>
          </cell>
          <cell r="I5098">
            <v>0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  <cell r="Y5098">
            <v>0</v>
          </cell>
          <cell r="Z5098">
            <v>0</v>
          </cell>
        </row>
        <row r="5099">
          <cell r="D5099">
            <v>303990</v>
          </cell>
          <cell r="E5099" t="str">
            <v>Camiguin NHS</v>
          </cell>
          <cell r="F5099">
            <v>0</v>
          </cell>
          <cell r="G5099">
            <v>0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  <cell r="Y5099">
            <v>0</v>
          </cell>
          <cell r="Z5099">
            <v>0</v>
          </cell>
        </row>
        <row r="5100">
          <cell r="D5100">
            <v>303953</v>
          </cell>
          <cell r="E5100" t="str">
            <v>Dangcagan NHS</v>
          </cell>
          <cell r="F5100">
            <v>2</v>
          </cell>
          <cell r="G5100">
            <v>1</v>
          </cell>
          <cell r="H5100">
            <v>3</v>
          </cell>
          <cell r="I5100">
            <v>0</v>
          </cell>
          <cell r="J5100">
            <v>0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  <cell r="Y5100">
            <v>0</v>
          </cell>
          <cell r="Z5100">
            <v>0</v>
          </cell>
        </row>
        <row r="5101">
          <cell r="D5101">
            <v>314929</v>
          </cell>
          <cell r="E5101" t="str">
            <v>Macapari NHS</v>
          </cell>
          <cell r="F5101">
            <v>60</v>
          </cell>
          <cell r="G5101">
            <v>56</v>
          </cell>
          <cell r="H5101">
            <v>116</v>
          </cell>
          <cell r="I5101">
            <v>0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  <cell r="Y5101">
            <v>0</v>
          </cell>
          <cell r="Z5101">
            <v>0</v>
          </cell>
        </row>
        <row r="5102">
          <cell r="D5102">
            <v>304155</v>
          </cell>
          <cell r="E5102" t="str">
            <v>Rogongon Agricultural High School</v>
          </cell>
          <cell r="F5102">
            <v>19</v>
          </cell>
          <cell r="G5102">
            <v>9</v>
          </cell>
          <cell r="H5102">
            <v>28</v>
          </cell>
          <cell r="I5102">
            <v>0</v>
          </cell>
          <cell r="J5102">
            <v>0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  <cell r="Z5102">
            <v>0</v>
          </cell>
        </row>
        <row r="5103">
          <cell r="D5103">
            <v>304091</v>
          </cell>
          <cell r="E5103" t="str">
            <v>Mis. Or. Gen. CHS</v>
          </cell>
          <cell r="F5103">
            <v>10</v>
          </cell>
          <cell r="G5103">
            <v>5</v>
          </cell>
          <cell r="H5103">
            <v>15</v>
          </cell>
          <cell r="I5103">
            <v>10</v>
          </cell>
          <cell r="J5103">
            <v>5</v>
          </cell>
          <cell r="K5103">
            <v>15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  <cell r="Z5103">
            <v>0</v>
          </cell>
        </row>
        <row r="5104">
          <cell r="D5104">
            <v>315302</v>
          </cell>
          <cell r="E5104" t="str">
            <v>Danao NHS</v>
          </cell>
          <cell r="F5104">
            <v>0</v>
          </cell>
          <cell r="G5104">
            <v>0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  <cell r="Z5104">
            <v>0</v>
          </cell>
        </row>
        <row r="5105">
          <cell r="D5105">
            <v>304008</v>
          </cell>
          <cell r="E5105" t="str">
            <v>Linamon NHS</v>
          </cell>
          <cell r="F5105">
            <v>0</v>
          </cell>
          <cell r="G5105">
            <v>0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  <cell r="Y5105">
            <v>0</v>
          </cell>
          <cell r="Z5105">
            <v>0</v>
          </cell>
        </row>
        <row r="5106">
          <cell r="D5106">
            <v>303976</v>
          </cell>
          <cell r="E5106" t="str">
            <v>Old Damulog NHS</v>
          </cell>
          <cell r="F5106">
            <v>0</v>
          </cell>
          <cell r="G5106">
            <v>0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  <cell r="Y5106">
            <v>0</v>
          </cell>
          <cell r="Z5106">
            <v>0</v>
          </cell>
        </row>
        <row r="5107">
          <cell r="D5107">
            <v>303948</v>
          </cell>
          <cell r="E5107" t="str">
            <v>Bocboc NHS</v>
          </cell>
          <cell r="F5107">
            <v>0</v>
          </cell>
          <cell r="G5107">
            <v>0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  <cell r="Z5107">
            <v>0</v>
          </cell>
        </row>
        <row r="5108">
          <cell r="D5108">
            <v>304087</v>
          </cell>
          <cell r="E5108" t="str">
            <v>Mat-i (Claveria) NHS</v>
          </cell>
          <cell r="F5108">
            <v>1</v>
          </cell>
          <cell r="G5108">
            <v>0</v>
          </cell>
          <cell r="H5108">
            <v>1</v>
          </cell>
          <cell r="I5108">
            <v>0</v>
          </cell>
          <cell r="J5108">
            <v>0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  <cell r="Z5108">
            <v>0</v>
          </cell>
        </row>
        <row r="5109">
          <cell r="D5109">
            <v>303970</v>
          </cell>
          <cell r="E5109" t="str">
            <v>Lurugan National High School</v>
          </cell>
          <cell r="F5109">
            <v>0</v>
          </cell>
          <cell r="G5109">
            <v>0</v>
          </cell>
          <cell r="H5109">
            <v>0</v>
          </cell>
          <cell r="I5109">
            <v>0</v>
          </cell>
          <cell r="J5109">
            <v>0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  <cell r="Y5109">
            <v>0</v>
          </cell>
          <cell r="Z5109">
            <v>0</v>
          </cell>
        </row>
        <row r="5110">
          <cell r="D5110">
            <v>304149</v>
          </cell>
          <cell r="E5110" t="str">
            <v>Iligan City East High School - Hinaplanon Annex</v>
          </cell>
          <cell r="F5110">
            <v>0</v>
          </cell>
          <cell r="G5110">
            <v>0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  <cell r="Z5110">
            <v>0</v>
          </cell>
        </row>
        <row r="5111">
          <cell r="D5111">
            <v>500702</v>
          </cell>
          <cell r="E5111" t="str">
            <v>Banlag IS</v>
          </cell>
          <cell r="F5111">
            <v>0</v>
          </cell>
          <cell r="G5111">
            <v>0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  <cell r="Z5111">
            <v>0</v>
          </cell>
        </row>
        <row r="5112">
          <cell r="D5112">
            <v>304111</v>
          </cell>
          <cell r="E5112" t="str">
            <v>CAGAYAN DE ORO NATIONAL HIGH SCHOOL</v>
          </cell>
          <cell r="F5112">
            <v>102</v>
          </cell>
          <cell r="G5112">
            <v>95</v>
          </cell>
          <cell r="H5112">
            <v>197</v>
          </cell>
          <cell r="I5112">
            <v>0</v>
          </cell>
          <cell r="J5112">
            <v>0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9</v>
          </cell>
          <cell r="V5112">
            <v>10</v>
          </cell>
          <cell r="W5112">
            <v>19</v>
          </cell>
          <cell r="X5112">
            <v>0</v>
          </cell>
          <cell r="Y5112">
            <v>0</v>
          </cell>
          <cell r="Z5112">
            <v>0</v>
          </cell>
        </row>
        <row r="5113">
          <cell r="D5113">
            <v>314928</v>
          </cell>
          <cell r="E5113" t="str">
            <v>Dologon NHS (San Roque Annex)</v>
          </cell>
          <cell r="F5113">
            <v>0</v>
          </cell>
          <cell r="G5113">
            <v>0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  <cell r="Y5113">
            <v>0</v>
          </cell>
          <cell r="Z5113">
            <v>0</v>
          </cell>
        </row>
        <row r="5114">
          <cell r="D5114">
            <v>315603</v>
          </cell>
          <cell r="E5114" t="str">
            <v>Iligan City NHS - Tambacan HS Annex</v>
          </cell>
          <cell r="F5114">
            <v>0</v>
          </cell>
          <cell r="G5114">
            <v>0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  <cell r="Z5114">
            <v>0</v>
          </cell>
        </row>
        <row r="5115">
          <cell r="D5115">
            <v>314915</v>
          </cell>
          <cell r="E5115" t="str">
            <v>Kalasungay NHS</v>
          </cell>
          <cell r="F5115">
            <v>30</v>
          </cell>
          <cell r="G5115">
            <v>19</v>
          </cell>
          <cell r="H5115">
            <v>49</v>
          </cell>
          <cell r="I5115">
            <v>0</v>
          </cell>
          <cell r="J5115">
            <v>0</v>
          </cell>
          <cell r="K5115">
            <v>0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  <cell r="Y5115">
            <v>0</v>
          </cell>
          <cell r="Z5115">
            <v>0</v>
          </cell>
        </row>
        <row r="5116">
          <cell r="D5116">
            <v>314904</v>
          </cell>
          <cell r="E5116" t="str">
            <v>Malaybalay City National Science HS</v>
          </cell>
          <cell r="F5116">
            <v>0</v>
          </cell>
          <cell r="G5116">
            <v>0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  <cell r="Y5116">
            <v>0</v>
          </cell>
          <cell r="Z5116">
            <v>0</v>
          </cell>
        </row>
        <row r="5117">
          <cell r="D5117">
            <v>304001</v>
          </cell>
          <cell r="E5117" t="str">
            <v>Diosdado Yap Sr. National High School</v>
          </cell>
          <cell r="F5117">
            <v>0</v>
          </cell>
          <cell r="G5117">
            <v>0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  <cell r="Z5117">
            <v>0</v>
          </cell>
        </row>
        <row r="5118">
          <cell r="D5118">
            <v>303982</v>
          </cell>
          <cell r="E5118" t="str">
            <v>San Martin Agro-Industrial NHS</v>
          </cell>
          <cell r="F5118">
            <v>0</v>
          </cell>
          <cell r="G5118">
            <v>0</v>
          </cell>
          <cell r="H5118">
            <v>0</v>
          </cell>
          <cell r="I5118">
            <v>0</v>
          </cell>
          <cell r="J5118">
            <v>0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  <cell r="Z5118">
            <v>0</v>
          </cell>
        </row>
        <row r="5119">
          <cell r="D5119">
            <v>303985</v>
          </cell>
          <cell r="E5119" t="str">
            <v>Sinuda National High School</v>
          </cell>
          <cell r="F5119">
            <v>0</v>
          </cell>
          <cell r="G5119">
            <v>0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  <cell r="Z5119">
            <v>0</v>
          </cell>
        </row>
        <row r="5120">
          <cell r="D5120">
            <v>303969</v>
          </cell>
          <cell r="E5120" t="str">
            <v>Kinawe National High School</v>
          </cell>
          <cell r="F5120">
            <v>0</v>
          </cell>
          <cell r="G5120">
            <v>0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  <cell r="Z5120">
            <v>0</v>
          </cell>
        </row>
        <row r="5121">
          <cell r="D5121">
            <v>304097</v>
          </cell>
          <cell r="E5121" t="str">
            <v>San Isidro NHS</v>
          </cell>
          <cell r="F5121">
            <v>0</v>
          </cell>
          <cell r="G5121">
            <v>0</v>
          </cell>
          <cell r="H5121">
            <v>0</v>
          </cell>
          <cell r="I5121">
            <v>0</v>
          </cell>
          <cell r="J5121">
            <v>0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  <cell r="Z5121">
            <v>0</v>
          </cell>
        </row>
        <row r="5122">
          <cell r="D5122">
            <v>314906</v>
          </cell>
          <cell r="E5122" t="str">
            <v>Lilingayon National High School</v>
          </cell>
          <cell r="F5122">
            <v>0</v>
          </cell>
          <cell r="G5122">
            <v>0</v>
          </cell>
          <cell r="H5122">
            <v>0</v>
          </cell>
          <cell r="I5122">
            <v>0</v>
          </cell>
          <cell r="J5122">
            <v>0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  <cell r="Z5122">
            <v>0</v>
          </cell>
        </row>
        <row r="5123">
          <cell r="D5123">
            <v>303965</v>
          </cell>
          <cell r="E5123" t="str">
            <v>KUYA NATIONAL HIGH SCHOOL</v>
          </cell>
          <cell r="F5123">
            <v>0</v>
          </cell>
          <cell r="G5123">
            <v>0</v>
          </cell>
          <cell r="H5123">
            <v>0</v>
          </cell>
          <cell r="I5123">
            <v>0</v>
          </cell>
          <cell r="J5123">
            <v>0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  <cell r="Z5123">
            <v>0</v>
          </cell>
        </row>
        <row r="5124">
          <cell r="D5124">
            <v>304089</v>
          </cell>
          <cell r="E5124" t="str">
            <v>Medina NCHS</v>
          </cell>
          <cell r="F5124">
            <v>0</v>
          </cell>
          <cell r="G5124">
            <v>0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  <cell r="Z5124">
            <v>0</v>
          </cell>
        </row>
        <row r="5125">
          <cell r="D5125">
            <v>304014</v>
          </cell>
          <cell r="E5125" t="str">
            <v>Munai NHS</v>
          </cell>
          <cell r="F5125">
            <v>44</v>
          </cell>
          <cell r="G5125">
            <v>30</v>
          </cell>
          <cell r="H5125">
            <v>74</v>
          </cell>
          <cell r="I5125">
            <v>0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  <cell r="Z5125">
            <v>0</v>
          </cell>
        </row>
        <row r="5126">
          <cell r="D5126">
            <v>314911</v>
          </cell>
          <cell r="E5126" t="str">
            <v>Bukidnon NSHI - San Miguel Annex</v>
          </cell>
          <cell r="F5126">
            <v>22</v>
          </cell>
          <cell r="G5126">
            <v>25</v>
          </cell>
          <cell r="H5126">
            <v>47</v>
          </cell>
          <cell r="I5126">
            <v>15</v>
          </cell>
          <cell r="J5126">
            <v>17</v>
          </cell>
          <cell r="K5126">
            <v>32</v>
          </cell>
          <cell r="L5126">
            <v>15</v>
          </cell>
          <cell r="M5126">
            <v>10</v>
          </cell>
          <cell r="N5126">
            <v>25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1</v>
          </cell>
          <cell r="V5126">
            <v>2</v>
          </cell>
          <cell r="W5126">
            <v>3</v>
          </cell>
          <cell r="X5126">
            <v>0</v>
          </cell>
          <cell r="Y5126">
            <v>0</v>
          </cell>
          <cell r="Z5126">
            <v>0</v>
          </cell>
        </row>
        <row r="5127">
          <cell r="D5127">
            <v>323802</v>
          </cell>
          <cell r="E5127" t="str">
            <v>Catumbalon National High School</v>
          </cell>
          <cell r="F5127">
            <v>0</v>
          </cell>
          <cell r="G5127">
            <v>0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  <cell r="Z5127">
            <v>0</v>
          </cell>
        </row>
        <row r="5128">
          <cell r="D5128">
            <v>304051</v>
          </cell>
          <cell r="E5128" t="str">
            <v>Sapang Dalaga National High School</v>
          </cell>
          <cell r="F5128">
            <v>0</v>
          </cell>
          <cell r="G5128">
            <v>0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  <cell r="Z5128">
            <v>0</v>
          </cell>
        </row>
        <row r="5129">
          <cell r="D5129">
            <v>304013</v>
          </cell>
          <cell r="E5129" t="str">
            <v>Diego H. Patigayon NHS (Mukas NHS)</v>
          </cell>
          <cell r="F5129">
            <v>0</v>
          </cell>
          <cell r="G5129">
            <v>0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  <cell r="Z5129">
            <v>0</v>
          </cell>
        </row>
        <row r="5130">
          <cell r="D5130">
            <v>323801</v>
          </cell>
          <cell r="E5130" t="str">
            <v>Tongantongan National High School</v>
          </cell>
          <cell r="F5130">
            <v>0</v>
          </cell>
          <cell r="G5130">
            <v>0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  <cell r="Z5130">
            <v>0</v>
          </cell>
        </row>
        <row r="5131">
          <cell r="D5131">
            <v>304120</v>
          </cell>
          <cell r="E5131" t="str">
            <v>Macabalan National High School</v>
          </cell>
          <cell r="F5131">
            <v>0</v>
          </cell>
          <cell r="G5131">
            <v>0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  <cell r="Z5131">
            <v>0</v>
          </cell>
        </row>
        <row r="5132">
          <cell r="D5132">
            <v>303946</v>
          </cell>
          <cell r="E5132" t="str">
            <v>Bangcud National High School</v>
          </cell>
          <cell r="F5132">
            <v>0</v>
          </cell>
          <cell r="G5132">
            <v>0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</row>
        <row r="5133">
          <cell r="D5133">
            <v>304079</v>
          </cell>
          <cell r="E5133" t="str">
            <v>Libertad NHS</v>
          </cell>
          <cell r="F5133">
            <v>165</v>
          </cell>
          <cell r="G5133">
            <v>176</v>
          </cell>
          <cell r="H5133">
            <v>341</v>
          </cell>
          <cell r="I5133">
            <v>51</v>
          </cell>
          <cell r="J5133">
            <v>75</v>
          </cell>
          <cell r="K5133">
            <v>126</v>
          </cell>
          <cell r="L5133">
            <v>104</v>
          </cell>
          <cell r="M5133">
            <v>166</v>
          </cell>
          <cell r="N5133">
            <v>270</v>
          </cell>
          <cell r="O5133">
            <v>0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>
            <v>2</v>
          </cell>
          <cell r="V5133">
            <v>3</v>
          </cell>
          <cell r="W5133">
            <v>5</v>
          </cell>
          <cell r="X5133">
            <v>4</v>
          </cell>
          <cell r="Y5133">
            <v>2</v>
          </cell>
          <cell r="Z5133">
            <v>6</v>
          </cell>
        </row>
        <row r="5134">
          <cell r="D5134">
            <v>314920</v>
          </cell>
          <cell r="E5134" t="str">
            <v>Managok NHS - Miglamin Annex</v>
          </cell>
          <cell r="F5134">
            <v>0</v>
          </cell>
          <cell r="G5134">
            <v>0</v>
          </cell>
          <cell r="H5134">
            <v>0</v>
          </cell>
          <cell r="I5134">
            <v>0</v>
          </cell>
          <cell r="J5134">
            <v>0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  <cell r="Z5134">
            <v>0</v>
          </cell>
        </row>
        <row r="5135">
          <cell r="D5135">
            <v>315404</v>
          </cell>
          <cell r="E5135" t="str">
            <v>Camaman-an National High School</v>
          </cell>
          <cell r="F5135">
            <v>0</v>
          </cell>
          <cell r="G5135">
            <v>0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  <cell r="Z5135">
            <v>0</v>
          </cell>
        </row>
        <row r="5136">
          <cell r="D5136">
            <v>500245</v>
          </cell>
          <cell r="E5136" t="str">
            <v>Can-ayan IS</v>
          </cell>
          <cell r="F5136">
            <v>62</v>
          </cell>
          <cell r="G5136">
            <v>52</v>
          </cell>
          <cell r="H5136">
            <v>114</v>
          </cell>
          <cell r="I5136">
            <v>10</v>
          </cell>
          <cell r="J5136">
            <v>10</v>
          </cell>
          <cell r="K5136">
            <v>20</v>
          </cell>
          <cell r="L5136">
            <v>0</v>
          </cell>
          <cell r="M5136">
            <v>0</v>
          </cell>
          <cell r="N5136">
            <v>0</v>
          </cell>
          <cell r="O5136">
            <v>4</v>
          </cell>
          <cell r="P5136">
            <v>3</v>
          </cell>
          <cell r="Q5136">
            <v>7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  <cell r="Z5136">
            <v>0</v>
          </cell>
        </row>
        <row r="5137">
          <cell r="D5137">
            <v>304009</v>
          </cell>
          <cell r="E5137" t="str">
            <v>Magsaysay NHS</v>
          </cell>
          <cell r="F5137">
            <v>0</v>
          </cell>
          <cell r="G5137">
            <v>0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  <cell r="Z5137">
            <v>0</v>
          </cell>
        </row>
        <row r="5138">
          <cell r="D5138">
            <v>304038</v>
          </cell>
          <cell r="E5138" t="str">
            <v>Katipunan NHS</v>
          </cell>
          <cell r="F5138">
            <v>0</v>
          </cell>
          <cell r="G5138">
            <v>0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  <cell r="Z5138">
            <v>0</v>
          </cell>
        </row>
        <row r="5139">
          <cell r="D5139">
            <v>323803</v>
          </cell>
          <cell r="E5139" t="str">
            <v>Concepcion National High School</v>
          </cell>
          <cell r="F5139">
            <v>0</v>
          </cell>
          <cell r="G5139">
            <v>0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  <cell r="Z5139">
            <v>0</v>
          </cell>
        </row>
        <row r="5140">
          <cell r="D5140">
            <v>304106</v>
          </cell>
          <cell r="E5140" t="str">
            <v>Bayabas National High School</v>
          </cell>
          <cell r="F5140">
            <v>0</v>
          </cell>
          <cell r="G5140">
            <v>0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  <cell r="Z5140">
            <v>0</v>
          </cell>
        </row>
        <row r="5141">
          <cell r="D5141">
            <v>304129</v>
          </cell>
          <cell r="E5141" t="str">
            <v>Bal-ason NHS</v>
          </cell>
          <cell r="F5141">
            <v>0</v>
          </cell>
          <cell r="G5141">
            <v>0</v>
          </cell>
          <cell r="H5141">
            <v>0</v>
          </cell>
          <cell r="I5141">
            <v>0</v>
          </cell>
          <cell r="J5141">
            <v>0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  <cell r="Z5141">
            <v>0</v>
          </cell>
        </row>
        <row r="5142">
          <cell r="D5142">
            <v>303974</v>
          </cell>
          <cell r="E5142" t="str">
            <v>Manolo Fortich NHS</v>
          </cell>
          <cell r="F5142">
            <v>0</v>
          </cell>
          <cell r="G5142">
            <v>0</v>
          </cell>
          <cell r="H5142">
            <v>0</v>
          </cell>
          <cell r="I5142">
            <v>0</v>
          </cell>
          <cell r="J5142">
            <v>0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  <cell r="Z5142">
            <v>0</v>
          </cell>
        </row>
        <row r="5143">
          <cell r="D5143">
            <v>304113</v>
          </cell>
          <cell r="E5143" t="str">
            <v>Angeles Sisters National High School</v>
          </cell>
          <cell r="F5143">
            <v>0</v>
          </cell>
          <cell r="G5143">
            <v>0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  <cell r="Z5143">
            <v>0</v>
          </cell>
        </row>
        <row r="5144">
          <cell r="D5144">
            <v>325505</v>
          </cell>
          <cell r="E5144" t="str">
            <v>Apo Macote NHS</v>
          </cell>
          <cell r="F5144">
            <v>18</v>
          </cell>
          <cell r="G5144">
            <v>0</v>
          </cell>
          <cell r="H5144">
            <v>18</v>
          </cell>
          <cell r="I5144">
            <v>2</v>
          </cell>
          <cell r="J5144">
            <v>0</v>
          </cell>
          <cell r="K5144">
            <v>2</v>
          </cell>
          <cell r="L5144">
            <v>4</v>
          </cell>
          <cell r="M5144">
            <v>0</v>
          </cell>
          <cell r="N5144">
            <v>4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1</v>
          </cell>
          <cell r="V5144">
            <v>0</v>
          </cell>
          <cell r="W5144">
            <v>1</v>
          </cell>
          <cell r="X5144">
            <v>0</v>
          </cell>
          <cell r="Y5144">
            <v>0</v>
          </cell>
          <cell r="Z5144">
            <v>0</v>
          </cell>
        </row>
        <row r="5145">
          <cell r="D5145">
            <v>304119</v>
          </cell>
          <cell r="E5145" t="str">
            <v>Lumbia National High School</v>
          </cell>
          <cell r="F5145">
            <v>0</v>
          </cell>
          <cell r="G5145">
            <v>0</v>
          </cell>
          <cell r="H5145">
            <v>0</v>
          </cell>
          <cell r="I5145">
            <v>0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  <cell r="Z5145">
            <v>0</v>
          </cell>
        </row>
        <row r="5146">
          <cell r="D5146">
            <v>304118</v>
          </cell>
          <cell r="E5146" t="str">
            <v>Lapasan National High School</v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  <cell r="Z5146">
            <v>0</v>
          </cell>
        </row>
        <row r="5147">
          <cell r="D5147">
            <v>304154</v>
          </cell>
          <cell r="E5147" t="str">
            <v>Esperidion F. Encabo I MHS (Pugaan NHS)</v>
          </cell>
          <cell r="F5147">
            <v>0</v>
          </cell>
          <cell r="G5147">
            <v>0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  <cell r="Z5147">
            <v>0</v>
          </cell>
        </row>
        <row r="5148">
          <cell r="D5148">
            <v>315504</v>
          </cell>
          <cell r="E5148" t="str">
            <v>Gingoog City CNHS - PUNDASAN NHS Annex</v>
          </cell>
          <cell r="F5148">
            <v>0</v>
          </cell>
          <cell r="G5148">
            <v>0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  <cell r="Z5148">
            <v>0</v>
          </cell>
        </row>
        <row r="5149">
          <cell r="D5149">
            <v>304147</v>
          </cell>
          <cell r="E5149" t="str">
            <v>KIWALAN NATIONAL HIGH SCHOOL</v>
          </cell>
          <cell r="F5149">
            <v>0</v>
          </cell>
          <cell r="G5149">
            <v>0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  <cell r="Z5149">
            <v>0</v>
          </cell>
        </row>
        <row r="5150">
          <cell r="D5150">
            <v>304127</v>
          </cell>
          <cell r="E5150" t="str">
            <v>Tagpangi National High School</v>
          </cell>
          <cell r="F5150">
            <v>0</v>
          </cell>
          <cell r="G5150">
            <v>0</v>
          </cell>
          <cell r="H5150">
            <v>0</v>
          </cell>
          <cell r="I5150">
            <v>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  <cell r="Z5150">
            <v>0</v>
          </cell>
        </row>
        <row r="5151">
          <cell r="D5151">
            <v>304107</v>
          </cell>
          <cell r="E5151" t="str">
            <v>Bugo National High School</v>
          </cell>
          <cell r="F5151">
            <v>0</v>
          </cell>
          <cell r="G5151">
            <v>0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  <cell r="Z5151">
            <v>0</v>
          </cell>
        </row>
        <row r="5152">
          <cell r="D5152">
            <v>315406</v>
          </cell>
          <cell r="E5152" t="str">
            <v>Taglimao NHS-Tumpagon Annex</v>
          </cell>
          <cell r="F5152">
            <v>0</v>
          </cell>
          <cell r="G5152">
            <v>0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  <cell r="Z5152">
            <v>0</v>
          </cell>
        </row>
        <row r="5153">
          <cell r="D5153">
            <v>304159</v>
          </cell>
          <cell r="E5153" t="str">
            <v>Tubaran NHS</v>
          </cell>
          <cell r="F5153">
            <v>0</v>
          </cell>
          <cell r="G5153">
            <v>0</v>
          </cell>
          <cell r="H5153">
            <v>0</v>
          </cell>
          <cell r="I5153">
            <v>0</v>
          </cell>
          <cell r="J5153">
            <v>0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  <cell r="Z5153">
            <v>0</v>
          </cell>
        </row>
        <row r="5154">
          <cell r="D5154">
            <v>303989</v>
          </cell>
          <cell r="E5154" t="str">
            <v>Bonbon NHS</v>
          </cell>
          <cell r="F5154">
            <v>0</v>
          </cell>
          <cell r="G5154">
            <v>0</v>
          </cell>
          <cell r="H5154">
            <v>0</v>
          </cell>
          <cell r="I5154">
            <v>0</v>
          </cell>
          <cell r="J5154">
            <v>0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  <cell r="Z5154">
            <v>0</v>
          </cell>
        </row>
        <row r="5155">
          <cell r="D5155">
            <v>304124</v>
          </cell>
          <cell r="E5155" t="str">
            <v>Puntod National High School</v>
          </cell>
          <cell r="F5155">
            <v>0</v>
          </cell>
          <cell r="G5155">
            <v>0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  <cell r="Z5155">
            <v>0</v>
          </cell>
        </row>
        <row r="5156">
          <cell r="D5156">
            <v>304122</v>
          </cell>
          <cell r="E5156" t="str">
            <v>Mambuaya NHS-Bayanga Annex</v>
          </cell>
          <cell r="F5156">
            <v>0</v>
          </cell>
          <cell r="G5156">
            <v>0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  <cell r="Z5156">
            <v>0</v>
          </cell>
        </row>
        <row r="5157">
          <cell r="D5157">
            <v>304114</v>
          </cell>
          <cell r="E5157" t="str">
            <v>Gusa Regional Science High School-X</v>
          </cell>
          <cell r="F5157">
            <v>0</v>
          </cell>
          <cell r="G5157">
            <v>0</v>
          </cell>
          <cell r="H5157">
            <v>0</v>
          </cell>
          <cell r="I5157">
            <v>0</v>
          </cell>
          <cell r="J5157">
            <v>0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  <cell r="Z5157">
            <v>0</v>
          </cell>
        </row>
        <row r="5158">
          <cell r="D5158">
            <v>315204</v>
          </cell>
          <cell r="E5158" t="str">
            <v>Ignacio Tan MIS</v>
          </cell>
          <cell r="F5158">
            <v>0</v>
          </cell>
          <cell r="G5158">
            <v>0</v>
          </cell>
          <cell r="H5158">
            <v>0</v>
          </cell>
          <cell r="I5158">
            <v>0</v>
          </cell>
          <cell r="J5158">
            <v>0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  <cell r="Z5158">
            <v>0</v>
          </cell>
        </row>
        <row r="5159">
          <cell r="D5159">
            <v>315401</v>
          </cell>
          <cell r="E5159" t="str">
            <v>Balubal National High School</v>
          </cell>
          <cell r="F5159">
            <v>0</v>
          </cell>
          <cell r="G5159">
            <v>0</v>
          </cell>
          <cell r="H5159">
            <v>0</v>
          </cell>
          <cell r="I5159">
            <v>0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  <cell r="Z5159">
            <v>0</v>
          </cell>
        </row>
        <row r="5160">
          <cell r="D5160">
            <v>315411</v>
          </cell>
          <cell r="E5160" t="str">
            <v>Kauswagan National High School</v>
          </cell>
          <cell r="F5160">
            <v>0</v>
          </cell>
          <cell r="G5160">
            <v>0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  <cell r="Z5160">
            <v>0</v>
          </cell>
        </row>
        <row r="5161">
          <cell r="D5161">
            <v>500683</v>
          </cell>
          <cell r="E5161" t="str">
            <v>Alangilan Integrated School</v>
          </cell>
          <cell r="F5161">
            <v>0</v>
          </cell>
          <cell r="G5161">
            <v>0</v>
          </cell>
          <cell r="H5161">
            <v>0</v>
          </cell>
          <cell r="I5161">
            <v>0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  <cell r="Z5161">
            <v>0</v>
          </cell>
        </row>
        <row r="5162">
          <cell r="D5162">
            <v>325503</v>
          </cell>
          <cell r="E5162" t="str">
            <v>Bukidnon NHS - Annex Imbayao</v>
          </cell>
          <cell r="F5162">
            <v>0</v>
          </cell>
          <cell r="G5162">
            <v>0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  <cell r="Z5162">
            <v>0</v>
          </cell>
        </row>
        <row r="5163">
          <cell r="D5163">
            <v>304133</v>
          </cell>
          <cell r="E5163" t="str">
            <v>Malibud National High School</v>
          </cell>
          <cell r="F5163">
            <v>0</v>
          </cell>
          <cell r="G5163">
            <v>0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  <cell r="Z5163">
            <v>0</v>
          </cell>
        </row>
        <row r="5164">
          <cell r="D5164">
            <v>304157</v>
          </cell>
          <cell r="E5164" t="str">
            <v>Tomas Cabili National High School</v>
          </cell>
          <cell r="F5164">
            <v>0</v>
          </cell>
          <cell r="G5164">
            <v>0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  <cell r="Z5164">
            <v>0</v>
          </cell>
        </row>
        <row r="5165">
          <cell r="D5165">
            <v>315412</v>
          </cell>
          <cell r="E5165" t="str">
            <v>Bonbon National High School</v>
          </cell>
          <cell r="F5165">
            <v>0</v>
          </cell>
          <cell r="G5165">
            <v>0</v>
          </cell>
          <cell r="H5165">
            <v>0</v>
          </cell>
          <cell r="I5165">
            <v>0</v>
          </cell>
          <cell r="J5165">
            <v>0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  <cell r="Z5165">
            <v>0</v>
          </cell>
        </row>
        <row r="5166">
          <cell r="D5166">
            <v>304108</v>
          </cell>
          <cell r="E5166" t="str">
            <v>Bulua National High School</v>
          </cell>
          <cell r="F5166">
            <v>0</v>
          </cell>
          <cell r="G5166">
            <v>0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  <cell r="Z5166">
            <v>0</v>
          </cell>
        </row>
        <row r="5167">
          <cell r="D5167">
            <v>304116</v>
          </cell>
          <cell r="E5167" t="str">
            <v>Indahag National High School</v>
          </cell>
          <cell r="F5167">
            <v>0</v>
          </cell>
          <cell r="G5167">
            <v>0</v>
          </cell>
          <cell r="H5167">
            <v>0</v>
          </cell>
          <cell r="I5167">
            <v>0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  <cell r="Z5167">
            <v>0</v>
          </cell>
        </row>
        <row r="5168">
          <cell r="D5168">
            <v>304112</v>
          </cell>
          <cell r="E5168" t="str">
            <v>Carmen National High School</v>
          </cell>
          <cell r="F5168">
            <v>0</v>
          </cell>
          <cell r="G5168">
            <v>0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  <cell r="Z5168">
            <v>0</v>
          </cell>
        </row>
        <row r="5169">
          <cell r="D5169">
            <v>314902</v>
          </cell>
          <cell r="E5169" t="str">
            <v>Langcataon NHS</v>
          </cell>
          <cell r="F5169">
            <v>0</v>
          </cell>
          <cell r="G5169">
            <v>0</v>
          </cell>
          <cell r="H5169">
            <v>0</v>
          </cell>
          <cell r="I5169">
            <v>2</v>
          </cell>
          <cell r="J5169">
            <v>1</v>
          </cell>
          <cell r="K5169">
            <v>3</v>
          </cell>
          <cell r="L5169">
            <v>0</v>
          </cell>
          <cell r="M5169">
            <v>0</v>
          </cell>
          <cell r="N5169">
            <v>0</v>
          </cell>
          <cell r="O5169">
            <v>7</v>
          </cell>
          <cell r="P5169">
            <v>12</v>
          </cell>
          <cell r="Q5169">
            <v>19</v>
          </cell>
          <cell r="R5169">
            <v>12</v>
          </cell>
          <cell r="S5169">
            <v>20</v>
          </cell>
          <cell r="T5169">
            <v>32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  <cell r="Z5169">
            <v>0</v>
          </cell>
        </row>
        <row r="5170">
          <cell r="D5170">
            <v>304110</v>
          </cell>
          <cell r="E5170" t="str">
            <v>Pedro "Oloy" N. Roa, Sr. National High School</v>
          </cell>
          <cell r="F5170">
            <v>0</v>
          </cell>
          <cell r="G5170">
            <v>0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  <cell r="Z5170">
            <v>0</v>
          </cell>
        </row>
        <row r="5171">
          <cell r="D5171">
            <v>315402</v>
          </cell>
          <cell r="E5171" t="str">
            <v>Puerto National High School</v>
          </cell>
          <cell r="F5171">
            <v>0</v>
          </cell>
          <cell r="G5171">
            <v>0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  <cell r="Z5171">
            <v>0</v>
          </cell>
        </row>
        <row r="5172">
          <cell r="D5172">
            <v>304142</v>
          </cell>
          <cell r="E5172" t="str">
            <v>KABACSANAN NATIONAL HIGH SCHOOL</v>
          </cell>
          <cell r="F5172">
            <v>0</v>
          </cell>
          <cell r="G5172">
            <v>0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  <cell r="Z5172">
            <v>0</v>
          </cell>
        </row>
        <row r="5173">
          <cell r="D5173">
            <v>315403</v>
          </cell>
          <cell r="E5173" t="str">
            <v>Cagayan de Oro NHS - Balulang Annex</v>
          </cell>
          <cell r="F5173">
            <v>0</v>
          </cell>
          <cell r="G5173">
            <v>0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  <cell r="Z5173">
            <v>0</v>
          </cell>
        </row>
        <row r="5174">
          <cell r="D5174">
            <v>304128</v>
          </cell>
          <cell r="E5174" t="str">
            <v>Tagpangi NHS-Tuburan Annex</v>
          </cell>
          <cell r="F5174">
            <v>0</v>
          </cell>
          <cell r="G5174">
            <v>0</v>
          </cell>
          <cell r="H5174">
            <v>0</v>
          </cell>
          <cell r="I5174">
            <v>1</v>
          </cell>
          <cell r="J5174">
            <v>1</v>
          </cell>
          <cell r="K5174">
            <v>2</v>
          </cell>
          <cell r="L5174">
            <v>0</v>
          </cell>
          <cell r="M5174">
            <v>0</v>
          </cell>
          <cell r="N5174">
            <v>0</v>
          </cell>
          <cell r="O5174">
            <v>1</v>
          </cell>
          <cell r="P5174">
            <v>1</v>
          </cell>
          <cell r="Q5174">
            <v>2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1</v>
          </cell>
          <cell r="Z5174">
            <v>1</v>
          </cell>
        </row>
        <row r="5175">
          <cell r="D5175">
            <v>304048</v>
          </cell>
          <cell r="E5175" t="str">
            <v>Panaon NHS</v>
          </cell>
          <cell r="F5175">
            <v>0</v>
          </cell>
          <cell r="G5175">
            <v>0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  <cell r="Z5175">
            <v>0</v>
          </cell>
        </row>
        <row r="5176">
          <cell r="D5176">
            <v>315408</v>
          </cell>
          <cell r="E5176" t="str">
            <v>Gusa NHS - FS Catanico Annex</v>
          </cell>
          <cell r="F5176">
            <v>0</v>
          </cell>
          <cell r="G5176">
            <v>0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  <cell r="Z5176">
            <v>0</v>
          </cell>
        </row>
        <row r="5177">
          <cell r="D5177">
            <v>304123</v>
          </cell>
          <cell r="E5177" t="str">
            <v>Tignapoloan NHS</v>
          </cell>
          <cell r="F5177">
            <v>0</v>
          </cell>
          <cell r="G5177">
            <v>0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  <cell r="Z5177">
            <v>0</v>
          </cell>
        </row>
        <row r="5178">
          <cell r="D5178">
            <v>304023</v>
          </cell>
          <cell r="E5178" t="str">
            <v>Salvador NHS (Salvador Trade HS)</v>
          </cell>
          <cell r="F5178">
            <v>0</v>
          </cell>
          <cell r="G5178">
            <v>0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  <cell r="Z5178">
            <v>0</v>
          </cell>
        </row>
        <row r="5179">
          <cell r="D5179">
            <v>500684</v>
          </cell>
          <cell r="E5179" t="str">
            <v>Bugang Integrated School</v>
          </cell>
          <cell r="F5179">
            <v>0</v>
          </cell>
          <cell r="G5179">
            <v>0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  <cell r="Z5179">
            <v>0</v>
          </cell>
        </row>
        <row r="5180">
          <cell r="D5180">
            <v>304012</v>
          </cell>
          <cell r="E5180" t="str">
            <v>MATUNGAO NATIONAL HIGH SCHOOL</v>
          </cell>
          <cell r="F5180">
            <v>0</v>
          </cell>
          <cell r="G5180">
            <v>0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  <cell r="Z5180">
            <v>0</v>
          </cell>
        </row>
        <row r="5181">
          <cell r="D5181">
            <v>304104</v>
          </cell>
          <cell r="E5181" t="str">
            <v>Agusan National High School</v>
          </cell>
          <cell r="F5181">
            <v>0</v>
          </cell>
          <cell r="G5181">
            <v>0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0</v>
          </cell>
          <cell r="Y5181">
            <v>0</v>
          </cell>
          <cell r="Z5181">
            <v>0</v>
          </cell>
        </row>
        <row r="5182">
          <cell r="D5182">
            <v>304135</v>
          </cell>
          <cell r="E5182" t="str">
            <v>Mimbunga National High School</v>
          </cell>
          <cell r="F5182">
            <v>0</v>
          </cell>
          <cell r="G5182">
            <v>0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  <cell r="Y5182">
            <v>0</v>
          </cell>
          <cell r="Z5182">
            <v>0</v>
          </cell>
        </row>
        <row r="5183">
          <cell r="D5183">
            <v>304095</v>
          </cell>
          <cell r="E5183" t="str">
            <v>Portulin NHS</v>
          </cell>
          <cell r="F5183">
            <v>1</v>
          </cell>
          <cell r="G5183">
            <v>2</v>
          </cell>
          <cell r="H5183">
            <v>3</v>
          </cell>
          <cell r="I5183">
            <v>0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  <cell r="Z5183">
            <v>0</v>
          </cell>
        </row>
        <row r="5184">
          <cell r="D5184">
            <v>315409</v>
          </cell>
          <cell r="E5184" t="str">
            <v>Iponan NHS - San Simon Annex</v>
          </cell>
          <cell r="F5184">
            <v>0</v>
          </cell>
          <cell r="G5184">
            <v>0</v>
          </cell>
          <cell r="H5184">
            <v>0</v>
          </cell>
          <cell r="I5184">
            <v>0</v>
          </cell>
          <cell r="J5184">
            <v>0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  <cell r="Z5184">
            <v>0</v>
          </cell>
        </row>
        <row r="5185">
          <cell r="D5185">
            <v>303993</v>
          </cell>
          <cell r="E5185" t="str">
            <v>Sixto A. Abao NHS</v>
          </cell>
          <cell r="F5185">
            <v>0</v>
          </cell>
          <cell r="G5185">
            <v>0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  <cell r="Z5185">
            <v>0</v>
          </cell>
        </row>
        <row r="5186">
          <cell r="D5186">
            <v>315501</v>
          </cell>
          <cell r="E5186" t="str">
            <v>EUREKA NATIONAL HIGH SCHOOL</v>
          </cell>
          <cell r="F5186">
            <v>0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  <cell r="Z5186">
            <v>0</v>
          </cell>
        </row>
        <row r="5187">
          <cell r="D5187">
            <v>304136</v>
          </cell>
          <cell r="E5187" t="str">
            <v>Jacinto D. Malimas Sr. National High School</v>
          </cell>
          <cell r="F5187">
            <v>0</v>
          </cell>
          <cell r="G5187">
            <v>0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  <cell r="Z5187">
            <v>0</v>
          </cell>
        </row>
        <row r="5188">
          <cell r="D5188">
            <v>315502</v>
          </cell>
          <cell r="E5188" t="str">
            <v>Odiongan NHS - Talisay NHS Annex</v>
          </cell>
          <cell r="F5188">
            <v>0</v>
          </cell>
          <cell r="G5188">
            <v>0</v>
          </cell>
          <cell r="H5188">
            <v>0</v>
          </cell>
          <cell r="I5188">
            <v>0</v>
          </cell>
          <cell r="J5188">
            <v>0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  <cell r="Z5188">
            <v>0</v>
          </cell>
        </row>
        <row r="5189">
          <cell r="D5189">
            <v>315506</v>
          </cell>
          <cell r="E5189" t="str">
            <v>Kisandi National High School</v>
          </cell>
          <cell r="F5189">
            <v>0</v>
          </cell>
          <cell r="G5189">
            <v>0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  <cell r="Z5189">
            <v>0</v>
          </cell>
        </row>
        <row r="5190">
          <cell r="D5190">
            <v>304134</v>
          </cell>
          <cell r="E5190" t="str">
            <v>Malinao National High School</v>
          </cell>
          <cell r="F5190">
            <v>0</v>
          </cell>
          <cell r="G5190">
            <v>0</v>
          </cell>
          <cell r="H5190">
            <v>0</v>
          </cell>
          <cell r="I5190">
            <v>0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  <cell r="Z5190">
            <v>0</v>
          </cell>
        </row>
        <row r="5191">
          <cell r="D5191">
            <v>500409</v>
          </cell>
          <cell r="E5191" t="str">
            <v>Busdi IS</v>
          </cell>
          <cell r="F5191">
            <v>0</v>
          </cell>
          <cell r="G5191">
            <v>0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  <cell r="Y5191">
            <v>0</v>
          </cell>
          <cell r="Z5191">
            <v>0</v>
          </cell>
        </row>
        <row r="5192">
          <cell r="D5192">
            <v>304139</v>
          </cell>
          <cell r="E5192" t="str">
            <v>Acelo C. Badelles, Sr. MNHS - Abuno HS Annex</v>
          </cell>
          <cell r="F5192">
            <v>0</v>
          </cell>
          <cell r="G5192">
            <v>0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  <cell r="Z5192">
            <v>0</v>
          </cell>
        </row>
        <row r="5193">
          <cell r="D5193">
            <v>304040</v>
          </cell>
          <cell r="E5193" t="str">
            <v>LOOC NATIONAL HIGH SCHOOL</v>
          </cell>
          <cell r="F5193">
            <v>0</v>
          </cell>
          <cell r="G5193">
            <v>0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  <cell r="Z5193">
            <v>0</v>
          </cell>
        </row>
        <row r="5194">
          <cell r="D5194">
            <v>304131</v>
          </cell>
          <cell r="E5194" t="str">
            <v>Gingoog City CNHS - BACKKISMI NHS Annex</v>
          </cell>
          <cell r="F5194">
            <v>0</v>
          </cell>
          <cell r="G5194">
            <v>0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  <cell r="Z5194">
            <v>0</v>
          </cell>
        </row>
        <row r="5195">
          <cell r="D5195">
            <v>303967</v>
          </cell>
          <cell r="E5195" t="str">
            <v>Lantapan National High School</v>
          </cell>
          <cell r="F5195">
            <v>0</v>
          </cell>
          <cell r="G5195">
            <v>0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  <cell r="Y5195">
            <v>0</v>
          </cell>
          <cell r="Z5195">
            <v>0</v>
          </cell>
        </row>
        <row r="5196">
          <cell r="D5196">
            <v>304021</v>
          </cell>
          <cell r="E5196" t="str">
            <v>Tagoloan NHS</v>
          </cell>
          <cell r="F5196">
            <v>0</v>
          </cell>
          <cell r="G5196">
            <v>0</v>
          </cell>
          <cell r="H5196">
            <v>0</v>
          </cell>
          <cell r="I5196">
            <v>0</v>
          </cell>
          <cell r="J5196">
            <v>0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  <cell r="Y5196">
            <v>0</v>
          </cell>
          <cell r="Z5196">
            <v>0</v>
          </cell>
        </row>
        <row r="5197">
          <cell r="D5197">
            <v>304121</v>
          </cell>
          <cell r="E5197" t="str">
            <v>Mambuaya National High School</v>
          </cell>
          <cell r="F5197">
            <v>0</v>
          </cell>
          <cell r="G5197">
            <v>0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  <cell r="Z5197">
            <v>0</v>
          </cell>
        </row>
        <row r="5198">
          <cell r="D5198">
            <v>304115</v>
          </cell>
          <cell r="E5198" t="str">
            <v>Gusa NHS-Cugman Annex</v>
          </cell>
          <cell r="F5198">
            <v>0</v>
          </cell>
          <cell r="G5198">
            <v>0</v>
          </cell>
          <cell r="H5198">
            <v>0</v>
          </cell>
          <cell r="I5198">
            <v>0</v>
          </cell>
          <cell r="J5198">
            <v>0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  <cell r="Y5198">
            <v>0</v>
          </cell>
          <cell r="Z5198">
            <v>0</v>
          </cell>
        </row>
        <row r="5199">
          <cell r="D5199">
            <v>305578</v>
          </cell>
          <cell r="E5199" t="str">
            <v>Pisaan National High School</v>
          </cell>
          <cell r="F5199">
            <v>0</v>
          </cell>
          <cell r="G5199">
            <v>0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  <cell r="Y5199">
            <v>0</v>
          </cell>
          <cell r="Z5199">
            <v>0</v>
          </cell>
        </row>
        <row r="5200">
          <cell r="D5200">
            <v>304033</v>
          </cell>
          <cell r="E5200" t="str">
            <v>Concepcion NHS</v>
          </cell>
          <cell r="F5200">
            <v>0</v>
          </cell>
          <cell r="G5200">
            <v>0</v>
          </cell>
          <cell r="H5200">
            <v>0</v>
          </cell>
          <cell r="I5200">
            <v>0</v>
          </cell>
          <cell r="J5200">
            <v>0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  <cell r="Z5200">
            <v>0</v>
          </cell>
        </row>
        <row r="5201">
          <cell r="D5201">
            <v>303986</v>
          </cell>
          <cell r="E5201" t="str">
            <v>Sumilao NHS</v>
          </cell>
          <cell r="F5201">
            <v>0</v>
          </cell>
          <cell r="G5201">
            <v>0</v>
          </cell>
          <cell r="H5201">
            <v>0</v>
          </cell>
          <cell r="I5201">
            <v>0</v>
          </cell>
          <cell r="J5201">
            <v>0</v>
          </cell>
          <cell r="K5201">
            <v>0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  <cell r="Z5201">
            <v>0</v>
          </cell>
        </row>
        <row r="5202">
          <cell r="D5202">
            <v>304066</v>
          </cell>
          <cell r="E5202" t="str">
            <v>Consuelo NHS</v>
          </cell>
          <cell r="F5202">
            <v>0</v>
          </cell>
          <cell r="G5202">
            <v>0</v>
          </cell>
          <cell r="H5202">
            <v>0</v>
          </cell>
          <cell r="I5202">
            <v>0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  <cell r="Y5202">
            <v>0</v>
          </cell>
          <cell r="Z5202">
            <v>0</v>
          </cell>
        </row>
        <row r="5203">
          <cell r="D5203">
            <v>315410</v>
          </cell>
          <cell r="E5203" t="str">
            <v>Macasandig National High School</v>
          </cell>
          <cell r="F5203">
            <v>0</v>
          </cell>
          <cell r="G5203">
            <v>0</v>
          </cell>
          <cell r="H5203">
            <v>0</v>
          </cell>
          <cell r="I5203">
            <v>0</v>
          </cell>
          <cell r="J5203">
            <v>0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  <cell r="Z5203">
            <v>0</v>
          </cell>
        </row>
        <row r="5204">
          <cell r="D5204">
            <v>304032</v>
          </cell>
          <cell r="E5204" t="str">
            <v>Congressman Hilarion J. Ramiro Jr. Memorial National High School</v>
          </cell>
          <cell r="F5204">
            <v>0</v>
          </cell>
          <cell r="G5204">
            <v>0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  <cell r="Z5204">
            <v>0</v>
          </cell>
        </row>
        <row r="5205">
          <cell r="D5205">
            <v>304109</v>
          </cell>
          <cell r="E5205" t="str">
            <v>Canitoan National High School</v>
          </cell>
          <cell r="F5205">
            <v>0</v>
          </cell>
          <cell r="G5205">
            <v>0</v>
          </cell>
          <cell r="H5205">
            <v>0</v>
          </cell>
          <cell r="I5205">
            <v>0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  <cell r="Y5205">
            <v>0</v>
          </cell>
          <cell r="Z5205">
            <v>0</v>
          </cell>
        </row>
        <row r="5206">
          <cell r="D5206">
            <v>304126</v>
          </cell>
          <cell r="E5206" t="str">
            <v>Taglimao NHS-Besigan Annex</v>
          </cell>
          <cell r="F5206">
            <v>0</v>
          </cell>
          <cell r="G5206">
            <v>0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  <cell r="Z5206">
            <v>0</v>
          </cell>
        </row>
        <row r="5207">
          <cell r="D5207">
            <v>500800</v>
          </cell>
          <cell r="E5207" t="str">
            <v>Dukdokaan Integrated School - Elem</v>
          </cell>
          <cell r="F5207">
            <v>0</v>
          </cell>
          <cell r="G5207">
            <v>0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  <cell r="Z5207">
            <v>0</v>
          </cell>
        </row>
        <row r="5208">
          <cell r="D5208">
            <v>314925</v>
          </cell>
          <cell r="E5208" t="str">
            <v>Baungon NHS - Danatag Annex</v>
          </cell>
          <cell r="F5208">
            <v>0</v>
          </cell>
          <cell r="G5208">
            <v>0</v>
          </cell>
          <cell r="H5208">
            <v>0</v>
          </cell>
          <cell r="I5208">
            <v>0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  <cell r="Y5208">
            <v>0</v>
          </cell>
          <cell r="Z5208">
            <v>0</v>
          </cell>
        </row>
        <row r="5209">
          <cell r="D5209">
            <v>314918</v>
          </cell>
          <cell r="E5209" t="str">
            <v>KUYA NHS ANNEX- LA ROXAS</v>
          </cell>
          <cell r="F5209">
            <v>0</v>
          </cell>
          <cell r="G5209">
            <v>0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  <cell r="Z5209">
            <v>0</v>
          </cell>
        </row>
        <row r="5210">
          <cell r="D5210">
            <v>304058</v>
          </cell>
          <cell r="E5210" t="str">
            <v>Tudela National Comprehensive High School</v>
          </cell>
          <cell r="F5210">
            <v>0</v>
          </cell>
          <cell r="G5210">
            <v>0</v>
          </cell>
          <cell r="H5210">
            <v>0</v>
          </cell>
          <cell r="I5210">
            <v>0</v>
          </cell>
          <cell r="J5210">
            <v>0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  <cell r="Z5210">
            <v>0</v>
          </cell>
        </row>
        <row r="5211">
          <cell r="D5211">
            <v>304076</v>
          </cell>
          <cell r="E5211" t="str">
            <v>Kibungsod NHS</v>
          </cell>
          <cell r="F5211">
            <v>0</v>
          </cell>
          <cell r="G5211">
            <v>0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</row>
        <row r="5212">
          <cell r="D5212">
            <v>303981</v>
          </cell>
          <cell r="E5212" t="str">
            <v>San Luis NHS</v>
          </cell>
          <cell r="F5212">
            <v>0</v>
          </cell>
          <cell r="G5212">
            <v>0</v>
          </cell>
          <cell r="H5212">
            <v>0</v>
          </cell>
          <cell r="I5212">
            <v>0</v>
          </cell>
          <cell r="J5212">
            <v>0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</row>
        <row r="5213">
          <cell r="D5213">
            <v>304153</v>
          </cell>
          <cell r="E5213" t="str">
            <v>Ditucalan National High School</v>
          </cell>
          <cell r="F5213">
            <v>0</v>
          </cell>
          <cell r="G5213">
            <v>0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  <cell r="Z5213">
            <v>0</v>
          </cell>
        </row>
        <row r="5214">
          <cell r="D5214">
            <v>303979</v>
          </cell>
          <cell r="E5214" t="str">
            <v>Salawagan NHS</v>
          </cell>
          <cell r="F5214">
            <v>2</v>
          </cell>
          <cell r="G5214">
            <v>1</v>
          </cell>
          <cell r="H5214">
            <v>3</v>
          </cell>
          <cell r="I5214">
            <v>0</v>
          </cell>
          <cell r="J5214">
            <v>0</v>
          </cell>
          <cell r="K5214">
            <v>0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  <cell r="Z5214">
            <v>0</v>
          </cell>
        </row>
        <row r="5215">
          <cell r="D5215">
            <v>341061</v>
          </cell>
          <cell r="E5215" t="str">
            <v>SHS within Casisang CS</v>
          </cell>
          <cell r="F5215">
            <v>183</v>
          </cell>
          <cell r="G5215">
            <v>0</v>
          </cell>
          <cell r="H5215">
            <v>183</v>
          </cell>
          <cell r="I5215">
            <v>61</v>
          </cell>
          <cell r="J5215">
            <v>0</v>
          </cell>
          <cell r="K5215">
            <v>61</v>
          </cell>
          <cell r="L5215">
            <v>73</v>
          </cell>
          <cell r="M5215">
            <v>0</v>
          </cell>
          <cell r="N5215">
            <v>73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61</v>
          </cell>
          <cell r="V5215">
            <v>0</v>
          </cell>
          <cell r="W5215">
            <v>61</v>
          </cell>
          <cell r="X5215">
            <v>0</v>
          </cell>
          <cell r="Y5215">
            <v>0</v>
          </cell>
          <cell r="Z5215">
            <v>0</v>
          </cell>
        </row>
        <row r="5216">
          <cell r="D5216">
            <v>304146</v>
          </cell>
          <cell r="E5216" t="str">
            <v>Iligan City East National HS (Sta. Filomena)</v>
          </cell>
          <cell r="F5216">
            <v>0</v>
          </cell>
          <cell r="G5216">
            <v>0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0</v>
          </cell>
          <cell r="Y5216">
            <v>0</v>
          </cell>
          <cell r="Z5216">
            <v>0</v>
          </cell>
        </row>
        <row r="5217">
          <cell r="D5217">
            <v>304105</v>
          </cell>
          <cell r="E5217" t="str">
            <v>Tablon National High School</v>
          </cell>
          <cell r="F5217">
            <v>0</v>
          </cell>
          <cell r="G5217">
            <v>0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  <cell r="Y5217">
            <v>0</v>
          </cell>
          <cell r="Z5217">
            <v>0</v>
          </cell>
        </row>
        <row r="5218">
          <cell r="D5218">
            <v>304117</v>
          </cell>
          <cell r="E5218" t="str">
            <v>Iponan National High School</v>
          </cell>
          <cell r="F5218">
            <v>0</v>
          </cell>
          <cell r="G5218">
            <v>0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  <cell r="Z5218">
            <v>0</v>
          </cell>
        </row>
        <row r="5219">
          <cell r="D5219">
            <v>304031</v>
          </cell>
          <cell r="E5219" t="str">
            <v>Clarin NHS</v>
          </cell>
          <cell r="F5219">
            <v>150</v>
          </cell>
          <cell r="G5219">
            <v>150</v>
          </cell>
          <cell r="H5219">
            <v>300</v>
          </cell>
          <cell r="I5219">
            <v>30</v>
          </cell>
          <cell r="J5219">
            <v>42</v>
          </cell>
          <cell r="K5219">
            <v>72</v>
          </cell>
          <cell r="L5219">
            <v>30</v>
          </cell>
          <cell r="M5219">
            <v>42</v>
          </cell>
          <cell r="N5219">
            <v>72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2</v>
          </cell>
          <cell r="V5219">
            <v>2</v>
          </cell>
          <cell r="W5219">
            <v>4</v>
          </cell>
          <cell r="X5219">
            <v>0</v>
          </cell>
          <cell r="Y5219">
            <v>0</v>
          </cell>
          <cell r="Z5219">
            <v>0</v>
          </cell>
        </row>
        <row r="5220">
          <cell r="D5220">
            <v>314931</v>
          </cell>
          <cell r="E5220" t="str">
            <v>Kitaotao National High School - Digongan Annex</v>
          </cell>
          <cell r="F5220">
            <v>0</v>
          </cell>
          <cell r="G5220">
            <v>0</v>
          </cell>
          <cell r="H5220">
            <v>0</v>
          </cell>
          <cell r="I5220">
            <v>0</v>
          </cell>
          <cell r="J5220">
            <v>0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  <cell r="Z5220">
            <v>0</v>
          </cell>
        </row>
        <row r="5221">
          <cell r="D5221">
            <v>304160</v>
          </cell>
          <cell r="E5221" t="str">
            <v>Tubaran NHS - Digkilaan HS Annex</v>
          </cell>
          <cell r="F5221">
            <v>0</v>
          </cell>
          <cell r="G5221">
            <v>0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  <cell r="Y5221">
            <v>0</v>
          </cell>
          <cell r="Z5221">
            <v>0</v>
          </cell>
        </row>
        <row r="5222">
          <cell r="D5222">
            <v>303977</v>
          </cell>
          <cell r="E5222" t="str">
            <v>Old Nongnongan NHS</v>
          </cell>
          <cell r="F5222">
            <v>0</v>
          </cell>
          <cell r="G5222">
            <v>0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  <cell r="Y5222">
            <v>0</v>
          </cell>
          <cell r="Z5222">
            <v>0</v>
          </cell>
        </row>
        <row r="5223">
          <cell r="D5223">
            <v>304158</v>
          </cell>
          <cell r="E5223" t="str">
            <v>Tomas Cabili NHS - Annex</v>
          </cell>
          <cell r="F5223">
            <v>0</v>
          </cell>
          <cell r="G5223">
            <v>0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  <cell r="Z5223">
            <v>0</v>
          </cell>
        </row>
        <row r="5224">
          <cell r="D5224">
            <v>500685</v>
          </cell>
          <cell r="E5224" t="str">
            <v>Kuguita IS</v>
          </cell>
          <cell r="F5224">
            <v>0</v>
          </cell>
          <cell r="G5224">
            <v>0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  <cell r="Z5224">
            <v>0</v>
          </cell>
        </row>
        <row r="5225">
          <cell r="D5225">
            <v>315609</v>
          </cell>
          <cell r="E5225" t="str">
            <v>Kalubihon High School</v>
          </cell>
          <cell r="F5225">
            <v>0</v>
          </cell>
          <cell r="G5225">
            <v>0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  <cell r="Z5225">
            <v>0</v>
          </cell>
        </row>
        <row r="5226">
          <cell r="D5226">
            <v>315405</v>
          </cell>
          <cell r="E5226" t="str">
            <v>Mambuaya NHS-Dansolihon Annex</v>
          </cell>
          <cell r="F5226">
            <v>0</v>
          </cell>
          <cell r="G5226">
            <v>0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  <cell r="Z5226">
            <v>0</v>
          </cell>
        </row>
        <row r="5227">
          <cell r="D5227">
            <v>315201</v>
          </cell>
          <cell r="E5227" t="str">
            <v>Upper Usugan National Comprehensive High School</v>
          </cell>
          <cell r="F5227">
            <v>0</v>
          </cell>
          <cell r="G5227">
            <v>0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  <cell r="Y5227">
            <v>0</v>
          </cell>
          <cell r="Z5227">
            <v>0</v>
          </cell>
        </row>
        <row r="5228">
          <cell r="D5228">
            <v>303978</v>
          </cell>
          <cell r="E5228" t="str">
            <v>Pangantucan NHS</v>
          </cell>
          <cell r="F5228">
            <v>0</v>
          </cell>
          <cell r="G5228">
            <v>2</v>
          </cell>
          <cell r="H5228">
            <v>2</v>
          </cell>
          <cell r="I5228">
            <v>0</v>
          </cell>
          <cell r="J5228">
            <v>2</v>
          </cell>
          <cell r="K5228">
            <v>2</v>
          </cell>
          <cell r="L5228">
            <v>0</v>
          </cell>
          <cell r="M5228">
            <v>2</v>
          </cell>
          <cell r="N5228">
            <v>2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  <cell r="Y5228">
            <v>0</v>
          </cell>
          <cell r="Z5228">
            <v>0</v>
          </cell>
        </row>
        <row r="5229">
          <cell r="D5229">
            <v>314914</v>
          </cell>
          <cell r="E5229" t="str">
            <v>Casisang NHS</v>
          </cell>
          <cell r="F5229">
            <v>0</v>
          </cell>
          <cell r="G5229">
            <v>0</v>
          </cell>
          <cell r="H5229">
            <v>0</v>
          </cell>
          <cell r="I5229">
            <v>0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  <cell r="Y5229">
            <v>0</v>
          </cell>
          <cell r="Z5229">
            <v>0</v>
          </cell>
        </row>
        <row r="5230">
          <cell r="D5230">
            <v>303966</v>
          </cell>
          <cell r="E5230" t="str">
            <v>Lampanusan NHS</v>
          </cell>
          <cell r="F5230">
            <v>0</v>
          </cell>
          <cell r="G5230">
            <v>0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  <cell r="Y5230">
            <v>0</v>
          </cell>
          <cell r="Z5230">
            <v>0</v>
          </cell>
        </row>
        <row r="5231">
          <cell r="D5231">
            <v>304137</v>
          </cell>
          <cell r="E5231" t="str">
            <v>San Luis National High School</v>
          </cell>
          <cell r="F5231">
            <v>0</v>
          </cell>
          <cell r="G5231">
            <v>0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  <cell r="Z5231">
            <v>0</v>
          </cell>
        </row>
        <row r="5232">
          <cell r="D5232">
            <v>315505</v>
          </cell>
          <cell r="E5232" t="str">
            <v>Gingoog City CNHS - Anakan NHS Annex</v>
          </cell>
          <cell r="F5232">
            <v>0</v>
          </cell>
          <cell r="G5232">
            <v>0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  <cell r="Y5232">
            <v>0</v>
          </cell>
          <cell r="Z5232">
            <v>0</v>
          </cell>
        </row>
        <row r="5233">
          <cell r="D5233">
            <v>315208</v>
          </cell>
          <cell r="E5233" t="str">
            <v>Aquino IS</v>
          </cell>
          <cell r="F5233">
            <v>0</v>
          </cell>
          <cell r="G5233">
            <v>0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</row>
        <row r="5234">
          <cell r="D5234">
            <v>303954</v>
          </cell>
          <cell r="E5234" t="str">
            <v>Dologon NHS</v>
          </cell>
          <cell r="F5234">
            <v>0</v>
          </cell>
          <cell r="G5234">
            <v>0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  <cell r="Y5234">
            <v>0</v>
          </cell>
          <cell r="Z5234">
            <v>0</v>
          </cell>
        </row>
        <row r="5235">
          <cell r="D5235">
            <v>304125</v>
          </cell>
          <cell r="E5235" t="str">
            <v>Taglimao National High School</v>
          </cell>
          <cell r="F5235">
            <v>18</v>
          </cell>
          <cell r="G5235">
            <v>22</v>
          </cell>
          <cell r="H5235">
            <v>40</v>
          </cell>
          <cell r="I5235">
            <v>0</v>
          </cell>
          <cell r="J5235">
            <v>0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  <cell r="Y5235">
            <v>0</v>
          </cell>
          <cell r="Z5235">
            <v>0</v>
          </cell>
        </row>
        <row r="5236">
          <cell r="D5236">
            <v>304053</v>
          </cell>
          <cell r="E5236" t="str">
            <v>Silangit NHS</v>
          </cell>
          <cell r="F5236">
            <v>0</v>
          </cell>
          <cell r="G5236">
            <v>0</v>
          </cell>
          <cell r="H5236">
            <v>0</v>
          </cell>
          <cell r="I5236">
            <v>0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  <cell r="Y5236">
            <v>0</v>
          </cell>
          <cell r="Z5236">
            <v>0</v>
          </cell>
        </row>
        <row r="5237">
          <cell r="D5237">
            <v>303949</v>
          </cell>
          <cell r="E5237" t="str">
            <v>Bugcaon NHS</v>
          </cell>
          <cell r="F5237">
            <v>0</v>
          </cell>
          <cell r="G5237">
            <v>0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  <cell r="Z5237">
            <v>0</v>
          </cell>
        </row>
        <row r="5238">
          <cell r="D5238">
            <v>304150</v>
          </cell>
          <cell r="E5238" t="str">
            <v>Iligan City NSOF</v>
          </cell>
          <cell r="F5238">
            <v>0</v>
          </cell>
          <cell r="G5238">
            <v>0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  <cell r="Z5238">
            <v>0</v>
          </cell>
        </row>
        <row r="5239">
          <cell r="D5239">
            <v>304148</v>
          </cell>
          <cell r="E5239" t="str">
            <v>Iligan City East HS - Santiago HS Annex</v>
          </cell>
          <cell r="F5239">
            <v>0</v>
          </cell>
          <cell r="G5239">
            <v>0</v>
          </cell>
          <cell r="H5239">
            <v>0</v>
          </cell>
          <cell r="I5239">
            <v>0</v>
          </cell>
          <cell r="J5239">
            <v>0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  <cell r="Y5239">
            <v>0</v>
          </cell>
          <cell r="Z5239">
            <v>0</v>
          </cell>
        </row>
        <row r="5240">
          <cell r="D5240">
            <v>303958</v>
          </cell>
          <cell r="E5240" t="str">
            <v>Kalilangan National High School</v>
          </cell>
          <cell r="F5240">
            <v>0</v>
          </cell>
          <cell r="G5240">
            <v>0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  <cell r="Y5240">
            <v>0</v>
          </cell>
          <cell r="Z5240">
            <v>0</v>
          </cell>
        </row>
        <row r="5241">
          <cell r="D5241">
            <v>304034</v>
          </cell>
          <cell r="E5241" t="str">
            <v>Diwat National High School</v>
          </cell>
          <cell r="F5241">
            <v>0</v>
          </cell>
          <cell r="G5241">
            <v>0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  <cell r="Y5241">
            <v>0</v>
          </cell>
          <cell r="Z5241">
            <v>0</v>
          </cell>
        </row>
        <row r="5242">
          <cell r="D5242">
            <v>304140</v>
          </cell>
          <cell r="E5242" t="str">
            <v>Bunawan Agri. HS</v>
          </cell>
          <cell r="F5242">
            <v>17</v>
          </cell>
          <cell r="G5242">
            <v>27</v>
          </cell>
          <cell r="H5242">
            <v>44</v>
          </cell>
          <cell r="I5242">
            <v>10</v>
          </cell>
          <cell r="J5242">
            <v>20</v>
          </cell>
          <cell r="K5242">
            <v>30</v>
          </cell>
          <cell r="L5242">
            <v>7</v>
          </cell>
          <cell r="M5242">
            <v>7</v>
          </cell>
          <cell r="N5242">
            <v>14</v>
          </cell>
          <cell r="O5242">
            <v>10</v>
          </cell>
          <cell r="P5242">
            <v>20</v>
          </cell>
          <cell r="Q5242">
            <v>30</v>
          </cell>
          <cell r="R5242">
            <v>7</v>
          </cell>
          <cell r="S5242">
            <v>7</v>
          </cell>
          <cell r="T5242">
            <v>14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  <cell r="Y5242">
            <v>0</v>
          </cell>
          <cell r="Z5242">
            <v>0</v>
          </cell>
        </row>
        <row r="5243">
          <cell r="D5243">
            <v>314926</v>
          </cell>
          <cell r="E5243" t="str">
            <v>San Andres NHS - Cabadiangan Annex</v>
          </cell>
          <cell r="F5243">
            <v>0</v>
          </cell>
          <cell r="G5243">
            <v>0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  <cell r="Z5243">
            <v>0</v>
          </cell>
        </row>
        <row r="5244">
          <cell r="D5244">
            <v>303997</v>
          </cell>
          <cell r="E5244" t="str">
            <v>Yumbing National High School</v>
          </cell>
          <cell r="F5244">
            <v>192</v>
          </cell>
          <cell r="G5244">
            <v>201</v>
          </cell>
          <cell r="H5244">
            <v>393</v>
          </cell>
          <cell r="I5244">
            <v>0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  <cell r="Z5244">
            <v>0</v>
          </cell>
        </row>
        <row r="5245">
          <cell r="D5245">
            <v>303983</v>
          </cell>
          <cell r="E5245" t="str">
            <v>Sankanan NHS</v>
          </cell>
          <cell r="F5245">
            <v>20</v>
          </cell>
          <cell r="G5245">
            <v>10</v>
          </cell>
          <cell r="H5245">
            <v>30</v>
          </cell>
          <cell r="I5245">
            <v>5</v>
          </cell>
          <cell r="J5245">
            <v>13</v>
          </cell>
          <cell r="K5245">
            <v>18</v>
          </cell>
          <cell r="L5245">
            <v>5</v>
          </cell>
          <cell r="M5245">
            <v>13</v>
          </cell>
          <cell r="N5245">
            <v>18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  <cell r="Z5245">
            <v>0</v>
          </cell>
        </row>
        <row r="5246">
          <cell r="D5246">
            <v>303952</v>
          </cell>
          <cell r="E5246" t="str">
            <v>Cabulohan-Paradise NHS</v>
          </cell>
          <cell r="F5246">
            <v>0</v>
          </cell>
          <cell r="G5246">
            <v>0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</v>
          </cell>
          <cell r="Y5246">
            <v>0</v>
          </cell>
          <cell r="Z5246">
            <v>0</v>
          </cell>
        </row>
        <row r="5247">
          <cell r="D5247">
            <v>304039</v>
          </cell>
          <cell r="E5247" t="str">
            <v>Colambutan Bajo NHS</v>
          </cell>
          <cell r="F5247">
            <v>0</v>
          </cell>
          <cell r="G5247">
            <v>0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</v>
          </cell>
          <cell r="Y5247">
            <v>0</v>
          </cell>
          <cell r="Z5247">
            <v>0</v>
          </cell>
        </row>
        <row r="5248">
          <cell r="D5248">
            <v>304055</v>
          </cell>
          <cell r="E5248" t="str">
            <v>Sinonoc NHS</v>
          </cell>
          <cell r="F5248">
            <v>0</v>
          </cell>
          <cell r="G5248">
            <v>0</v>
          </cell>
          <cell r="H5248">
            <v>0</v>
          </cell>
          <cell r="I5248">
            <v>0</v>
          </cell>
          <cell r="J5248">
            <v>0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</row>
        <row r="5249">
          <cell r="D5249">
            <v>303944</v>
          </cell>
          <cell r="E5249" t="str">
            <v>Alae NHS</v>
          </cell>
          <cell r="F5249">
            <v>70</v>
          </cell>
          <cell r="G5249">
            <v>35</v>
          </cell>
          <cell r="H5249">
            <v>105</v>
          </cell>
          <cell r="I5249">
            <v>0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  <cell r="Z5249">
            <v>0</v>
          </cell>
        </row>
        <row r="5250">
          <cell r="D5250">
            <v>303971</v>
          </cell>
          <cell r="E5250" t="str">
            <v>Malinao National High School</v>
          </cell>
          <cell r="F5250">
            <v>0</v>
          </cell>
          <cell r="G5250">
            <v>0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  <cell r="Z5250">
            <v>0</v>
          </cell>
        </row>
        <row r="5251">
          <cell r="D5251">
            <v>303980</v>
          </cell>
          <cell r="E5251" t="str">
            <v>San Andres National High School</v>
          </cell>
          <cell r="F5251">
            <v>6</v>
          </cell>
          <cell r="G5251">
            <v>1</v>
          </cell>
          <cell r="H5251">
            <v>7</v>
          </cell>
          <cell r="I5251">
            <v>0</v>
          </cell>
          <cell r="J5251">
            <v>0</v>
          </cell>
          <cell r="K5251">
            <v>0</v>
          </cell>
          <cell r="L5251">
            <v>0</v>
          </cell>
          <cell r="M5251">
            <v>0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</v>
          </cell>
          <cell r="Y5251">
            <v>0</v>
          </cell>
          <cell r="Z5251">
            <v>0</v>
          </cell>
        </row>
        <row r="5252">
          <cell r="D5252">
            <v>304042</v>
          </cell>
          <cell r="E5252" t="str">
            <v>Roque L. SU MNHS (Mabini NHS)</v>
          </cell>
          <cell r="F5252">
            <v>0</v>
          </cell>
          <cell r="G5252">
            <v>0</v>
          </cell>
          <cell r="H5252">
            <v>0</v>
          </cell>
          <cell r="I5252">
            <v>0</v>
          </cell>
          <cell r="J5252">
            <v>0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</v>
          </cell>
          <cell r="Y5252">
            <v>0</v>
          </cell>
          <cell r="Z5252">
            <v>0</v>
          </cell>
        </row>
        <row r="5253">
          <cell r="D5253">
            <v>314901</v>
          </cell>
          <cell r="E5253" t="str">
            <v>Dalirig NHS</v>
          </cell>
          <cell r="F5253">
            <v>0</v>
          </cell>
          <cell r="G5253">
            <v>0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  <cell r="Z5253">
            <v>0</v>
          </cell>
        </row>
        <row r="5254">
          <cell r="D5254">
            <v>303987</v>
          </cell>
          <cell r="E5254" t="str">
            <v>Talakag NHS</v>
          </cell>
          <cell r="F5254">
            <v>0</v>
          </cell>
          <cell r="G5254">
            <v>0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  <cell r="Z5254">
            <v>0</v>
          </cell>
        </row>
        <row r="5255">
          <cell r="D5255">
            <v>315606</v>
          </cell>
          <cell r="E5255" t="str">
            <v>Tubaran NHS (Lanipao Annex)</v>
          </cell>
          <cell r="F5255">
            <v>0</v>
          </cell>
          <cell r="G5255">
            <v>0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  <cell r="Z5255">
            <v>0</v>
          </cell>
        </row>
        <row r="5256">
          <cell r="D5256">
            <v>314921</v>
          </cell>
          <cell r="E5256" t="str">
            <v>Dologon NHS - Kiharong Annex</v>
          </cell>
          <cell r="F5256">
            <v>0</v>
          </cell>
          <cell r="G5256">
            <v>0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  <cell r="Z5256">
            <v>0</v>
          </cell>
        </row>
        <row r="5257">
          <cell r="D5257">
            <v>303994</v>
          </cell>
          <cell r="E5257" t="str">
            <v>Mambajao NHS</v>
          </cell>
          <cell r="F5257">
            <v>309</v>
          </cell>
          <cell r="G5257">
            <v>237</v>
          </cell>
          <cell r="H5257">
            <v>546</v>
          </cell>
          <cell r="I5257">
            <v>0</v>
          </cell>
          <cell r="J5257">
            <v>0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286</v>
          </cell>
          <cell r="Y5257">
            <v>202</v>
          </cell>
          <cell r="Z5257">
            <v>488</v>
          </cell>
        </row>
        <row r="5258">
          <cell r="D5258">
            <v>314907</v>
          </cell>
          <cell r="E5258" t="str">
            <v>Little Baguio National High School</v>
          </cell>
          <cell r="F5258">
            <v>0</v>
          </cell>
          <cell r="G5258">
            <v>0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</row>
        <row r="5259">
          <cell r="D5259">
            <v>303947</v>
          </cell>
          <cell r="E5259" t="str">
            <v>Baungon National High School</v>
          </cell>
          <cell r="F5259">
            <v>0</v>
          </cell>
          <cell r="G5259">
            <v>0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</row>
        <row r="5260">
          <cell r="D5260">
            <v>303964</v>
          </cell>
          <cell r="E5260" t="str">
            <v>Kitubo National High School</v>
          </cell>
          <cell r="F5260">
            <v>0</v>
          </cell>
          <cell r="G5260">
            <v>0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</row>
        <row r="5261">
          <cell r="D5261">
            <v>304026</v>
          </cell>
          <cell r="E5261" t="str">
            <v>Banglay NHS</v>
          </cell>
          <cell r="F5261">
            <v>0</v>
          </cell>
          <cell r="G5261">
            <v>0</v>
          </cell>
          <cell r="H5261">
            <v>0</v>
          </cell>
          <cell r="I5261">
            <v>0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</v>
          </cell>
          <cell r="Y5261">
            <v>0</v>
          </cell>
          <cell r="Z5261">
            <v>0</v>
          </cell>
        </row>
        <row r="5262">
          <cell r="D5262">
            <v>303959</v>
          </cell>
          <cell r="E5262" t="str">
            <v>Kibatang National High School</v>
          </cell>
          <cell r="F5262">
            <v>0</v>
          </cell>
          <cell r="G5262">
            <v>0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  <cell r="Y5262">
            <v>0</v>
          </cell>
          <cell r="Z5262">
            <v>0</v>
          </cell>
        </row>
        <row r="5263">
          <cell r="D5263">
            <v>303991</v>
          </cell>
          <cell r="E5263" t="str">
            <v>Guinsiliban National High School</v>
          </cell>
          <cell r="F5263">
            <v>0</v>
          </cell>
          <cell r="G5263">
            <v>0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</row>
        <row r="5264">
          <cell r="D5264">
            <v>303996</v>
          </cell>
          <cell r="E5264" t="str">
            <v>Tupsan NHS</v>
          </cell>
          <cell r="F5264">
            <v>0</v>
          </cell>
          <cell r="G5264">
            <v>0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</row>
        <row r="5265">
          <cell r="D5265">
            <v>304037</v>
          </cell>
          <cell r="E5265" t="str">
            <v>Jimenez NCHS</v>
          </cell>
          <cell r="F5265">
            <v>0</v>
          </cell>
          <cell r="G5265">
            <v>0</v>
          </cell>
          <cell r="H5265">
            <v>0</v>
          </cell>
          <cell r="I5265">
            <v>0</v>
          </cell>
          <cell r="J5265">
            <v>0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</row>
        <row r="5266">
          <cell r="D5266">
            <v>304024</v>
          </cell>
          <cell r="E5266" t="str">
            <v>Aloran Trade HS</v>
          </cell>
          <cell r="F5266">
            <v>0</v>
          </cell>
          <cell r="G5266">
            <v>0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</row>
        <row r="5267">
          <cell r="D5267">
            <v>303951</v>
          </cell>
          <cell r="E5267" t="str">
            <v>Bukidnon NSHI</v>
          </cell>
          <cell r="F5267">
            <v>237</v>
          </cell>
          <cell r="G5267">
            <v>448</v>
          </cell>
          <cell r="H5267">
            <v>685</v>
          </cell>
          <cell r="I5267">
            <v>57</v>
          </cell>
          <cell r="J5267">
            <v>122</v>
          </cell>
          <cell r="K5267">
            <v>179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</row>
        <row r="5268">
          <cell r="D5268">
            <v>304151</v>
          </cell>
          <cell r="E5268" t="str">
            <v>Mainit High School</v>
          </cell>
          <cell r="F5268">
            <v>0</v>
          </cell>
          <cell r="G5268">
            <v>0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</row>
        <row r="5269">
          <cell r="D5269">
            <v>304143</v>
          </cell>
          <cell r="E5269" t="str">
            <v>Dalipuga National High School</v>
          </cell>
          <cell r="F5269">
            <v>0</v>
          </cell>
          <cell r="G5269">
            <v>0</v>
          </cell>
          <cell r="H5269">
            <v>0</v>
          </cell>
          <cell r="I5269">
            <v>0</v>
          </cell>
          <cell r="J5269">
            <v>0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</row>
        <row r="5270">
          <cell r="D5270">
            <v>315211</v>
          </cell>
          <cell r="E5270" t="str">
            <v>Lampasan Integrated School</v>
          </cell>
          <cell r="F5270">
            <v>0</v>
          </cell>
          <cell r="G5270">
            <v>0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</row>
        <row r="5271">
          <cell r="D5271">
            <v>304138</v>
          </cell>
          <cell r="E5271" t="str">
            <v>Acelo C. Badelles, Sr. MHS (Tipanoy NHS)</v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</row>
        <row r="5272">
          <cell r="D5272">
            <v>314919</v>
          </cell>
          <cell r="E5272" t="str">
            <v>Tikalaan National High School</v>
          </cell>
          <cell r="F5272">
            <v>0</v>
          </cell>
          <cell r="G5272">
            <v>0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</row>
        <row r="5273">
          <cell r="D5273">
            <v>314930</v>
          </cell>
          <cell r="E5273" t="str">
            <v>Apyao National High School</v>
          </cell>
          <cell r="F5273">
            <v>0</v>
          </cell>
          <cell r="G5273">
            <v>0</v>
          </cell>
          <cell r="H5273">
            <v>0</v>
          </cell>
          <cell r="I5273">
            <v>0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</row>
        <row r="5274">
          <cell r="D5274">
            <v>304025</v>
          </cell>
          <cell r="E5274" t="str">
            <v>Baliangao SOF</v>
          </cell>
          <cell r="F5274">
            <v>0</v>
          </cell>
          <cell r="G5274">
            <v>0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</row>
        <row r="5275">
          <cell r="D5275">
            <v>304046</v>
          </cell>
          <cell r="E5275" t="str">
            <v>Nueva Vista National High School</v>
          </cell>
          <cell r="F5275">
            <v>0</v>
          </cell>
          <cell r="G5275">
            <v>0</v>
          </cell>
          <cell r="H5275">
            <v>0</v>
          </cell>
          <cell r="I5275">
            <v>0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</row>
        <row r="5276">
          <cell r="D5276">
            <v>304028</v>
          </cell>
          <cell r="E5276" t="str">
            <v>Bonifacio NHS</v>
          </cell>
          <cell r="F5276">
            <v>0</v>
          </cell>
          <cell r="G5276">
            <v>0</v>
          </cell>
          <cell r="H5276">
            <v>0</v>
          </cell>
          <cell r="I5276">
            <v>0</v>
          </cell>
          <cell r="J5276">
            <v>0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</row>
        <row r="5277">
          <cell r="D5277">
            <v>304035</v>
          </cell>
          <cell r="E5277" t="str">
            <v>Don Victoriano NHS</v>
          </cell>
          <cell r="F5277">
            <v>0</v>
          </cell>
          <cell r="G5277">
            <v>0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</row>
        <row r="5278">
          <cell r="D5278">
            <v>315407</v>
          </cell>
          <cell r="E5278" t="str">
            <v>East Gusa National High School</v>
          </cell>
          <cell r="F5278">
            <v>0</v>
          </cell>
          <cell r="G5278">
            <v>0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</row>
        <row r="5279">
          <cell r="D5279">
            <v>304043</v>
          </cell>
          <cell r="E5279" t="str">
            <v>Macalibre Alto NHS</v>
          </cell>
          <cell r="F5279">
            <v>0</v>
          </cell>
          <cell r="G5279">
            <v>0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</row>
        <row r="5280">
          <cell r="D5280">
            <v>303945</v>
          </cell>
          <cell r="E5280" t="str">
            <v>Bacusanon National High School</v>
          </cell>
          <cell r="F5280">
            <v>0</v>
          </cell>
          <cell r="G5280">
            <v>0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</row>
        <row r="5281">
          <cell r="D5281">
            <v>304050</v>
          </cell>
          <cell r="E5281" t="str">
            <v>Santa Maria NHS</v>
          </cell>
          <cell r="F5281">
            <v>0</v>
          </cell>
          <cell r="G5281">
            <v>0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  <cell r="Z5281">
            <v>0</v>
          </cell>
        </row>
        <row r="5282">
          <cell r="D5282">
            <v>303956</v>
          </cell>
          <cell r="E5282" t="str">
            <v>Impasugong NHS</v>
          </cell>
          <cell r="F5282">
            <v>0</v>
          </cell>
          <cell r="G5282">
            <v>0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  <cell r="Z5282">
            <v>0</v>
          </cell>
        </row>
        <row r="5283">
          <cell r="D5283">
            <v>304144</v>
          </cell>
          <cell r="E5283" t="str">
            <v>Dalipuga NHS - Hindang NHS Annex</v>
          </cell>
          <cell r="F5283">
            <v>0</v>
          </cell>
          <cell r="G5283">
            <v>0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</row>
        <row r="5284">
          <cell r="D5284">
            <v>303955</v>
          </cell>
          <cell r="E5284" t="str">
            <v>Halapitan National High School</v>
          </cell>
          <cell r="F5284">
            <v>0</v>
          </cell>
          <cell r="G5284">
            <v>0</v>
          </cell>
          <cell r="H5284">
            <v>0</v>
          </cell>
          <cell r="I5284">
            <v>0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</row>
        <row r="5285">
          <cell r="D5285">
            <v>303972</v>
          </cell>
          <cell r="E5285" t="str">
            <v>Malitbog Nat. Agr'I. HS</v>
          </cell>
          <cell r="F5285">
            <v>0</v>
          </cell>
          <cell r="G5285">
            <v>0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</row>
        <row r="5286">
          <cell r="D5286">
            <v>315207</v>
          </cell>
          <cell r="E5286" t="str">
            <v>Sibugon IS</v>
          </cell>
          <cell r="F5286">
            <v>0</v>
          </cell>
          <cell r="G5286">
            <v>0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</row>
        <row r="5287">
          <cell r="D5287">
            <v>304027</v>
          </cell>
          <cell r="E5287" t="str">
            <v>Bongabong NHS</v>
          </cell>
          <cell r="F5287">
            <v>0</v>
          </cell>
          <cell r="G5287">
            <v>0</v>
          </cell>
          <cell r="H5287">
            <v>0</v>
          </cell>
          <cell r="I5287">
            <v>0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</row>
        <row r="5288">
          <cell r="D5288">
            <v>315203</v>
          </cell>
          <cell r="E5288" t="str">
            <v>Carmen IS</v>
          </cell>
          <cell r="F5288">
            <v>30</v>
          </cell>
          <cell r="G5288">
            <v>31</v>
          </cell>
          <cell r="H5288">
            <v>61</v>
          </cell>
          <cell r="I5288">
            <v>0</v>
          </cell>
          <cell r="J5288">
            <v>0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</row>
        <row r="5289">
          <cell r="D5289">
            <v>304132</v>
          </cell>
          <cell r="E5289" t="str">
            <v>Kalipay National High School</v>
          </cell>
          <cell r="F5289">
            <v>0</v>
          </cell>
          <cell r="G5289">
            <v>0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</row>
        <row r="5290">
          <cell r="D5290">
            <v>323301</v>
          </cell>
          <cell r="E5290" t="str">
            <v>Mayor Alfonso Tan High School</v>
          </cell>
          <cell r="F5290">
            <v>0</v>
          </cell>
          <cell r="G5290">
            <v>0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</row>
        <row r="5291">
          <cell r="D5291">
            <v>303988</v>
          </cell>
          <cell r="E5291" t="str">
            <v>Valencia NHS</v>
          </cell>
          <cell r="F5291">
            <v>0</v>
          </cell>
          <cell r="G5291">
            <v>0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  <cell r="Y5291">
            <v>0</v>
          </cell>
          <cell r="Z5291">
            <v>0</v>
          </cell>
        </row>
        <row r="5292">
          <cell r="D5292">
            <v>315503</v>
          </cell>
          <cell r="E5292" t="str">
            <v>Gingoog City CNHS - LURISA NHS Annex</v>
          </cell>
          <cell r="F5292">
            <v>0</v>
          </cell>
          <cell r="G5292">
            <v>0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  <cell r="Z5292">
            <v>0</v>
          </cell>
        </row>
        <row r="5293">
          <cell r="D5293">
            <v>304030</v>
          </cell>
          <cell r="E5293" t="str">
            <v>Calamba CNHS</v>
          </cell>
          <cell r="F5293">
            <v>0</v>
          </cell>
          <cell r="G5293">
            <v>0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</row>
        <row r="5294">
          <cell r="D5294">
            <v>304130</v>
          </cell>
          <cell r="E5294" t="str">
            <v>Gingoog City CNHS</v>
          </cell>
          <cell r="F5294">
            <v>0</v>
          </cell>
          <cell r="G5294">
            <v>0</v>
          </cell>
          <cell r="H5294">
            <v>0</v>
          </cell>
          <cell r="I5294">
            <v>0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</row>
        <row r="5295">
          <cell r="D5295">
            <v>315507</v>
          </cell>
          <cell r="E5295" t="str">
            <v>Lunao National High School</v>
          </cell>
          <cell r="F5295">
            <v>0</v>
          </cell>
          <cell r="G5295">
            <v>0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</row>
        <row r="5296">
          <cell r="D5296">
            <v>304041</v>
          </cell>
          <cell r="E5296" t="str">
            <v>Lorenzo Tan NHS</v>
          </cell>
          <cell r="F5296">
            <v>0</v>
          </cell>
          <cell r="G5296">
            <v>0</v>
          </cell>
          <cell r="H5296">
            <v>0</v>
          </cell>
          <cell r="I5296">
            <v>0</v>
          </cell>
          <cell r="J5296">
            <v>0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</row>
        <row r="5297">
          <cell r="D5297">
            <v>305579</v>
          </cell>
          <cell r="E5297" t="str">
            <v>Kanao-Kanao National High School</v>
          </cell>
          <cell r="F5297">
            <v>41</v>
          </cell>
          <cell r="G5297">
            <v>30</v>
          </cell>
          <cell r="H5297">
            <v>71</v>
          </cell>
          <cell r="I5297">
            <v>23</v>
          </cell>
          <cell r="J5297">
            <v>19</v>
          </cell>
          <cell r="K5297">
            <v>42</v>
          </cell>
          <cell r="L5297">
            <v>38</v>
          </cell>
          <cell r="M5297">
            <v>25</v>
          </cell>
          <cell r="N5297">
            <v>63</v>
          </cell>
          <cell r="O5297">
            <v>12</v>
          </cell>
          <cell r="P5297">
            <v>11</v>
          </cell>
          <cell r="Q5297">
            <v>23</v>
          </cell>
          <cell r="R5297">
            <v>22</v>
          </cell>
          <cell r="S5297">
            <v>19</v>
          </cell>
          <cell r="T5297">
            <v>41</v>
          </cell>
          <cell r="U5297">
            <v>0</v>
          </cell>
          <cell r="V5297">
            <v>0</v>
          </cell>
          <cell r="W5297">
            <v>0</v>
          </cell>
          <cell r="X5297">
            <v>2</v>
          </cell>
          <cell r="Y5297">
            <v>4</v>
          </cell>
          <cell r="Z5297">
            <v>6</v>
          </cell>
        </row>
        <row r="5298">
          <cell r="D5298">
            <v>304205</v>
          </cell>
          <cell r="E5298" t="str">
            <v>Nabunturan NCHS</v>
          </cell>
          <cell r="F5298">
            <v>24</v>
          </cell>
          <cell r="G5298">
            <v>36</v>
          </cell>
          <cell r="H5298">
            <v>60</v>
          </cell>
          <cell r="I5298">
            <v>18</v>
          </cell>
          <cell r="J5298">
            <v>24</v>
          </cell>
          <cell r="K5298">
            <v>42</v>
          </cell>
          <cell r="L5298">
            <v>0</v>
          </cell>
          <cell r="M5298">
            <v>0</v>
          </cell>
          <cell r="N5298">
            <v>0</v>
          </cell>
          <cell r="O5298">
            <v>6</v>
          </cell>
          <cell r="P5298">
            <v>12</v>
          </cell>
          <cell r="Q5298">
            <v>18</v>
          </cell>
          <cell r="R5298">
            <v>0</v>
          </cell>
          <cell r="S5298">
            <v>0</v>
          </cell>
          <cell r="T5298">
            <v>0</v>
          </cell>
          <cell r="U5298">
            <v>6</v>
          </cell>
          <cell r="V5298">
            <v>8</v>
          </cell>
          <cell r="W5298">
            <v>14</v>
          </cell>
          <cell r="X5298">
            <v>0</v>
          </cell>
          <cell r="Y5298">
            <v>0</v>
          </cell>
          <cell r="Z5298">
            <v>0</v>
          </cell>
        </row>
        <row r="5299">
          <cell r="D5299">
            <v>304184</v>
          </cell>
          <cell r="E5299" t="str">
            <v>Consuelo M. Valderrama NHS</v>
          </cell>
          <cell r="F5299">
            <v>0</v>
          </cell>
          <cell r="G5299">
            <v>0</v>
          </cell>
          <cell r="H5299">
            <v>0</v>
          </cell>
          <cell r="I5299">
            <v>0</v>
          </cell>
          <cell r="J5299">
            <v>0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</row>
        <row r="5300">
          <cell r="D5300">
            <v>304199</v>
          </cell>
          <cell r="E5300" t="str">
            <v>Monkayo NHS</v>
          </cell>
          <cell r="F5300">
            <v>0</v>
          </cell>
          <cell r="G5300">
            <v>0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</row>
        <row r="5301">
          <cell r="D5301">
            <v>304177</v>
          </cell>
          <cell r="E5301" t="str">
            <v>Bantacan NHS</v>
          </cell>
          <cell r="F5301">
            <v>0</v>
          </cell>
          <cell r="G5301">
            <v>0</v>
          </cell>
          <cell r="H5301">
            <v>0</v>
          </cell>
          <cell r="I5301">
            <v>0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</row>
        <row r="5302">
          <cell r="D5302">
            <v>315820</v>
          </cell>
          <cell r="E5302" t="str">
            <v>Corazon C. Aquino NHS</v>
          </cell>
          <cell r="F5302">
            <v>0</v>
          </cell>
          <cell r="G5302">
            <v>0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</row>
        <row r="5303">
          <cell r="D5303">
            <v>304201</v>
          </cell>
          <cell r="E5303" t="str">
            <v>Pasian NHS</v>
          </cell>
          <cell r="F5303">
            <v>0</v>
          </cell>
          <cell r="G5303">
            <v>0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</row>
        <row r="5304">
          <cell r="D5304">
            <v>304211</v>
          </cell>
          <cell r="E5304" t="str">
            <v>Tambongon NHS</v>
          </cell>
          <cell r="F5304">
            <v>0</v>
          </cell>
          <cell r="G5304">
            <v>0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</row>
        <row r="5305">
          <cell r="D5305">
            <v>304172</v>
          </cell>
          <cell r="E5305" t="str">
            <v>Andili NHS</v>
          </cell>
          <cell r="F5305">
            <v>0</v>
          </cell>
          <cell r="G5305">
            <v>0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</row>
        <row r="5306">
          <cell r="D5306">
            <v>304202</v>
          </cell>
          <cell r="E5306" t="str">
            <v>Montevista NHS</v>
          </cell>
          <cell r="F5306">
            <v>0</v>
          </cell>
          <cell r="G5306">
            <v>0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</row>
        <row r="5307">
          <cell r="D5307">
            <v>304193</v>
          </cell>
          <cell r="E5307" t="str">
            <v>Atty. Orlando S. Rimando NHS</v>
          </cell>
          <cell r="F5307">
            <v>0</v>
          </cell>
          <cell r="G5307">
            <v>0</v>
          </cell>
          <cell r="H5307">
            <v>0</v>
          </cell>
          <cell r="I5307">
            <v>0</v>
          </cell>
          <cell r="J5307">
            <v>0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</row>
        <row r="5308">
          <cell r="D5308">
            <v>304203</v>
          </cell>
          <cell r="E5308" t="str">
            <v>Montevista NHS - Annex (DNAS Campus)</v>
          </cell>
          <cell r="F5308">
            <v>0</v>
          </cell>
          <cell r="G5308">
            <v>0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</row>
        <row r="5309">
          <cell r="D5309">
            <v>315803</v>
          </cell>
          <cell r="E5309" t="str">
            <v>Tuboran NHS</v>
          </cell>
          <cell r="F5309">
            <v>0</v>
          </cell>
          <cell r="G5309">
            <v>0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</row>
        <row r="5310">
          <cell r="D5310">
            <v>304206</v>
          </cell>
          <cell r="E5310" t="str">
            <v>New Bataan NHS</v>
          </cell>
          <cell r="F5310">
            <v>0</v>
          </cell>
          <cell r="G5310">
            <v>0</v>
          </cell>
          <cell r="H5310">
            <v>0</v>
          </cell>
          <cell r="I5310">
            <v>0</v>
          </cell>
          <cell r="J5310">
            <v>0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</row>
        <row r="5311">
          <cell r="D5311">
            <v>315815</v>
          </cell>
          <cell r="E5311" t="str">
            <v>New Albay NHS</v>
          </cell>
          <cell r="F5311">
            <v>0</v>
          </cell>
          <cell r="G5311">
            <v>0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</row>
        <row r="5312">
          <cell r="D5312">
            <v>304181</v>
          </cell>
          <cell r="E5312" t="str">
            <v>Compostela NHS</v>
          </cell>
          <cell r="F5312">
            <v>646</v>
          </cell>
          <cell r="G5312">
            <v>553</v>
          </cell>
          <cell r="H5312">
            <v>1199</v>
          </cell>
          <cell r="I5312">
            <v>112</v>
          </cell>
          <cell r="J5312">
            <v>98</v>
          </cell>
          <cell r="K5312">
            <v>210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</row>
        <row r="5313">
          <cell r="D5313">
            <v>315807</v>
          </cell>
          <cell r="E5313" t="str">
            <v>Magnaga NHS</v>
          </cell>
          <cell r="F5313">
            <v>0</v>
          </cell>
          <cell r="G5313">
            <v>0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  <cell r="Z5313">
            <v>0</v>
          </cell>
        </row>
        <row r="5314">
          <cell r="D5314">
            <v>304173</v>
          </cell>
          <cell r="E5314" t="str">
            <v>Anibongan NHS</v>
          </cell>
          <cell r="F5314">
            <v>0</v>
          </cell>
          <cell r="G5314">
            <v>0</v>
          </cell>
          <cell r="H5314">
            <v>0</v>
          </cell>
          <cell r="I5314">
            <v>0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  <cell r="Z5314">
            <v>0</v>
          </cell>
        </row>
        <row r="5315">
          <cell r="D5315">
            <v>304191</v>
          </cell>
          <cell r="E5315" t="str">
            <v>Lorenzo S. Sarmiento Sr. NHS</v>
          </cell>
          <cell r="F5315">
            <v>0</v>
          </cell>
          <cell r="G5315">
            <v>0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</row>
        <row r="5316">
          <cell r="D5316">
            <v>301294</v>
          </cell>
          <cell r="E5316" t="str">
            <v>Libaylibay NHS</v>
          </cell>
          <cell r="F5316">
            <v>0</v>
          </cell>
          <cell r="G5316">
            <v>0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</row>
        <row r="5317">
          <cell r="D5317">
            <v>304182</v>
          </cell>
          <cell r="E5317" t="str">
            <v>Mangayon NHS</v>
          </cell>
          <cell r="F5317">
            <v>0</v>
          </cell>
          <cell r="G5317">
            <v>0</v>
          </cell>
          <cell r="H5317">
            <v>0</v>
          </cell>
          <cell r="I5317">
            <v>0</v>
          </cell>
          <cell r="J5317">
            <v>0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</row>
        <row r="5318">
          <cell r="D5318">
            <v>304192</v>
          </cell>
          <cell r="E5318" t="str">
            <v>Mabini NHS</v>
          </cell>
          <cell r="F5318">
            <v>0</v>
          </cell>
          <cell r="G5318">
            <v>0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  <cell r="Y5318">
            <v>0</v>
          </cell>
          <cell r="Z5318">
            <v>0</v>
          </cell>
        </row>
        <row r="5319">
          <cell r="D5319">
            <v>315816</v>
          </cell>
          <cell r="E5319" t="str">
            <v>Napnapan NHS</v>
          </cell>
          <cell r="F5319">
            <v>0</v>
          </cell>
          <cell r="G5319">
            <v>0</v>
          </cell>
          <cell r="H5319">
            <v>0</v>
          </cell>
          <cell r="I5319">
            <v>0</v>
          </cell>
          <cell r="J5319">
            <v>0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</row>
        <row r="5320">
          <cell r="D5320">
            <v>315814</v>
          </cell>
          <cell r="E5320" t="str">
            <v>Andap NHS</v>
          </cell>
          <cell r="F5320">
            <v>0</v>
          </cell>
          <cell r="G5320">
            <v>0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  <cell r="Y5320">
            <v>0</v>
          </cell>
          <cell r="Z5320">
            <v>0</v>
          </cell>
        </row>
        <row r="5321">
          <cell r="D5321">
            <v>300640</v>
          </cell>
          <cell r="E5321" t="str">
            <v>Camansi NHS</v>
          </cell>
          <cell r="F5321">
            <v>0</v>
          </cell>
          <cell r="G5321">
            <v>0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>
            <v>0</v>
          </cell>
          <cell r="M5321">
            <v>0</v>
          </cell>
          <cell r="N5321">
            <v>0</v>
          </cell>
          <cell r="O5321">
            <v>0</v>
          </cell>
          <cell r="P5321">
            <v>0</v>
          </cell>
          <cell r="Q5321">
            <v>0</v>
          </cell>
          <cell r="R5321">
            <v>0</v>
          </cell>
          <cell r="S5321">
            <v>0</v>
          </cell>
          <cell r="T5321">
            <v>0</v>
          </cell>
          <cell r="U5321">
            <v>0</v>
          </cell>
          <cell r="V5321">
            <v>0</v>
          </cell>
          <cell r="W5321">
            <v>0</v>
          </cell>
          <cell r="X5321">
            <v>0</v>
          </cell>
          <cell r="Y5321">
            <v>0</v>
          </cell>
          <cell r="Z5321">
            <v>0</v>
          </cell>
        </row>
        <row r="5322">
          <cell r="D5322">
            <v>304204</v>
          </cell>
          <cell r="E5322" t="str">
            <v>Mayaon NHS</v>
          </cell>
          <cell r="F5322">
            <v>0</v>
          </cell>
          <cell r="G5322">
            <v>0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</row>
        <row r="5323">
          <cell r="D5323">
            <v>304209</v>
          </cell>
          <cell r="E5323" t="str">
            <v>Tagugpo NHS</v>
          </cell>
          <cell r="F5323">
            <v>0</v>
          </cell>
          <cell r="G5323">
            <v>0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</row>
        <row r="5324">
          <cell r="D5324">
            <v>304186</v>
          </cell>
          <cell r="E5324" t="str">
            <v>Elizalde NHS</v>
          </cell>
          <cell r="F5324">
            <v>0</v>
          </cell>
          <cell r="G5324">
            <v>0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</row>
        <row r="5325">
          <cell r="D5325">
            <v>304198</v>
          </cell>
          <cell r="E5325" t="str">
            <v>Maragusan NHS</v>
          </cell>
          <cell r="F5325">
            <v>0</v>
          </cell>
          <cell r="G5325">
            <v>0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</row>
        <row r="5326">
          <cell r="D5326">
            <v>301526</v>
          </cell>
          <cell r="E5326" t="str">
            <v>Pangi NHS</v>
          </cell>
          <cell r="F5326">
            <v>0</v>
          </cell>
          <cell r="G5326">
            <v>0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  <cell r="Z5326">
            <v>0</v>
          </cell>
        </row>
        <row r="5327">
          <cell r="D5327">
            <v>304187</v>
          </cell>
          <cell r="E5327" t="str">
            <v>Gabi NHS</v>
          </cell>
          <cell r="F5327">
            <v>0</v>
          </cell>
          <cell r="G5327">
            <v>0</v>
          </cell>
          <cell r="H5327">
            <v>0</v>
          </cell>
          <cell r="I5327">
            <v>0</v>
          </cell>
          <cell r="J5327">
            <v>0</v>
          </cell>
          <cell r="K5327">
            <v>0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  <cell r="Y5327">
            <v>0</v>
          </cell>
          <cell r="Z5327">
            <v>0</v>
          </cell>
        </row>
        <row r="5328">
          <cell r="D5328">
            <v>315802</v>
          </cell>
          <cell r="E5328" t="str">
            <v>Nuevo Iloco NHS</v>
          </cell>
          <cell r="F5328">
            <v>0</v>
          </cell>
          <cell r="G5328">
            <v>0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</row>
        <row r="5329">
          <cell r="D5329">
            <v>315811</v>
          </cell>
          <cell r="E5329" t="str">
            <v>New Leyte NHS</v>
          </cell>
          <cell r="F5329">
            <v>0</v>
          </cell>
          <cell r="G5329">
            <v>0</v>
          </cell>
          <cell r="H5329">
            <v>0</v>
          </cell>
          <cell r="I5329">
            <v>0</v>
          </cell>
          <cell r="J5329">
            <v>0</v>
          </cell>
          <cell r="K5329">
            <v>0</v>
          </cell>
          <cell r="L5329">
            <v>0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</row>
        <row r="5330">
          <cell r="D5330">
            <v>304180</v>
          </cell>
          <cell r="E5330" t="str">
            <v>Camanlangan NHS</v>
          </cell>
          <cell r="F5330">
            <v>0</v>
          </cell>
          <cell r="G5330">
            <v>0</v>
          </cell>
          <cell r="H5330">
            <v>0</v>
          </cell>
          <cell r="I5330">
            <v>0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  <cell r="Z5330">
            <v>0</v>
          </cell>
        </row>
        <row r="5331">
          <cell r="D5331">
            <v>300927</v>
          </cell>
          <cell r="E5331" t="str">
            <v>Diosdado Macapagal NHS</v>
          </cell>
          <cell r="F5331">
            <v>0</v>
          </cell>
          <cell r="G5331">
            <v>0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  <cell r="Z5331">
            <v>0</v>
          </cell>
        </row>
        <row r="5332">
          <cell r="D5332">
            <v>304208</v>
          </cell>
          <cell r="E5332" t="str">
            <v>Pantukan NHS</v>
          </cell>
          <cell r="F5332">
            <v>0</v>
          </cell>
          <cell r="G5332">
            <v>0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</row>
        <row r="5333">
          <cell r="D5333">
            <v>304175</v>
          </cell>
          <cell r="E5333" t="str">
            <v>Araibo NHS</v>
          </cell>
          <cell r="F5333">
            <v>0</v>
          </cell>
          <cell r="G5333">
            <v>0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</row>
        <row r="5334">
          <cell r="D5334">
            <v>300667</v>
          </cell>
          <cell r="E5334" t="str">
            <v>Depot Ancestral Domain NHS</v>
          </cell>
          <cell r="F5334">
            <v>0</v>
          </cell>
          <cell r="G5334">
            <v>0</v>
          </cell>
          <cell r="H5334">
            <v>0</v>
          </cell>
          <cell r="I5334">
            <v>0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  <cell r="Z5334">
            <v>0</v>
          </cell>
        </row>
        <row r="5335">
          <cell r="D5335">
            <v>315805</v>
          </cell>
          <cell r="E5335" t="str">
            <v>Pindasan NHS</v>
          </cell>
          <cell r="F5335">
            <v>0</v>
          </cell>
          <cell r="G5335">
            <v>0</v>
          </cell>
          <cell r="H5335">
            <v>0</v>
          </cell>
          <cell r="I5335">
            <v>0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  <cell r="Y5335">
            <v>0</v>
          </cell>
          <cell r="Z5335">
            <v>0</v>
          </cell>
        </row>
        <row r="5336">
          <cell r="D5336">
            <v>315823</v>
          </cell>
          <cell r="E5336" t="str">
            <v>New Kapatagan NHS</v>
          </cell>
          <cell r="F5336">
            <v>24</v>
          </cell>
          <cell r="G5336">
            <v>22</v>
          </cell>
          <cell r="H5336">
            <v>46</v>
          </cell>
          <cell r="I5336">
            <v>20</v>
          </cell>
          <cell r="J5336">
            <v>20</v>
          </cell>
          <cell r="K5336">
            <v>40</v>
          </cell>
          <cell r="L5336">
            <v>4</v>
          </cell>
          <cell r="M5336">
            <v>2</v>
          </cell>
          <cell r="N5336">
            <v>6</v>
          </cell>
          <cell r="O5336">
            <v>20</v>
          </cell>
          <cell r="P5336">
            <v>20</v>
          </cell>
          <cell r="Q5336">
            <v>40</v>
          </cell>
          <cell r="R5336">
            <v>4</v>
          </cell>
          <cell r="S5336">
            <v>2</v>
          </cell>
          <cell r="T5336">
            <v>6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</row>
        <row r="5337">
          <cell r="D5337">
            <v>301585</v>
          </cell>
          <cell r="E5337" t="str">
            <v>Panibasan NHS</v>
          </cell>
          <cell r="F5337">
            <v>0</v>
          </cell>
          <cell r="G5337">
            <v>0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</row>
        <row r="5338">
          <cell r="D5338">
            <v>304207</v>
          </cell>
          <cell r="E5338" t="str">
            <v>Paloc NHS</v>
          </cell>
          <cell r="F5338">
            <v>0</v>
          </cell>
          <cell r="G5338">
            <v>0</v>
          </cell>
          <cell r="H5338">
            <v>0</v>
          </cell>
          <cell r="I5338">
            <v>0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</row>
        <row r="5339">
          <cell r="D5339">
            <v>315809</v>
          </cell>
          <cell r="E5339" t="str">
            <v>Union NHS-Mt. Diwata HS Annex</v>
          </cell>
          <cell r="F5339">
            <v>0</v>
          </cell>
          <cell r="G5339">
            <v>0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</row>
        <row r="5340">
          <cell r="D5340">
            <v>304179</v>
          </cell>
          <cell r="E5340" t="str">
            <v>Bongabong NHS</v>
          </cell>
          <cell r="F5340">
            <v>0</v>
          </cell>
          <cell r="G5340">
            <v>0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</row>
        <row r="5341">
          <cell r="D5341">
            <v>301358</v>
          </cell>
          <cell r="E5341" t="str">
            <v>Mabuhay NHS</v>
          </cell>
          <cell r="F5341">
            <v>0</v>
          </cell>
          <cell r="G5341">
            <v>0</v>
          </cell>
          <cell r="H5341">
            <v>0</v>
          </cell>
          <cell r="I5341">
            <v>0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</row>
        <row r="5342">
          <cell r="D5342">
            <v>304200</v>
          </cell>
          <cell r="E5342" t="str">
            <v>Awao NHS</v>
          </cell>
          <cell r="F5342">
            <v>0</v>
          </cell>
          <cell r="G5342">
            <v>0</v>
          </cell>
          <cell r="H5342">
            <v>0</v>
          </cell>
          <cell r="I5342">
            <v>0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</row>
        <row r="5343">
          <cell r="D5343">
            <v>304196</v>
          </cell>
          <cell r="E5343" t="str">
            <v>Maparat NHS</v>
          </cell>
          <cell r="F5343">
            <v>0</v>
          </cell>
          <cell r="G5343">
            <v>0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</row>
        <row r="5344">
          <cell r="D5344">
            <v>304210</v>
          </cell>
          <cell r="E5344" t="str">
            <v>Siocon NHS</v>
          </cell>
          <cell r="F5344">
            <v>0</v>
          </cell>
          <cell r="G5344">
            <v>0</v>
          </cell>
          <cell r="H5344">
            <v>0</v>
          </cell>
          <cell r="I5344">
            <v>11</v>
          </cell>
          <cell r="J5344">
            <v>8</v>
          </cell>
          <cell r="K5344">
            <v>19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  <cell r="Y5344">
            <v>0</v>
          </cell>
          <cell r="Z5344">
            <v>0</v>
          </cell>
        </row>
        <row r="5345">
          <cell r="D5345">
            <v>304190</v>
          </cell>
          <cell r="E5345" t="str">
            <v>Kidawa NHS</v>
          </cell>
          <cell r="F5345">
            <v>0</v>
          </cell>
          <cell r="G5345">
            <v>0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  <cell r="Y5345">
            <v>0</v>
          </cell>
          <cell r="Z5345">
            <v>0</v>
          </cell>
        </row>
        <row r="5346">
          <cell r="D5346">
            <v>315801</v>
          </cell>
          <cell r="E5346" t="str">
            <v>Casoon NHS</v>
          </cell>
          <cell r="F5346">
            <v>0</v>
          </cell>
          <cell r="G5346">
            <v>0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</row>
        <row r="5347">
          <cell r="D5347">
            <v>304195</v>
          </cell>
          <cell r="E5347" t="str">
            <v>Manat NHS</v>
          </cell>
          <cell r="F5347">
            <v>0</v>
          </cell>
          <cell r="G5347">
            <v>0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  <cell r="Y5347">
            <v>0</v>
          </cell>
          <cell r="Z5347">
            <v>0</v>
          </cell>
        </row>
        <row r="5348">
          <cell r="D5348">
            <v>304174</v>
          </cell>
          <cell r="E5348" t="str">
            <v>Anitapan NHS</v>
          </cell>
          <cell r="F5348">
            <v>0</v>
          </cell>
          <cell r="G5348">
            <v>0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  <cell r="Y5348">
            <v>0</v>
          </cell>
          <cell r="Z5348">
            <v>0</v>
          </cell>
        </row>
        <row r="5349">
          <cell r="D5349">
            <v>304178</v>
          </cell>
          <cell r="E5349" t="str">
            <v>Bayabas NHS</v>
          </cell>
          <cell r="F5349">
            <v>0</v>
          </cell>
          <cell r="G5349">
            <v>0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</row>
        <row r="5350">
          <cell r="D5350">
            <v>304197</v>
          </cell>
          <cell r="E5350" t="str">
            <v>Mapawa NHS</v>
          </cell>
          <cell r="F5350">
            <v>0</v>
          </cell>
          <cell r="G5350">
            <v>0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0</v>
          </cell>
          <cell r="Y5350">
            <v>0</v>
          </cell>
          <cell r="Z5350">
            <v>0</v>
          </cell>
        </row>
        <row r="5351">
          <cell r="D5351">
            <v>304188</v>
          </cell>
          <cell r="E5351" t="str">
            <v>Kapatagan NHS</v>
          </cell>
          <cell r="F5351">
            <v>0</v>
          </cell>
          <cell r="G5351">
            <v>0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  <cell r="Z5351">
            <v>0</v>
          </cell>
        </row>
        <row r="5352">
          <cell r="D5352">
            <v>315806</v>
          </cell>
          <cell r="E5352" t="str">
            <v>Kao NHS</v>
          </cell>
          <cell r="F5352">
            <v>0</v>
          </cell>
          <cell r="G5352">
            <v>0</v>
          </cell>
          <cell r="H5352">
            <v>0</v>
          </cell>
          <cell r="I5352">
            <v>0</v>
          </cell>
          <cell r="J5352">
            <v>0</v>
          </cell>
          <cell r="K5352">
            <v>0</v>
          </cell>
          <cell r="L5352">
            <v>0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  <cell r="Y5352">
            <v>0</v>
          </cell>
          <cell r="Z5352">
            <v>0</v>
          </cell>
        </row>
        <row r="5353">
          <cell r="D5353">
            <v>304185</v>
          </cell>
          <cell r="E5353" t="str">
            <v>Don Vicente Romualdez NHS</v>
          </cell>
          <cell r="F5353">
            <v>0</v>
          </cell>
          <cell r="G5353">
            <v>0</v>
          </cell>
          <cell r="H5353">
            <v>0</v>
          </cell>
          <cell r="I5353">
            <v>0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  <cell r="Y5353">
            <v>0</v>
          </cell>
          <cell r="Z5353">
            <v>0</v>
          </cell>
        </row>
        <row r="5354">
          <cell r="D5354">
            <v>304183</v>
          </cell>
          <cell r="E5354" t="str">
            <v>San Miguel NHS</v>
          </cell>
          <cell r="F5354">
            <v>0</v>
          </cell>
          <cell r="G5354">
            <v>0</v>
          </cell>
          <cell r="H5354">
            <v>0</v>
          </cell>
          <cell r="I5354">
            <v>0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  <cell r="Y5354">
            <v>0</v>
          </cell>
          <cell r="Z5354">
            <v>0</v>
          </cell>
        </row>
        <row r="5355">
          <cell r="D5355">
            <v>304189</v>
          </cell>
          <cell r="E5355" t="str">
            <v>Laak NHS</v>
          </cell>
          <cell r="F5355">
            <v>0</v>
          </cell>
          <cell r="G5355">
            <v>0</v>
          </cell>
          <cell r="H5355">
            <v>0</v>
          </cell>
          <cell r="I5355">
            <v>0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  <cell r="Y5355">
            <v>0</v>
          </cell>
          <cell r="Z5355">
            <v>0</v>
          </cell>
        </row>
        <row r="5356">
          <cell r="D5356">
            <v>304176</v>
          </cell>
          <cell r="E5356" t="str">
            <v>Babag NHS</v>
          </cell>
          <cell r="F5356">
            <v>0</v>
          </cell>
          <cell r="G5356">
            <v>0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  <cell r="Y5356">
            <v>0</v>
          </cell>
          <cell r="Z5356">
            <v>0</v>
          </cell>
        </row>
        <row r="5357">
          <cell r="D5357">
            <v>304213</v>
          </cell>
          <cell r="E5357" t="str">
            <v>Tupaz NHS</v>
          </cell>
          <cell r="F5357">
            <v>0</v>
          </cell>
          <cell r="G5357">
            <v>0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</row>
        <row r="5358">
          <cell r="D5358">
            <v>304194</v>
          </cell>
          <cell r="E5358" t="str">
            <v>Mainit NHS</v>
          </cell>
          <cell r="F5358">
            <v>0</v>
          </cell>
          <cell r="G5358">
            <v>0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</row>
        <row r="5359">
          <cell r="D5359">
            <v>315808</v>
          </cell>
          <cell r="E5359" t="str">
            <v>Ulip NHS</v>
          </cell>
          <cell r="F5359">
            <v>0</v>
          </cell>
          <cell r="G5359">
            <v>0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</row>
        <row r="5360">
          <cell r="D5360">
            <v>300577</v>
          </cell>
          <cell r="E5360" t="str">
            <v>Bagong Silang NHS</v>
          </cell>
          <cell r="F5360">
            <v>0</v>
          </cell>
          <cell r="G5360">
            <v>0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</row>
        <row r="5361">
          <cell r="D5361">
            <v>315812</v>
          </cell>
          <cell r="E5361" t="str">
            <v>San Antonio NHS</v>
          </cell>
          <cell r="F5361">
            <v>0</v>
          </cell>
          <cell r="G5361">
            <v>0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</row>
        <row r="5362">
          <cell r="D5362">
            <v>315813</v>
          </cell>
          <cell r="E5362" t="str">
            <v>Langgawisan NHS</v>
          </cell>
          <cell r="F5362">
            <v>0</v>
          </cell>
          <cell r="G5362">
            <v>0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</row>
        <row r="5363">
          <cell r="D5363">
            <v>304214</v>
          </cell>
          <cell r="E5363" t="str">
            <v>Union NHS</v>
          </cell>
          <cell r="F5363">
            <v>0</v>
          </cell>
          <cell r="G5363">
            <v>0</v>
          </cell>
          <cell r="H5363">
            <v>0</v>
          </cell>
          <cell r="I5363">
            <v>0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</row>
        <row r="5364">
          <cell r="D5364">
            <v>304212</v>
          </cell>
          <cell r="E5364" t="str">
            <v>Tubo-Tubo NHS</v>
          </cell>
          <cell r="F5364">
            <v>0</v>
          </cell>
          <cell r="G5364">
            <v>0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</row>
        <row r="5365">
          <cell r="D5365">
            <v>315822</v>
          </cell>
          <cell r="E5365" t="str">
            <v>Golden Valley NHS</v>
          </cell>
          <cell r="F5365">
            <v>0</v>
          </cell>
          <cell r="G5365">
            <v>0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</row>
        <row r="5366">
          <cell r="D5366">
            <v>315818</v>
          </cell>
          <cell r="E5366" t="str">
            <v>New Sibonga NHS</v>
          </cell>
          <cell r="F5366">
            <v>0</v>
          </cell>
          <cell r="G5366">
            <v>0</v>
          </cell>
          <cell r="H5366">
            <v>0</v>
          </cell>
          <cell r="I5366">
            <v>0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</row>
        <row r="5367">
          <cell r="D5367">
            <v>315804</v>
          </cell>
          <cell r="E5367" t="str">
            <v>Melale NHS</v>
          </cell>
          <cell r="F5367">
            <v>0</v>
          </cell>
          <cell r="G5367">
            <v>0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</row>
        <row r="5368">
          <cell r="D5368">
            <v>315819</v>
          </cell>
          <cell r="E5368" t="str">
            <v>Bango NHS</v>
          </cell>
          <cell r="F5368">
            <v>0</v>
          </cell>
          <cell r="G5368">
            <v>0</v>
          </cell>
          <cell r="H5368">
            <v>0</v>
          </cell>
          <cell r="I5368">
            <v>0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</row>
        <row r="5369">
          <cell r="D5369">
            <v>304221</v>
          </cell>
          <cell r="E5369" t="str">
            <v>Antonio V. Fruto Sr. NHS</v>
          </cell>
          <cell r="F5369">
            <v>0</v>
          </cell>
          <cell r="G5369">
            <v>0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</row>
        <row r="5370">
          <cell r="D5370">
            <v>304254</v>
          </cell>
          <cell r="E5370" t="str">
            <v>Sto Tomas NHS</v>
          </cell>
          <cell r="F5370">
            <v>0</v>
          </cell>
          <cell r="G5370">
            <v>0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</row>
        <row r="5371">
          <cell r="D5371">
            <v>304229</v>
          </cell>
          <cell r="E5371" t="str">
            <v>Dujali National High School</v>
          </cell>
          <cell r="F5371">
            <v>0</v>
          </cell>
          <cell r="G5371">
            <v>0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</row>
        <row r="5372">
          <cell r="D5372">
            <v>304256</v>
          </cell>
          <cell r="E5372" t="str">
            <v>Salvacion NHS</v>
          </cell>
          <cell r="F5372">
            <v>0</v>
          </cell>
          <cell r="G5372">
            <v>0</v>
          </cell>
          <cell r="H5372">
            <v>0</v>
          </cell>
          <cell r="I5372">
            <v>0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</row>
        <row r="5373">
          <cell r="D5373">
            <v>304230</v>
          </cell>
          <cell r="E5373" t="str">
            <v>Tanglaw NHS</v>
          </cell>
          <cell r="F5373">
            <v>0</v>
          </cell>
          <cell r="G5373">
            <v>0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  <cell r="Y5373">
            <v>0</v>
          </cell>
          <cell r="Z5373">
            <v>0</v>
          </cell>
        </row>
        <row r="5374">
          <cell r="D5374">
            <v>315904</v>
          </cell>
          <cell r="E5374" t="str">
            <v>La Paz National High School</v>
          </cell>
          <cell r="F5374">
            <v>0</v>
          </cell>
          <cell r="G5374">
            <v>0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  <cell r="Z5374">
            <v>0</v>
          </cell>
        </row>
        <row r="5375">
          <cell r="D5375">
            <v>304224</v>
          </cell>
          <cell r="E5375" t="str">
            <v>Datu Balong NHS</v>
          </cell>
          <cell r="F5375">
            <v>50</v>
          </cell>
          <cell r="G5375">
            <v>64</v>
          </cell>
          <cell r="H5375">
            <v>114</v>
          </cell>
          <cell r="I5375">
            <v>15</v>
          </cell>
          <cell r="J5375">
            <v>13</v>
          </cell>
          <cell r="K5375">
            <v>28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</row>
        <row r="5376">
          <cell r="D5376">
            <v>304219</v>
          </cell>
          <cell r="E5376" t="str">
            <v>Balagunan National High School</v>
          </cell>
          <cell r="F5376">
            <v>0</v>
          </cell>
          <cell r="G5376">
            <v>0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</row>
        <row r="5377">
          <cell r="D5377">
            <v>315901</v>
          </cell>
          <cell r="E5377" t="str">
            <v>Tubod National High School</v>
          </cell>
          <cell r="F5377">
            <v>69</v>
          </cell>
          <cell r="G5377">
            <v>60</v>
          </cell>
          <cell r="H5377">
            <v>129</v>
          </cell>
          <cell r="I5377">
            <v>0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  <cell r="Y5377">
            <v>0</v>
          </cell>
          <cell r="Z5377">
            <v>0</v>
          </cell>
        </row>
        <row r="5378">
          <cell r="D5378">
            <v>304240</v>
          </cell>
          <cell r="E5378" t="str">
            <v>Linao National High School</v>
          </cell>
          <cell r="F5378">
            <v>0</v>
          </cell>
          <cell r="G5378">
            <v>0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  <cell r="Z5378">
            <v>0</v>
          </cell>
        </row>
        <row r="5379">
          <cell r="D5379">
            <v>304252</v>
          </cell>
          <cell r="E5379" t="str">
            <v>Sonlon NHS</v>
          </cell>
          <cell r="F5379">
            <v>0</v>
          </cell>
          <cell r="G5379">
            <v>0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</row>
        <row r="5380">
          <cell r="D5380">
            <v>341449</v>
          </cell>
          <cell r="E5380" t="str">
            <v>Davao del Norte Regional Sports Academy</v>
          </cell>
          <cell r="F5380">
            <v>0</v>
          </cell>
          <cell r="G5380">
            <v>0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</row>
        <row r="5381">
          <cell r="D5381">
            <v>304251</v>
          </cell>
          <cell r="E5381" t="str">
            <v>Sawata NHS</v>
          </cell>
          <cell r="F5381">
            <v>0</v>
          </cell>
          <cell r="G5381">
            <v>0</v>
          </cell>
          <cell r="H5381">
            <v>0</v>
          </cell>
          <cell r="I5381">
            <v>1</v>
          </cell>
          <cell r="J5381">
            <v>0</v>
          </cell>
          <cell r="K5381">
            <v>1</v>
          </cell>
          <cell r="L5381">
            <v>1</v>
          </cell>
          <cell r="M5381">
            <v>0</v>
          </cell>
          <cell r="N5381">
            <v>1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</row>
        <row r="5382">
          <cell r="D5382">
            <v>304241</v>
          </cell>
          <cell r="E5382" t="str">
            <v>Luna National High School</v>
          </cell>
          <cell r="F5382">
            <v>0</v>
          </cell>
          <cell r="G5382">
            <v>0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</row>
        <row r="5383">
          <cell r="D5383">
            <v>315905</v>
          </cell>
          <cell r="E5383" t="str">
            <v>Dagohoy National High School</v>
          </cell>
          <cell r="F5383">
            <v>0</v>
          </cell>
          <cell r="G5383">
            <v>0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</row>
        <row r="5384">
          <cell r="D5384">
            <v>305508</v>
          </cell>
          <cell r="E5384" t="str">
            <v>Ramon S. Segundo Sr. NHS</v>
          </cell>
          <cell r="F5384">
            <v>1</v>
          </cell>
          <cell r="G5384">
            <v>0</v>
          </cell>
          <cell r="H5384">
            <v>1</v>
          </cell>
          <cell r="I5384">
            <v>0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</row>
        <row r="5385">
          <cell r="D5385">
            <v>304235</v>
          </cell>
          <cell r="E5385" t="str">
            <v>Sua-on National High School</v>
          </cell>
          <cell r="F5385">
            <v>0</v>
          </cell>
          <cell r="G5385">
            <v>0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</row>
        <row r="5386">
          <cell r="D5386">
            <v>304217</v>
          </cell>
          <cell r="E5386" t="str">
            <v>Asuncion National High School</v>
          </cell>
          <cell r="F5386">
            <v>0</v>
          </cell>
          <cell r="G5386">
            <v>0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</row>
        <row r="5387">
          <cell r="D5387">
            <v>304228</v>
          </cell>
          <cell r="E5387" t="str">
            <v>Doña Carmen Soriano National High School</v>
          </cell>
          <cell r="F5387">
            <v>0</v>
          </cell>
          <cell r="G5387">
            <v>0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</row>
        <row r="5388">
          <cell r="D5388">
            <v>500789</v>
          </cell>
          <cell r="E5388" t="str">
            <v>Sampao IS</v>
          </cell>
          <cell r="F5388">
            <v>0</v>
          </cell>
          <cell r="G5388">
            <v>0</v>
          </cell>
          <cell r="H5388">
            <v>0</v>
          </cell>
          <cell r="I5388">
            <v>0</v>
          </cell>
          <cell r="J5388">
            <v>0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</row>
        <row r="5389">
          <cell r="D5389">
            <v>304255</v>
          </cell>
          <cell r="E5389" t="str">
            <v>La Libertad National High School</v>
          </cell>
          <cell r="F5389">
            <v>0</v>
          </cell>
          <cell r="G5389">
            <v>0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</row>
        <row r="5390">
          <cell r="D5390">
            <v>304257</v>
          </cell>
          <cell r="E5390" t="str">
            <v>Sto. Nino NHS</v>
          </cell>
          <cell r="F5390">
            <v>0</v>
          </cell>
          <cell r="G5390">
            <v>0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</row>
        <row r="5391">
          <cell r="D5391">
            <v>304246</v>
          </cell>
          <cell r="E5391" t="str">
            <v>Marsman NHS</v>
          </cell>
          <cell r="F5391">
            <v>0</v>
          </cell>
          <cell r="G5391">
            <v>0</v>
          </cell>
          <cell r="H5391">
            <v>0</v>
          </cell>
          <cell r="I5391">
            <v>0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</row>
        <row r="5392">
          <cell r="D5392">
            <v>304242</v>
          </cell>
          <cell r="E5392" t="str">
            <v>Mabantao National High School</v>
          </cell>
          <cell r="F5392">
            <v>0</v>
          </cell>
          <cell r="G5392">
            <v>0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</row>
        <row r="5393">
          <cell r="D5393">
            <v>304222</v>
          </cell>
          <cell r="E5393" t="str">
            <v>Carmen NHS</v>
          </cell>
          <cell r="F5393">
            <v>0</v>
          </cell>
          <cell r="G5393">
            <v>0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>
            <v>0</v>
          </cell>
          <cell r="V5393">
            <v>0</v>
          </cell>
          <cell r="W5393">
            <v>0</v>
          </cell>
          <cell r="X5393">
            <v>0</v>
          </cell>
          <cell r="Y5393">
            <v>0</v>
          </cell>
          <cell r="Z5393">
            <v>0</v>
          </cell>
        </row>
        <row r="5394">
          <cell r="D5394">
            <v>304258</v>
          </cell>
          <cell r="E5394" t="str">
            <v>Datu Jose A. Libayao Memorial NHS</v>
          </cell>
          <cell r="F5394">
            <v>37</v>
          </cell>
          <cell r="G5394">
            <v>55</v>
          </cell>
          <cell r="H5394">
            <v>92</v>
          </cell>
          <cell r="I5394">
            <v>10</v>
          </cell>
          <cell r="J5394">
            <v>15</v>
          </cell>
          <cell r="K5394">
            <v>25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  <cell r="Z5394">
            <v>0</v>
          </cell>
        </row>
        <row r="5395">
          <cell r="D5395">
            <v>500452</v>
          </cell>
          <cell r="E5395" t="str">
            <v>Kapatagan Integrated School</v>
          </cell>
          <cell r="F5395">
            <v>0</v>
          </cell>
          <cell r="G5395">
            <v>0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</row>
        <row r="5396">
          <cell r="D5396">
            <v>304233</v>
          </cell>
          <cell r="E5396" t="str">
            <v>Kapalong National High School</v>
          </cell>
          <cell r="F5396">
            <v>450</v>
          </cell>
          <cell r="G5396">
            <v>379</v>
          </cell>
          <cell r="H5396">
            <v>829</v>
          </cell>
          <cell r="I5396">
            <v>213</v>
          </cell>
          <cell r="J5396">
            <v>188</v>
          </cell>
          <cell r="K5396">
            <v>401</v>
          </cell>
          <cell r="L5396">
            <v>446</v>
          </cell>
          <cell r="M5396">
            <v>396</v>
          </cell>
          <cell r="N5396">
            <v>842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15</v>
          </cell>
          <cell r="V5396">
            <v>9</v>
          </cell>
          <cell r="W5396">
            <v>24</v>
          </cell>
          <cell r="X5396">
            <v>0</v>
          </cell>
          <cell r="Y5396">
            <v>0</v>
          </cell>
          <cell r="Z5396">
            <v>0</v>
          </cell>
        </row>
        <row r="5397">
          <cell r="D5397">
            <v>304248</v>
          </cell>
          <cell r="E5397" t="str">
            <v>New Corella National High School</v>
          </cell>
          <cell r="F5397">
            <v>0</v>
          </cell>
          <cell r="G5397">
            <v>0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</row>
        <row r="5398">
          <cell r="D5398">
            <v>301775</v>
          </cell>
          <cell r="E5398" t="str">
            <v>Benigno Q. Martir NHS</v>
          </cell>
          <cell r="F5398">
            <v>0</v>
          </cell>
          <cell r="G5398">
            <v>0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</row>
        <row r="5399">
          <cell r="D5399">
            <v>500847</v>
          </cell>
          <cell r="E5399" t="str">
            <v>Gupitan Integrated School</v>
          </cell>
          <cell r="F5399">
            <v>0</v>
          </cell>
          <cell r="G5399">
            <v>0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  <cell r="Y5399">
            <v>0</v>
          </cell>
          <cell r="Z5399">
            <v>0</v>
          </cell>
        </row>
        <row r="5400">
          <cell r="D5400">
            <v>304239</v>
          </cell>
          <cell r="E5400" t="str">
            <v>Limbaan NHS</v>
          </cell>
          <cell r="F5400">
            <v>0</v>
          </cell>
          <cell r="G5400">
            <v>0</v>
          </cell>
          <cell r="H5400">
            <v>0</v>
          </cell>
          <cell r="I5400">
            <v>0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  <cell r="Y5400">
            <v>0</v>
          </cell>
          <cell r="Z5400">
            <v>0</v>
          </cell>
        </row>
        <row r="5401">
          <cell r="D5401">
            <v>500849</v>
          </cell>
          <cell r="E5401" t="str">
            <v>Macgum Integrated School</v>
          </cell>
          <cell r="F5401">
            <v>0</v>
          </cell>
          <cell r="G5401">
            <v>0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</row>
        <row r="5402">
          <cell r="D5402">
            <v>315903</v>
          </cell>
          <cell r="E5402" t="str">
            <v>Anibongan NHS</v>
          </cell>
          <cell r="F5402">
            <v>0</v>
          </cell>
          <cell r="G5402">
            <v>0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</row>
        <row r="5403">
          <cell r="D5403">
            <v>315906</v>
          </cell>
          <cell r="E5403" t="str">
            <v>Pinamuno National High School</v>
          </cell>
          <cell r="F5403">
            <v>0</v>
          </cell>
          <cell r="G5403">
            <v>0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</row>
        <row r="5404">
          <cell r="D5404">
            <v>500450</v>
          </cell>
          <cell r="E5404" t="str">
            <v>Kinamayan IS</v>
          </cell>
          <cell r="F5404">
            <v>0</v>
          </cell>
          <cell r="G5404">
            <v>0</v>
          </cell>
          <cell r="H5404">
            <v>0</v>
          </cell>
          <cell r="I5404">
            <v>0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</row>
        <row r="5405">
          <cell r="D5405">
            <v>304249</v>
          </cell>
          <cell r="E5405" t="str">
            <v>Mesaoy NHS</v>
          </cell>
          <cell r="F5405">
            <v>0</v>
          </cell>
          <cell r="G5405">
            <v>0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  <cell r="Z5405">
            <v>0</v>
          </cell>
        </row>
        <row r="5406">
          <cell r="D5406">
            <v>304244</v>
          </cell>
          <cell r="E5406" t="str">
            <v>MABUHAY NATIONAL HIGH SCHOOL</v>
          </cell>
          <cell r="F5406">
            <v>0</v>
          </cell>
          <cell r="G5406">
            <v>0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  <cell r="Y5406">
            <v>0</v>
          </cell>
          <cell r="Z5406">
            <v>0</v>
          </cell>
        </row>
        <row r="5407">
          <cell r="D5407">
            <v>500852</v>
          </cell>
          <cell r="E5407" t="str">
            <v>Magwawa Integrated School</v>
          </cell>
          <cell r="F5407">
            <v>0</v>
          </cell>
          <cell r="G5407">
            <v>0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</row>
        <row r="5408">
          <cell r="D5408">
            <v>304243</v>
          </cell>
          <cell r="E5408" t="str">
            <v>Semong National High School</v>
          </cell>
          <cell r="F5408">
            <v>0</v>
          </cell>
          <cell r="G5408">
            <v>0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</row>
        <row r="5409">
          <cell r="D5409">
            <v>304215</v>
          </cell>
          <cell r="E5409" t="str">
            <v>Alejal National High School</v>
          </cell>
          <cell r="F5409">
            <v>0</v>
          </cell>
          <cell r="G5409">
            <v>0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</row>
        <row r="5410">
          <cell r="D5410">
            <v>304218</v>
          </cell>
          <cell r="E5410" t="str">
            <v>Sagayen NHS</v>
          </cell>
          <cell r="F5410">
            <v>0</v>
          </cell>
          <cell r="G5410">
            <v>0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</row>
        <row r="5411">
          <cell r="D5411">
            <v>304234</v>
          </cell>
          <cell r="E5411" t="str">
            <v>Baltazar Nicor Valenzuela NHS</v>
          </cell>
          <cell r="F5411">
            <v>0</v>
          </cell>
          <cell r="G5411">
            <v>0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</row>
        <row r="5412">
          <cell r="D5412">
            <v>301773</v>
          </cell>
          <cell r="E5412" t="str">
            <v>Dugayan NHS</v>
          </cell>
          <cell r="F5412">
            <v>0</v>
          </cell>
          <cell r="G5412">
            <v>0</v>
          </cell>
          <cell r="H5412">
            <v>0</v>
          </cell>
          <cell r="I5412">
            <v>0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</row>
        <row r="5413">
          <cell r="D5413">
            <v>304237</v>
          </cell>
          <cell r="E5413" t="str">
            <v>Kimamon National High School</v>
          </cell>
          <cell r="F5413">
            <v>0</v>
          </cell>
          <cell r="G5413">
            <v>0</v>
          </cell>
          <cell r="H5413">
            <v>0</v>
          </cell>
          <cell r="I5413">
            <v>0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</row>
        <row r="5414">
          <cell r="D5414">
            <v>315907</v>
          </cell>
          <cell r="E5414" t="str">
            <v>Sta. Fe National High School</v>
          </cell>
          <cell r="F5414">
            <v>0</v>
          </cell>
          <cell r="G5414">
            <v>0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  <cell r="Y5414">
            <v>0</v>
          </cell>
          <cell r="Z5414">
            <v>0</v>
          </cell>
        </row>
        <row r="5415">
          <cell r="D5415">
            <v>315902</v>
          </cell>
          <cell r="E5415" t="str">
            <v>Tulalian NHS</v>
          </cell>
          <cell r="F5415">
            <v>0</v>
          </cell>
          <cell r="G5415">
            <v>0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  <cell r="Y5415">
            <v>0</v>
          </cell>
          <cell r="Z5415">
            <v>0</v>
          </cell>
        </row>
        <row r="5416">
          <cell r="D5416">
            <v>304284</v>
          </cell>
          <cell r="E5416" t="str">
            <v>Lower Bala NHS</v>
          </cell>
          <cell r="F5416">
            <v>0</v>
          </cell>
          <cell r="G5416">
            <v>0</v>
          </cell>
          <cell r="H5416">
            <v>0</v>
          </cell>
          <cell r="I5416">
            <v>0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  <cell r="Y5416">
            <v>0</v>
          </cell>
          <cell r="Z5416">
            <v>0</v>
          </cell>
        </row>
        <row r="5417">
          <cell r="D5417">
            <v>316003</v>
          </cell>
          <cell r="E5417" t="str">
            <v>SALUD CAGAS TECH.&amp; VOC. H.S</v>
          </cell>
          <cell r="F5417">
            <v>53</v>
          </cell>
          <cell r="G5417">
            <v>58</v>
          </cell>
          <cell r="H5417">
            <v>111</v>
          </cell>
          <cell r="I5417">
            <v>0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  <cell r="Z5417">
            <v>0</v>
          </cell>
        </row>
        <row r="5418">
          <cell r="D5418">
            <v>316004</v>
          </cell>
          <cell r="E5418" t="str">
            <v>SACUB National High School</v>
          </cell>
          <cell r="F5418">
            <v>0</v>
          </cell>
          <cell r="G5418">
            <v>0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</row>
        <row r="5419">
          <cell r="D5419">
            <v>304263</v>
          </cell>
          <cell r="E5419" t="str">
            <v>Federico Yap National High School</v>
          </cell>
          <cell r="F5419">
            <v>0</v>
          </cell>
          <cell r="G5419">
            <v>0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</row>
        <row r="5420">
          <cell r="D5420">
            <v>304277</v>
          </cell>
          <cell r="E5420" t="str">
            <v>Ihan NHS</v>
          </cell>
          <cell r="F5420">
            <v>0</v>
          </cell>
          <cell r="G5420">
            <v>0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</row>
        <row r="5421">
          <cell r="D5421">
            <v>316002</v>
          </cell>
          <cell r="E5421" t="str">
            <v>Padada NHS</v>
          </cell>
          <cell r="F5421">
            <v>0</v>
          </cell>
          <cell r="G5421">
            <v>0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</row>
        <row r="5422">
          <cell r="D5422">
            <v>304265</v>
          </cell>
          <cell r="E5422" t="str">
            <v>Barayong National High School</v>
          </cell>
          <cell r="F5422">
            <v>0</v>
          </cell>
          <cell r="G5422">
            <v>0</v>
          </cell>
          <cell r="H5422">
            <v>0</v>
          </cell>
          <cell r="I5422">
            <v>0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</row>
        <row r="5423">
          <cell r="D5423">
            <v>304297</v>
          </cell>
          <cell r="E5423" t="str">
            <v>Sulop NHS</v>
          </cell>
          <cell r="F5423">
            <v>0</v>
          </cell>
          <cell r="G5423">
            <v>0</v>
          </cell>
          <cell r="H5423">
            <v>0</v>
          </cell>
          <cell r="I5423">
            <v>0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</row>
        <row r="5424">
          <cell r="D5424">
            <v>316013</v>
          </cell>
          <cell r="E5424" t="str">
            <v>Mabuhay National High School</v>
          </cell>
          <cell r="F5424">
            <v>0</v>
          </cell>
          <cell r="G5424">
            <v>0</v>
          </cell>
          <cell r="H5424">
            <v>0</v>
          </cell>
          <cell r="I5424">
            <v>0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</row>
        <row r="5425">
          <cell r="D5425">
            <v>304285</v>
          </cell>
          <cell r="E5425" t="str">
            <v>Pedro A. Arches NHS</v>
          </cell>
          <cell r="F5425">
            <v>0</v>
          </cell>
          <cell r="G5425">
            <v>0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</row>
        <row r="5426">
          <cell r="D5426">
            <v>304280</v>
          </cell>
          <cell r="E5426" t="str">
            <v>Tudaya National High School</v>
          </cell>
          <cell r="F5426">
            <v>0</v>
          </cell>
          <cell r="G5426">
            <v>0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</row>
        <row r="5427">
          <cell r="D5427">
            <v>304295</v>
          </cell>
          <cell r="E5427" t="str">
            <v>Bato NHS</v>
          </cell>
          <cell r="F5427">
            <v>0</v>
          </cell>
          <cell r="G5427">
            <v>0</v>
          </cell>
          <cell r="H5427">
            <v>0</v>
          </cell>
          <cell r="I5427">
            <v>0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</row>
        <row r="5428">
          <cell r="D5428">
            <v>316001</v>
          </cell>
          <cell r="E5428" t="str">
            <v>Molopolo National High School</v>
          </cell>
          <cell r="F5428">
            <v>0</v>
          </cell>
          <cell r="G5428">
            <v>0</v>
          </cell>
          <cell r="H5428">
            <v>0</v>
          </cell>
          <cell r="I5428">
            <v>0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</row>
        <row r="5429">
          <cell r="D5429">
            <v>304274</v>
          </cell>
          <cell r="E5429" t="str">
            <v>Gov. N. Llanos NHS</v>
          </cell>
          <cell r="F5429">
            <v>0</v>
          </cell>
          <cell r="G5429">
            <v>0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</row>
        <row r="5430">
          <cell r="D5430">
            <v>304294</v>
          </cell>
          <cell r="E5430" t="str">
            <v>Sta. Cruz National High School</v>
          </cell>
          <cell r="F5430">
            <v>0</v>
          </cell>
          <cell r="G5430">
            <v>0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</row>
        <row r="5431">
          <cell r="D5431">
            <v>304275</v>
          </cell>
          <cell r="E5431" t="str">
            <v>Hagonoy National High School</v>
          </cell>
          <cell r="F5431">
            <v>0</v>
          </cell>
          <cell r="G5431">
            <v>0</v>
          </cell>
          <cell r="H5431">
            <v>0</v>
          </cell>
          <cell r="I5431">
            <v>0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</row>
        <row r="5432">
          <cell r="D5432">
            <v>304286</v>
          </cell>
          <cell r="E5432" t="str">
            <v>Marber NHS</v>
          </cell>
          <cell r="F5432">
            <v>0</v>
          </cell>
          <cell r="G5432">
            <v>0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</row>
        <row r="5433">
          <cell r="D5433">
            <v>304278</v>
          </cell>
          <cell r="E5433" t="str">
            <v>Inawayan National High School</v>
          </cell>
          <cell r="F5433">
            <v>0</v>
          </cell>
          <cell r="G5433">
            <v>0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</row>
        <row r="5434">
          <cell r="D5434">
            <v>304288</v>
          </cell>
          <cell r="E5434" t="str">
            <v>Matanao National High School</v>
          </cell>
          <cell r="F5434">
            <v>0</v>
          </cell>
          <cell r="G5434">
            <v>0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  <cell r="Y5434">
            <v>0</v>
          </cell>
          <cell r="Z5434">
            <v>0</v>
          </cell>
        </row>
        <row r="5435">
          <cell r="D5435">
            <v>304279</v>
          </cell>
          <cell r="E5435" t="str">
            <v>Sibulan National High School</v>
          </cell>
          <cell r="F5435">
            <v>0</v>
          </cell>
          <cell r="G5435">
            <v>0</v>
          </cell>
          <cell r="H5435">
            <v>0</v>
          </cell>
          <cell r="I5435">
            <v>0</v>
          </cell>
          <cell r="J5435">
            <v>0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  <cell r="Y5435">
            <v>0</v>
          </cell>
          <cell r="Z5435">
            <v>0</v>
          </cell>
        </row>
        <row r="5436">
          <cell r="D5436">
            <v>304290</v>
          </cell>
          <cell r="E5436" t="str">
            <v>Sinawilan NHS</v>
          </cell>
          <cell r="F5436">
            <v>0</v>
          </cell>
          <cell r="G5436">
            <v>0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</row>
        <row r="5437">
          <cell r="D5437">
            <v>304270</v>
          </cell>
          <cell r="E5437" t="str">
            <v>Davao Del Sur SOF</v>
          </cell>
          <cell r="F5437">
            <v>0</v>
          </cell>
          <cell r="G5437">
            <v>0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</row>
        <row r="5438">
          <cell r="D5438">
            <v>304298</v>
          </cell>
          <cell r="E5438" t="str">
            <v>Tacul Agricultural High School</v>
          </cell>
          <cell r="F5438">
            <v>0</v>
          </cell>
          <cell r="G5438">
            <v>0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</row>
        <row r="5439">
          <cell r="D5439">
            <v>316005</v>
          </cell>
          <cell r="E5439" t="str">
            <v>Felipe-Inocencia Deluao NHS</v>
          </cell>
          <cell r="F5439">
            <v>0</v>
          </cell>
          <cell r="G5439">
            <v>0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</row>
        <row r="5440">
          <cell r="D5440">
            <v>304289</v>
          </cell>
          <cell r="E5440" t="str">
            <v>Bangkal NHS</v>
          </cell>
          <cell r="F5440">
            <v>0</v>
          </cell>
          <cell r="G5440">
            <v>0</v>
          </cell>
          <cell r="H5440">
            <v>0</v>
          </cell>
          <cell r="I5440">
            <v>0</v>
          </cell>
          <cell r="J5440">
            <v>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</row>
        <row r="5441">
          <cell r="D5441">
            <v>304340</v>
          </cell>
          <cell r="E5441" t="str">
            <v>Tibanban NHS</v>
          </cell>
          <cell r="F5441">
            <v>0</v>
          </cell>
          <cell r="G5441">
            <v>0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</row>
        <row r="5442">
          <cell r="D5442">
            <v>316105</v>
          </cell>
          <cell r="E5442" t="str">
            <v>Paniquian NHS</v>
          </cell>
          <cell r="F5442">
            <v>12</v>
          </cell>
          <cell r="G5442">
            <v>3</v>
          </cell>
          <cell r="H5442">
            <v>15</v>
          </cell>
          <cell r="I5442">
            <v>11</v>
          </cell>
          <cell r="J5442">
            <v>3</v>
          </cell>
          <cell r="K5442">
            <v>14</v>
          </cell>
          <cell r="L5442">
            <v>73</v>
          </cell>
          <cell r="M5442">
            <v>30</v>
          </cell>
          <cell r="N5442">
            <v>103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4</v>
          </cell>
          <cell r="V5442">
            <v>4</v>
          </cell>
          <cell r="W5442">
            <v>8</v>
          </cell>
          <cell r="X5442">
            <v>0</v>
          </cell>
          <cell r="Y5442">
            <v>0</v>
          </cell>
          <cell r="Z5442">
            <v>0</v>
          </cell>
        </row>
        <row r="5443">
          <cell r="D5443">
            <v>304322</v>
          </cell>
          <cell r="E5443" t="str">
            <v>Luzon National High School</v>
          </cell>
          <cell r="F5443">
            <v>0</v>
          </cell>
          <cell r="G5443">
            <v>0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</row>
        <row r="5444">
          <cell r="D5444">
            <v>316109</v>
          </cell>
          <cell r="E5444" t="str">
            <v>Tagboa Agri-Vocational High School</v>
          </cell>
          <cell r="F5444">
            <v>0</v>
          </cell>
          <cell r="G5444">
            <v>0</v>
          </cell>
          <cell r="H5444">
            <v>0</v>
          </cell>
          <cell r="I5444">
            <v>0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  <cell r="Z5444">
            <v>0</v>
          </cell>
        </row>
        <row r="5445">
          <cell r="D5445">
            <v>316101</v>
          </cell>
          <cell r="E5445" t="str">
            <v>Marayag NHS</v>
          </cell>
          <cell r="F5445">
            <v>0</v>
          </cell>
          <cell r="G5445">
            <v>0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</row>
        <row r="5446">
          <cell r="D5446">
            <v>304331</v>
          </cell>
          <cell r="E5446" t="str">
            <v>Puntalinao National High School</v>
          </cell>
          <cell r="F5446">
            <v>0</v>
          </cell>
          <cell r="G5446">
            <v>0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</row>
        <row r="5447">
          <cell r="D5447">
            <v>304320</v>
          </cell>
          <cell r="E5447" t="str">
            <v>Bagumbayan Agro-Ind. HS</v>
          </cell>
          <cell r="F5447">
            <v>13</v>
          </cell>
          <cell r="G5447">
            <v>12</v>
          </cell>
          <cell r="H5447">
            <v>25</v>
          </cell>
          <cell r="I5447">
            <v>13</v>
          </cell>
          <cell r="J5447">
            <v>7</v>
          </cell>
          <cell r="K5447">
            <v>20</v>
          </cell>
          <cell r="L5447">
            <v>0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</row>
        <row r="5448">
          <cell r="D5448">
            <v>304329</v>
          </cell>
          <cell r="E5448" t="str">
            <v>Nangan NHS</v>
          </cell>
          <cell r="F5448">
            <v>0</v>
          </cell>
          <cell r="G5448">
            <v>0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</row>
        <row r="5449">
          <cell r="D5449">
            <v>304321</v>
          </cell>
          <cell r="E5449" t="str">
            <v>Lupon NCHS</v>
          </cell>
          <cell r="F5449">
            <v>0</v>
          </cell>
          <cell r="G5449">
            <v>0</v>
          </cell>
          <cell r="H5449">
            <v>0</v>
          </cell>
          <cell r="I5449">
            <v>0</v>
          </cell>
          <cell r="J5449">
            <v>0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</row>
        <row r="5450">
          <cell r="D5450">
            <v>304332</v>
          </cell>
          <cell r="E5450" t="str">
            <v>San Isidro NHS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</row>
        <row r="5451">
          <cell r="D5451">
            <v>304323</v>
          </cell>
          <cell r="E5451" t="str">
            <v>Macangao Agri. VHS</v>
          </cell>
          <cell r="F5451">
            <v>28</v>
          </cell>
          <cell r="G5451">
            <v>23</v>
          </cell>
          <cell r="H5451">
            <v>51</v>
          </cell>
          <cell r="I5451">
            <v>7</v>
          </cell>
          <cell r="J5451">
            <v>8</v>
          </cell>
          <cell r="K5451">
            <v>15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</row>
        <row r="5452">
          <cell r="D5452">
            <v>316106</v>
          </cell>
          <cell r="E5452" t="str">
            <v>Don Mariano Marcos NHS</v>
          </cell>
          <cell r="F5452">
            <v>12</v>
          </cell>
          <cell r="G5452">
            <v>0</v>
          </cell>
          <cell r="H5452">
            <v>12</v>
          </cell>
          <cell r="I5452">
            <v>12</v>
          </cell>
          <cell r="J5452">
            <v>0</v>
          </cell>
          <cell r="K5452">
            <v>12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</row>
        <row r="5453">
          <cell r="D5453">
            <v>304309</v>
          </cell>
          <cell r="E5453" t="str">
            <v>Cateel National Agricultural High School</v>
          </cell>
          <cell r="F5453">
            <v>22</v>
          </cell>
          <cell r="G5453">
            <v>18</v>
          </cell>
          <cell r="H5453">
            <v>40</v>
          </cell>
          <cell r="I5453">
            <v>9</v>
          </cell>
          <cell r="J5453">
            <v>7</v>
          </cell>
          <cell r="K5453">
            <v>16</v>
          </cell>
          <cell r="L5453">
            <v>9</v>
          </cell>
          <cell r="M5453">
            <v>7</v>
          </cell>
          <cell r="N5453">
            <v>16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</row>
        <row r="5454">
          <cell r="D5454">
            <v>316108</v>
          </cell>
          <cell r="E5454" t="str">
            <v>Lavigan National High School</v>
          </cell>
          <cell r="F5454">
            <v>0</v>
          </cell>
          <cell r="G5454">
            <v>0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  <cell r="Z5454">
            <v>0</v>
          </cell>
        </row>
        <row r="5455">
          <cell r="D5455">
            <v>304330</v>
          </cell>
          <cell r="E5455" t="str">
            <v>Pundaguitan National High School</v>
          </cell>
          <cell r="F5455">
            <v>0</v>
          </cell>
          <cell r="G5455">
            <v>0</v>
          </cell>
          <cell r="H5455">
            <v>0</v>
          </cell>
          <cell r="I5455">
            <v>0</v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  <cell r="Y5455">
            <v>0</v>
          </cell>
          <cell r="Z5455">
            <v>0</v>
          </cell>
        </row>
        <row r="5456">
          <cell r="D5456">
            <v>304312</v>
          </cell>
          <cell r="E5456" t="str">
            <v>Crispin E. Rojas National High School</v>
          </cell>
          <cell r="F5456">
            <v>14</v>
          </cell>
          <cell r="G5456">
            <v>12</v>
          </cell>
          <cell r="H5456">
            <v>26</v>
          </cell>
          <cell r="I5456">
            <v>14</v>
          </cell>
          <cell r="J5456">
            <v>12</v>
          </cell>
          <cell r="K5456">
            <v>26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</row>
        <row r="5457">
          <cell r="D5457">
            <v>304306</v>
          </cell>
          <cell r="E5457" t="str">
            <v>Calapagan NHS</v>
          </cell>
          <cell r="F5457">
            <v>0</v>
          </cell>
          <cell r="G5457">
            <v>0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</row>
        <row r="5458">
          <cell r="D5458">
            <v>304310</v>
          </cell>
          <cell r="E5458" t="str">
            <v>San Antonio NHS</v>
          </cell>
          <cell r="F5458">
            <v>25</v>
          </cell>
          <cell r="G5458">
            <v>29</v>
          </cell>
          <cell r="H5458">
            <v>54</v>
          </cell>
          <cell r="I5458">
            <v>10</v>
          </cell>
          <cell r="J5458">
            <v>11</v>
          </cell>
          <cell r="K5458">
            <v>21</v>
          </cell>
          <cell r="L5458">
            <v>10</v>
          </cell>
          <cell r="M5458">
            <v>11</v>
          </cell>
          <cell r="N5458">
            <v>21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</row>
        <row r="5459">
          <cell r="D5459">
            <v>304315</v>
          </cell>
          <cell r="E5459" t="str">
            <v>Evaristo Moralizon National  Vocational  High School</v>
          </cell>
          <cell r="F5459">
            <v>0</v>
          </cell>
          <cell r="G5459">
            <v>0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</row>
        <row r="5460">
          <cell r="D5460">
            <v>316113</v>
          </cell>
          <cell r="E5460" t="str">
            <v>Paulina Gambong Abayon NHS</v>
          </cell>
          <cell r="F5460">
            <v>0</v>
          </cell>
          <cell r="G5460">
            <v>0</v>
          </cell>
          <cell r="H5460">
            <v>0</v>
          </cell>
          <cell r="I5460">
            <v>0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</row>
        <row r="5461">
          <cell r="D5461">
            <v>304311</v>
          </cell>
          <cell r="E5461" t="str">
            <v>Cateel Vocational High School</v>
          </cell>
          <cell r="F5461">
            <v>149</v>
          </cell>
          <cell r="G5461">
            <v>90</v>
          </cell>
          <cell r="H5461">
            <v>239</v>
          </cell>
          <cell r="I5461">
            <v>149</v>
          </cell>
          <cell r="J5461">
            <v>90</v>
          </cell>
          <cell r="K5461">
            <v>239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</row>
        <row r="5462">
          <cell r="D5462">
            <v>304336</v>
          </cell>
          <cell r="E5462" t="str">
            <v>Sigaboy Agri. Voc. HS</v>
          </cell>
          <cell r="F5462">
            <v>0</v>
          </cell>
          <cell r="G5462">
            <v>0</v>
          </cell>
          <cell r="H5462">
            <v>0</v>
          </cell>
          <cell r="I5462">
            <v>0</v>
          </cell>
          <cell r="J5462">
            <v>0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</row>
        <row r="5463">
          <cell r="D5463">
            <v>304339</v>
          </cell>
          <cell r="E5463" t="str">
            <v>Tarragona National High School</v>
          </cell>
          <cell r="F5463">
            <v>0</v>
          </cell>
          <cell r="G5463">
            <v>0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</row>
        <row r="5464">
          <cell r="D5464">
            <v>304324</v>
          </cell>
          <cell r="E5464" t="str">
            <v>Manay National High School</v>
          </cell>
          <cell r="F5464">
            <v>30</v>
          </cell>
          <cell r="G5464">
            <v>25</v>
          </cell>
          <cell r="H5464">
            <v>55</v>
          </cell>
          <cell r="I5464">
            <v>0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  <cell r="Y5464">
            <v>0</v>
          </cell>
          <cell r="Z5464">
            <v>0</v>
          </cell>
        </row>
        <row r="5465">
          <cell r="D5465">
            <v>304316</v>
          </cell>
          <cell r="E5465" t="str">
            <v>DR. BEATO C. MACAYRA NATIONAL HIGH SCHOOL</v>
          </cell>
          <cell r="F5465">
            <v>0</v>
          </cell>
          <cell r="G5465">
            <v>0</v>
          </cell>
          <cell r="H5465">
            <v>0</v>
          </cell>
          <cell r="I5465">
            <v>0</v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</row>
        <row r="5466">
          <cell r="D5466">
            <v>304334</v>
          </cell>
          <cell r="E5466" t="str">
            <v>Sangab National High School</v>
          </cell>
          <cell r="F5466">
            <v>0</v>
          </cell>
          <cell r="G5466">
            <v>0</v>
          </cell>
          <cell r="H5466">
            <v>0</v>
          </cell>
          <cell r="I5466">
            <v>0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</row>
        <row r="5467">
          <cell r="D5467">
            <v>304300</v>
          </cell>
          <cell r="E5467" t="str">
            <v>Baganga NHS</v>
          </cell>
          <cell r="F5467">
            <v>309</v>
          </cell>
          <cell r="G5467">
            <v>297</v>
          </cell>
          <cell r="H5467">
            <v>606</v>
          </cell>
          <cell r="I5467">
            <v>82</v>
          </cell>
          <cell r="J5467">
            <v>70</v>
          </cell>
          <cell r="K5467">
            <v>152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</row>
        <row r="5468">
          <cell r="D5468">
            <v>304299</v>
          </cell>
          <cell r="E5468" t="str">
            <v>Baculin NHS</v>
          </cell>
          <cell r="F5468">
            <v>0</v>
          </cell>
          <cell r="G5468">
            <v>0</v>
          </cell>
          <cell r="H5468">
            <v>0</v>
          </cell>
          <cell r="I5468">
            <v>0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</row>
        <row r="5469">
          <cell r="D5469">
            <v>316102</v>
          </cell>
          <cell r="E5469" t="str">
            <v>Del Pilar NHS</v>
          </cell>
          <cell r="F5469">
            <v>0</v>
          </cell>
          <cell r="G5469">
            <v>0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</row>
        <row r="5470">
          <cell r="D5470">
            <v>304335</v>
          </cell>
          <cell r="E5470" t="str">
            <v>Santiago National High School</v>
          </cell>
          <cell r="F5470">
            <v>0</v>
          </cell>
          <cell r="G5470">
            <v>0</v>
          </cell>
          <cell r="H5470">
            <v>0</v>
          </cell>
          <cell r="I5470">
            <v>0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</row>
        <row r="5471">
          <cell r="D5471">
            <v>304333</v>
          </cell>
          <cell r="E5471" t="str">
            <v>San Luis NHS</v>
          </cell>
          <cell r="F5471">
            <v>0</v>
          </cell>
          <cell r="G5471">
            <v>0</v>
          </cell>
          <cell r="H5471">
            <v>0</v>
          </cell>
          <cell r="I5471">
            <v>0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</row>
        <row r="5472">
          <cell r="D5472">
            <v>304304</v>
          </cell>
          <cell r="E5472" t="str">
            <v>Boston NHS</v>
          </cell>
          <cell r="F5472">
            <v>0</v>
          </cell>
          <cell r="G5472">
            <v>0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</row>
        <row r="5473">
          <cell r="D5473">
            <v>304301</v>
          </cell>
          <cell r="E5473" t="str">
            <v>Manuel B.Guiñez  Sr. NHS</v>
          </cell>
          <cell r="F5473">
            <v>0</v>
          </cell>
          <cell r="G5473">
            <v>0</v>
          </cell>
          <cell r="H5473">
            <v>0</v>
          </cell>
          <cell r="I5473">
            <v>0</v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  <cell r="Z5473">
            <v>0</v>
          </cell>
        </row>
        <row r="5474">
          <cell r="D5474">
            <v>304308</v>
          </cell>
          <cell r="E5474" t="str">
            <v>Pantuyan NHS</v>
          </cell>
          <cell r="F5474">
            <v>0</v>
          </cell>
          <cell r="G5474">
            <v>0</v>
          </cell>
          <cell r="H5474">
            <v>0</v>
          </cell>
          <cell r="I5474">
            <v>0</v>
          </cell>
          <cell r="J5474">
            <v>0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  <cell r="Y5474">
            <v>0</v>
          </cell>
          <cell r="Z5474">
            <v>0</v>
          </cell>
        </row>
        <row r="5475">
          <cell r="D5475">
            <v>304307</v>
          </cell>
          <cell r="E5475" t="str">
            <v>Caraga National High School</v>
          </cell>
          <cell r="F5475">
            <v>5</v>
          </cell>
          <cell r="G5475">
            <v>6</v>
          </cell>
          <cell r="H5475">
            <v>11</v>
          </cell>
          <cell r="I5475">
            <v>5</v>
          </cell>
          <cell r="J5475">
            <v>6</v>
          </cell>
          <cell r="K5475">
            <v>11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  <cell r="Y5475">
            <v>0</v>
          </cell>
          <cell r="Z5475">
            <v>0</v>
          </cell>
        </row>
        <row r="5476">
          <cell r="D5476">
            <v>304337</v>
          </cell>
          <cell r="E5476" t="str">
            <v>Tagugpo NHS</v>
          </cell>
          <cell r="F5476">
            <v>36</v>
          </cell>
          <cell r="G5476">
            <v>0</v>
          </cell>
          <cell r="H5476">
            <v>36</v>
          </cell>
          <cell r="I5476">
            <v>6</v>
          </cell>
          <cell r="J5476">
            <v>0</v>
          </cell>
          <cell r="K5476">
            <v>6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</row>
        <row r="5477">
          <cell r="D5477">
            <v>316107</v>
          </cell>
          <cell r="E5477" t="str">
            <v>Leandro G. Japos NHS</v>
          </cell>
          <cell r="F5477">
            <v>0</v>
          </cell>
          <cell r="G5477">
            <v>0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  <cell r="Y5477">
            <v>0</v>
          </cell>
          <cell r="Z5477">
            <v>0</v>
          </cell>
        </row>
        <row r="5478">
          <cell r="D5478">
            <v>304319</v>
          </cell>
          <cell r="E5478" t="str">
            <v>Lupon Vocational High School</v>
          </cell>
          <cell r="F5478">
            <v>0</v>
          </cell>
          <cell r="G5478">
            <v>0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12</v>
          </cell>
          <cell r="V5478">
            <v>10</v>
          </cell>
          <cell r="W5478">
            <v>22</v>
          </cell>
          <cell r="X5478">
            <v>12</v>
          </cell>
          <cell r="Y5478">
            <v>10</v>
          </cell>
          <cell r="Z5478">
            <v>22</v>
          </cell>
        </row>
        <row r="5479">
          <cell r="D5479">
            <v>304317</v>
          </cell>
          <cell r="E5479" t="str">
            <v>Manuel S. Nasser Sr. National High School</v>
          </cell>
          <cell r="F5479">
            <v>0</v>
          </cell>
          <cell r="G5479">
            <v>0</v>
          </cell>
          <cell r="H5479">
            <v>0</v>
          </cell>
          <cell r="I5479">
            <v>0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  <cell r="Z5479">
            <v>0</v>
          </cell>
        </row>
        <row r="5480">
          <cell r="D5480">
            <v>304302</v>
          </cell>
          <cell r="E5480" t="str">
            <v>Bitaogan NHS</v>
          </cell>
          <cell r="F5480">
            <v>0</v>
          </cell>
          <cell r="G5480">
            <v>0</v>
          </cell>
          <cell r="H5480">
            <v>0</v>
          </cell>
          <cell r="I5480">
            <v>0</v>
          </cell>
          <cell r="J5480">
            <v>0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  <cell r="Y5480">
            <v>0</v>
          </cell>
          <cell r="Z5480">
            <v>0</v>
          </cell>
        </row>
        <row r="5481">
          <cell r="D5481">
            <v>316103</v>
          </cell>
          <cell r="E5481" t="str">
            <v>Old Macopa NHS</v>
          </cell>
          <cell r="F5481">
            <v>0</v>
          </cell>
          <cell r="G5481">
            <v>0</v>
          </cell>
          <cell r="H5481">
            <v>0</v>
          </cell>
          <cell r="I5481">
            <v>0</v>
          </cell>
          <cell r="J5481">
            <v>0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  <cell r="Y5481">
            <v>0</v>
          </cell>
          <cell r="Z5481">
            <v>0</v>
          </cell>
        </row>
        <row r="5482">
          <cell r="D5482">
            <v>304357</v>
          </cell>
          <cell r="E5482" t="str">
            <v>E. B. Lopez Mem. NHS</v>
          </cell>
          <cell r="F5482">
            <v>0</v>
          </cell>
          <cell r="G5482">
            <v>0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</row>
        <row r="5483">
          <cell r="D5483">
            <v>304391</v>
          </cell>
          <cell r="E5483" t="str">
            <v>Leon Garcia, Sr. NHS</v>
          </cell>
          <cell r="F5483">
            <v>0</v>
          </cell>
          <cell r="G5483">
            <v>0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</row>
        <row r="5484">
          <cell r="D5484">
            <v>316213</v>
          </cell>
          <cell r="E5484" t="str">
            <v>MAHAYAG NATIONAL HIGH SCHOOL</v>
          </cell>
          <cell r="F5484">
            <v>0</v>
          </cell>
          <cell r="G5484">
            <v>0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</row>
        <row r="5485">
          <cell r="D5485">
            <v>316212</v>
          </cell>
          <cell r="E5485" t="str">
            <v>JOSE T. QUIBOLOY SR. NATIONAL HIGH SCHOOL</v>
          </cell>
          <cell r="F5485">
            <v>70</v>
          </cell>
          <cell r="G5485">
            <v>40</v>
          </cell>
          <cell r="H5485">
            <v>110</v>
          </cell>
          <cell r="I5485">
            <v>0</v>
          </cell>
          <cell r="J5485">
            <v>0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</row>
        <row r="5486">
          <cell r="D5486">
            <v>304365</v>
          </cell>
          <cell r="E5486" t="str">
            <v>Erico T. Nograles NHS</v>
          </cell>
          <cell r="F5486">
            <v>0</v>
          </cell>
          <cell r="G5486">
            <v>0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</row>
        <row r="5487">
          <cell r="D5487">
            <v>304396</v>
          </cell>
          <cell r="E5487" t="str">
            <v>Talomo National High School</v>
          </cell>
          <cell r="F5487">
            <v>0</v>
          </cell>
          <cell r="G5487">
            <v>0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</row>
        <row r="5488">
          <cell r="D5488">
            <v>304346</v>
          </cell>
          <cell r="E5488" t="str">
            <v>Cabantian NHS</v>
          </cell>
          <cell r="F5488">
            <v>61</v>
          </cell>
          <cell r="G5488">
            <v>45</v>
          </cell>
          <cell r="H5488">
            <v>106</v>
          </cell>
          <cell r="I5488">
            <v>11</v>
          </cell>
          <cell r="J5488">
            <v>13</v>
          </cell>
          <cell r="K5488">
            <v>24</v>
          </cell>
          <cell r="L5488">
            <v>11</v>
          </cell>
          <cell r="M5488">
            <v>13</v>
          </cell>
          <cell r="N5488">
            <v>24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</row>
        <row r="5489">
          <cell r="D5489">
            <v>301717</v>
          </cell>
          <cell r="E5489" t="str">
            <v>Magtuod National High School</v>
          </cell>
          <cell r="F5489">
            <v>0</v>
          </cell>
          <cell r="G5489">
            <v>0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</row>
        <row r="5490">
          <cell r="D5490">
            <v>304388</v>
          </cell>
          <cell r="E5490" t="str">
            <v>Optaciano Hilay NHS</v>
          </cell>
          <cell r="F5490">
            <v>0</v>
          </cell>
          <cell r="G5490">
            <v>0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</row>
        <row r="5491">
          <cell r="D5491">
            <v>304397</v>
          </cell>
          <cell r="E5491" t="str">
            <v>Telesforo Singson NHS</v>
          </cell>
          <cell r="F5491">
            <v>0</v>
          </cell>
          <cell r="G5491">
            <v>0</v>
          </cell>
          <cell r="H5491">
            <v>0</v>
          </cell>
          <cell r="I5491">
            <v>0</v>
          </cell>
          <cell r="J5491">
            <v>0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</row>
        <row r="5492">
          <cell r="D5492">
            <v>304378</v>
          </cell>
          <cell r="E5492" t="str">
            <v>GOV. VICENTE DUTERTE NATIONAL HIGH SCHOOL</v>
          </cell>
          <cell r="F5492">
            <v>0</v>
          </cell>
          <cell r="G5492">
            <v>0</v>
          </cell>
          <cell r="H5492">
            <v>0</v>
          </cell>
          <cell r="I5492">
            <v>0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</row>
        <row r="5493">
          <cell r="D5493">
            <v>304393</v>
          </cell>
          <cell r="E5493" t="str">
            <v>Sta. Ana National High School</v>
          </cell>
          <cell r="F5493">
            <v>0</v>
          </cell>
          <cell r="G5493">
            <v>0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</row>
        <row r="5494">
          <cell r="D5494">
            <v>316208</v>
          </cell>
          <cell r="E5494" t="str">
            <v>Suawan High School</v>
          </cell>
          <cell r="F5494">
            <v>0</v>
          </cell>
          <cell r="G5494">
            <v>0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  <cell r="Y5494">
            <v>0</v>
          </cell>
          <cell r="Z5494">
            <v>0</v>
          </cell>
        </row>
        <row r="5495">
          <cell r="D5495">
            <v>304355</v>
          </cell>
          <cell r="E5495" t="str">
            <v>Wangan National High School</v>
          </cell>
          <cell r="F5495">
            <v>0</v>
          </cell>
          <cell r="G5495">
            <v>0</v>
          </cell>
          <cell r="H5495">
            <v>0</v>
          </cell>
          <cell r="I5495">
            <v>0</v>
          </cell>
          <cell r="J5495">
            <v>0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  <cell r="Y5495">
            <v>0</v>
          </cell>
          <cell r="Z5495">
            <v>0</v>
          </cell>
        </row>
        <row r="5496">
          <cell r="D5496">
            <v>304367</v>
          </cell>
          <cell r="E5496" t="str">
            <v>Dr. Santiago Dakudao Sr. National High School</v>
          </cell>
          <cell r="F5496">
            <v>0</v>
          </cell>
          <cell r="G5496">
            <v>0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</row>
        <row r="5497">
          <cell r="D5497">
            <v>304356</v>
          </cell>
          <cell r="E5497" t="str">
            <v>Crossing Bayabas National High School</v>
          </cell>
          <cell r="F5497">
            <v>0</v>
          </cell>
          <cell r="G5497">
            <v>0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</row>
        <row r="5498">
          <cell r="D5498">
            <v>304375</v>
          </cell>
          <cell r="E5498" t="str">
            <v>MAA NATIONAL HIGH SCHOOL</v>
          </cell>
          <cell r="F5498">
            <v>0</v>
          </cell>
          <cell r="G5498">
            <v>0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</row>
        <row r="5499">
          <cell r="D5499">
            <v>304347</v>
          </cell>
          <cell r="E5499" t="str">
            <v>Biao NHS</v>
          </cell>
          <cell r="F5499">
            <v>0</v>
          </cell>
          <cell r="G5499">
            <v>0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</row>
        <row r="5500">
          <cell r="D5500">
            <v>304348</v>
          </cell>
          <cell r="E5500" t="str">
            <v>Talandang National High School</v>
          </cell>
          <cell r="F5500">
            <v>0</v>
          </cell>
          <cell r="G5500">
            <v>0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</row>
        <row r="5501">
          <cell r="D5501">
            <v>304358</v>
          </cell>
          <cell r="E5501" t="str">
            <v>Dacudao National High School</v>
          </cell>
          <cell r="F5501">
            <v>0</v>
          </cell>
          <cell r="G5501">
            <v>0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</row>
        <row r="5502">
          <cell r="D5502">
            <v>304341</v>
          </cell>
          <cell r="E5502" t="str">
            <v>ALEJANDRA L. NAVARRO NHS</v>
          </cell>
          <cell r="F5502">
            <v>0</v>
          </cell>
          <cell r="G5502">
            <v>0</v>
          </cell>
          <cell r="H5502">
            <v>0</v>
          </cell>
          <cell r="I5502">
            <v>0</v>
          </cell>
          <cell r="J5502">
            <v>0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</row>
        <row r="5503">
          <cell r="D5503">
            <v>304343</v>
          </cell>
          <cell r="E5503" t="str">
            <v>Baguio National School of Arts and Trades</v>
          </cell>
          <cell r="F5503">
            <v>0</v>
          </cell>
          <cell r="G5503">
            <v>0</v>
          </cell>
          <cell r="H5503">
            <v>0</v>
          </cell>
          <cell r="I5503">
            <v>0</v>
          </cell>
          <cell r="J5503">
            <v>0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</row>
        <row r="5504">
          <cell r="D5504">
            <v>304385</v>
          </cell>
          <cell r="E5504" t="str">
            <v>Mintal Comprehensive High School</v>
          </cell>
          <cell r="F5504">
            <v>0</v>
          </cell>
          <cell r="G5504">
            <v>0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</row>
        <row r="5505">
          <cell r="D5505">
            <v>304381</v>
          </cell>
          <cell r="E5505" t="str">
            <v>Marilog High School of Agriculture (Tech-Voc School)</v>
          </cell>
          <cell r="F5505">
            <v>0</v>
          </cell>
          <cell r="G5505">
            <v>0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</row>
        <row r="5506">
          <cell r="D5506">
            <v>304377</v>
          </cell>
          <cell r="E5506" t="str">
            <v>JESUS J. SORIANO NATIONAL HIGH SCHOOL</v>
          </cell>
          <cell r="F5506">
            <v>0</v>
          </cell>
          <cell r="G5506">
            <v>0</v>
          </cell>
          <cell r="H5506">
            <v>0</v>
          </cell>
          <cell r="I5506">
            <v>0</v>
          </cell>
          <cell r="J5506">
            <v>0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</row>
        <row r="5507">
          <cell r="D5507">
            <v>304363</v>
          </cell>
          <cell r="E5507" t="str">
            <v>Davao City Special National High School</v>
          </cell>
          <cell r="F5507">
            <v>0</v>
          </cell>
          <cell r="G5507">
            <v>0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</row>
        <row r="5508">
          <cell r="D5508">
            <v>304361</v>
          </cell>
          <cell r="E5508" t="str">
            <v>Dona Carmen Denia NHS</v>
          </cell>
          <cell r="F5508">
            <v>0</v>
          </cell>
          <cell r="G5508">
            <v>0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</row>
        <row r="5509">
          <cell r="D5509">
            <v>304350</v>
          </cell>
          <cell r="E5509" t="str">
            <v>Binugao NHS</v>
          </cell>
          <cell r="F5509">
            <v>0</v>
          </cell>
          <cell r="G5509">
            <v>0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</row>
        <row r="5510">
          <cell r="D5510">
            <v>304368</v>
          </cell>
          <cell r="E5510" t="str">
            <v>F. Bustamante NHS</v>
          </cell>
          <cell r="F5510">
            <v>0</v>
          </cell>
          <cell r="G5510">
            <v>0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</row>
        <row r="5511">
          <cell r="D5511">
            <v>304353</v>
          </cell>
          <cell r="E5511" t="str">
            <v>Buda NHS</v>
          </cell>
          <cell r="F5511">
            <v>13</v>
          </cell>
          <cell r="G5511">
            <v>71</v>
          </cell>
          <cell r="H5511">
            <v>84</v>
          </cell>
          <cell r="I5511">
            <v>0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</row>
        <row r="5512">
          <cell r="D5512">
            <v>316202</v>
          </cell>
          <cell r="E5512" t="str">
            <v>Catalunan Pequeno National High School</v>
          </cell>
          <cell r="F5512">
            <v>0</v>
          </cell>
          <cell r="G5512">
            <v>0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</row>
        <row r="5513">
          <cell r="D5513">
            <v>316201</v>
          </cell>
          <cell r="E5513" t="str">
            <v>Bernardino B. Bosque NHS</v>
          </cell>
          <cell r="F5513">
            <v>0</v>
          </cell>
          <cell r="G5513">
            <v>0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</row>
        <row r="5514">
          <cell r="D5514">
            <v>300557</v>
          </cell>
          <cell r="E5514" t="str">
            <v>Vicenta C. Nograles National High School</v>
          </cell>
          <cell r="F5514">
            <v>0</v>
          </cell>
          <cell r="G5514">
            <v>0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</row>
        <row r="5515">
          <cell r="D5515">
            <v>305505</v>
          </cell>
          <cell r="E5515" t="str">
            <v>Dalagdag National High School</v>
          </cell>
          <cell r="F5515">
            <v>0</v>
          </cell>
          <cell r="G5515">
            <v>0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  <cell r="Y5515">
            <v>0</v>
          </cell>
          <cell r="Z5515">
            <v>0</v>
          </cell>
        </row>
        <row r="5516">
          <cell r="D5516">
            <v>304374</v>
          </cell>
          <cell r="E5516" t="str">
            <v>Lower Tamugan NHS</v>
          </cell>
          <cell r="F5516">
            <v>0</v>
          </cell>
          <cell r="G5516">
            <v>0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  <cell r="Y5516">
            <v>0</v>
          </cell>
          <cell r="Z5516">
            <v>0</v>
          </cell>
        </row>
        <row r="5517">
          <cell r="D5517">
            <v>304359</v>
          </cell>
          <cell r="E5517" t="str">
            <v>Daniel R. Aguinaldo NHS</v>
          </cell>
          <cell r="F5517">
            <v>0</v>
          </cell>
          <cell r="G5517">
            <v>0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</row>
        <row r="5518">
          <cell r="D5518">
            <v>304389</v>
          </cell>
          <cell r="E5518" t="str">
            <v>Paquibato NHS</v>
          </cell>
          <cell r="F5518">
            <v>0</v>
          </cell>
          <cell r="G5518">
            <v>0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</row>
        <row r="5519">
          <cell r="D5519">
            <v>341409</v>
          </cell>
          <cell r="E5519" t="str">
            <v>SHS within CP Garcia ES (formerly in Sta. Ana ES)</v>
          </cell>
          <cell r="F5519">
            <v>0</v>
          </cell>
          <cell r="G5519">
            <v>0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</row>
        <row r="5520">
          <cell r="D5520">
            <v>304373</v>
          </cell>
          <cell r="E5520" t="str">
            <v>Los Amigos NHS</v>
          </cell>
          <cell r="F5520">
            <v>0</v>
          </cell>
          <cell r="G5520">
            <v>0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</row>
        <row r="5521">
          <cell r="D5521">
            <v>304354</v>
          </cell>
          <cell r="E5521" t="str">
            <v>Calinan NHS</v>
          </cell>
          <cell r="F5521">
            <v>40</v>
          </cell>
          <cell r="G5521">
            <v>53</v>
          </cell>
          <cell r="H5521">
            <v>93</v>
          </cell>
          <cell r="I5521">
            <v>0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</row>
        <row r="5522">
          <cell r="D5522">
            <v>330520</v>
          </cell>
          <cell r="E5522" t="str">
            <v>Philippine Science High School Southern Mindanao Campus</v>
          </cell>
          <cell r="F5522">
            <v>0</v>
          </cell>
          <cell r="G5522">
            <v>0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</row>
        <row r="5523">
          <cell r="D5523">
            <v>304371</v>
          </cell>
          <cell r="E5523" t="str">
            <v>Lamanan National High School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</row>
        <row r="5524">
          <cell r="D5524">
            <v>304379</v>
          </cell>
          <cell r="E5524" t="str">
            <v>Malabog National High School</v>
          </cell>
          <cell r="F5524">
            <v>0</v>
          </cell>
          <cell r="G5524">
            <v>0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</row>
        <row r="5525">
          <cell r="D5525">
            <v>304395</v>
          </cell>
          <cell r="E5525" t="str">
            <v>Emilio J. Estipona HS</v>
          </cell>
          <cell r="F5525">
            <v>0</v>
          </cell>
          <cell r="G5525">
            <v>0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  <cell r="Z5525">
            <v>0</v>
          </cell>
        </row>
        <row r="5526">
          <cell r="D5526">
            <v>304362</v>
          </cell>
          <cell r="E5526" t="str">
            <v>J. V. Ferriols National High School</v>
          </cell>
          <cell r="F5526">
            <v>0</v>
          </cell>
          <cell r="G5526">
            <v>0</v>
          </cell>
          <cell r="H5526">
            <v>0</v>
          </cell>
          <cell r="I5526">
            <v>0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  <cell r="Y5526">
            <v>0</v>
          </cell>
          <cell r="Z5526">
            <v>0</v>
          </cell>
        </row>
        <row r="5527">
          <cell r="D5527">
            <v>304387</v>
          </cell>
          <cell r="E5527" t="str">
            <v>Tugbok National HS</v>
          </cell>
          <cell r="F5527">
            <v>0</v>
          </cell>
          <cell r="G5527">
            <v>0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</row>
        <row r="5528">
          <cell r="D5528">
            <v>316204</v>
          </cell>
          <cell r="E5528" t="str">
            <v>Sumimao NHS</v>
          </cell>
          <cell r="F5528">
            <v>0</v>
          </cell>
          <cell r="G5528">
            <v>0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</row>
        <row r="5529">
          <cell r="D5529">
            <v>304342</v>
          </cell>
          <cell r="E5529" t="str">
            <v>Ma. Cristina P. Belcar Agricultural High School</v>
          </cell>
          <cell r="F5529">
            <v>0</v>
          </cell>
          <cell r="G5529">
            <v>0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</row>
        <row r="5530">
          <cell r="D5530">
            <v>304369</v>
          </cell>
          <cell r="E5530" t="str">
            <v>Gorgonio Tajo, Sr. NHS</v>
          </cell>
          <cell r="F5530">
            <v>0</v>
          </cell>
          <cell r="G5530">
            <v>0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</row>
        <row r="5531">
          <cell r="D5531">
            <v>304351</v>
          </cell>
          <cell r="E5531" t="str">
            <v>Baracatan National High School</v>
          </cell>
          <cell r="F5531">
            <v>0</v>
          </cell>
          <cell r="G5531">
            <v>0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  <cell r="Y5531">
            <v>0</v>
          </cell>
          <cell r="Z5531">
            <v>0</v>
          </cell>
        </row>
        <row r="5532">
          <cell r="D5532">
            <v>304390</v>
          </cell>
          <cell r="E5532" t="str">
            <v>Panaga National High School</v>
          </cell>
          <cell r="F5532">
            <v>0</v>
          </cell>
          <cell r="G5532">
            <v>0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  <cell r="Y5532">
            <v>0</v>
          </cell>
          <cell r="Z5532">
            <v>0</v>
          </cell>
        </row>
        <row r="5533">
          <cell r="D5533">
            <v>316207</v>
          </cell>
          <cell r="E5533" t="str">
            <v>Camansi National High School</v>
          </cell>
          <cell r="F5533">
            <v>0</v>
          </cell>
          <cell r="G5533">
            <v>0</v>
          </cell>
          <cell r="H5533">
            <v>0</v>
          </cell>
          <cell r="I5533">
            <v>0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</row>
        <row r="5534">
          <cell r="D5534">
            <v>304370</v>
          </cell>
          <cell r="E5534" t="str">
            <v>Teofilo V. Fernandez National High School</v>
          </cell>
          <cell r="F5534">
            <v>0</v>
          </cell>
          <cell r="G5534">
            <v>0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</row>
        <row r="5535">
          <cell r="D5535">
            <v>304399</v>
          </cell>
          <cell r="E5535" t="str">
            <v>Waan National High School</v>
          </cell>
          <cell r="F5535">
            <v>0</v>
          </cell>
          <cell r="G5535">
            <v>0</v>
          </cell>
          <cell r="H5535">
            <v>0</v>
          </cell>
          <cell r="I5535">
            <v>0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</row>
        <row r="5536">
          <cell r="D5536">
            <v>304372</v>
          </cell>
          <cell r="E5536" t="str">
            <v>Saloy National High School</v>
          </cell>
          <cell r="F5536">
            <v>0</v>
          </cell>
          <cell r="G5536">
            <v>0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</row>
        <row r="5537">
          <cell r="D5537">
            <v>304383</v>
          </cell>
          <cell r="E5537" t="str">
            <v>G.Astilla Sr. Cultural Minority HS</v>
          </cell>
          <cell r="F5537">
            <v>0</v>
          </cell>
          <cell r="G5537">
            <v>0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</row>
        <row r="5538">
          <cell r="D5538">
            <v>304380</v>
          </cell>
          <cell r="E5538" t="str">
            <v>Pablo Lorenzo NHS</v>
          </cell>
          <cell r="F5538">
            <v>0</v>
          </cell>
          <cell r="G5538">
            <v>0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</row>
        <row r="5539">
          <cell r="D5539">
            <v>304382</v>
          </cell>
          <cell r="E5539" t="str">
            <v>Marilog National High School</v>
          </cell>
          <cell r="F5539">
            <v>0</v>
          </cell>
          <cell r="G5539">
            <v>0</v>
          </cell>
          <cell r="H5539">
            <v>0</v>
          </cell>
          <cell r="I5539">
            <v>0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</row>
        <row r="5540">
          <cell r="D5540">
            <v>304398</v>
          </cell>
          <cell r="E5540" t="str">
            <v>Sirawan NHS</v>
          </cell>
          <cell r="F5540">
            <v>38</v>
          </cell>
          <cell r="G5540">
            <v>33</v>
          </cell>
          <cell r="H5540">
            <v>71</v>
          </cell>
          <cell r="I5540">
            <v>0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1</v>
          </cell>
          <cell r="Y5540">
            <v>1</v>
          </cell>
          <cell r="Z5540">
            <v>2</v>
          </cell>
        </row>
        <row r="5541">
          <cell r="D5541">
            <v>304345</v>
          </cell>
          <cell r="E5541" t="str">
            <v>Bernardo D. Carpio National High School</v>
          </cell>
          <cell r="F5541">
            <v>0</v>
          </cell>
          <cell r="G5541">
            <v>0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  <cell r="Y5541">
            <v>0</v>
          </cell>
          <cell r="Z5541">
            <v>0</v>
          </cell>
        </row>
        <row r="5542">
          <cell r="D5542">
            <v>304386</v>
          </cell>
          <cell r="E5542" t="str">
            <v>Sto. Niño National High School</v>
          </cell>
          <cell r="F5542">
            <v>0</v>
          </cell>
          <cell r="G5542">
            <v>0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</row>
        <row r="5543">
          <cell r="D5543">
            <v>304392</v>
          </cell>
          <cell r="E5543" t="str">
            <v>Sirib NHS</v>
          </cell>
          <cell r="F5543">
            <v>0</v>
          </cell>
          <cell r="G5543">
            <v>0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</row>
        <row r="5544">
          <cell r="D5544">
            <v>304376</v>
          </cell>
          <cell r="E5544" t="str">
            <v>Mabini NHS</v>
          </cell>
          <cell r="F5544">
            <v>0</v>
          </cell>
          <cell r="G5544">
            <v>0</v>
          </cell>
          <cell r="H5544">
            <v>0</v>
          </cell>
          <cell r="I5544">
            <v>0</v>
          </cell>
          <cell r="J5544">
            <v>0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</row>
        <row r="5545">
          <cell r="D5545">
            <v>301715</v>
          </cell>
          <cell r="E5545" t="str">
            <v>Tacunan National High School</v>
          </cell>
          <cell r="F5545">
            <v>0</v>
          </cell>
          <cell r="G5545">
            <v>0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</row>
        <row r="5546">
          <cell r="D5546">
            <v>304366</v>
          </cell>
          <cell r="E5546" t="str">
            <v>F. Bangoy NHS</v>
          </cell>
          <cell r="F5546">
            <v>0</v>
          </cell>
          <cell r="G5546">
            <v>0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</row>
        <row r="5547">
          <cell r="D5547">
            <v>316203</v>
          </cell>
          <cell r="E5547" t="str">
            <v>Bartolome R. Luardo National HIgh School (formerly Mulig NHS)</v>
          </cell>
          <cell r="F5547">
            <v>0</v>
          </cell>
          <cell r="G5547">
            <v>0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</row>
        <row r="5548">
          <cell r="D5548">
            <v>304364</v>
          </cell>
          <cell r="E5548" t="str">
            <v>E. Ramos NHS</v>
          </cell>
          <cell r="F5548">
            <v>0</v>
          </cell>
          <cell r="G5548">
            <v>0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</row>
        <row r="5549">
          <cell r="D5549">
            <v>304394</v>
          </cell>
          <cell r="E5549" t="str">
            <v>Tagakpan NHS</v>
          </cell>
          <cell r="F5549">
            <v>0</v>
          </cell>
          <cell r="G5549">
            <v>0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  <cell r="Y5549">
            <v>0</v>
          </cell>
          <cell r="Z5549">
            <v>0</v>
          </cell>
        </row>
        <row r="5550">
          <cell r="D5550">
            <v>316211</v>
          </cell>
          <cell r="E5550" t="str">
            <v>Paradise Embac National High School</v>
          </cell>
          <cell r="F5550">
            <v>0</v>
          </cell>
          <cell r="G5550">
            <v>0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  <cell r="Y5550">
            <v>0</v>
          </cell>
          <cell r="Z5550">
            <v>0</v>
          </cell>
        </row>
        <row r="5551">
          <cell r="D5551">
            <v>304384</v>
          </cell>
          <cell r="E5551" t="str">
            <v>Marahan National High School</v>
          </cell>
          <cell r="F5551">
            <v>0</v>
          </cell>
          <cell r="G5551">
            <v>0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</row>
        <row r="5552">
          <cell r="D5552">
            <v>316206</v>
          </cell>
          <cell r="E5552" t="str">
            <v>Don Enrique Bustamante NHS</v>
          </cell>
          <cell r="F5552">
            <v>0</v>
          </cell>
          <cell r="G5552">
            <v>0</v>
          </cell>
          <cell r="H5552">
            <v>0</v>
          </cell>
          <cell r="I5552">
            <v>0</v>
          </cell>
          <cell r="J5552">
            <v>0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</row>
        <row r="5553">
          <cell r="D5553">
            <v>304360</v>
          </cell>
          <cell r="E5553" t="str">
            <v>Davao City NHS</v>
          </cell>
          <cell r="F5553">
            <v>0</v>
          </cell>
          <cell r="G5553">
            <v>0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  <cell r="Y5553">
            <v>0</v>
          </cell>
          <cell r="Z5553">
            <v>0</v>
          </cell>
        </row>
        <row r="5554">
          <cell r="D5554">
            <v>304349</v>
          </cell>
          <cell r="E5554" t="str">
            <v>Binowang National High School</v>
          </cell>
          <cell r="F5554">
            <v>31</v>
          </cell>
          <cell r="G5554">
            <v>37</v>
          </cell>
          <cell r="H5554">
            <v>68</v>
          </cell>
          <cell r="I5554">
            <v>26</v>
          </cell>
          <cell r="J5554">
            <v>26</v>
          </cell>
          <cell r="K5554">
            <v>52</v>
          </cell>
          <cell r="L5554">
            <v>3</v>
          </cell>
          <cell r="M5554">
            <v>3</v>
          </cell>
          <cell r="N5554">
            <v>6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2</v>
          </cell>
          <cell r="V5554">
            <v>3</v>
          </cell>
          <cell r="W5554">
            <v>5</v>
          </cell>
          <cell r="X5554">
            <v>0</v>
          </cell>
          <cell r="Y5554">
            <v>0</v>
          </cell>
          <cell r="Z5554">
            <v>0</v>
          </cell>
        </row>
        <row r="5555">
          <cell r="D5555">
            <v>316205</v>
          </cell>
          <cell r="E5555" t="str">
            <v>Tambobong National High School</v>
          </cell>
          <cell r="F5555">
            <v>0</v>
          </cell>
          <cell r="G5555">
            <v>0</v>
          </cell>
          <cell r="H5555">
            <v>0</v>
          </cell>
          <cell r="I5555">
            <v>0</v>
          </cell>
          <cell r="J5555">
            <v>0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</row>
        <row r="5556">
          <cell r="D5556">
            <v>304344</v>
          </cell>
          <cell r="E5556" t="str">
            <v>Elias P. Dacudao Gumalang School of Home Industries</v>
          </cell>
          <cell r="F5556">
            <v>0</v>
          </cell>
          <cell r="G5556">
            <v>0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</row>
        <row r="5557">
          <cell r="D5557">
            <v>341513</v>
          </cell>
          <cell r="E5557" t="str">
            <v>SHS in Digos City</v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</row>
        <row r="5558">
          <cell r="D5558">
            <v>301906</v>
          </cell>
          <cell r="E5558" t="str">
            <v>Goma National High School</v>
          </cell>
          <cell r="F5558">
            <v>0</v>
          </cell>
          <cell r="G5558">
            <v>0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</row>
        <row r="5559">
          <cell r="D5559">
            <v>304402</v>
          </cell>
          <cell r="E5559" t="str">
            <v>Ruparan NHS</v>
          </cell>
          <cell r="F5559">
            <v>0</v>
          </cell>
          <cell r="G5559">
            <v>0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  <cell r="Z5559">
            <v>0</v>
          </cell>
        </row>
        <row r="5560">
          <cell r="D5560">
            <v>304401</v>
          </cell>
          <cell r="E5560" t="str">
            <v>Kapatagan NHS</v>
          </cell>
          <cell r="F5560">
            <v>0</v>
          </cell>
          <cell r="G5560">
            <v>0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</row>
        <row r="5561">
          <cell r="D5561">
            <v>316302</v>
          </cell>
          <cell r="E5561" t="str">
            <v>Matti NHS</v>
          </cell>
          <cell r="F5561">
            <v>0</v>
          </cell>
          <cell r="G5561">
            <v>0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</row>
        <row r="5562">
          <cell r="D5562">
            <v>304400</v>
          </cell>
          <cell r="E5562" t="str">
            <v>Digos City NHS (Davao Del Sur NHS)</v>
          </cell>
          <cell r="F5562">
            <v>0</v>
          </cell>
          <cell r="G5562">
            <v>0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</row>
        <row r="5563">
          <cell r="D5563">
            <v>304403</v>
          </cell>
          <cell r="E5563" t="str">
            <v>A. O. Floirendo National High School</v>
          </cell>
          <cell r="F5563">
            <v>0</v>
          </cell>
          <cell r="G5563">
            <v>0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  <cell r="Y5563">
            <v>0</v>
          </cell>
          <cell r="Z5563">
            <v>0</v>
          </cell>
        </row>
        <row r="5564">
          <cell r="D5564">
            <v>316401</v>
          </cell>
          <cell r="E5564" t="str">
            <v>Southern Davao National High School</v>
          </cell>
          <cell r="F5564">
            <v>0</v>
          </cell>
          <cell r="G5564">
            <v>0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0</v>
          </cell>
          <cell r="W5564">
            <v>0</v>
          </cell>
          <cell r="X5564">
            <v>0</v>
          </cell>
          <cell r="Y5564">
            <v>0</v>
          </cell>
          <cell r="Z5564">
            <v>0</v>
          </cell>
        </row>
        <row r="5565">
          <cell r="D5565">
            <v>304404</v>
          </cell>
          <cell r="E5565" t="str">
            <v>Sindaton National High School</v>
          </cell>
          <cell r="F5565">
            <v>0</v>
          </cell>
          <cell r="G5565">
            <v>0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</row>
        <row r="5566">
          <cell r="D5566">
            <v>304408</v>
          </cell>
          <cell r="E5566" t="str">
            <v>Panabo National High School</v>
          </cell>
          <cell r="F5566">
            <v>0</v>
          </cell>
          <cell r="G5566">
            <v>0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</row>
        <row r="5567">
          <cell r="D5567">
            <v>316405</v>
          </cell>
          <cell r="E5567" t="str">
            <v>QUEZON NATIONAL HIGH SCHOOL</v>
          </cell>
          <cell r="F5567">
            <v>0</v>
          </cell>
          <cell r="G5567">
            <v>0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  <cell r="Z5567">
            <v>0</v>
          </cell>
        </row>
        <row r="5568">
          <cell r="D5568">
            <v>304407</v>
          </cell>
          <cell r="E5568" t="str">
            <v>Manay National High School</v>
          </cell>
          <cell r="F5568">
            <v>0</v>
          </cell>
          <cell r="G5568">
            <v>0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  <cell r="Y5568">
            <v>0</v>
          </cell>
          <cell r="Z5568">
            <v>0</v>
          </cell>
        </row>
        <row r="5569">
          <cell r="D5569">
            <v>304405</v>
          </cell>
          <cell r="E5569" t="str">
            <v>Don Manuel A. Javellana Memorial National High School</v>
          </cell>
          <cell r="F5569">
            <v>0</v>
          </cell>
          <cell r="G5569">
            <v>0</v>
          </cell>
          <cell r="H5569">
            <v>0</v>
          </cell>
          <cell r="I5569">
            <v>0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</row>
        <row r="5570">
          <cell r="D5570">
            <v>304409</v>
          </cell>
          <cell r="E5570" t="str">
            <v>Little Panay National High School</v>
          </cell>
          <cell r="F5570">
            <v>0</v>
          </cell>
          <cell r="G5570">
            <v>0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</row>
        <row r="5571">
          <cell r="D5571">
            <v>316404</v>
          </cell>
          <cell r="E5571" t="str">
            <v>Mabunao National High School</v>
          </cell>
          <cell r="F5571">
            <v>0</v>
          </cell>
          <cell r="G5571">
            <v>0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</row>
        <row r="5572">
          <cell r="D5572">
            <v>304406</v>
          </cell>
          <cell r="E5572" t="str">
            <v>Malativas National High School</v>
          </cell>
          <cell r="F5572">
            <v>0</v>
          </cell>
          <cell r="G5572">
            <v>0</v>
          </cell>
          <cell r="H5572">
            <v>0</v>
          </cell>
          <cell r="I5572">
            <v>0</v>
          </cell>
          <cell r="J5572">
            <v>0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</row>
        <row r="5573">
          <cell r="D5573">
            <v>341574</v>
          </cell>
          <cell r="E5573" t="str">
            <v>Panabo City Senior High School</v>
          </cell>
          <cell r="F5573">
            <v>0</v>
          </cell>
          <cell r="G5573">
            <v>0</v>
          </cell>
          <cell r="H5573">
            <v>0</v>
          </cell>
          <cell r="I5573">
            <v>0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</row>
        <row r="5574">
          <cell r="D5574">
            <v>316403</v>
          </cell>
          <cell r="E5574" t="str">
            <v>Kauswagan National High School</v>
          </cell>
          <cell r="F5574">
            <v>0</v>
          </cell>
          <cell r="G5574">
            <v>0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  <cell r="Y5574">
            <v>0</v>
          </cell>
          <cell r="Z5574">
            <v>0</v>
          </cell>
        </row>
        <row r="5575">
          <cell r="D5575">
            <v>316402</v>
          </cell>
          <cell r="E5575" t="str">
            <v>San Vicente National High School</v>
          </cell>
          <cell r="F5575">
            <v>0</v>
          </cell>
          <cell r="G5575">
            <v>0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  <cell r="Y5575">
            <v>0</v>
          </cell>
          <cell r="Z5575">
            <v>0</v>
          </cell>
        </row>
        <row r="5576">
          <cell r="D5576">
            <v>304225</v>
          </cell>
          <cell r="E5576" t="str">
            <v>Tagum City National Comprehensive High School</v>
          </cell>
          <cell r="F5576">
            <v>0</v>
          </cell>
          <cell r="G5576">
            <v>0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</row>
        <row r="5577">
          <cell r="D5577">
            <v>304238</v>
          </cell>
          <cell r="E5577" t="str">
            <v>La Filipina NHS</v>
          </cell>
          <cell r="F5577">
            <v>0</v>
          </cell>
          <cell r="G5577">
            <v>0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  <cell r="Y5577">
            <v>0</v>
          </cell>
          <cell r="Z5577">
            <v>0</v>
          </cell>
        </row>
        <row r="5578">
          <cell r="D5578">
            <v>304260</v>
          </cell>
          <cell r="E5578" t="str">
            <v>Tagum City National High School</v>
          </cell>
          <cell r="F5578">
            <v>0</v>
          </cell>
          <cell r="G5578">
            <v>0</v>
          </cell>
          <cell r="H5578">
            <v>0</v>
          </cell>
          <cell r="I5578">
            <v>0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  <cell r="Z5578">
            <v>0</v>
          </cell>
        </row>
        <row r="5579">
          <cell r="D5579">
            <v>304231</v>
          </cell>
          <cell r="E5579" t="str">
            <v>Jose Tuason Jr. Memorial National High School</v>
          </cell>
          <cell r="F5579">
            <v>0</v>
          </cell>
          <cell r="G5579">
            <v>0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</row>
        <row r="5580">
          <cell r="D5580">
            <v>304261</v>
          </cell>
          <cell r="E5580" t="str">
            <v>TAGUM NATIONAL TRADE SCHOOL</v>
          </cell>
          <cell r="F5580">
            <v>0</v>
          </cell>
          <cell r="G5580">
            <v>0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  <cell r="Y5580">
            <v>0</v>
          </cell>
          <cell r="Z5580">
            <v>0</v>
          </cell>
        </row>
        <row r="5581">
          <cell r="D5581">
            <v>304232</v>
          </cell>
          <cell r="E5581" t="str">
            <v>Pipisan Maug National High School</v>
          </cell>
          <cell r="F5581">
            <v>0</v>
          </cell>
          <cell r="G5581">
            <v>0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  <cell r="Y5581">
            <v>0</v>
          </cell>
          <cell r="Z5581">
            <v>0</v>
          </cell>
        </row>
        <row r="5582">
          <cell r="D5582">
            <v>500424</v>
          </cell>
          <cell r="E5582" t="str">
            <v>Busaon Integrated School</v>
          </cell>
          <cell r="F5582">
            <v>0</v>
          </cell>
          <cell r="G5582">
            <v>0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  <cell r="Z5582">
            <v>0</v>
          </cell>
        </row>
        <row r="5583">
          <cell r="D5583">
            <v>322401</v>
          </cell>
          <cell r="E5583" t="str">
            <v>Canocotan National High School</v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0</v>
          </cell>
          <cell r="Y5583">
            <v>0</v>
          </cell>
          <cell r="Z5583">
            <v>0</v>
          </cell>
        </row>
        <row r="5584">
          <cell r="D5584">
            <v>304226</v>
          </cell>
          <cell r="E5584" t="str">
            <v>Laureta National High School</v>
          </cell>
          <cell r="F5584">
            <v>0</v>
          </cell>
          <cell r="G5584">
            <v>0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  <cell r="Z5584">
            <v>0</v>
          </cell>
        </row>
        <row r="5585">
          <cell r="D5585">
            <v>500425</v>
          </cell>
          <cell r="E5585" t="str">
            <v>Liboganon Integrated School</v>
          </cell>
          <cell r="F5585">
            <v>0</v>
          </cell>
          <cell r="G5585">
            <v>0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  <cell r="Y5585">
            <v>0</v>
          </cell>
          <cell r="Z5585">
            <v>0</v>
          </cell>
        </row>
        <row r="5586">
          <cell r="D5586">
            <v>500426</v>
          </cell>
          <cell r="E5586" t="str">
            <v>Pandapan Integrated School</v>
          </cell>
          <cell r="F5586">
            <v>0</v>
          </cell>
          <cell r="G5586">
            <v>0</v>
          </cell>
          <cell r="H5586">
            <v>0</v>
          </cell>
          <cell r="I5586">
            <v>0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  <cell r="Z5586">
            <v>0</v>
          </cell>
        </row>
        <row r="5587">
          <cell r="D5587">
            <v>304227</v>
          </cell>
          <cell r="E5587" t="str">
            <v>Don Esteban Dasalla National High School</v>
          </cell>
          <cell r="F5587">
            <v>0</v>
          </cell>
          <cell r="G5587">
            <v>0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</row>
        <row r="5588">
          <cell r="D5588">
            <v>304216</v>
          </cell>
          <cell r="E5588" t="str">
            <v>Anonang National High School</v>
          </cell>
          <cell r="F5588">
            <v>0</v>
          </cell>
          <cell r="G5588">
            <v>0</v>
          </cell>
          <cell r="H5588">
            <v>0</v>
          </cell>
          <cell r="I5588">
            <v>0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</row>
        <row r="5589">
          <cell r="D5589">
            <v>304236</v>
          </cell>
          <cell r="E5589" t="str">
            <v>Kaputian National High School</v>
          </cell>
          <cell r="F5589">
            <v>0</v>
          </cell>
          <cell r="G5589">
            <v>0</v>
          </cell>
          <cell r="H5589">
            <v>0</v>
          </cell>
          <cell r="I5589">
            <v>0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</row>
        <row r="5590">
          <cell r="D5590">
            <v>304259</v>
          </cell>
          <cell r="E5590" t="str">
            <v>Tagbitan-Ag National High School</v>
          </cell>
          <cell r="F5590">
            <v>0</v>
          </cell>
          <cell r="G5590">
            <v>0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</row>
        <row r="5591">
          <cell r="D5591">
            <v>304220</v>
          </cell>
          <cell r="E5591" t="str">
            <v>Balet National High School</v>
          </cell>
          <cell r="F5591">
            <v>0</v>
          </cell>
          <cell r="G5591">
            <v>0</v>
          </cell>
          <cell r="H5591">
            <v>0</v>
          </cell>
          <cell r="I5591">
            <v>7</v>
          </cell>
          <cell r="J5591">
            <v>12</v>
          </cell>
          <cell r="K5591">
            <v>19</v>
          </cell>
          <cell r="L5591">
            <v>7</v>
          </cell>
          <cell r="M5591">
            <v>12</v>
          </cell>
          <cell r="N5591">
            <v>19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</row>
        <row r="5592">
          <cell r="D5592">
            <v>304253</v>
          </cell>
          <cell r="E5592" t="str">
            <v>Sta. Cruz National High School</v>
          </cell>
          <cell r="F5592">
            <v>70</v>
          </cell>
          <cell r="G5592">
            <v>35</v>
          </cell>
          <cell r="H5592">
            <v>105</v>
          </cell>
          <cell r="I5592">
            <v>35</v>
          </cell>
          <cell r="J5592">
            <v>20</v>
          </cell>
          <cell r="K5592">
            <v>55</v>
          </cell>
          <cell r="L5592">
            <v>5</v>
          </cell>
          <cell r="M5592">
            <v>4</v>
          </cell>
          <cell r="N5592">
            <v>9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</row>
        <row r="5593">
          <cell r="D5593">
            <v>323411</v>
          </cell>
          <cell r="E5593" t="str">
            <v>San Jose National High School</v>
          </cell>
          <cell r="F5593">
            <v>0</v>
          </cell>
          <cell r="G5593">
            <v>0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</row>
        <row r="5594">
          <cell r="D5594">
            <v>323410</v>
          </cell>
          <cell r="E5594" t="str">
            <v>Tagpopongan National High School</v>
          </cell>
          <cell r="F5594">
            <v>0</v>
          </cell>
          <cell r="G5594">
            <v>0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</row>
        <row r="5595">
          <cell r="D5595">
            <v>323402</v>
          </cell>
          <cell r="E5595" t="str">
            <v>Del Monte National High School</v>
          </cell>
          <cell r="F5595">
            <v>0</v>
          </cell>
          <cell r="G5595">
            <v>0</v>
          </cell>
          <cell r="H5595">
            <v>0</v>
          </cell>
          <cell r="I5595">
            <v>0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</row>
        <row r="5596">
          <cell r="D5596">
            <v>323403</v>
          </cell>
          <cell r="E5596" t="str">
            <v>Nieves Villarica National High School</v>
          </cell>
          <cell r="F5596">
            <v>0</v>
          </cell>
          <cell r="G5596">
            <v>0</v>
          </cell>
          <cell r="H5596">
            <v>0</v>
          </cell>
          <cell r="I5596">
            <v>0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</row>
        <row r="5597">
          <cell r="D5597">
            <v>323407</v>
          </cell>
          <cell r="E5597" t="str">
            <v>Bandera National High School</v>
          </cell>
          <cell r="F5597">
            <v>0</v>
          </cell>
          <cell r="G5597">
            <v>0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</row>
        <row r="5598">
          <cell r="D5598">
            <v>304245</v>
          </cell>
          <cell r="E5598" t="str">
            <v>Mambago-B National High School</v>
          </cell>
          <cell r="F5598">
            <v>0</v>
          </cell>
          <cell r="G5598">
            <v>0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</row>
        <row r="5599">
          <cell r="D5599">
            <v>304223</v>
          </cell>
          <cell r="E5599" t="str">
            <v>Cogon National High School</v>
          </cell>
          <cell r="F5599">
            <v>0</v>
          </cell>
          <cell r="G5599">
            <v>0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</row>
        <row r="5600">
          <cell r="D5600">
            <v>301806</v>
          </cell>
          <cell r="E5600" t="str">
            <v>Limao National High School</v>
          </cell>
          <cell r="F5600">
            <v>0</v>
          </cell>
          <cell r="G5600">
            <v>0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</row>
        <row r="5601">
          <cell r="D5601">
            <v>341526</v>
          </cell>
          <cell r="E5601" t="str">
            <v>SHS w/in Penaplata Central ES</v>
          </cell>
          <cell r="F5601">
            <v>0</v>
          </cell>
          <cell r="G5601">
            <v>0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</row>
        <row r="5602">
          <cell r="D5602">
            <v>323406</v>
          </cell>
          <cell r="E5602" t="str">
            <v>Diosdado Alorro Sr. National High School</v>
          </cell>
          <cell r="F5602">
            <v>0</v>
          </cell>
          <cell r="G5602">
            <v>0</v>
          </cell>
          <cell r="H5602">
            <v>0</v>
          </cell>
          <cell r="I5602">
            <v>0</v>
          </cell>
          <cell r="J5602">
            <v>0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  <cell r="Z5602">
            <v>0</v>
          </cell>
        </row>
        <row r="5603">
          <cell r="D5603">
            <v>304247</v>
          </cell>
          <cell r="E5603" t="str">
            <v>Matanos National High School</v>
          </cell>
          <cell r="F5603">
            <v>0</v>
          </cell>
          <cell r="G5603">
            <v>0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  <cell r="Z5603">
            <v>0</v>
          </cell>
        </row>
        <row r="5604">
          <cell r="D5604">
            <v>301799</v>
          </cell>
          <cell r="E5604" t="str">
            <v>Gamban Dadatan National High School</v>
          </cell>
          <cell r="F5604">
            <v>0</v>
          </cell>
          <cell r="G5604">
            <v>0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</row>
        <row r="5605">
          <cell r="D5605">
            <v>323409</v>
          </cell>
          <cell r="E5605" t="str">
            <v>Libertad National High School</v>
          </cell>
          <cell r="F5605">
            <v>0</v>
          </cell>
          <cell r="G5605">
            <v>0</v>
          </cell>
          <cell r="H5605">
            <v>0</v>
          </cell>
          <cell r="I5605">
            <v>0</v>
          </cell>
          <cell r="J5605">
            <v>0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</row>
        <row r="5606">
          <cell r="D5606">
            <v>304327</v>
          </cell>
          <cell r="E5606" t="str">
            <v>Matiao NHS</v>
          </cell>
          <cell r="F5606">
            <v>0</v>
          </cell>
          <cell r="G5606">
            <v>0</v>
          </cell>
          <cell r="H5606">
            <v>0</v>
          </cell>
          <cell r="I5606">
            <v>0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</row>
        <row r="5607">
          <cell r="D5607">
            <v>325102</v>
          </cell>
          <cell r="E5607" t="str">
            <v>Lawigan National High School</v>
          </cell>
          <cell r="F5607">
            <v>0</v>
          </cell>
          <cell r="G5607">
            <v>0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</row>
        <row r="5608">
          <cell r="D5608">
            <v>325106</v>
          </cell>
          <cell r="E5608" t="str">
            <v>Mayo NHS</v>
          </cell>
          <cell r="F5608">
            <v>0</v>
          </cell>
          <cell r="G5608">
            <v>0</v>
          </cell>
          <cell r="H5608">
            <v>0</v>
          </cell>
          <cell r="I5608">
            <v>0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  <cell r="Y5608">
            <v>0</v>
          </cell>
          <cell r="Z5608">
            <v>0</v>
          </cell>
        </row>
        <row r="5609">
          <cell r="D5609">
            <v>304305</v>
          </cell>
          <cell r="E5609" t="str">
            <v>Buso National High School</v>
          </cell>
          <cell r="F5609">
            <v>0</v>
          </cell>
          <cell r="G5609">
            <v>0</v>
          </cell>
          <cell r="H5609">
            <v>0</v>
          </cell>
          <cell r="I5609">
            <v>0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</row>
        <row r="5610">
          <cell r="D5610">
            <v>316104</v>
          </cell>
          <cell r="E5610" t="str">
            <v>Don Salvador Lopez NHS</v>
          </cell>
          <cell r="F5610">
            <v>0</v>
          </cell>
          <cell r="G5610">
            <v>0</v>
          </cell>
          <cell r="H5610">
            <v>0</v>
          </cell>
          <cell r="I5610">
            <v>0</v>
          </cell>
          <cell r="J5610">
            <v>0</v>
          </cell>
          <cell r="K5610">
            <v>0</v>
          </cell>
          <cell r="L5610">
            <v>0</v>
          </cell>
          <cell r="M5610">
            <v>0</v>
          </cell>
          <cell r="N5610">
            <v>0</v>
          </cell>
          <cell r="O5610">
            <v>0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>
            <v>0</v>
          </cell>
          <cell r="V5610">
            <v>0</v>
          </cell>
          <cell r="W5610">
            <v>0</v>
          </cell>
          <cell r="X5610">
            <v>0</v>
          </cell>
          <cell r="Y5610">
            <v>0</v>
          </cell>
          <cell r="Z5610">
            <v>0</v>
          </cell>
        </row>
        <row r="5611">
          <cell r="D5611">
            <v>304318</v>
          </cell>
          <cell r="E5611" t="str">
            <v>Libudon NHS</v>
          </cell>
          <cell r="F5611">
            <v>0</v>
          </cell>
          <cell r="G5611">
            <v>0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</row>
        <row r="5612">
          <cell r="D5612">
            <v>325104</v>
          </cell>
          <cell r="E5612" t="str">
            <v>Badas NHS</v>
          </cell>
          <cell r="F5612">
            <v>0</v>
          </cell>
          <cell r="G5612">
            <v>0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</row>
        <row r="5613">
          <cell r="D5613">
            <v>304325</v>
          </cell>
          <cell r="E5613" t="str">
            <v>Mati National Comprehensive High School</v>
          </cell>
          <cell r="F5613">
            <v>0</v>
          </cell>
          <cell r="G5613">
            <v>0</v>
          </cell>
          <cell r="H5613">
            <v>0</v>
          </cell>
          <cell r="I5613">
            <v>0</v>
          </cell>
          <cell r="J5613">
            <v>0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</row>
        <row r="5614">
          <cell r="D5614">
            <v>304338</v>
          </cell>
          <cell r="E5614" t="str">
            <v>Taguibo Agri. Voc. High School</v>
          </cell>
          <cell r="F5614">
            <v>0</v>
          </cell>
          <cell r="G5614">
            <v>0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</row>
        <row r="5615">
          <cell r="D5615">
            <v>304326</v>
          </cell>
          <cell r="E5615" t="str">
            <v>Mati SAT</v>
          </cell>
          <cell r="F5615">
            <v>0</v>
          </cell>
          <cell r="G5615">
            <v>0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</row>
        <row r="5616">
          <cell r="D5616">
            <v>304314</v>
          </cell>
          <cell r="E5616" t="str">
            <v>Don Enrique Lopez NHS</v>
          </cell>
          <cell r="F5616">
            <v>0</v>
          </cell>
          <cell r="G5616">
            <v>0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</row>
        <row r="5617">
          <cell r="D5617">
            <v>304303</v>
          </cell>
          <cell r="E5617" t="str">
            <v>Bobon NHS</v>
          </cell>
          <cell r="F5617">
            <v>32</v>
          </cell>
          <cell r="G5617">
            <v>48</v>
          </cell>
          <cell r="H5617">
            <v>80</v>
          </cell>
          <cell r="I5617">
            <v>0</v>
          </cell>
          <cell r="J5617">
            <v>0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</row>
        <row r="5618">
          <cell r="D5618">
            <v>500454</v>
          </cell>
          <cell r="E5618" t="str">
            <v>Licop Integrated School</v>
          </cell>
          <cell r="F5618">
            <v>0</v>
          </cell>
          <cell r="G5618">
            <v>0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</row>
        <row r="5619">
          <cell r="D5619">
            <v>325105</v>
          </cell>
          <cell r="E5619" t="str">
            <v>Macambol NHS</v>
          </cell>
          <cell r="F5619">
            <v>0</v>
          </cell>
          <cell r="G5619">
            <v>0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</row>
        <row r="5620">
          <cell r="D5620">
            <v>304313</v>
          </cell>
          <cell r="E5620" t="str">
            <v>Dawan NHS</v>
          </cell>
          <cell r="F5620">
            <v>0</v>
          </cell>
          <cell r="G5620">
            <v>0</v>
          </cell>
          <cell r="H5620">
            <v>0</v>
          </cell>
          <cell r="I5620">
            <v>0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</row>
        <row r="5621">
          <cell r="D5621">
            <v>304328</v>
          </cell>
          <cell r="E5621" t="str">
            <v>Davao Oriental Regional Science High School</v>
          </cell>
          <cell r="F5621">
            <v>0</v>
          </cell>
          <cell r="G5621">
            <v>0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</row>
        <row r="5622">
          <cell r="D5622">
            <v>304262</v>
          </cell>
          <cell r="E5622" t="str">
            <v>Alberto Olarte, Sr. NHS</v>
          </cell>
          <cell r="F5622">
            <v>0</v>
          </cell>
          <cell r="G5622">
            <v>0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</row>
        <row r="5623">
          <cell r="D5623">
            <v>304283</v>
          </cell>
          <cell r="E5623" t="str">
            <v>Kalbay NHS</v>
          </cell>
          <cell r="F5623">
            <v>0</v>
          </cell>
          <cell r="G5623">
            <v>0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</v>
          </cell>
          <cell r="Y5623">
            <v>0</v>
          </cell>
          <cell r="Z5623">
            <v>0</v>
          </cell>
        </row>
        <row r="5624">
          <cell r="D5624">
            <v>304276</v>
          </cell>
          <cell r="E5624" t="str">
            <v>Heracleo Casco MNHS</v>
          </cell>
          <cell r="F5624">
            <v>0</v>
          </cell>
          <cell r="G5624">
            <v>0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</v>
          </cell>
          <cell r="Y5624">
            <v>0</v>
          </cell>
          <cell r="Z5624">
            <v>0</v>
          </cell>
        </row>
        <row r="5625">
          <cell r="D5625">
            <v>316007</v>
          </cell>
          <cell r="E5625" t="str">
            <v>Benjamin Velasco Bautista Sr. National High School</v>
          </cell>
          <cell r="F5625">
            <v>0</v>
          </cell>
          <cell r="G5625">
            <v>0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</row>
        <row r="5626">
          <cell r="D5626">
            <v>305677</v>
          </cell>
          <cell r="E5626" t="str">
            <v>Bolila National High School</v>
          </cell>
          <cell r="F5626">
            <v>0</v>
          </cell>
          <cell r="G5626">
            <v>0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</row>
        <row r="5627">
          <cell r="D5627">
            <v>304266</v>
          </cell>
          <cell r="E5627" t="str">
            <v>Basiawan NHS</v>
          </cell>
          <cell r="F5627">
            <v>0</v>
          </cell>
          <cell r="G5627">
            <v>0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</row>
        <row r="5628">
          <cell r="D5628">
            <v>305673</v>
          </cell>
          <cell r="E5628" t="str">
            <v>Lacaron National High School</v>
          </cell>
          <cell r="F5628">
            <v>0</v>
          </cell>
          <cell r="G5628">
            <v>0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</row>
        <row r="5629">
          <cell r="D5629">
            <v>316012</v>
          </cell>
          <cell r="E5629" t="str">
            <v>Luisa Joyce Mallari National High School</v>
          </cell>
          <cell r="F5629">
            <v>0</v>
          </cell>
          <cell r="G5629">
            <v>0</v>
          </cell>
          <cell r="H5629">
            <v>0</v>
          </cell>
          <cell r="I5629">
            <v>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</v>
          </cell>
          <cell r="Y5629">
            <v>0</v>
          </cell>
          <cell r="Z5629">
            <v>0</v>
          </cell>
        </row>
        <row r="5630">
          <cell r="D5630">
            <v>304271</v>
          </cell>
          <cell r="E5630" t="str">
            <v>Demolok Valley National High School</v>
          </cell>
          <cell r="F5630">
            <v>0</v>
          </cell>
          <cell r="G5630">
            <v>0</v>
          </cell>
          <cell r="H5630">
            <v>0</v>
          </cell>
          <cell r="I5630">
            <v>0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</v>
          </cell>
          <cell r="Y5630">
            <v>0</v>
          </cell>
          <cell r="Z5630">
            <v>0</v>
          </cell>
        </row>
        <row r="5631">
          <cell r="D5631">
            <v>304293</v>
          </cell>
          <cell r="E5631" t="str">
            <v>Ticulon NHS</v>
          </cell>
          <cell r="F5631">
            <v>5</v>
          </cell>
          <cell r="G5631">
            <v>7</v>
          </cell>
          <cell r="H5631">
            <v>12</v>
          </cell>
          <cell r="I5631">
            <v>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</row>
        <row r="5632">
          <cell r="D5632">
            <v>316018</v>
          </cell>
          <cell r="E5632" t="str">
            <v>Pedro Mariscal National High School</v>
          </cell>
          <cell r="F5632">
            <v>0</v>
          </cell>
          <cell r="G5632">
            <v>0</v>
          </cell>
          <cell r="H5632">
            <v>0</v>
          </cell>
          <cell r="I5632">
            <v>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</row>
        <row r="5633">
          <cell r="D5633">
            <v>304268</v>
          </cell>
          <cell r="E5633" t="str">
            <v>Tubalan Comprehensive NHS</v>
          </cell>
          <cell r="F5633">
            <v>0</v>
          </cell>
          <cell r="G5633">
            <v>0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</row>
        <row r="5634">
          <cell r="D5634">
            <v>304287</v>
          </cell>
          <cell r="E5634" t="str">
            <v>Mariano Peralta National High School</v>
          </cell>
          <cell r="F5634">
            <v>0</v>
          </cell>
          <cell r="G5634">
            <v>0</v>
          </cell>
          <cell r="H5634">
            <v>0</v>
          </cell>
          <cell r="I5634">
            <v>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</row>
        <row r="5635">
          <cell r="D5635">
            <v>304291</v>
          </cell>
          <cell r="E5635" t="str">
            <v>Lawa NHS</v>
          </cell>
          <cell r="F5635">
            <v>0</v>
          </cell>
          <cell r="G5635">
            <v>0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</v>
          </cell>
          <cell r="Y5635">
            <v>0</v>
          </cell>
          <cell r="Z5635">
            <v>0</v>
          </cell>
        </row>
        <row r="5636">
          <cell r="D5636">
            <v>304267</v>
          </cell>
          <cell r="E5636" t="str">
            <v>Fishing Village Comprehensive NHS</v>
          </cell>
          <cell r="F5636">
            <v>0</v>
          </cell>
          <cell r="G5636">
            <v>0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</v>
          </cell>
          <cell r="Y5636">
            <v>0</v>
          </cell>
          <cell r="Z5636">
            <v>0</v>
          </cell>
        </row>
        <row r="5637">
          <cell r="D5637">
            <v>304282</v>
          </cell>
          <cell r="E5637" t="str">
            <v>Jose De Arce MHS (Sangkokdatal HS)</v>
          </cell>
          <cell r="F5637">
            <v>0</v>
          </cell>
          <cell r="G5637">
            <v>0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</row>
        <row r="5638">
          <cell r="D5638">
            <v>304273</v>
          </cell>
          <cell r="E5638" t="str">
            <v>Edna Guillermo Memorial National High School</v>
          </cell>
          <cell r="F5638">
            <v>0</v>
          </cell>
          <cell r="G5638">
            <v>0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</row>
        <row r="5639">
          <cell r="D5639">
            <v>302772</v>
          </cell>
          <cell r="E5639" t="str">
            <v>Tomas Lim Alcordo Sr. National High School</v>
          </cell>
          <cell r="F5639">
            <v>0</v>
          </cell>
          <cell r="G5639">
            <v>0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</row>
        <row r="5640">
          <cell r="D5640">
            <v>304292</v>
          </cell>
          <cell r="E5640" t="str">
            <v>John Martin Johnson HS (Lamidan)</v>
          </cell>
          <cell r="F5640">
            <v>0</v>
          </cell>
          <cell r="G5640">
            <v>0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</row>
        <row r="5641">
          <cell r="D5641">
            <v>304269</v>
          </cell>
          <cell r="E5641" t="str">
            <v>B'Laan NHS</v>
          </cell>
          <cell r="F5641">
            <v>0</v>
          </cell>
          <cell r="G5641">
            <v>0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3</v>
          </cell>
          <cell r="P5641">
            <v>0</v>
          </cell>
          <cell r="Q5641">
            <v>3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</row>
        <row r="5642">
          <cell r="D5642">
            <v>304296</v>
          </cell>
          <cell r="E5642" t="str">
            <v>Sta. Maria NHS</v>
          </cell>
          <cell r="F5642">
            <v>0</v>
          </cell>
          <cell r="G5642">
            <v>0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</row>
        <row r="5643">
          <cell r="D5643">
            <v>316008</v>
          </cell>
          <cell r="E5643" t="str">
            <v>Emeliano S. Fontanares Sr. NHS</v>
          </cell>
          <cell r="F5643">
            <v>0</v>
          </cell>
          <cell r="G5643">
            <v>0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</row>
        <row r="5644">
          <cell r="D5644">
            <v>304264</v>
          </cell>
          <cell r="E5644" t="str">
            <v>Balangonan NHS</v>
          </cell>
          <cell r="F5644">
            <v>0</v>
          </cell>
          <cell r="G5644">
            <v>0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  <cell r="Z5644">
            <v>0</v>
          </cell>
        </row>
        <row r="5645">
          <cell r="D5645">
            <v>304281</v>
          </cell>
          <cell r="E5645" t="str">
            <v>Jose Abad Santos NHS</v>
          </cell>
          <cell r="F5645">
            <v>50</v>
          </cell>
          <cell r="G5645">
            <v>50</v>
          </cell>
          <cell r="H5645">
            <v>100</v>
          </cell>
          <cell r="I5645">
            <v>8</v>
          </cell>
          <cell r="J5645">
            <v>11</v>
          </cell>
          <cell r="K5645">
            <v>19</v>
          </cell>
          <cell r="L5645">
            <v>8</v>
          </cell>
          <cell r="M5645">
            <v>11</v>
          </cell>
          <cell r="N5645">
            <v>19</v>
          </cell>
          <cell r="O5645">
            <v>0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>
            <v>1</v>
          </cell>
          <cell r="V5645">
            <v>0</v>
          </cell>
          <cell r="W5645">
            <v>1</v>
          </cell>
          <cell r="X5645">
            <v>0</v>
          </cell>
          <cell r="Y5645">
            <v>0</v>
          </cell>
          <cell r="Z5645">
            <v>0</v>
          </cell>
        </row>
        <row r="5646">
          <cell r="D5646">
            <v>304272</v>
          </cell>
          <cell r="E5646" t="str">
            <v>Don Marcelino NHS</v>
          </cell>
          <cell r="F5646">
            <v>0</v>
          </cell>
          <cell r="G5646">
            <v>0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</v>
          </cell>
          <cell r="Y5646">
            <v>0</v>
          </cell>
          <cell r="Z5646">
            <v>0</v>
          </cell>
        </row>
        <row r="5647">
          <cell r="D5647">
            <v>304461</v>
          </cell>
          <cell r="E5647" t="str">
            <v>Libungan NHS</v>
          </cell>
          <cell r="F5647">
            <v>0</v>
          </cell>
          <cell r="G5647">
            <v>0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</row>
        <row r="5648">
          <cell r="D5648">
            <v>304489</v>
          </cell>
          <cell r="E5648" t="str">
            <v>Olandang NHS</v>
          </cell>
          <cell r="F5648">
            <v>0</v>
          </cell>
          <cell r="G5648">
            <v>0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</row>
        <row r="5649">
          <cell r="D5649">
            <v>304473</v>
          </cell>
          <cell r="E5649" t="str">
            <v>Manobo NHS</v>
          </cell>
          <cell r="F5649">
            <v>0</v>
          </cell>
          <cell r="G5649">
            <v>0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</row>
        <row r="5650">
          <cell r="D5650">
            <v>304430</v>
          </cell>
          <cell r="E5650" t="str">
            <v>Dado High School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</row>
        <row r="5651">
          <cell r="D5651">
            <v>304441</v>
          </cell>
          <cell r="E5651" t="str">
            <v>Katipunan HS</v>
          </cell>
          <cell r="F5651">
            <v>0</v>
          </cell>
          <cell r="G5651">
            <v>0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</row>
        <row r="5652">
          <cell r="D5652">
            <v>304463</v>
          </cell>
          <cell r="E5652" t="str">
            <v>Magpet National High School</v>
          </cell>
          <cell r="F5652">
            <v>0</v>
          </cell>
          <cell r="G5652">
            <v>0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</row>
        <row r="5653">
          <cell r="D5653">
            <v>316502</v>
          </cell>
          <cell r="E5653" t="str">
            <v>Katalicanan High School</v>
          </cell>
          <cell r="F5653">
            <v>22</v>
          </cell>
          <cell r="G5653">
            <v>34</v>
          </cell>
          <cell r="H5653">
            <v>56</v>
          </cell>
          <cell r="I5653">
            <v>0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</row>
        <row r="5654">
          <cell r="D5654">
            <v>304413</v>
          </cell>
          <cell r="E5654" t="str">
            <v>Aleosan NHS</v>
          </cell>
          <cell r="F5654">
            <v>0</v>
          </cell>
          <cell r="G5654">
            <v>0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1</v>
          </cell>
          <cell r="W5654">
            <v>1</v>
          </cell>
          <cell r="X5654">
            <v>0</v>
          </cell>
          <cell r="Y5654">
            <v>0</v>
          </cell>
          <cell r="Z5654">
            <v>0</v>
          </cell>
        </row>
        <row r="5655">
          <cell r="D5655">
            <v>304418</v>
          </cell>
          <cell r="E5655" t="str">
            <v>Mariano Untal HS</v>
          </cell>
          <cell r="F5655">
            <v>0</v>
          </cell>
          <cell r="G5655">
            <v>0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</row>
        <row r="5656">
          <cell r="D5656">
            <v>304420</v>
          </cell>
          <cell r="E5656" t="str">
            <v>Banisilan NHS</v>
          </cell>
          <cell r="F5656">
            <v>0</v>
          </cell>
          <cell r="G5656">
            <v>0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</row>
        <row r="5657">
          <cell r="D5657">
            <v>304422</v>
          </cell>
          <cell r="E5657" t="str">
            <v>Basak NHS</v>
          </cell>
          <cell r="F5657">
            <v>0</v>
          </cell>
          <cell r="G5657">
            <v>0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</row>
        <row r="5658">
          <cell r="D5658">
            <v>316521</v>
          </cell>
          <cell r="E5658" t="str">
            <v>Aringay National High School</v>
          </cell>
          <cell r="F5658">
            <v>0</v>
          </cell>
          <cell r="G5658">
            <v>0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</row>
        <row r="5659">
          <cell r="D5659">
            <v>304432</v>
          </cell>
          <cell r="E5659" t="str">
            <v>Dilangalen National High School</v>
          </cell>
          <cell r="F5659">
            <v>0</v>
          </cell>
          <cell r="G5659">
            <v>114</v>
          </cell>
          <cell r="H5659">
            <v>114</v>
          </cell>
          <cell r="I5659">
            <v>0</v>
          </cell>
          <cell r="J5659">
            <v>101</v>
          </cell>
          <cell r="K5659">
            <v>101</v>
          </cell>
          <cell r="L5659">
            <v>0</v>
          </cell>
          <cell r="M5659">
            <v>236</v>
          </cell>
          <cell r="N5659">
            <v>236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</row>
        <row r="5660">
          <cell r="D5660">
            <v>304480</v>
          </cell>
          <cell r="E5660" t="str">
            <v>M'lang NHS</v>
          </cell>
          <cell r="F5660">
            <v>0</v>
          </cell>
          <cell r="G5660">
            <v>0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</row>
        <row r="5661">
          <cell r="D5661">
            <v>304460</v>
          </cell>
          <cell r="E5661" t="str">
            <v>Lanao Kuran NVTHS</v>
          </cell>
          <cell r="F5661">
            <v>0</v>
          </cell>
          <cell r="G5661">
            <v>0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</row>
        <row r="5662">
          <cell r="D5662">
            <v>304500</v>
          </cell>
          <cell r="E5662" t="str">
            <v>Salama NHS</v>
          </cell>
          <cell r="F5662">
            <v>0</v>
          </cell>
          <cell r="G5662">
            <v>0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</row>
        <row r="5663">
          <cell r="D5663">
            <v>304516</v>
          </cell>
          <cell r="E5663" t="str">
            <v>Villarica High School</v>
          </cell>
          <cell r="F5663">
            <v>0</v>
          </cell>
          <cell r="G5663">
            <v>0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</row>
        <row r="5664">
          <cell r="D5664">
            <v>304444</v>
          </cell>
          <cell r="E5664" t="str">
            <v>Kabacan National High School</v>
          </cell>
          <cell r="F5664">
            <v>0</v>
          </cell>
          <cell r="G5664">
            <v>0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0</v>
          </cell>
          <cell r="Y5664">
            <v>0</v>
          </cell>
          <cell r="Z5664">
            <v>0</v>
          </cell>
        </row>
        <row r="5665">
          <cell r="D5665">
            <v>304436</v>
          </cell>
          <cell r="E5665" t="str">
            <v>Greenfield NHS</v>
          </cell>
          <cell r="F5665">
            <v>0</v>
          </cell>
          <cell r="G5665">
            <v>0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0</v>
          </cell>
          <cell r="Y5665">
            <v>0</v>
          </cell>
          <cell r="Z5665">
            <v>0</v>
          </cell>
        </row>
        <row r="5666">
          <cell r="D5666">
            <v>304472</v>
          </cell>
          <cell r="E5666" t="str">
            <v>Malinao High School</v>
          </cell>
          <cell r="F5666">
            <v>0</v>
          </cell>
          <cell r="G5666">
            <v>0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</row>
        <row r="5667">
          <cell r="D5667">
            <v>304464</v>
          </cell>
          <cell r="E5667" t="str">
            <v>Mahongkog High School</v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</row>
        <row r="5668">
          <cell r="D5668">
            <v>304435</v>
          </cell>
          <cell r="E5668" t="str">
            <v>Dualing High School</v>
          </cell>
          <cell r="F5668">
            <v>10</v>
          </cell>
          <cell r="G5668">
            <v>11</v>
          </cell>
          <cell r="H5668">
            <v>21</v>
          </cell>
          <cell r="I5668">
            <v>10</v>
          </cell>
          <cell r="J5668">
            <v>11</v>
          </cell>
          <cell r="K5668">
            <v>21</v>
          </cell>
          <cell r="L5668">
            <v>1</v>
          </cell>
          <cell r="M5668">
            <v>1</v>
          </cell>
          <cell r="N5668">
            <v>2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</row>
        <row r="5669">
          <cell r="D5669">
            <v>304515</v>
          </cell>
          <cell r="E5669" t="str">
            <v>Tulunan NHS</v>
          </cell>
          <cell r="F5669">
            <v>0</v>
          </cell>
          <cell r="G5669">
            <v>0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</row>
        <row r="5670">
          <cell r="D5670">
            <v>304477</v>
          </cell>
          <cell r="E5670" t="str">
            <v>New Alimodian HS</v>
          </cell>
          <cell r="F5670">
            <v>0</v>
          </cell>
          <cell r="G5670">
            <v>0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</row>
        <row r="5671">
          <cell r="D5671">
            <v>304427</v>
          </cell>
          <cell r="E5671" t="str">
            <v>Carmen National High School</v>
          </cell>
          <cell r="F5671">
            <v>0</v>
          </cell>
          <cell r="G5671">
            <v>0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</row>
        <row r="5672">
          <cell r="D5672">
            <v>304416</v>
          </cell>
          <cell r="E5672" t="str">
            <v>Antipas NHS - Malire Annex</v>
          </cell>
          <cell r="F5672">
            <v>0</v>
          </cell>
          <cell r="G5672">
            <v>0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</row>
        <row r="5673">
          <cell r="D5673">
            <v>304431</v>
          </cell>
          <cell r="E5673" t="str">
            <v>Dalapitan HS</v>
          </cell>
          <cell r="F5673">
            <v>0</v>
          </cell>
          <cell r="G5673">
            <v>0</v>
          </cell>
          <cell r="H5673">
            <v>0</v>
          </cell>
          <cell r="I5673">
            <v>0</v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</row>
        <row r="5674">
          <cell r="D5674">
            <v>304512</v>
          </cell>
          <cell r="E5674" t="str">
            <v>Tubak NHS</v>
          </cell>
          <cell r="F5674">
            <v>0</v>
          </cell>
          <cell r="G5674">
            <v>0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0</v>
          </cell>
          <cell r="Y5674">
            <v>0</v>
          </cell>
          <cell r="Z5674">
            <v>0</v>
          </cell>
        </row>
        <row r="5675">
          <cell r="D5675">
            <v>304440</v>
          </cell>
          <cell r="E5675" t="str">
            <v>Kabalantian HS</v>
          </cell>
          <cell r="F5675">
            <v>0</v>
          </cell>
          <cell r="G5675">
            <v>0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</row>
        <row r="5676">
          <cell r="D5676">
            <v>304415</v>
          </cell>
          <cell r="E5676" t="str">
            <v>ANTIPAS NHS</v>
          </cell>
          <cell r="F5676">
            <v>0</v>
          </cell>
          <cell r="G5676">
            <v>0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</row>
        <row r="5677">
          <cell r="D5677">
            <v>304510</v>
          </cell>
          <cell r="E5677" t="str">
            <v>New Rizal HS</v>
          </cell>
          <cell r="F5677">
            <v>0</v>
          </cell>
          <cell r="G5677">
            <v>0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</row>
        <row r="5678">
          <cell r="D5678">
            <v>304470</v>
          </cell>
          <cell r="E5678" t="str">
            <v>Malatab HS</v>
          </cell>
          <cell r="F5678">
            <v>0</v>
          </cell>
          <cell r="G5678">
            <v>0</v>
          </cell>
          <cell r="H5678">
            <v>0</v>
          </cell>
          <cell r="I5678">
            <v>0</v>
          </cell>
          <cell r="J5678">
            <v>0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</row>
        <row r="5679">
          <cell r="D5679">
            <v>304462</v>
          </cell>
          <cell r="E5679" t="str">
            <v>Lika NHS</v>
          </cell>
          <cell r="F5679">
            <v>0</v>
          </cell>
          <cell r="G5679">
            <v>0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</row>
        <row r="5680">
          <cell r="D5680">
            <v>304454</v>
          </cell>
          <cell r="E5680" t="str">
            <v>Kimagango NHS</v>
          </cell>
          <cell r="F5680">
            <v>0</v>
          </cell>
          <cell r="G5680">
            <v>0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</row>
        <row r="5681">
          <cell r="D5681">
            <v>316501</v>
          </cell>
          <cell r="E5681" t="str">
            <v>Manumba National HS</v>
          </cell>
          <cell r="F5681">
            <v>0</v>
          </cell>
          <cell r="G5681">
            <v>0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</row>
        <row r="5682">
          <cell r="D5682">
            <v>304478</v>
          </cell>
          <cell r="E5682" t="str">
            <v>Matalam High School (Poblacion)</v>
          </cell>
          <cell r="F5682">
            <v>0</v>
          </cell>
          <cell r="G5682">
            <v>0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</row>
        <row r="5683">
          <cell r="D5683">
            <v>304421</v>
          </cell>
          <cell r="E5683" t="str">
            <v>Bannawag HS</v>
          </cell>
          <cell r="F5683">
            <v>0</v>
          </cell>
          <cell r="G5683">
            <v>0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</row>
        <row r="5684">
          <cell r="D5684">
            <v>304505</v>
          </cell>
          <cell r="E5684" t="str">
            <v>Silik High School</v>
          </cell>
          <cell r="F5684">
            <v>0</v>
          </cell>
          <cell r="G5684">
            <v>0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0</v>
          </cell>
          <cell r="Y5684">
            <v>0</v>
          </cell>
          <cell r="Z5684">
            <v>0</v>
          </cell>
        </row>
        <row r="5685">
          <cell r="D5685">
            <v>304507</v>
          </cell>
          <cell r="E5685" t="str">
            <v>Sinawingan HS</v>
          </cell>
          <cell r="F5685">
            <v>0</v>
          </cell>
          <cell r="G5685">
            <v>0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</v>
          </cell>
          <cell r="Y5685">
            <v>0</v>
          </cell>
          <cell r="Z5685">
            <v>0</v>
          </cell>
        </row>
        <row r="5686">
          <cell r="D5686">
            <v>304469</v>
          </cell>
          <cell r="E5686" t="str">
            <v>Malasila National Vocational and Technological High School</v>
          </cell>
          <cell r="F5686">
            <v>0</v>
          </cell>
          <cell r="G5686">
            <v>0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</row>
        <row r="5687">
          <cell r="D5687">
            <v>316541</v>
          </cell>
          <cell r="E5687" t="str">
            <v>Datu Embak Mangansing Memorial High School</v>
          </cell>
          <cell r="F5687">
            <v>2</v>
          </cell>
          <cell r="G5687">
            <v>5</v>
          </cell>
          <cell r="H5687">
            <v>7</v>
          </cell>
          <cell r="I5687">
            <v>0</v>
          </cell>
          <cell r="J5687">
            <v>2</v>
          </cell>
          <cell r="K5687">
            <v>2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</row>
        <row r="5688">
          <cell r="D5688">
            <v>316524</v>
          </cell>
          <cell r="E5688" t="str">
            <v>Datu Dalandag NHS</v>
          </cell>
          <cell r="F5688">
            <v>0</v>
          </cell>
          <cell r="G5688">
            <v>0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</row>
        <row r="5689">
          <cell r="D5689">
            <v>304488</v>
          </cell>
          <cell r="E5689" t="str">
            <v>Nueva Vida National High School</v>
          </cell>
          <cell r="F5689">
            <v>0</v>
          </cell>
          <cell r="G5689">
            <v>0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</row>
        <row r="5690">
          <cell r="D5690">
            <v>304445</v>
          </cell>
          <cell r="E5690" t="str">
            <v>Malamote High School</v>
          </cell>
          <cell r="F5690">
            <v>0</v>
          </cell>
          <cell r="G5690">
            <v>0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</row>
        <row r="5691">
          <cell r="D5691">
            <v>304490</v>
          </cell>
          <cell r="E5691" t="str">
            <v>B.A. Calamba National High School</v>
          </cell>
          <cell r="F5691">
            <v>0</v>
          </cell>
          <cell r="G5691">
            <v>0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</row>
        <row r="5692">
          <cell r="D5692">
            <v>304476</v>
          </cell>
          <cell r="E5692" t="str">
            <v>Matalam National High School, Brgy Linao</v>
          </cell>
          <cell r="F5692">
            <v>0</v>
          </cell>
          <cell r="G5692">
            <v>0</v>
          </cell>
          <cell r="H5692">
            <v>0</v>
          </cell>
          <cell r="I5692">
            <v>0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</row>
        <row r="5693">
          <cell r="D5693">
            <v>304423</v>
          </cell>
          <cell r="E5693" t="str">
            <v>Bulakanon High School</v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</row>
        <row r="5694">
          <cell r="D5694">
            <v>304504</v>
          </cell>
          <cell r="E5694" t="str">
            <v>Sibsib High School</v>
          </cell>
          <cell r="F5694">
            <v>0</v>
          </cell>
          <cell r="G5694">
            <v>0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  <cell r="Z5694">
            <v>0</v>
          </cell>
        </row>
        <row r="5695">
          <cell r="D5695">
            <v>304483</v>
          </cell>
          <cell r="E5695" t="str">
            <v>New Cebu HS</v>
          </cell>
          <cell r="F5695">
            <v>0</v>
          </cell>
          <cell r="G5695">
            <v>0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</row>
        <row r="5696">
          <cell r="D5696">
            <v>304508</v>
          </cell>
          <cell r="E5696" t="str">
            <v>Takepan HS</v>
          </cell>
          <cell r="F5696">
            <v>0</v>
          </cell>
          <cell r="G5696">
            <v>0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</row>
        <row r="5697">
          <cell r="D5697">
            <v>304412</v>
          </cell>
          <cell r="E5697" t="str">
            <v>Alamada NHS</v>
          </cell>
          <cell r="F5697">
            <v>0</v>
          </cell>
          <cell r="G5697">
            <v>0</v>
          </cell>
          <cell r="H5697">
            <v>0</v>
          </cell>
          <cell r="I5697">
            <v>0</v>
          </cell>
          <cell r="J5697">
            <v>0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</row>
        <row r="5698">
          <cell r="D5698">
            <v>316534</v>
          </cell>
          <cell r="E5698" t="str">
            <v>Meocan High School</v>
          </cell>
          <cell r="F5698">
            <v>15</v>
          </cell>
          <cell r="G5698">
            <v>12</v>
          </cell>
          <cell r="H5698">
            <v>27</v>
          </cell>
          <cell r="I5698">
            <v>8</v>
          </cell>
          <cell r="J5698">
            <v>7</v>
          </cell>
          <cell r="K5698">
            <v>15</v>
          </cell>
          <cell r="L5698">
            <v>7</v>
          </cell>
          <cell r="M5698">
            <v>5</v>
          </cell>
          <cell r="N5698">
            <v>12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</row>
        <row r="5699">
          <cell r="D5699">
            <v>316504</v>
          </cell>
          <cell r="E5699" t="str">
            <v>Balite HS</v>
          </cell>
          <cell r="F5699">
            <v>0</v>
          </cell>
          <cell r="G5699">
            <v>0</v>
          </cell>
          <cell r="H5699">
            <v>0</v>
          </cell>
          <cell r="I5699">
            <v>0</v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</row>
        <row r="5700">
          <cell r="D5700">
            <v>304419</v>
          </cell>
          <cell r="E5700" t="str">
            <v>Banayal HS</v>
          </cell>
          <cell r="F5700">
            <v>0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</row>
        <row r="5701">
          <cell r="D5701">
            <v>304491</v>
          </cell>
          <cell r="E5701" t="str">
            <v>Patindeguen HS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</row>
        <row r="5702">
          <cell r="D5702">
            <v>316536</v>
          </cell>
          <cell r="E5702" t="str">
            <v>Manuangan HS-Datu Binasing HS Annex</v>
          </cell>
          <cell r="F5702">
            <v>0</v>
          </cell>
          <cell r="G5702">
            <v>9</v>
          </cell>
          <cell r="H5702">
            <v>9</v>
          </cell>
          <cell r="I5702">
            <v>0</v>
          </cell>
          <cell r="J5702">
            <v>0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1</v>
          </cell>
          <cell r="Q5702">
            <v>1</v>
          </cell>
          <cell r="R5702">
            <v>0</v>
          </cell>
          <cell r="S5702">
            <v>1</v>
          </cell>
          <cell r="T5702">
            <v>1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</row>
        <row r="5703">
          <cell r="D5703">
            <v>304471</v>
          </cell>
          <cell r="E5703" t="str">
            <v>MALIBATUAN HIGH SCHOOL</v>
          </cell>
          <cell r="F5703">
            <v>0</v>
          </cell>
          <cell r="G5703">
            <v>0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0</v>
          </cell>
          <cell r="W5703">
            <v>0</v>
          </cell>
          <cell r="X5703">
            <v>0</v>
          </cell>
          <cell r="Y5703">
            <v>0</v>
          </cell>
          <cell r="Z5703">
            <v>0</v>
          </cell>
        </row>
        <row r="5704">
          <cell r="D5704">
            <v>304452</v>
          </cell>
          <cell r="E5704" t="str">
            <v>Kibia HS</v>
          </cell>
          <cell r="F5704">
            <v>0</v>
          </cell>
          <cell r="G5704">
            <v>0</v>
          </cell>
          <cell r="H5704">
            <v>0</v>
          </cell>
          <cell r="I5704">
            <v>0</v>
          </cell>
          <cell r="J5704">
            <v>0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  <cell r="Z5704">
            <v>0</v>
          </cell>
        </row>
        <row r="5705">
          <cell r="D5705">
            <v>304447</v>
          </cell>
          <cell r="E5705" t="str">
            <v>Lumayong High School</v>
          </cell>
          <cell r="F5705">
            <v>0</v>
          </cell>
          <cell r="G5705">
            <v>0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</row>
        <row r="5706">
          <cell r="D5706">
            <v>304438</v>
          </cell>
          <cell r="E5706" t="str">
            <v>Dallag HS</v>
          </cell>
          <cell r="F5706">
            <v>0</v>
          </cell>
          <cell r="G5706">
            <v>0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</row>
        <row r="5707">
          <cell r="D5707">
            <v>304442</v>
          </cell>
          <cell r="E5707" t="str">
            <v>F. A. Andolana Mem. NHS</v>
          </cell>
          <cell r="F5707">
            <v>0</v>
          </cell>
          <cell r="G5707">
            <v>0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  <cell r="V5707">
            <v>0</v>
          </cell>
          <cell r="W5707">
            <v>0</v>
          </cell>
          <cell r="X5707">
            <v>0</v>
          </cell>
          <cell r="Y5707">
            <v>0</v>
          </cell>
          <cell r="Z5707">
            <v>0</v>
          </cell>
        </row>
        <row r="5708">
          <cell r="D5708">
            <v>316520</v>
          </cell>
          <cell r="E5708" t="str">
            <v>Pigcawayan NHS - Libungan Torreta Annex</v>
          </cell>
          <cell r="F5708">
            <v>40</v>
          </cell>
          <cell r="G5708">
            <v>45</v>
          </cell>
          <cell r="H5708">
            <v>85</v>
          </cell>
          <cell r="I5708">
            <v>0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0</v>
          </cell>
          <cell r="X5708">
            <v>0</v>
          </cell>
          <cell r="Y5708">
            <v>0</v>
          </cell>
          <cell r="Z5708">
            <v>0</v>
          </cell>
        </row>
        <row r="5709">
          <cell r="D5709">
            <v>304697</v>
          </cell>
          <cell r="E5709" t="str">
            <v>Bongolanon High School</v>
          </cell>
          <cell r="F5709">
            <v>0</v>
          </cell>
          <cell r="G5709">
            <v>0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</row>
        <row r="5710">
          <cell r="D5710">
            <v>316514</v>
          </cell>
          <cell r="E5710" t="str">
            <v>Minapan High School</v>
          </cell>
          <cell r="F5710">
            <v>0</v>
          </cell>
          <cell r="G5710">
            <v>0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</row>
        <row r="5711">
          <cell r="D5711">
            <v>304439</v>
          </cell>
          <cell r="E5711" t="str">
            <v>Marciano Dahan HS</v>
          </cell>
          <cell r="F5711">
            <v>0</v>
          </cell>
          <cell r="G5711">
            <v>0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</row>
        <row r="5712">
          <cell r="D5712">
            <v>304414</v>
          </cell>
          <cell r="E5712" t="str">
            <v>Pagangan HS</v>
          </cell>
          <cell r="F5712">
            <v>0</v>
          </cell>
          <cell r="G5712">
            <v>0</v>
          </cell>
          <cell r="H5712">
            <v>0</v>
          </cell>
          <cell r="I5712">
            <v>0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</row>
        <row r="5713">
          <cell r="D5713">
            <v>304459</v>
          </cell>
          <cell r="E5713" t="str">
            <v>Lampayan NHS</v>
          </cell>
          <cell r="F5713">
            <v>0</v>
          </cell>
          <cell r="G5713">
            <v>0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</row>
        <row r="5714">
          <cell r="D5714">
            <v>304493</v>
          </cell>
          <cell r="E5714" t="str">
            <v>Pigcawayan National High School</v>
          </cell>
          <cell r="F5714">
            <v>0</v>
          </cell>
          <cell r="G5714">
            <v>0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</row>
        <row r="5715">
          <cell r="D5715">
            <v>304506</v>
          </cell>
          <cell r="E5715" t="str">
            <v>Simsiman HS</v>
          </cell>
          <cell r="F5715">
            <v>0</v>
          </cell>
          <cell r="G5715">
            <v>0</v>
          </cell>
          <cell r="H5715">
            <v>0</v>
          </cell>
          <cell r="I5715">
            <v>0</v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</row>
        <row r="5716">
          <cell r="D5716">
            <v>304457</v>
          </cell>
          <cell r="E5716" t="str">
            <v>Ricardo L. Ipong NHS</v>
          </cell>
          <cell r="F5716">
            <v>0</v>
          </cell>
          <cell r="G5716">
            <v>0</v>
          </cell>
          <cell r="H5716">
            <v>0</v>
          </cell>
          <cell r="I5716">
            <v>0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</row>
        <row r="5717">
          <cell r="D5717">
            <v>304468</v>
          </cell>
          <cell r="E5717" t="str">
            <v>Malapag NHS</v>
          </cell>
          <cell r="F5717">
            <v>0</v>
          </cell>
          <cell r="G5717">
            <v>0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</row>
        <row r="5718">
          <cell r="D5718">
            <v>304465</v>
          </cell>
          <cell r="E5718" t="str">
            <v>Temporan National High School</v>
          </cell>
          <cell r="F5718">
            <v>0</v>
          </cell>
          <cell r="G5718">
            <v>0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</row>
        <row r="5719">
          <cell r="D5719">
            <v>304487</v>
          </cell>
          <cell r="E5719" t="str">
            <v>Nicaan High School</v>
          </cell>
          <cell r="F5719">
            <v>0</v>
          </cell>
          <cell r="G5719">
            <v>0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</row>
        <row r="5720">
          <cell r="D5720">
            <v>304417</v>
          </cell>
          <cell r="E5720" t="str">
            <v>Arizona HS</v>
          </cell>
          <cell r="F5720">
            <v>0</v>
          </cell>
          <cell r="G5720">
            <v>0</v>
          </cell>
          <cell r="H5720">
            <v>0</v>
          </cell>
          <cell r="I5720">
            <v>0</v>
          </cell>
          <cell r="J5720">
            <v>0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</row>
        <row r="5721">
          <cell r="D5721">
            <v>304501</v>
          </cell>
          <cell r="E5721" t="str">
            <v>Salunayan HS</v>
          </cell>
          <cell r="F5721">
            <v>0</v>
          </cell>
          <cell r="G5721">
            <v>0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</row>
        <row r="5722">
          <cell r="D5722">
            <v>304466</v>
          </cell>
          <cell r="E5722" t="str">
            <v>Makilala National High School</v>
          </cell>
          <cell r="F5722">
            <v>0</v>
          </cell>
          <cell r="G5722">
            <v>0</v>
          </cell>
          <cell r="H5722">
            <v>0</v>
          </cell>
          <cell r="I5722">
            <v>0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  <cell r="Z5722">
            <v>0</v>
          </cell>
        </row>
        <row r="5723">
          <cell r="D5723">
            <v>304503</v>
          </cell>
          <cell r="E5723" t="str">
            <v>Sarayan HS</v>
          </cell>
          <cell r="F5723">
            <v>0</v>
          </cell>
          <cell r="G5723">
            <v>0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</row>
        <row r="5724">
          <cell r="D5724">
            <v>316552</v>
          </cell>
          <cell r="E5724" t="str">
            <v>Kitubod HS</v>
          </cell>
          <cell r="F5724">
            <v>0</v>
          </cell>
          <cell r="G5724">
            <v>0</v>
          </cell>
          <cell r="H5724">
            <v>0</v>
          </cell>
          <cell r="I5724">
            <v>0</v>
          </cell>
          <cell r="J5724">
            <v>0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</row>
        <row r="5725">
          <cell r="D5725">
            <v>304474</v>
          </cell>
          <cell r="E5725" t="str">
            <v>Manuangan HS</v>
          </cell>
          <cell r="F5725">
            <v>0</v>
          </cell>
          <cell r="G5725">
            <v>0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</row>
        <row r="5726">
          <cell r="D5726">
            <v>304429</v>
          </cell>
          <cell r="E5726" t="str">
            <v>Ranzo National High School</v>
          </cell>
          <cell r="F5726">
            <v>0</v>
          </cell>
          <cell r="G5726">
            <v>0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</row>
        <row r="5727">
          <cell r="D5727">
            <v>304499</v>
          </cell>
          <cell r="E5727" t="str">
            <v>Presbitero HS</v>
          </cell>
          <cell r="F5727">
            <v>0</v>
          </cell>
          <cell r="G5727">
            <v>0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</row>
        <row r="5728">
          <cell r="D5728">
            <v>304467</v>
          </cell>
          <cell r="E5728" t="str">
            <v>Jose Rizal NHS</v>
          </cell>
          <cell r="F5728">
            <v>0</v>
          </cell>
          <cell r="G5728">
            <v>0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</row>
        <row r="5729">
          <cell r="D5729">
            <v>304453</v>
          </cell>
          <cell r="E5729" t="str">
            <v>Kibudtungan NHS</v>
          </cell>
          <cell r="F5729">
            <v>4</v>
          </cell>
          <cell r="G5729">
            <v>0</v>
          </cell>
          <cell r="H5729">
            <v>4</v>
          </cell>
          <cell r="I5729">
            <v>0</v>
          </cell>
          <cell r="J5729">
            <v>0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</row>
        <row r="5730">
          <cell r="D5730">
            <v>316507</v>
          </cell>
          <cell r="E5730" t="str">
            <v>Agustin M. Valdevieso, Sr. High School</v>
          </cell>
          <cell r="F5730">
            <v>0</v>
          </cell>
          <cell r="G5730">
            <v>0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</row>
        <row r="5731">
          <cell r="D5731">
            <v>304479</v>
          </cell>
          <cell r="E5731" t="str">
            <v>Matilac HS</v>
          </cell>
          <cell r="F5731">
            <v>0</v>
          </cell>
          <cell r="G5731">
            <v>0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</row>
        <row r="5732">
          <cell r="D5732">
            <v>316519</v>
          </cell>
          <cell r="E5732" t="str">
            <v>Dr. Onofre H. Campo High School</v>
          </cell>
          <cell r="F5732">
            <v>0</v>
          </cell>
          <cell r="G5732">
            <v>0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</row>
        <row r="5733">
          <cell r="D5733">
            <v>304456</v>
          </cell>
          <cell r="E5733" t="str">
            <v>Kisante National High School</v>
          </cell>
          <cell r="F5733">
            <v>0</v>
          </cell>
          <cell r="G5733">
            <v>0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</row>
        <row r="5734">
          <cell r="D5734">
            <v>304424</v>
          </cell>
          <cell r="E5734" t="str">
            <v>Malabuan HS</v>
          </cell>
          <cell r="F5734">
            <v>0</v>
          </cell>
          <cell r="G5734">
            <v>0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</row>
        <row r="5735">
          <cell r="D5735">
            <v>304484</v>
          </cell>
          <cell r="E5735" t="str">
            <v>NEW ISRAEL HIGH SCHOOL</v>
          </cell>
          <cell r="F5735">
            <v>0</v>
          </cell>
          <cell r="G5735">
            <v>0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</row>
        <row r="5736">
          <cell r="D5736">
            <v>304492</v>
          </cell>
          <cell r="E5736" t="str">
            <v>Pigcawaran NHS</v>
          </cell>
          <cell r="F5736">
            <v>0</v>
          </cell>
          <cell r="G5736">
            <v>0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</row>
        <row r="5737">
          <cell r="D5737">
            <v>304434</v>
          </cell>
          <cell r="E5737" t="str">
            <v>Don Antonio Jayme Mem. HS</v>
          </cell>
          <cell r="F5737">
            <v>0</v>
          </cell>
          <cell r="G5737">
            <v>0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</row>
        <row r="5738">
          <cell r="D5738">
            <v>304495</v>
          </cell>
          <cell r="E5738" t="str">
            <v>Rajah Muda National High School</v>
          </cell>
          <cell r="F5738">
            <v>0</v>
          </cell>
          <cell r="G5738">
            <v>0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</row>
        <row r="5739">
          <cell r="D5739">
            <v>304496</v>
          </cell>
          <cell r="E5739" t="str">
            <v>Pres. Roxas National High School</v>
          </cell>
          <cell r="F5739">
            <v>131</v>
          </cell>
          <cell r="G5739">
            <v>120</v>
          </cell>
          <cell r="H5739">
            <v>251</v>
          </cell>
          <cell r="I5739">
            <v>57</v>
          </cell>
          <cell r="J5739">
            <v>30</v>
          </cell>
          <cell r="K5739">
            <v>87</v>
          </cell>
          <cell r="L5739">
            <v>73</v>
          </cell>
          <cell r="M5739">
            <v>52</v>
          </cell>
          <cell r="N5739">
            <v>125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</row>
        <row r="5740">
          <cell r="D5740">
            <v>304494</v>
          </cell>
          <cell r="E5740" t="str">
            <v>Pikit NHS</v>
          </cell>
          <cell r="F5740">
            <v>0</v>
          </cell>
          <cell r="G5740">
            <v>0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</row>
        <row r="5741">
          <cell r="D5741">
            <v>316516</v>
          </cell>
          <cell r="E5741" t="str">
            <v>LILIONGAN NATIONAL HIGH SCHOOL</v>
          </cell>
          <cell r="F5741">
            <v>0</v>
          </cell>
          <cell r="G5741">
            <v>0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</row>
        <row r="5742">
          <cell r="D5742">
            <v>316512</v>
          </cell>
          <cell r="E5742" t="str">
            <v>Pikit NHS - Gokotan Annex</v>
          </cell>
          <cell r="F5742">
            <v>0</v>
          </cell>
          <cell r="G5742">
            <v>0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</row>
        <row r="5743">
          <cell r="D5743">
            <v>304458</v>
          </cell>
          <cell r="E5743" t="str">
            <v>Kitub-Bao NHS</v>
          </cell>
          <cell r="F5743">
            <v>0</v>
          </cell>
          <cell r="G5743">
            <v>0</v>
          </cell>
          <cell r="H5743">
            <v>0</v>
          </cell>
          <cell r="I5743">
            <v>0</v>
          </cell>
          <cell r="J5743">
            <v>0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</row>
        <row r="5744">
          <cell r="D5744">
            <v>304498</v>
          </cell>
          <cell r="E5744" t="str">
            <v>Ilustre HS</v>
          </cell>
          <cell r="F5744">
            <v>0</v>
          </cell>
          <cell r="G5744">
            <v>0</v>
          </cell>
          <cell r="H5744">
            <v>0</v>
          </cell>
          <cell r="I5744">
            <v>0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</row>
        <row r="5745">
          <cell r="D5745">
            <v>316556</v>
          </cell>
          <cell r="E5745" t="str">
            <v>Bentangan HS</v>
          </cell>
          <cell r="F5745">
            <v>0</v>
          </cell>
          <cell r="G5745">
            <v>0</v>
          </cell>
          <cell r="H5745">
            <v>0</v>
          </cell>
          <cell r="I5745">
            <v>0</v>
          </cell>
          <cell r="J5745">
            <v>6</v>
          </cell>
          <cell r="K5745">
            <v>6</v>
          </cell>
          <cell r="L5745">
            <v>0</v>
          </cell>
          <cell r="M5745">
            <v>6</v>
          </cell>
          <cell r="N5745">
            <v>6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6</v>
          </cell>
          <cell r="W5745">
            <v>6</v>
          </cell>
          <cell r="X5745">
            <v>0</v>
          </cell>
          <cell r="Y5745">
            <v>4</v>
          </cell>
          <cell r="Z5745">
            <v>4</v>
          </cell>
        </row>
        <row r="5746">
          <cell r="D5746">
            <v>304509</v>
          </cell>
          <cell r="E5746" t="str">
            <v>Sultan Memorial HS</v>
          </cell>
          <cell r="F5746">
            <v>0</v>
          </cell>
          <cell r="G5746">
            <v>0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</row>
        <row r="5747">
          <cell r="D5747">
            <v>501639</v>
          </cell>
          <cell r="E5747" t="str">
            <v>Bongolanon High School</v>
          </cell>
          <cell r="F5747">
            <v>0</v>
          </cell>
          <cell r="G5747">
            <v>0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</row>
        <row r="5748">
          <cell r="D5748">
            <v>500263</v>
          </cell>
          <cell r="E5748" t="str">
            <v>JBT Caing Sr. Memorial  Integrated School</v>
          </cell>
          <cell r="F5748">
            <v>0</v>
          </cell>
          <cell r="G5748">
            <v>0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</row>
        <row r="5749">
          <cell r="D5749">
            <v>500280</v>
          </cell>
          <cell r="E5749" t="str">
            <v>Cablalan IS</v>
          </cell>
          <cell r="F5749">
            <v>0</v>
          </cell>
          <cell r="G5749">
            <v>0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</row>
        <row r="5750">
          <cell r="D5750">
            <v>316605</v>
          </cell>
          <cell r="E5750" t="str">
            <v>Malapatan NHS - Kinam Annex</v>
          </cell>
          <cell r="F5750">
            <v>0</v>
          </cell>
          <cell r="G5750">
            <v>0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</row>
        <row r="5751">
          <cell r="D5751">
            <v>500292</v>
          </cell>
          <cell r="E5751" t="str">
            <v>Lamlabong Integrated School</v>
          </cell>
          <cell r="F5751">
            <v>0</v>
          </cell>
          <cell r="G5751">
            <v>0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</row>
        <row r="5752">
          <cell r="D5752">
            <v>500260</v>
          </cell>
          <cell r="E5752" t="str">
            <v>Lumigo Integrated School</v>
          </cell>
          <cell r="F5752">
            <v>0</v>
          </cell>
          <cell r="G5752">
            <v>0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</row>
        <row r="5753">
          <cell r="D5753">
            <v>500269</v>
          </cell>
          <cell r="E5753" t="str">
            <v>Upper Lumabat IS</v>
          </cell>
          <cell r="F5753">
            <v>0</v>
          </cell>
          <cell r="G5753">
            <v>0</v>
          </cell>
          <cell r="H5753">
            <v>0</v>
          </cell>
          <cell r="I5753">
            <v>0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</row>
        <row r="5754">
          <cell r="D5754">
            <v>304525</v>
          </cell>
          <cell r="E5754" t="str">
            <v>Glan-Padidu NHS</v>
          </cell>
          <cell r="F5754">
            <v>81</v>
          </cell>
          <cell r="G5754">
            <v>55</v>
          </cell>
          <cell r="H5754">
            <v>136</v>
          </cell>
          <cell r="I5754">
            <v>28</v>
          </cell>
          <cell r="J5754">
            <v>19</v>
          </cell>
          <cell r="K5754">
            <v>47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5</v>
          </cell>
          <cell r="Y5754">
            <v>4</v>
          </cell>
          <cell r="Z5754">
            <v>9</v>
          </cell>
        </row>
        <row r="5755">
          <cell r="D5755">
            <v>500708</v>
          </cell>
          <cell r="E5755" t="str">
            <v>Blat Integrated School</v>
          </cell>
          <cell r="F5755">
            <v>0</v>
          </cell>
          <cell r="G5755">
            <v>0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</row>
        <row r="5756">
          <cell r="D5756">
            <v>500265</v>
          </cell>
          <cell r="E5756" t="str">
            <v>Datu Molod IS</v>
          </cell>
          <cell r="F5756">
            <v>0</v>
          </cell>
          <cell r="G5756">
            <v>0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</row>
        <row r="5757">
          <cell r="D5757">
            <v>316639</v>
          </cell>
          <cell r="E5757" t="str">
            <v>Malalag NHS - Upo Annex</v>
          </cell>
          <cell r="F5757">
            <v>0</v>
          </cell>
          <cell r="G5757">
            <v>0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</row>
        <row r="5758">
          <cell r="D5758">
            <v>316604</v>
          </cell>
          <cell r="E5758" t="str">
            <v>Amado M. Quirit Sr National High School</v>
          </cell>
          <cell r="F5758">
            <v>0</v>
          </cell>
          <cell r="G5758">
            <v>0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</row>
        <row r="5759">
          <cell r="D5759">
            <v>500258</v>
          </cell>
          <cell r="E5759" t="str">
            <v>E. Alegado Integrated School</v>
          </cell>
          <cell r="F5759">
            <v>0</v>
          </cell>
          <cell r="G5759">
            <v>0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</row>
        <row r="5760">
          <cell r="D5760">
            <v>500282</v>
          </cell>
          <cell r="E5760" t="str">
            <v>Alabel Central Integrated SPED Center</v>
          </cell>
          <cell r="F5760">
            <v>0</v>
          </cell>
          <cell r="G5760">
            <v>0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</row>
        <row r="5761">
          <cell r="D5761">
            <v>304520</v>
          </cell>
          <cell r="E5761" t="str">
            <v>Tokawal NHS</v>
          </cell>
          <cell r="F5761">
            <v>63</v>
          </cell>
          <cell r="G5761">
            <v>34</v>
          </cell>
          <cell r="H5761">
            <v>97</v>
          </cell>
          <cell r="I5761">
            <v>28</v>
          </cell>
          <cell r="J5761">
            <v>15</v>
          </cell>
          <cell r="K5761">
            <v>43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</row>
        <row r="5762">
          <cell r="D5762">
            <v>304528</v>
          </cell>
          <cell r="E5762" t="str">
            <v>Salakit National High School</v>
          </cell>
          <cell r="F5762">
            <v>2</v>
          </cell>
          <cell r="G5762">
            <v>0</v>
          </cell>
          <cell r="H5762">
            <v>2</v>
          </cell>
          <cell r="I5762">
            <v>1</v>
          </cell>
          <cell r="J5762">
            <v>0</v>
          </cell>
          <cell r="K5762">
            <v>1</v>
          </cell>
          <cell r="L5762">
            <v>1</v>
          </cell>
          <cell r="M5762">
            <v>0</v>
          </cell>
          <cell r="N5762">
            <v>1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</row>
        <row r="5763">
          <cell r="D5763">
            <v>304522</v>
          </cell>
          <cell r="E5763" t="str">
            <v>Banate National High School</v>
          </cell>
          <cell r="F5763">
            <v>14</v>
          </cell>
          <cell r="G5763">
            <v>11</v>
          </cell>
          <cell r="H5763">
            <v>25</v>
          </cell>
          <cell r="I5763">
            <v>14</v>
          </cell>
          <cell r="J5763">
            <v>11</v>
          </cell>
          <cell r="K5763">
            <v>25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</row>
        <row r="5764">
          <cell r="D5764">
            <v>500275</v>
          </cell>
          <cell r="E5764" t="str">
            <v>Consolacion IS</v>
          </cell>
          <cell r="F5764">
            <v>0</v>
          </cell>
          <cell r="G5764">
            <v>0</v>
          </cell>
          <cell r="H5764">
            <v>0</v>
          </cell>
          <cell r="I5764">
            <v>0</v>
          </cell>
          <cell r="J5764">
            <v>0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</row>
        <row r="5765">
          <cell r="D5765">
            <v>304524</v>
          </cell>
          <cell r="E5765" t="str">
            <v>Glan School of Arts and Trades</v>
          </cell>
          <cell r="F5765">
            <v>44</v>
          </cell>
          <cell r="G5765">
            <v>392</v>
          </cell>
          <cell r="H5765">
            <v>436</v>
          </cell>
          <cell r="I5765">
            <v>0</v>
          </cell>
          <cell r="J5765">
            <v>0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</row>
        <row r="5766">
          <cell r="D5766">
            <v>500706</v>
          </cell>
          <cell r="E5766" t="str">
            <v>Miasong Integrated School</v>
          </cell>
          <cell r="F5766">
            <v>0</v>
          </cell>
          <cell r="G5766">
            <v>0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</row>
        <row r="5767">
          <cell r="D5767">
            <v>500274</v>
          </cell>
          <cell r="E5767" t="str">
            <v>Kyumad Integrated School</v>
          </cell>
          <cell r="F5767">
            <v>0</v>
          </cell>
          <cell r="G5767">
            <v>0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</row>
        <row r="5768">
          <cell r="D5768">
            <v>500256</v>
          </cell>
          <cell r="E5768" t="str">
            <v>Datal Anggas IS</v>
          </cell>
          <cell r="F5768">
            <v>0</v>
          </cell>
          <cell r="G5768">
            <v>0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</row>
        <row r="5769">
          <cell r="D5769">
            <v>500271</v>
          </cell>
          <cell r="E5769" t="str">
            <v>Datu Pangolima Integrated School</v>
          </cell>
          <cell r="F5769">
            <v>0</v>
          </cell>
          <cell r="G5769">
            <v>0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</row>
        <row r="5770">
          <cell r="D5770">
            <v>500300</v>
          </cell>
          <cell r="E5770" t="str">
            <v>Anecito Bartulaba Integrated School</v>
          </cell>
          <cell r="F5770">
            <v>0</v>
          </cell>
          <cell r="G5770">
            <v>0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</row>
        <row r="5771">
          <cell r="D5771">
            <v>500257</v>
          </cell>
          <cell r="E5771" t="str">
            <v>New Canaan Integrated School</v>
          </cell>
          <cell r="F5771">
            <v>0</v>
          </cell>
          <cell r="G5771">
            <v>0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</row>
        <row r="5772">
          <cell r="D5772">
            <v>500283</v>
          </cell>
          <cell r="E5772" t="str">
            <v>Hadji Musa IS</v>
          </cell>
          <cell r="F5772">
            <v>0</v>
          </cell>
          <cell r="G5772">
            <v>0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</row>
        <row r="5773">
          <cell r="D5773">
            <v>500286</v>
          </cell>
          <cell r="E5773" t="str">
            <v>Leopoldo D. Dacera Sr. IS</v>
          </cell>
          <cell r="F5773">
            <v>0</v>
          </cell>
          <cell r="G5773">
            <v>0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</row>
        <row r="5774">
          <cell r="D5774">
            <v>500277</v>
          </cell>
          <cell r="E5774" t="str">
            <v>Tampus Integrated School</v>
          </cell>
          <cell r="F5774">
            <v>0</v>
          </cell>
          <cell r="G5774">
            <v>0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</row>
        <row r="5775">
          <cell r="D5775">
            <v>304537</v>
          </cell>
          <cell r="E5775" t="str">
            <v>Malapatan NHS</v>
          </cell>
          <cell r="F5775">
            <v>0</v>
          </cell>
          <cell r="G5775">
            <v>0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</row>
        <row r="5776">
          <cell r="D5776">
            <v>304526</v>
          </cell>
          <cell r="E5776" t="str">
            <v>Kawas National High School</v>
          </cell>
          <cell r="F5776">
            <v>11</v>
          </cell>
          <cell r="G5776">
            <v>10</v>
          </cell>
          <cell r="H5776">
            <v>21</v>
          </cell>
          <cell r="I5776">
            <v>9</v>
          </cell>
          <cell r="J5776">
            <v>7</v>
          </cell>
          <cell r="K5776">
            <v>16</v>
          </cell>
          <cell r="L5776">
            <v>2</v>
          </cell>
          <cell r="M5776">
            <v>2</v>
          </cell>
          <cell r="N5776">
            <v>4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</row>
        <row r="5777">
          <cell r="D5777">
            <v>500268</v>
          </cell>
          <cell r="E5777" t="str">
            <v>Lutay Integrated School</v>
          </cell>
          <cell r="F5777">
            <v>0</v>
          </cell>
          <cell r="G5777">
            <v>0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</row>
        <row r="5778">
          <cell r="D5778">
            <v>500276</v>
          </cell>
          <cell r="E5778" t="str">
            <v>Tangan Integrated School</v>
          </cell>
          <cell r="F5778">
            <v>0</v>
          </cell>
          <cell r="G5778">
            <v>0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</row>
        <row r="5779">
          <cell r="D5779">
            <v>304534</v>
          </cell>
          <cell r="E5779" t="str">
            <v>Malalag National High School</v>
          </cell>
          <cell r="F5779">
            <v>0</v>
          </cell>
          <cell r="G5779">
            <v>0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</row>
        <row r="5780">
          <cell r="D5780">
            <v>500255</v>
          </cell>
          <cell r="E5780" t="str">
            <v>Pag-asa IS</v>
          </cell>
          <cell r="F5780">
            <v>0</v>
          </cell>
          <cell r="G5780">
            <v>0</v>
          </cell>
          <cell r="H5780">
            <v>0</v>
          </cell>
          <cell r="I5780">
            <v>0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</row>
        <row r="5781">
          <cell r="D5781">
            <v>316602</v>
          </cell>
          <cell r="E5781" t="str">
            <v>Kiblat NHS</v>
          </cell>
          <cell r="F5781">
            <v>33</v>
          </cell>
          <cell r="G5781">
            <v>33</v>
          </cell>
          <cell r="H5781">
            <v>66</v>
          </cell>
          <cell r="I5781">
            <v>0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</row>
        <row r="5782">
          <cell r="D5782">
            <v>500261</v>
          </cell>
          <cell r="E5782" t="str">
            <v>Roque Adarna Integrated  School</v>
          </cell>
          <cell r="F5782">
            <v>0</v>
          </cell>
          <cell r="G5782">
            <v>0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</row>
        <row r="5783">
          <cell r="D5783">
            <v>500301</v>
          </cell>
          <cell r="E5783" t="str">
            <v>Kiahe Integrated School</v>
          </cell>
          <cell r="F5783">
            <v>0</v>
          </cell>
          <cell r="G5783">
            <v>0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</row>
        <row r="5784">
          <cell r="D5784">
            <v>500712</v>
          </cell>
          <cell r="E5784" t="str">
            <v>Millona Upper Suyan Integrated School</v>
          </cell>
          <cell r="F5784">
            <v>1</v>
          </cell>
          <cell r="G5784">
            <v>0</v>
          </cell>
          <cell r="H5784">
            <v>1</v>
          </cell>
          <cell r="I5784">
            <v>0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</row>
        <row r="5785">
          <cell r="D5785">
            <v>304532</v>
          </cell>
          <cell r="E5785" t="str">
            <v>Maguling NHS</v>
          </cell>
          <cell r="F5785">
            <v>0</v>
          </cell>
          <cell r="G5785">
            <v>0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</row>
        <row r="5786">
          <cell r="D5786">
            <v>304531</v>
          </cell>
          <cell r="E5786" t="str">
            <v>Lun Padidu National High School</v>
          </cell>
          <cell r="F5786">
            <v>0</v>
          </cell>
          <cell r="G5786">
            <v>0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</row>
        <row r="5787">
          <cell r="D5787">
            <v>304523</v>
          </cell>
          <cell r="E5787" t="str">
            <v>Colon NHS</v>
          </cell>
          <cell r="F5787">
            <v>0</v>
          </cell>
          <cell r="G5787">
            <v>0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</row>
        <row r="5788">
          <cell r="D5788">
            <v>304540</v>
          </cell>
          <cell r="E5788" t="str">
            <v>Upper Mainit NHS</v>
          </cell>
          <cell r="F5788">
            <v>0</v>
          </cell>
          <cell r="G5788">
            <v>0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</row>
        <row r="5789">
          <cell r="D5789">
            <v>500264</v>
          </cell>
          <cell r="E5789" t="str">
            <v>Rogaya Bajunaid IS</v>
          </cell>
          <cell r="F5789">
            <v>0</v>
          </cell>
          <cell r="G5789">
            <v>0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</row>
        <row r="5790">
          <cell r="D5790">
            <v>304539</v>
          </cell>
          <cell r="E5790" t="str">
            <v>San Roque NHS</v>
          </cell>
          <cell r="F5790">
            <v>0</v>
          </cell>
          <cell r="G5790">
            <v>0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</row>
        <row r="5791">
          <cell r="D5791">
            <v>304519</v>
          </cell>
          <cell r="E5791" t="str">
            <v>Alegria NHS</v>
          </cell>
          <cell r="F5791">
            <v>0</v>
          </cell>
          <cell r="G5791">
            <v>0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</row>
        <row r="5792">
          <cell r="D5792">
            <v>500285</v>
          </cell>
          <cell r="E5792" t="str">
            <v>Tagaytay Integrated School</v>
          </cell>
          <cell r="F5792">
            <v>0</v>
          </cell>
          <cell r="G5792">
            <v>0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</row>
        <row r="5793">
          <cell r="D5793">
            <v>500266</v>
          </cell>
          <cell r="E5793" t="str">
            <v>Nomoh Integrated School</v>
          </cell>
          <cell r="F5793">
            <v>0</v>
          </cell>
          <cell r="G5793">
            <v>0</v>
          </cell>
          <cell r="H5793">
            <v>0</v>
          </cell>
          <cell r="I5793">
            <v>0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</row>
        <row r="5794">
          <cell r="D5794">
            <v>500288</v>
          </cell>
          <cell r="E5794" t="str">
            <v>Kinabalan Integrated School</v>
          </cell>
          <cell r="F5794">
            <v>0</v>
          </cell>
          <cell r="G5794">
            <v>0</v>
          </cell>
          <cell r="H5794">
            <v>0</v>
          </cell>
          <cell r="I5794">
            <v>0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</row>
        <row r="5795">
          <cell r="D5795">
            <v>304538</v>
          </cell>
          <cell r="E5795" t="str">
            <v>Malungon National High School</v>
          </cell>
          <cell r="F5795">
            <v>153</v>
          </cell>
          <cell r="G5795">
            <v>120</v>
          </cell>
          <cell r="H5795">
            <v>273</v>
          </cell>
          <cell r="I5795">
            <v>50</v>
          </cell>
          <cell r="J5795">
            <v>30</v>
          </cell>
          <cell r="K5795">
            <v>80</v>
          </cell>
          <cell r="L5795">
            <v>50</v>
          </cell>
          <cell r="M5795">
            <v>30</v>
          </cell>
          <cell r="N5795">
            <v>80</v>
          </cell>
          <cell r="O5795">
            <v>8</v>
          </cell>
          <cell r="P5795">
            <v>10</v>
          </cell>
          <cell r="Q5795">
            <v>18</v>
          </cell>
          <cell r="R5795">
            <v>8</v>
          </cell>
          <cell r="S5795">
            <v>10</v>
          </cell>
          <cell r="T5795">
            <v>18</v>
          </cell>
          <cell r="U5795">
            <v>5</v>
          </cell>
          <cell r="V5795">
            <v>10</v>
          </cell>
          <cell r="W5795">
            <v>15</v>
          </cell>
          <cell r="X5795">
            <v>2</v>
          </cell>
          <cell r="Y5795">
            <v>3</v>
          </cell>
          <cell r="Z5795">
            <v>5</v>
          </cell>
        </row>
        <row r="5796">
          <cell r="D5796">
            <v>304518</v>
          </cell>
          <cell r="E5796" t="str">
            <v>Alabel National High School</v>
          </cell>
          <cell r="F5796">
            <v>50</v>
          </cell>
          <cell r="G5796">
            <v>30</v>
          </cell>
          <cell r="H5796">
            <v>80</v>
          </cell>
          <cell r="I5796">
            <v>0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</row>
        <row r="5797">
          <cell r="D5797">
            <v>500284</v>
          </cell>
          <cell r="E5797" t="str">
            <v>Policarpo H. Millona Central Integrated School</v>
          </cell>
          <cell r="F5797">
            <v>0</v>
          </cell>
          <cell r="G5797">
            <v>0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</row>
        <row r="5798">
          <cell r="D5798">
            <v>316601</v>
          </cell>
          <cell r="E5798" t="str">
            <v>San Vicente NHS</v>
          </cell>
          <cell r="F5798">
            <v>0</v>
          </cell>
          <cell r="G5798">
            <v>0</v>
          </cell>
          <cell r="H5798">
            <v>0</v>
          </cell>
          <cell r="I5798">
            <v>0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</row>
        <row r="5799">
          <cell r="D5799">
            <v>500279</v>
          </cell>
          <cell r="E5799" t="str">
            <v>Malabod Integrated School</v>
          </cell>
          <cell r="F5799">
            <v>0</v>
          </cell>
          <cell r="G5799">
            <v>0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</row>
        <row r="5800">
          <cell r="D5800">
            <v>304542</v>
          </cell>
          <cell r="E5800" t="str">
            <v>Talus NHS</v>
          </cell>
          <cell r="F5800">
            <v>0</v>
          </cell>
          <cell r="G5800">
            <v>0</v>
          </cell>
          <cell r="H5800">
            <v>0</v>
          </cell>
          <cell r="I5800">
            <v>0</v>
          </cell>
          <cell r="J5800">
            <v>0</v>
          </cell>
          <cell r="K5800">
            <v>0</v>
          </cell>
          <cell r="L5800">
            <v>0</v>
          </cell>
          <cell r="M5800">
            <v>0</v>
          </cell>
          <cell r="N5800">
            <v>0</v>
          </cell>
          <cell r="O5800">
            <v>0</v>
          </cell>
          <cell r="P5800">
            <v>0</v>
          </cell>
          <cell r="Q5800">
            <v>0</v>
          </cell>
          <cell r="R5800">
            <v>0</v>
          </cell>
          <cell r="S5800">
            <v>0</v>
          </cell>
          <cell r="T5800">
            <v>0</v>
          </cell>
          <cell r="U5800">
            <v>0</v>
          </cell>
          <cell r="V5800">
            <v>0</v>
          </cell>
          <cell r="W5800">
            <v>0</v>
          </cell>
          <cell r="X5800">
            <v>0</v>
          </cell>
          <cell r="Y5800">
            <v>0</v>
          </cell>
          <cell r="Z5800">
            <v>0</v>
          </cell>
        </row>
        <row r="5801">
          <cell r="D5801">
            <v>316603</v>
          </cell>
          <cell r="E5801" t="str">
            <v>Malungon Gamay National High School</v>
          </cell>
          <cell r="F5801">
            <v>0</v>
          </cell>
          <cell r="G5801">
            <v>0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</row>
        <row r="5802">
          <cell r="D5802">
            <v>500707</v>
          </cell>
          <cell r="E5802" t="str">
            <v>Tonga Lim Siao Sr. Integrated School</v>
          </cell>
          <cell r="F5802">
            <v>0</v>
          </cell>
          <cell r="G5802">
            <v>0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</row>
        <row r="5803">
          <cell r="D5803">
            <v>304533</v>
          </cell>
          <cell r="E5803" t="str">
            <v>Malalag Cogon NHS</v>
          </cell>
          <cell r="F5803">
            <v>0</v>
          </cell>
          <cell r="G5803">
            <v>0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  <cell r="N5803">
            <v>0</v>
          </cell>
          <cell r="O5803">
            <v>0</v>
          </cell>
          <cell r="P5803">
            <v>0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>
            <v>0</v>
          </cell>
          <cell r="V5803">
            <v>0</v>
          </cell>
          <cell r="W5803">
            <v>0</v>
          </cell>
          <cell r="X5803">
            <v>0</v>
          </cell>
          <cell r="Y5803">
            <v>0</v>
          </cell>
          <cell r="Z5803">
            <v>0</v>
          </cell>
        </row>
        <row r="5804">
          <cell r="D5804">
            <v>500272</v>
          </cell>
          <cell r="E5804" t="str">
            <v>Daan Suyan Integrated School</v>
          </cell>
          <cell r="F5804">
            <v>0</v>
          </cell>
          <cell r="G5804">
            <v>0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</row>
        <row r="5805">
          <cell r="D5805">
            <v>304529</v>
          </cell>
          <cell r="E5805" t="str">
            <v>James L. Chiongbian National Trade School</v>
          </cell>
          <cell r="F5805">
            <v>236</v>
          </cell>
          <cell r="G5805">
            <v>216</v>
          </cell>
          <cell r="H5805">
            <v>452</v>
          </cell>
          <cell r="I5805">
            <v>0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</row>
        <row r="5806">
          <cell r="D5806">
            <v>500267</v>
          </cell>
          <cell r="E5806" t="str">
            <v>Mangelen IS</v>
          </cell>
          <cell r="F5806">
            <v>0</v>
          </cell>
          <cell r="G5806">
            <v>0</v>
          </cell>
          <cell r="H5806">
            <v>0</v>
          </cell>
          <cell r="I5806">
            <v>0</v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</row>
        <row r="5807">
          <cell r="D5807">
            <v>500281</v>
          </cell>
          <cell r="E5807" t="str">
            <v>Wali Integrated School</v>
          </cell>
          <cell r="F5807">
            <v>0</v>
          </cell>
          <cell r="G5807">
            <v>0</v>
          </cell>
          <cell r="H5807">
            <v>0</v>
          </cell>
          <cell r="I5807">
            <v>0</v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</row>
        <row r="5808">
          <cell r="D5808">
            <v>304527</v>
          </cell>
          <cell r="E5808" t="str">
            <v>Kiamba National High School</v>
          </cell>
          <cell r="F5808">
            <v>0</v>
          </cell>
          <cell r="G5808">
            <v>0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0</v>
          </cell>
          <cell r="Y5808">
            <v>0</v>
          </cell>
          <cell r="Z5808">
            <v>0</v>
          </cell>
        </row>
        <row r="5809">
          <cell r="D5809">
            <v>500777</v>
          </cell>
          <cell r="E5809" t="str">
            <v>Domolok Integrated School</v>
          </cell>
          <cell r="F5809">
            <v>0</v>
          </cell>
          <cell r="G5809">
            <v>0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0</v>
          </cell>
          <cell r="Y5809">
            <v>0</v>
          </cell>
          <cell r="Z5809">
            <v>0</v>
          </cell>
        </row>
        <row r="5810">
          <cell r="D5810">
            <v>500297</v>
          </cell>
          <cell r="E5810" t="str">
            <v>Spring IS</v>
          </cell>
          <cell r="F5810">
            <v>0</v>
          </cell>
          <cell r="G5810">
            <v>0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</row>
        <row r="5811">
          <cell r="D5811">
            <v>316606</v>
          </cell>
          <cell r="E5811" t="str">
            <v>Aniceto C. Lopez Sr. NHS</v>
          </cell>
          <cell r="F5811">
            <v>0</v>
          </cell>
          <cell r="G5811">
            <v>0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</row>
        <row r="5812">
          <cell r="D5812">
            <v>500714</v>
          </cell>
          <cell r="E5812" t="str">
            <v>Laginan Integrated School</v>
          </cell>
          <cell r="F5812">
            <v>0</v>
          </cell>
          <cell r="G5812">
            <v>0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</row>
        <row r="5813">
          <cell r="D5813">
            <v>304521</v>
          </cell>
          <cell r="E5813" t="str">
            <v>Tanao Bantilan Tao NHS (Baliton NHS)</v>
          </cell>
          <cell r="F5813">
            <v>0</v>
          </cell>
          <cell r="G5813">
            <v>0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</row>
        <row r="5814">
          <cell r="D5814">
            <v>500262</v>
          </cell>
          <cell r="E5814" t="str">
            <v>Cabales-Enarbia Sr. Integrated School</v>
          </cell>
          <cell r="F5814">
            <v>0</v>
          </cell>
          <cell r="G5814">
            <v>0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</v>
          </cell>
          <cell r="Y5814">
            <v>0</v>
          </cell>
          <cell r="Z5814">
            <v>0</v>
          </cell>
        </row>
        <row r="5815">
          <cell r="D5815">
            <v>304517</v>
          </cell>
          <cell r="E5815" t="str">
            <v>Alabel National Science High School</v>
          </cell>
          <cell r="F5815">
            <v>0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</row>
        <row r="5816">
          <cell r="D5816">
            <v>304535</v>
          </cell>
          <cell r="E5816" t="str">
            <v>Malandag National High School</v>
          </cell>
          <cell r="F5816">
            <v>0</v>
          </cell>
          <cell r="G5816">
            <v>0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</row>
        <row r="5817">
          <cell r="D5817">
            <v>500270</v>
          </cell>
          <cell r="E5817" t="str">
            <v>Datal Batong Integrated School</v>
          </cell>
          <cell r="F5817">
            <v>0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</row>
        <row r="5818">
          <cell r="D5818">
            <v>500259</v>
          </cell>
          <cell r="E5818" t="str">
            <v>Valeria B. Lopez IS</v>
          </cell>
          <cell r="F5818">
            <v>0</v>
          </cell>
          <cell r="G5818">
            <v>0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  <cell r="Z5818">
            <v>0</v>
          </cell>
        </row>
        <row r="5819">
          <cell r="D5819">
            <v>304541</v>
          </cell>
          <cell r="E5819" t="str">
            <v>Pangyan National High School</v>
          </cell>
          <cell r="F5819">
            <v>0</v>
          </cell>
          <cell r="G5819">
            <v>0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0</v>
          </cell>
          <cell r="Y5819">
            <v>0</v>
          </cell>
          <cell r="Z5819">
            <v>0</v>
          </cell>
        </row>
        <row r="5820">
          <cell r="D5820">
            <v>304530</v>
          </cell>
          <cell r="E5820" t="str">
            <v>Leonard Young Sr. National High School</v>
          </cell>
          <cell r="F5820">
            <v>116</v>
          </cell>
          <cell r="G5820">
            <v>101</v>
          </cell>
          <cell r="H5820">
            <v>217</v>
          </cell>
          <cell r="I5820">
            <v>5</v>
          </cell>
          <cell r="J5820">
            <v>7</v>
          </cell>
          <cell r="K5820">
            <v>12</v>
          </cell>
          <cell r="L5820">
            <v>121</v>
          </cell>
          <cell r="M5820">
            <v>108</v>
          </cell>
          <cell r="N5820">
            <v>229</v>
          </cell>
          <cell r="O5820">
            <v>116</v>
          </cell>
          <cell r="P5820">
            <v>102</v>
          </cell>
          <cell r="Q5820">
            <v>218</v>
          </cell>
          <cell r="R5820">
            <v>5</v>
          </cell>
          <cell r="S5820">
            <v>6</v>
          </cell>
          <cell r="T5820">
            <v>11</v>
          </cell>
          <cell r="U5820">
            <v>7</v>
          </cell>
          <cell r="V5820">
            <v>8</v>
          </cell>
          <cell r="W5820">
            <v>15</v>
          </cell>
          <cell r="X5820">
            <v>6</v>
          </cell>
          <cell r="Y5820">
            <v>4</v>
          </cell>
          <cell r="Z5820">
            <v>10</v>
          </cell>
        </row>
        <row r="5821">
          <cell r="D5821">
            <v>316710</v>
          </cell>
          <cell r="E5821" t="str">
            <v>Lamsugod NHS</v>
          </cell>
          <cell r="F5821">
            <v>0</v>
          </cell>
          <cell r="G5821">
            <v>0</v>
          </cell>
          <cell r="H5821">
            <v>0</v>
          </cell>
          <cell r="I5821">
            <v>0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</row>
        <row r="5822">
          <cell r="D5822">
            <v>304570</v>
          </cell>
          <cell r="E5822" t="str">
            <v>Tampakan NHS</v>
          </cell>
          <cell r="F5822">
            <v>0</v>
          </cell>
          <cell r="G5822">
            <v>0</v>
          </cell>
          <cell r="H5822">
            <v>0</v>
          </cell>
          <cell r="I5822">
            <v>0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</row>
        <row r="5823">
          <cell r="D5823">
            <v>304569</v>
          </cell>
          <cell r="E5823" t="str">
            <v>Sto. Niño NSAT</v>
          </cell>
          <cell r="F5823">
            <v>0</v>
          </cell>
          <cell r="G5823">
            <v>0</v>
          </cell>
          <cell r="H5823">
            <v>0</v>
          </cell>
          <cell r="I5823">
            <v>0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</row>
        <row r="5824">
          <cell r="D5824">
            <v>316705</v>
          </cell>
          <cell r="E5824" t="str">
            <v>Punong Grande NHS - Banga NHS Annex</v>
          </cell>
          <cell r="F5824">
            <v>0</v>
          </cell>
          <cell r="G5824">
            <v>0</v>
          </cell>
          <cell r="H5824">
            <v>0</v>
          </cell>
          <cell r="I5824">
            <v>0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</row>
        <row r="5825">
          <cell r="D5825">
            <v>304565</v>
          </cell>
          <cell r="E5825" t="str">
            <v>Bukay Pait NHS</v>
          </cell>
          <cell r="F5825">
            <v>0</v>
          </cell>
          <cell r="G5825">
            <v>0</v>
          </cell>
          <cell r="H5825">
            <v>0</v>
          </cell>
          <cell r="I5825">
            <v>0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</row>
        <row r="5826">
          <cell r="D5826">
            <v>304555</v>
          </cell>
          <cell r="E5826" t="str">
            <v>Libertad NHS</v>
          </cell>
          <cell r="F5826">
            <v>0</v>
          </cell>
          <cell r="G5826">
            <v>0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</row>
        <row r="5827">
          <cell r="D5827">
            <v>304556</v>
          </cell>
          <cell r="E5827" t="str">
            <v>Maltana NHS</v>
          </cell>
          <cell r="F5827">
            <v>0</v>
          </cell>
          <cell r="G5827">
            <v>0</v>
          </cell>
          <cell r="H5827">
            <v>0</v>
          </cell>
          <cell r="I5827">
            <v>0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</row>
        <row r="5828">
          <cell r="D5828">
            <v>304558</v>
          </cell>
          <cell r="E5828" t="str">
            <v>Panay NHS</v>
          </cell>
          <cell r="F5828">
            <v>0</v>
          </cell>
          <cell r="G5828">
            <v>0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</row>
        <row r="5829">
          <cell r="D5829">
            <v>316708</v>
          </cell>
          <cell r="E5829" t="str">
            <v>Kibang NHS - Lake Sebu NHS Annex</v>
          </cell>
          <cell r="F5829">
            <v>0</v>
          </cell>
          <cell r="G5829">
            <v>0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</row>
        <row r="5830">
          <cell r="D5830">
            <v>316709</v>
          </cell>
          <cell r="E5830" t="str">
            <v>Proper Ned NHS - Lake Sebu NHS Annex</v>
          </cell>
          <cell r="F5830">
            <v>0</v>
          </cell>
          <cell r="G5830">
            <v>0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  <cell r="Z5830">
            <v>0</v>
          </cell>
        </row>
        <row r="5831">
          <cell r="D5831">
            <v>316925</v>
          </cell>
          <cell r="E5831" t="str">
            <v>Talufo IS</v>
          </cell>
          <cell r="F5831">
            <v>0</v>
          </cell>
          <cell r="G5831">
            <v>0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  <cell r="Z5831">
            <v>0</v>
          </cell>
        </row>
        <row r="5832">
          <cell r="D5832">
            <v>304544</v>
          </cell>
          <cell r="E5832" t="str">
            <v>Bentung Sulit NHS</v>
          </cell>
          <cell r="F5832">
            <v>69</v>
          </cell>
          <cell r="G5832">
            <v>77</v>
          </cell>
          <cell r="H5832">
            <v>146</v>
          </cell>
          <cell r="I5832">
            <v>0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0</v>
          </cell>
          <cell r="Y5832">
            <v>0</v>
          </cell>
          <cell r="Z5832">
            <v>0</v>
          </cell>
        </row>
        <row r="5833">
          <cell r="D5833">
            <v>304572</v>
          </cell>
          <cell r="E5833" t="str">
            <v>Tantangan NHS</v>
          </cell>
          <cell r="F5833">
            <v>0</v>
          </cell>
          <cell r="G5833">
            <v>0</v>
          </cell>
          <cell r="H5833">
            <v>0</v>
          </cell>
          <cell r="I5833">
            <v>0</v>
          </cell>
          <cell r="J5833">
            <v>0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</row>
        <row r="5834">
          <cell r="D5834">
            <v>316721</v>
          </cell>
          <cell r="E5834" t="str">
            <v>Lampari NHS - Banga Annex</v>
          </cell>
          <cell r="F5834">
            <v>0</v>
          </cell>
          <cell r="G5834">
            <v>0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</row>
        <row r="5835">
          <cell r="D5835">
            <v>304543</v>
          </cell>
          <cell r="E5835" t="str">
            <v>Banga NHS</v>
          </cell>
          <cell r="F5835">
            <v>0</v>
          </cell>
          <cell r="G5835">
            <v>0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0</v>
          </cell>
          <cell r="Y5835">
            <v>0</v>
          </cell>
          <cell r="Z5835">
            <v>0</v>
          </cell>
        </row>
        <row r="5836">
          <cell r="D5836">
            <v>500432</v>
          </cell>
          <cell r="E5836" t="str">
            <v>Godwino Integrated School</v>
          </cell>
          <cell r="F5836">
            <v>0</v>
          </cell>
          <cell r="G5836">
            <v>0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</row>
        <row r="5837">
          <cell r="D5837">
            <v>316926</v>
          </cell>
          <cell r="E5837" t="str">
            <v>Laconon Is</v>
          </cell>
          <cell r="F5837">
            <v>33</v>
          </cell>
          <cell r="G5837">
            <v>35</v>
          </cell>
          <cell r="H5837">
            <v>68</v>
          </cell>
          <cell r="I5837">
            <v>0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</row>
        <row r="5838">
          <cell r="D5838">
            <v>316723</v>
          </cell>
          <cell r="E5838" t="str">
            <v>Rizal 3 NHS - Banga Annex</v>
          </cell>
          <cell r="F5838">
            <v>0</v>
          </cell>
          <cell r="G5838">
            <v>0</v>
          </cell>
          <cell r="H5838">
            <v>0</v>
          </cell>
          <cell r="I5838">
            <v>0</v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</row>
        <row r="5839">
          <cell r="D5839">
            <v>316921</v>
          </cell>
          <cell r="E5839" t="str">
            <v>Lusok IS</v>
          </cell>
          <cell r="F5839">
            <v>9</v>
          </cell>
          <cell r="G5839">
            <v>6</v>
          </cell>
          <cell r="H5839">
            <v>15</v>
          </cell>
          <cell r="I5839">
            <v>9</v>
          </cell>
          <cell r="J5839">
            <v>6</v>
          </cell>
          <cell r="K5839">
            <v>15</v>
          </cell>
          <cell r="L5839">
            <v>25</v>
          </cell>
          <cell r="M5839">
            <v>30</v>
          </cell>
          <cell r="N5839">
            <v>55</v>
          </cell>
          <cell r="O5839">
            <v>9</v>
          </cell>
          <cell r="P5839">
            <v>6</v>
          </cell>
          <cell r="Q5839">
            <v>15</v>
          </cell>
          <cell r="R5839">
            <v>25</v>
          </cell>
          <cell r="S5839">
            <v>30</v>
          </cell>
          <cell r="T5839">
            <v>55</v>
          </cell>
          <cell r="U5839">
            <v>9</v>
          </cell>
          <cell r="V5839">
            <v>6</v>
          </cell>
          <cell r="W5839">
            <v>15</v>
          </cell>
          <cell r="X5839">
            <v>0</v>
          </cell>
          <cell r="Y5839">
            <v>0</v>
          </cell>
          <cell r="Z5839">
            <v>0</v>
          </cell>
        </row>
        <row r="5840">
          <cell r="D5840">
            <v>316706</v>
          </cell>
          <cell r="E5840" t="str">
            <v>New Dumangas NHS</v>
          </cell>
          <cell r="F5840">
            <v>0</v>
          </cell>
          <cell r="G5840">
            <v>0</v>
          </cell>
          <cell r="H5840">
            <v>0</v>
          </cell>
          <cell r="I5840">
            <v>0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</row>
        <row r="5841">
          <cell r="D5841">
            <v>316707</v>
          </cell>
          <cell r="E5841" t="str">
            <v>Danlag NHS - Tampakan NHS Annex</v>
          </cell>
          <cell r="F5841">
            <v>0</v>
          </cell>
          <cell r="G5841">
            <v>0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</row>
        <row r="5842">
          <cell r="D5842">
            <v>304559</v>
          </cell>
          <cell r="E5842" t="str">
            <v>Poblacion Polomolok NHS</v>
          </cell>
          <cell r="F5842">
            <v>0</v>
          </cell>
          <cell r="G5842">
            <v>0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</row>
        <row r="5843">
          <cell r="D5843">
            <v>316920</v>
          </cell>
          <cell r="E5843" t="str">
            <v>Pulo Subong IS</v>
          </cell>
          <cell r="F5843">
            <v>0</v>
          </cell>
          <cell r="G5843">
            <v>0</v>
          </cell>
          <cell r="H5843">
            <v>0</v>
          </cell>
          <cell r="I5843">
            <v>0</v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</row>
        <row r="5844">
          <cell r="D5844">
            <v>304548</v>
          </cell>
          <cell r="E5844" t="str">
            <v>Guinsang-an NHS</v>
          </cell>
          <cell r="F5844">
            <v>4</v>
          </cell>
          <cell r="G5844">
            <v>0</v>
          </cell>
          <cell r="H5844">
            <v>4</v>
          </cell>
          <cell r="I5844">
            <v>0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</row>
        <row r="5845">
          <cell r="D5845">
            <v>304574</v>
          </cell>
          <cell r="E5845" t="str">
            <v>Tboli NHS</v>
          </cell>
          <cell r="F5845">
            <v>0</v>
          </cell>
          <cell r="G5845">
            <v>0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</row>
        <row r="5846">
          <cell r="D5846">
            <v>316719</v>
          </cell>
          <cell r="E5846" t="str">
            <v>Maan NHS - Tboli Annex</v>
          </cell>
          <cell r="F5846">
            <v>39</v>
          </cell>
          <cell r="G5846">
            <v>30</v>
          </cell>
          <cell r="H5846">
            <v>69</v>
          </cell>
          <cell r="I5846">
            <v>6</v>
          </cell>
          <cell r="J5846">
            <v>8</v>
          </cell>
          <cell r="K5846">
            <v>14</v>
          </cell>
          <cell r="L5846">
            <v>8</v>
          </cell>
          <cell r="M5846">
            <v>12</v>
          </cell>
          <cell r="N5846">
            <v>20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</row>
        <row r="5847">
          <cell r="D5847">
            <v>316713</v>
          </cell>
          <cell r="E5847" t="str">
            <v>Colongulo NHS</v>
          </cell>
          <cell r="F5847">
            <v>52</v>
          </cell>
          <cell r="G5847">
            <v>23</v>
          </cell>
          <cell r="H5847">
            <v>75</v>
          </cell>
          <cell r="I5847">
            <v>0</v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</row>
        <row r="5848">
          <cell r="D5848">
            <v>316715</v>
          </cell>
          <cell r="E5848" t="str">
            <v>San Jose NHS - Lapuz NHS Annex</v>
          </cell>
          <cell r="F5848">
            <v>0</v>
          </cell>
          <cell r="G5848">
            <v>0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0</v>
          </cell>
          <cell r="Y5848">
            <v>0</v>
          </cell>
          <cell r="Z5848">
            <v>0</v>
          </cell>
        </row>
        <row r="5849">
          <cell r="D5849">
            <v>304551</v>
          </cell>
          <cell r="E5849" t="str">
            <v>Ned NHS</v>
          </cell>
          <cell r="F5849">
            <v>0</v>
          </cell>
          <cell r="G5849">
            <v>0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  <cell r="Z5849">
            <v>0</v>
          </cell>
        </row>
        <row r="5850">
          <cell r="D5850">
            <v>316923</v>
          </cell>
          <cell r="E5850" t="str">
            <v>Lamhako IS</v>
          </cell>
          <cell r="F5850">
            <v>25</v>
          </cell>
          <cell r="G5850">
            <v>24</v>
          </cell>
          <cell r="H5850">
            <v>49</v>
          </cell>
          <cell r="I5850">
            <v>0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  <cell r="Z5850">
            <v>0</v>
          </cell>
        </row>
        <row r="5851">
          <cell r="D5851">
            <v>304562</v>
          </cell>
          <cell r="E5851" t="str">
            <v>Jose D. Escobillo NHS - Polonuling NHS Annex</v>
          </cell>
          <cell r="F5851">
            <v>0</v>
          </cell>
          <cell r="G5851">
            <v>0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</row>
        <row r="5852">
          <cell r="D5852">
            <v>304571</v>
          </cell>
          <cell r="E5852" t="str">
            <v>Liberty NHS</v>
          </cell>
          <cell r="F5852">
            <v>0</v>
          </cell>
          <cell r="G5852">
            <v>0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</row>
        <row r="5853">
          <cell r="D5853">
            <v>304560</v>
          </cell>
          <cell r="E5853" t="str">
            <v>Polomolok NHS</v>
          </cell>
          <cell r="F5853">
            <v>0</v>
          </cell>
          <cell r="G5853">
            <v>0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</row>
        <row r="5854">
          <cell r="D5854">
            <v>304553</v>
          </cell>
          <cell r="E5854" t="str">
            <v>Lambontong NHS</v>
          </cell>
          <cell r="F5854">
            <v>31</v>
          </cell>
          <cell r="G5854">
            <v>33</v>
          </cell>
          <cell r="H5854">
            <v>64</v>
          </cell>
          <cell r="I5854">
            <v>25</v>
          </cell>
          <cell r="J5854">
            <v>24</v>
          </cell>
          <cell r="K5854">
            <v>49</v>
          </cell>
          <cell r="L5854">
            <v>6</v>
          </cell>
          <cell r="M5854">
            <v>9</v>
          </cell>
          <cell r="N5854">
            <v>15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</row>
        <row r="5855">
          <cell r="D5855">
            <v>316718</v>
          </cell>
          <cell r="E5855" t="str">
            <v>San Vicente NHS - Banga NHS Annex</v>
          </cell>
          <cell r="F5855">
            <v>0</v>
          </cell>
          <cell r="G5855">
            <v>0</v>
          </cell>
          <cell r="H5855">
            <v>0</v>
          </cell>
          <cell r="I5855">
            <v>0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</row>
        <row r="5856">
          <cell r="D5856">
            <v>304550</v>
          </cell>
          <cell r="E5856" t="str">
            <v>Lake Sebu NHS</v>
          </cell>
          <cell r="F5856">
            <v>0</v>
          </cell>
          <cell r="G5856">
            <v>0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  <cell r="Z5856">
            <v>0</v>
          </cell>
        </row>
        <row r="5857">
          <cell r="D5857">
            <v>304576</v>
          </cell>
          <cell r="E5857" t="str">
            <v>Cebuano NHS</v>
          </cell>
          <cell r="F5857">
            <v>0</v>
          </cell>
          <cell r="G5857">
            <v>0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</row>
        <row r="5858">
          <cell r="D5858">
            <v>316725</v>
          </cell>
          <cell r="E5858" t="str">
            <v>Upper Maculan NHS - Lake Sebu NHS Annex</v>
          </cell>
          <cell r="F5858">
            <v>39</v>
          </cell>
          <cell r="G5858">
            <v>30</v>
          </cell>
          <cell r="H5858">
            <v>69</v>
          </cell>
          <cell r="I5858">
            <v>12</v>
          </cell>
          <cell r="J5858">
            <v>9</v>
          </cell>
          <cell r="K5858">
            <v>21</v>
          </cell>
          <cell r="L5858">
            <v>14</v>
          </cell>
          <cell r="M5858">
            <v>9</v>
          </cell>
          <cell r="N5858">
            <v>23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</v>
          </cell>
          <cell r="Y5858">
            <v>0</v>
          </cell>
          <cell r="Z5858">
            <v>0</v>
          </cell>
        </row>
        <row r="5859">
          <cell r="D5859">
            <v>316720</v>
          </cell>
          <cell r="E5859" t="str">
            <v>Basag NHS - Tboli Annex</v>
          </cell>
          <cell r="F5859">
            <v>30</v>
          </cell>
          <cell r="G5859">
            <v>17</v>
          </cell>
          <cell r="H5859">
            <v>47</v>
          </cell>
          <cell r="I5859">
            <v>18</v>
          </cell>
          <cell r="J5859">
            <v>8</v>
          </cell>
          <cell r="K5859">
            <v>26</v>
          </cell>
          <cell r="L5859">
            <v>18</v>
          </cell>
          <cell r="M5859">
            <v>8</v>
          </cell>
          <cell r="N5859">
            <v>26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3</v>
          </cell>
          <cell r="W5859">
            <v>3</v>
          </cell>
          <cell r="X5859">
            <v>0</v>
          </cell>
          <cell r="Y5859">
            <v>14</v>
          </cell>
          <cell r="Z5859">
            <v>14</v>
          </cell>
        </row>
        <row r="5860">
          <cell r="D5860">
            <v>316711</v>
          </cell>
          <cell r="E5860" t="str">
            <v>Lampitak NHS - Tampakan NHS Annex</v>
          </cell>
          <cell r="F5860">
            <v>0</v>
          </cell>
          <cell r="G5860">
            <v>0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</row>
        <row r="5861">
          <cell r="D5861">
            <v>304568</v>
          </cell>
          <cell r="E5861" t="str">
            <v>Sto. Niño NHS</v>
          </cell>
          <cell r="F5861">
            <v>412</v>
          </cell>
          <cell r="G5861">
            <v>530</v>
          </cell>
          <cell r="H5861">
            <v>942</v>
          </cell>
          <cell r="I5861">
            <v>201</v>
          </cell>
          <cell r="J5861">
            <v>206</v>
          </cell>
          <cell r="K5861">
            <v>407</v>
          </cell>
          <cell r="L5861">
            <v>452</v>
          </cell>
          <cell r="M5861">
            <v>238</v>
          </cell>
          <cell r="N5861">
            <v>690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</v>
          </cell>
          <cell r="Y5861">
            <v>0</v>
          </cell>
          <cell r="Z5861">
            <v>0</v>
          </cell>
        </row>
        <row r="5862">
          <cell r="D5862">
            <v>316722</v>
          </cell>
          <cell r="E5862" t="str">
            <v>Kusan NHS - Banga NHS Annex</v>
          </cell>
          <cell r="F5862">
            <v>0</v>
          </cell>
          <cell r="G5862">
            <v>0</v>
          </cell>
          <cell r="H5862">
            <v>0</v>
          </cell>
          <cell r="I5862">
            <v>0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0</v>
          </cell>
          <cell r="Y5862">
            <v>0</v>
          </cell>
          <cell r="Z5862">
            <v>0</v>
          </cell>
        </row>
        <row r="5863">
          <cell r="D5863">
            <v>316724</v>
          </cell>
          <cell r="E5863" t="str">
            <v>Sergio L. Legayada NHS - Norala NHS Annex</v>
          </cell>
          <cell r="F5863">
            <v>55</v>
          </cell>
          <cell r="G5863">
            <v>34</v>
          </cell>
          <cell r="H5863">
            <v>89</v>
          </cell>
          <cell r="I5863">
            <v>55</v>
          </cell>
          <cell r="J5863">
            <v>34</v>
          </cell>
          <cell r="K5863">
            <v>89</v>
          </cell>
          <cell r="L5863">
            <v>87</v>
          </cell>
          <cell r="M5863">
            <v>24</v>
          </cell>
          <cell r="N5863">
            <v>111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2</v>
          </cell>
          <cell r="V5863">
            <v>1</v>
          </cell>
          <cell r="W5863">
            <v>3</v>
          </cell>
          <cell r="X5863">
            <v>0</v>
          </cell>
          <cell r="Y5863">
            <v>0</v>
          </cell>
          <cell r="Z5863">
            <v>0</v>
          </cell>
        </row>
        <row r="5864">
          <cell r="D5864">
            <v>304561</v>
          </cell>
          <cell r="E5864" t="str">
            <v>Polonuling NHS</v>
          </cell>
          <cell r="F5864">
            <v>98</v>
          </cell>
          <cell r="G5864">
            <v>102</v>
          </cell>
          <cell r="H5864">
            <v>200</v>
          </cell>
          <cell r="I5864">
            <v>38</v>
          </cell>
          <cell r="J5864">
            <v>26</v>
          </cell>
          <cell r="K5864">
            <v>64</v>
          </cell>
          <cell r="L5864">
            <v>42</v>
          </cell>
          <cell r="M5864">
            <v>22</v>
          </cell>
          <cell r="N5864">
            <v>64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12</v>
          </cell>
          <cell r="V5864">
            <v>15</v>
          </cell>
          <cell r="W5864">
            <v>27</v>
          </cell>
          <cell r="X5864">
            <v>0</v>
          </cell>
          <cell r="Y5864">
            <v>0</v>
          </cell>
          <cell r="Z5864">
            <v>0</v>
          </cell>
        </row>
        <row r="5865">
          <cell r="D5865">
            <v>304557</v>
          </cell>
          <cell r="E5865" t="str">
            <v>Norala NHS</v>
          </cell>
          <cell r="F5865">
            <v>0</v>
          </cell>
          <cell r="G5865">
            <v>0</v>
          </cell>
          <cell r="H5865">
            <v>0</v>
          </cell>
          <cell r="I5865">
            <v>288</v>
          </cell>
          <cell r="J5865">
            <v>219</v>
          </cell>
          <cell r="K5865">
            <v>507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0</v>
          </cell>
          <cell r="Y5865">
            <v>0</v>
          </cell>
          <cell r="Z5865">
            <v>0</v>
          </cell>
        </row>
        <row r="5866">
          <cell r="D5866">
            <v>304547</v>
          </cell>
          <cell r="E5866" t="str">
            <v>Edwards NHS</v>
          </cell>
          <cell r="F5866">
            <v>0</v>
          </cell>
          <cell r="G5866">
            <v>0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0</v>
          </cell>
          <cell r="Y5866">
            <v>0</v>
          </cell>
          <cell r="Z5866">
            <v>0</v>
          </cell>
        </row>
        <row r="5867">
          <cell r="D5867">
            <v>304554</v>
          </cell>
          <cell r="E5867" t="str">
            <v>Lapuz NHS</v>
          </cell>
          <cell r="F5867">
            <v>0</v>
          </cell>
          <cell r="G5867">
            <v>0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</row>
        <row r="5868">
          <cell r="D5868">
            <v>316915</v>
          </cell>
          <cell r="E5868" t="str">
            <v>Rang-ay IS</v>
          </cell>
          <cell r="F5868">
            <v>50</v>
          </cell>
          <cell r="G5868">
            <v>35</v>
          </cell>
          <cell r="H5868">
            <v>85</v>
          </cell>
          <cell r="I5868">
            <v>3</v>
          </cell>
          <cell r="J5868">
            <v>2</v>
          </cell>
          <cell r="K5868">
            <v>5</v>
          </cell>
          <cell r="L5868">
            <v>3</v>
          </cell>
          <cell r="M5868">
            <v>2</v>
          </cell>
          <cell r="N5868">
            <v>5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</row>
        <row r="5869">
          <cell r="D5869">
            <v>316909</v>
          </cell>
          <cell r="E5869" t="str">
            <v>Fabiola Villa-Gasis NHS - San Miguel NHS Annex</v>
          </cell>
          <cell r="F5869">
            <v>0</v>
          </cell>
          <cell r="G5869">
            <v>0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</row>
        <row r="5870">
          <cell r="D5870">
            <v>316714</v>
          </cell>
          <cell r="E5870" t="str">
            <v>Malaya NHS - Banga NHS Annex</v>
          </cell>
          <cell r="F5870">
            <v>0</v>
          </cell>
          <cell r="G5870">
            <v>0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</row>
        <row r="5871">
          <cell r="D5871">
            <v>500458</v>
          </cell>
          <cell r="E5871" t="str">
            <v>Bonifacio R. Tagaban Sr. ES</v>
          </cell>
          <cell r="F5871">
            <v>0</v>
          </cell>
          <cell r="G5871">
            <v>0</v>
          </cell>
          <cell r="H5871">
            <v>0</v>
          </cell>
          <cell r="I5871">
            <v>0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</row>
        <row r="5872">
          <cell r="D5872">
            <v>316916</v>
          </cell>
          <cell r="E5872" t="str">
            <v>Naci IS</v>
          </cell>
          <cell r="F5872">
            <v>0</v>
          </cell>
          <cell r="G5872">
            <v>0</v>
          </cell>
          <cell r="H5872">
            <v>0</v>
          </cell>
          <cell r="I5872">
            <v>0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</row>
        <row r="5873">
          <cell r="D5873">
            <v>304549</v>
          </cell>
          <cell r="E5873" t="str">
            <v>Katipunan NHS</v>
          </cell>
          <cell r="F5873">
            <v>15</v>
          </cell>
          <cell r="G5873">
            <v>10</v>
          </cell>
          <cell r="H5873">
            <v>25</v>
          </cell>
          <cell r="I5873">
            <v>0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  <cell r="Z5873">
            <v>0</v>
          </cell>
        </row>
        <row r="5874">
          <cell r="D5874">
            <v>316911</v>
          </cell>
          <cell r="E5874" t="str">
            <v>New Lambunao IS</v>
          </cell>
          <cell r="F5874">
            <v>38</v>
          </cell>
          <cell r="G5874">
            <v>32</v>
          </cell>
          <cell r="H5874">
            <v>70</v>
          </cell>
          <cell r="I5874">
            <v>3</v>
          </cell>
          <cell r="J5874">
            <v>2</v>
          </cell>
          <cell r="K5874">
            <v>5</v>
          </cell>
          <cell r="L5874">
            <v>4</v>
          </cell>
          <cell r="M5874">
            <v>2</v>
          </cell>
          <cell r="N5874">
            <v>6</v>
          </cell>
          <cell r="O5874">
            <v>4</v>
          </cell>
          <cell r="P5874">
            <v>2</v>
          </cell>
          <cell r="Q5874">
            <v>6</v>
          </cell>
          <cell r="R5874">
            <v>6</v>
          </cell>
          <cell r="S5874">
            <v>3</v>
          </cell>
          <cell r="T5874">
            <v>9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  <cell r="Z5874">
            <v>0</v>
          </cell>
        </row>
        <row r="5875">
          <cell r="D5875">
            <v>304577</v>
          </cell>
          <cell r="E5875" t="str">
            <v>Upper Klinan NHS</v>
          </cell>
          <cell r="F5875">
            <v>0</v>
          </cell>
          <cell r="G5875">
            <v>0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</row>
        <row r="5876">
          <cell r="D5876">
            <v>316727</v>
          </cell>
          <cell r="E5876" t="str">
            <v>Aflek NHS - Edwards NHS Annex</v>
          </cell>
          <cell r="F5876">
            <v>0</v>
          </cell>
          <cell r="G5876">
            <v>0</v>
          </cell>
          <cell r="H5876">
            <v>0</v>
          </cell>
          <cell r="I5876">
            <v>0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</row>
        <row r="5877">
          <cell r="D5877">
            <v>316712</v>
          </cell>
          <cell r="E5877" t="str">
            <v>Landan NHS</v>
          </cell>
          <cell r="F5877">
            <v>0</v>
          </cell>
          <cell r="G5877">
            <v>0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</row>
        <row r="5878">
          <cell r="D5878">
            <v>316703</v>
          </cell>
          <cell r="E5878" t="str">
            <v>San Jose NHS</v>
          </cell>
          <cell r="F5878">
            <v>0</v>
          </cell>
          <cell r="G5878">
            <v>0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</row>
        <row r="5879">
          <cell r="D5879">
            <v>316918</v>
          </cell>
          <cell r="E5879" t="str">
            <v>Talisay IS</v>
          </cell>
          <cell r="F5879">
            <v>0</v>
          </cell>
          <cell r="G5879">
            <v>0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</row>
        <row r="5880">
          <cell r="D5880">
            <v>304552</v>
          </cell>
          <cell r="E5880" t="str">
            <v>Lamian NHS</v>
          </cell>
          <cell r="F5880">
            <v>0</v>
          </cell>
          <cell r="G5880">
            <v>0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</v>
          </cell>
          <cell r="Y5880">
            <v>0</v>
          </cell>
          <cell r="Z5880">
            <v>0</v>
          </cell>
        </row>
        <row r="5881">
          <cell r="D5881">
            <v>316701</v>
          </cell>
          <cell r="E5881" t="str">
            <v>Surallah NHS</v>
          </cell>
          <cell r="F5881">
            <v>0</v>
          </cell>
          <cell r="G5881">
            <v>0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</row>
        <row r="5882">
          <cell r="D5882">
            <v>304546</v>
          </cell>
          <cell r="E5882" t="str">
            <v>Centrala NHS</v>
          </cell>
          <cell r="F5882">
            <v>0</v>
          </cell>
          <cell r="G5882">
            <v>0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0</v>
          </cell>
          <cell r="Y5882">
            <v>0</v>
          </cell>
          <cell r="Z5882">
            <v>0</v>
          </cell>
        </row>
        <row r="5883">
          <cell r="D5883">
            <v>304573</v>
          </cell>
          <cell r="E5883" t="str">
            <v>Tantangan NTHS</v>
          </cell>
          <cell r="F5883">
            <v>0</v>
          </cell>
          <cell r="G5883">
            <v>0</v>
          </cell>
          <cell r="H5883">
            <v>0</v>
          </cell>
          <cell r="I5883">
            <v>0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0</v>
          </cell>
          <cell r="Y5883">
            <v>0</v>
          </cell>
          <cell r="Z5883">
            <v>0</v>
          </cell>
        </row>
        <row r="5884">
          <cell r="D5884">
            <v>304578</v>
          </cell>
          <cell r="E5884" t="str">
            <v>Palkan NHS - Upper Klinan Annex</v>
          </cell>
          <cell r="F5884">
            <v>0</v>
          </cell>
          <cell r="G5884">
            <v>0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</row>
        <row r="5885">
          <cell r="D5885">
            <v>316919</v>
          </cell>
          <cell r="E5885" t="str">
            <v>Lake Soluton IS</v>
          </cell>
          <cell r="F5885">
            <v>0</v>
          </cell>
          <cell r="G5885">
            <v>0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</row>
        <row r="5886">
          <cell r="D5886">
            <v>316702</v>
          </cell>
          <cell r="E5886" t="str">
            <v>Pablo Valencia NHS - Pob. Polomolok NHS Annex</v>
          </cell>
          <cell r="F5886">
            <v>0</v>
          </cell>
          <cell r="G5886">
            <v>0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</row>
        <row r="5887">
          <cell r="D5887">
            <v>304563</v>
          </cell>
          <cell r="E5887" t="str">
            <v>Teodoro P. Prudente NHS - Polonuling NHS Annex</v>
          </cell>
          <cell r="F5887">
            <v>0</v>
          </cell>
          <cell r="G5887">
            <v>0</v>
          </cell>
          <cell r="H5887">
            <v>0</v>
          </cell>
          <cell r="I5887">
            <v>0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</row>
        <row r="5888">
          <cell r="D5888">
            <v>316917</v>
          </cell>
          <cell r="E5888" t="str">
            <v>Lubol IS</v>
          </cell>
          <cell r="F5888">
            <v>14</v>
          </cell>
          <cell r="G5888">
            <v>19</v>
          </cell>
          <cell r="H5888">
            <v>33</v>
          </cell>
          <cell r="I5888">
            <v>14</v>
          </cell>
          <cell r="J5888">
            <v>19</v>
          </cell>
          <cell r="K5888">
            <v>33</v>
          </cell>
          <cell r="L5888">
            <v>14</v>
          </cell>
          <cell r="M5888">
            <v>19</v>
          </cell>
          <cell r="N5888">
            <v>33</v>
          </cell>
          <cell r="O5888">
            <v>14</v>
          </cell>
          <cell r="P5888">
            <v>19</v>
          </cell>
          <cell r="Q5888">
            <v>33</v>
          </cell>
          <cell r="R5888">
            <v>14</v>
          </cell>
          <cell r="S5888">
            <v>19</v>
          </cell>
          <cell r="T5888">
            <v>33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</row>
        <row r="5889">
          <cell r="D5889">
            <v>304566</v>
          </cell>
          <cell r="E5889" t="str">
            <v>San Miguel NHS</v>
          </cell>
          <cell r="F5889">
            <v>0</v>
          </cell>
          <cell r="G5889">
            <v>0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</row>
        <row r="5890">
          <cell r="D5890">
            <v>316716</v>
          </cell>
          <cell r="E5890" t="str">
            <v>Tablu NHS - Tampakan NHS Annex</v>
          </cell>
          <cell r="F5890">
            <v>0</v>
          </cell>
          <cell r="G5890">
            <v>0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</row>
        <row r="5891">
          <cell r="D5891">
            <v>304567</v>
          </cell>
          <cell r="E5891" t="str">
            <v>Silway-8 NHS</v>
          </cell>
          <cell r="F5891">
            <v>0</v>
          </cell>
          <cell r="G5891">
            <v>0</v>
          </cell>
          <cell r="H5891">
            <v>0</v>
          </cell>
          <cell r="I5891">
            <v>0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</row>
        <row r="5892">
          <cell r="D5892">
            <v>304564</v>
          </cell>
          <cell r="E5892" t="str">
            <v>Kablon NHS - Polonuling NHS Annex</v>
          </cell>
          <cell r="F5892">
            <v>0</v>
          </cell>
          <cell r="G5892">
            <v>0</v>
          </cell>
          <cell r="H5892">
            <v>0</v>
          </cell>
          <cell r="I5892">
            <v>0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</row>
        <row r="5893">
          <cell r="D5893">
            <v>304575</v>
          </cell>
          <cell r="E5893" t="str">
            <v>Tupi NHS</v>
          </cell>
          <cell r="F5893">
            <v>0</v>
          </cell>
          <cell r="G5893">
            <v>0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</row>
        <row r="5894">
          <cell r="D5894">
            <v>304545</v>
          </cell>
          <cell r="E5894" t="str">
            <v>Nicolas B. Barreras NHS - Bentung Sulit NHS Annex</v>
          </cell>
          <cell r="F5894">
            <v>0</v>
          </cell>
          <cell r="G5894">
            <v>0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</row>
        <row r="5895">
          <cell r="D5895">
            <v>360849</v>
          </cell>
          <cell r="E5895" t="str">
            <v>Tboli Sbu SHS</v>
          </cell>
          <cell r="F5895">
            <v>0</v>
          </cell>
          <cell r="G5895">
            <v>0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</row>
        <row r="5896">
          <cell r="D5896">
            <v>316914</v>
          </cell>
          <cell r="E5896" t="str">
            <v>El Nonok IS</v>
          </cell>
          <cell r="F5896">
            <v>0</v>
          </cell>
          <cell r="G5896">
            <v>0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</row>
        <row r="5897">
          <cell r="D5897">
            <v>316704</v>
          </cell>
          <cell r="E5897" t="str">
            <v>Lamba NHS - Banga NHS Annex</v>
          </cell>
          <cell r="F5897">
            <v>34</v>
          </cell>
          <cell r="G5897">
            <v>36</v>
          </cell>
          <cell r="H5897">
            <v>70</v>
          </cell>
          <cell r="I5897">
            <v>12</v>
          </cell>
          <cell r="J5897">
            <v>8</v>
          </cell>
          <cell r="K5897">
            <v>20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</row>
        <row r="5898">
          <cell r="D5898">
            <v>316717</v>
          </cell>
          <cell r="E5898" t="str">
            <v>Emiliano P. Baquial NHS - Tupi NHS Annex</v>
          </cell>
          <cell r="F5898">
            <v>0</v>
          </cell>
          <cell r="G5898">
            <v>0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</row>
        <row r="5899">
          <cell r="D5899">
            <v>304608</v>
          </cell>
          <cell r="E5899" t="str">
            <v>Maligaya National High School</v>
          </cell>
          <cell r="F5899">
            <v>0</v>
          </cell>
          <cell r="G5899">
            <v>0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</row>
        <row r="5900">
          <cell r="D5900">
            <v>304598</v>
          </cell>
          <cell r="E5900" t="str">
            <v>Pimbalayan National High School - Lambayong Annex</v>
          </cell>
          <cell r="F5900">
            <v>0</v>
          </cell>
          <cell r="G5900">
            <v>0</v>
          </cell>
          <cell r="H5900">
            <v>0</v>
          </cell>
          <cell r="I5900">
            <v>0</v>
          </cell>
          <cell r="J5900">
            <v>0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</row>
        <row r="5901">
          <cell r="D5901">
            <v>304617</v>
          </cell>
          <cell r="E5901" t="str">
            <v>President Quirino National High School</v>
          </cell>
          <cell r="F5901">
            <v>0</v>
          </cell>
          <cell r="G5901">
            <v>0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</row>
        <row r="5902">
          <cell r="D5902">
            <v>304605</v>
          </cell>
          <cell r="E5902" t="str">
            <v>Lebak Legislated National High School</v>
          </cell>
          <cell r="F5902">
            <v>0</v>
          </cell>
          <cell r="G5902">
            <v>0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</row>
        <row r="5903">
          <cell r="D5903">
            <v>304615</v>
          </cell>
          <cell r="E5903" t="str">
            <v>Palimbang National High School</v>
          </cell>
          <cell r="F5903">
            <v>0</v>
          </cell>
          <cell r="G5903">
            <v>0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</row>
        <row r="5904">
          <cell r="D5904">
            <v>304607</v>
          </cell>
          <cell r="E5904" t="str">
            <v>Madanding National High School</v>
          </cell>
          <cell r="F5904">
            <v>42</v>
          </cell>
          <cell r="G5904">
            <v>33</v>
          </cell>
          <cell r="H5904">
            <v>75</v>
          </cell>
          <cell r="I5904">
            <v>4</v>
          </cell>
          <cell r="J5904">
            <v>5</v>
          </cell>
          <cell r="K5904">
            <v>9</v>
          </cell>
          <cell r="L5904">
            <v>4</v>
          </cell>
          <cell r="M5904">
            <v>5</v>
          </cell>
          <cell r="N5904">
            <v>9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</row>
        <row r="5905">
          <cell r="D5905">
            <v>304590</v>
          </cell>
          <cell r="E5905" t="str">
            <v>Isulan National High School</v>
          </cell>
          <cell r="F5905">
            <v>0</v>
          </cell>
          <cell r="G5905">
            <v>0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</row>
        <row r="5906">
          <cell r="D5906">
            <v>304585</v>
          </cell>
          <cell r="E5906" t="str">
            <v>Bambad National High School</v>
          </cell>
          <cell r="F5906">
            <v>268</v>
          </cell>
          <cell r="G5906">
            <v>190</v>
          </cell>
          <cell r="H5906">
            <v>458</v>
          </cell>
          <cell r="I5906">
            <v>64</v>
          </cell>
          <cell r="J5906">
            <v>48</v>
          </cell>
          <cell r="K5906">
            <v>112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</row>
        <row r="5907">
          <cell r="D5907">
            <v>316804</v>
          </cell>
          <cell r="E5907" t="str">
            <v>Mangudadatu National High School - Villamonte Annex</v>
          </cell>
          <cell r="F5907">
            <v>0</v>
          </cell>
          <cell r="G5907">
            <v>0</v>
          </cell>
          <cell r="H5907">
            <v>0</v>
          </cell>
          <cell r="I5907">
            <v>0</v>
          </cell>
          <cell r="J5907">
            <v>0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</row>
        <row r="5908">
          <cell r="D5908">
            <v>304597</v>
          </cell>
          <cell r="E5908" t="str">
            <v>Lambayong National High School</v>
          </cell>
          <cell r="F5908">
            <v>0</v>
          </cell>
          <cell r="G5908">
            <v>0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</row>
        <row r="5909">
          <cell r="D5909">
            <v>304623</v>
          </cell>
          <cell r="E5909" t="str">
            <v>Sta. Clara National High School</v>
          </cell>
          <cell r="F5909">
            <v>0</v>
          </cell>
          <cell r="G5909">
            <v>0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</row>
        <row r="5910">
          <cell r="D5910">
            <v>304626</v>
          </cell>
          <cell r="E5910" t="str">
            <v>Tran National High School</v>
          </cell>
          <cell r="F5910">
            <v>0</v>
          </cell>
          <cell r="G5910">
            <v>0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</row>
        <row r="5911">
          <cell r="D5911">
            <v>304619</v>
          </cell>
          <cell r="E5911" t="str">
            <v>Purikay  National High School</v>
          </cell>
          <cell r="F5911">
            <v>0</v>
          </cell>
          <cell r="G5911">
            <v>0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</row>
        <row r="5912">
          <cell r="D5912">
            <v>304610</v>
          </cell>
          <cell r="E5912" t="str">
            <v>Milbuk National High School</v>
          </cell>
          <cell r="F5912">
            <v>0</v>
          </cell>
          <cell r="G5912">
            <v>0</v>
          </cell>
          <cell r="H5912">
            <v>0</v>
          </cell>
          <cell r="I5912">
            <v>0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</row>
        <row r="5913">
          <cell r="D5913">
            <v>304606</v>
          </cell>
          <cell r="E5913" t="str">
            <v>Lutayan National High Schoool</v>
          </cell>
          <cell r="F5913">
            <v>232</v>
          </cell>
          <cell r="G5913">
            <v>0</v>
          </cell>
          <cell r="H5913">
            <v>232</v>
          </cell>
          <cell r="I5913">
            <v>96</v>
          </cell>
          <cell r="J5913">
            <v>43</v>
          </cell>
          <cell r="K5913">
            <v>139</v>
          </cell>
          <cell r="L5913">
            <v>96</v>
          </cell>
          <cell r="M5913">
            <v>43</v>
          </cell>
          <cell r="N5913">
            <v>139</v>
          </cell>
          <cell r="O5913">
            <v>0</v>
          </cell>
          <cell r="P5913">
            <v>21</v>
          </cell>
          <cell r="Q5913">
            <v>21</v>
          </cell>
          <cell r="R5913">
            <v>0</v>
          </cell>
          <cell r="S5913">
            <v>21</v>
          </cell>
          <cell r="T5913">
            <v>21</v>
          </cell>
          <cell r="U5913">
            <v>26</v>
          </cell>
          <cell r="V5913">
            <v>25</v>
          </cell>
          <cell r="W5913">
            <v>51</v>
          </cell>
          <cell r="X5913">
            <v>0</v>
          </cell>
          <cell r="Y5913">
            <v>0</v>
          </cell>
          <cell r="Z5913">
            <v>0</v>
          </cell>
        </row>
        <row r="5914">
          <cell r="D5914">
            <v>304603</v>
          </cell>
          <cell r="E5914" t="str">
            <v>Lebak National High School</v>
          </cell>
          <cell r="F5914">
            <v>0</v>
          </cell>
          <cell r="G5914">
            <v>0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</row>
        <row r="5915">
          <cell r="D5915">
            <v>304609</v>
          </cell>
          <cell r="E5915" t="str">
            <v>Mamali National High School</v>
          </cell>
          <cell r="F5915">
            <v>0</v>
          </cell>
          <cell r="G5915">
            <v>0</v>
          </cell>
          <cell r="H5915">
            <v>0</v>
          </cell>
          <cell r="I5915">
            <v>0</v>
          </cell>
          <cell r="J5915">
            <v>0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</row>
        <row r="5916">
          <cell r="D5916">
            <v>304596</v>
          </cell>
          <cell r="E5916" t="str">
            <v>Laguilayan National High School</v>
          </cell>
          <cell r="F5916">
            <v>0</v>
          </cell>
          <cell r="G5916">
            <v>0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</row>
        <row r="5917">
          <cell r="D5917">
            <v>304586</v>
          </cell>
          <cell r="E5917" t="str">
            <v>E. Arcaño Memorial National High School</v>
          </cell>
          <cell r="F5917">
            <v>0</v>
          </cell>
          <cell r="G5917">
            <v>0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0</v>
          </cell>
          <cell r="Y5917">
            <v>0</v>
          </cell>
          <cell r="Z5917">
            <v>0</v>
          </cell>
        </row>
        <row r="5918">
          <cell r="D5918">
            <v>304591</v>
          </cell>
          <cell r="E5918" t="str">
            <v>Kalamansig National High School</v>
          </cell>
          <cell r="F5918">
            <v>0</v>
          </cell>
          <cell r="G5918">
            <v>0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</row>
        <row r="5919">
          <cell r="D5919">
            <v>304593</v>
          </cell>
          <cell r="E5919" t="str">
            <v>Datu Wasay National High School</v>
          </cell>
          <cell r="F5919">
            <v>0</v>
          </cell>
          <cell r="G5919">
            <v>0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</row>
        <row r="5920">
          <cell r="D5920">
            <v>304618</v>
          </cell>
          <cell r="E5920" t="str">
            <v>Central  Mangilala High School - President Quirino Annex</v>
          </cell>
          <cell r="F5920">
            <v>0</v>
          </cell>
          <cell r="G5920">
            <v>0</v>
          </cell>
          <cell r="H5920">
            <v>0</v>
          </cell>
          <cell r="I5920">
            <v>0</v>
          </cell>
          <cell r="J5920">
            <v>0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</row>
        <row r="5921">
          <cell r="D5921">
            <v>304580</v>
          </cell>
          <cell r="E5921" t="str">
            <v>Bagumbayan National High School</v>
          </cell>
          <cell r="F5921">
            <v>0</v>
          </cell>
          <cell r="G5921">
            <v>0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</row>
        <row r="5922">
          <cell r="D5922">
            <v>304589</v>
          </cell>
          <cell r="E5922" t="str">
            <v>Esperanza National High School</v>
          </cell>
          <cell r="F5922">
            <v>0</v>
          </cell>
          <cell r="G5922">
            <v>0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</row>
        <row r="5923">
          <cell r="D5923">
            <v>304592</v>
          </cell>
          <cell r="E5923" t="str">
            <v>Sangay National High School</v>
          </cell>
          <cell r="F5923">
            <v>0</v>
          </cell>
          <cell r="G5923">
            <v>0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0</v>
          </cell>
          <cell r="Y5923">
            <v>0</v>
          </cell>
          <cell r="Z5923">
            <v>0</v>
          </cell>
        </row>
        <row r="5924">
          <cell r="D5924">
            <v>500721</v>
          </cell>
          <cell r="E5924" t="str">
            <v>Plamango Integrated School</v>
          </cell>
          <cell r="F5924">
            <v>0</v>
          </cell>
          <cell r="G5924">
            <v>0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</row>
        <row r="5925">
          <cell r="D5925">
            <v>304612</v>
          </cell>
          <cell r="E5925" t="str">
            <v>Mamansual Abdul National High School - Palimbang Annex</v>
          </cell>
          <cell r="F5925">
            <v>0</v>
          </cell>
          <cell r="G5925">
            <v>0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</row>
        <row r="5926">
          <cell r="D5926">
            <v>500718</v>
          </cell>
          <cell r="E5926" t="str">
            <v>Datu Etang Integrated School</v>
          </cell>
          <cell r="F5926">
            <v>0</v>
          </cell>
          <cell r="G5926">
            <v>0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</row>
        <row r="5927">
          <cell r="D5927">
            <v>304613</v>
          </cell>
          <cell r="E5927" t="str">
            <v>New Panay National High School</v>
          </cell>
          <cell r="F5927">
            <v>0</v>
          </cell>
          <cell r="G5927">
            <v>0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0</v>
          </cell>
          <cell r="Y5927">
            <v>0</v>
          </cell>
          <cell r="Z5927">
            <v>0</v>
          </cell>
        </row>
        <row r="5928">
          <cell r="D5928">
            <v>500722</v>
          </cell>
          <cell r="E5928" t="str">
            <v>Sultan Sinanggayan Integrated School</v>
          </cell>
          <cell r="F5928">
            <v>30</v>
          </cell>
          <cell r="G5928">
            <v>0</v>
          </cell>
          <cell r="H5928">
            <v>30</v>
          </cell>
          <cell r="I5928">
            <v>0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</row>
        <row r="5929">
          <cell r="D5929">
            <v>304599</v>
          </cell>
          <cell r="E5929" t="str">
            <v>Langgal National High School</v>
          </cell>
          <cell r="F5929">
            <v>0</v>
          </cell>
          <cell r="G5929">
            <v>0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</row>
        <row r="5930">
          <cell r="D5930">
            <v>304587</v>
          </cell>
          <cell r="E5930" t="str">
            <v>Busok National High School</v>
          </cell>
          <cell r="F5930">
            <v>0</v>
          </cell>
          <cell r="G5930">
            <v>0</v>
          </cell>
          <cell r="H5930">
            <v>0</v>
          </cell>
          <cell r="I5930">
            <v>0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</row>
        <row r="5931">
          <cell r="D5931">
            <v>304614</v>
          </cell>
          <cell r="E5931" t="str">
            <v>New Pangasinan National High School</v>
          </cell>
          <cell r="F5931">
            <v>0</v>
          </cell>
          <cell r="G5931">
            <v>0</v>
          </cell>
          <cell r="H5931">
            <v>0</v>
          </cell>
          <cell r="I5931">
            <v>0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</row>
        <row r="5932">
          <cell r="D5932">
            <v>304616</v>
          </cell>
          <cell r="E5932" t="str">
            <v>Kalibuhan National High School - Palimbang ANNEX</v>
          </cell>
          <cell r="F5932">
            <v>0</v>
          </cell>
          <cell r="G5932">
            <v>0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</row>
        <row r="5933">
          <cell r="D5933">
            <v>304595</v>
          </cell>
          <cell r="E5933" t="str">
            <v>Kapingkong National High School</v>
          </cell>
          <cell r="F5933">
            <v>79</v>
          </cell>
          <cell r="G5933">
            <v>71</v>
          </cell>
          <cell r="H5933">
            <v>150</v>
          </cell>
          <cell r="I5933">
            <v>24</v>
          </cell>
          <cell r="J5933">
            <v>21</v>
          </cell>
          <cell r="K5933">
            <v>45</v>
          </cell>
          <cell r="L5933">
            <v>55</v>
          </cell>
          <cell r="M5933">
            <v>50</v>
          </cell>
          <cell r="N5933">
            <v>105</v>
          </cell>
          <cell r="O5933">
            <v>75</v>
          </cell>
          <cell r="P5933">
            <v>68</v>
          </cell>
          <cell r="Q5933">
            <v>143</v>
          </cell>
          <cell r="R5933">
            <v>4</v>
          </cell>
          <cell r="S5933">
            <v>3</v>
          </cell>
          <cell r="T5933">
            <v>7</v>
          </cell>
          <cell r="U5933">
            <v>0</v>
          </cell>
          <cell r="V5933">
            <v>0</v>
          </cell>
          <cell r="W5933">
            <v>0</v>
          </cell>
          <cell r="X5933">
            <v>0</v>
          </cell>
          <cell r="Y5933">
            <v>0</v>
          </cell>
          <cell r="Z5933">
            <v>0</v>
          </cell>
        </row>
        <row r="5934">
          <cell r="D5934">
            <v>304594</v>
          </cell>
          <cell r="E5934" t="str">
            <v>Kalanawe II National High School</v>
          </cell>
          <cell r="F5934">
            <v>0</v>
          </cell>
          <cell r="G5934">
            <v>0</v>
          </cell>
          <cell r="H5934">
            <v>0</v>
          </cell>
          <cell r="I5934">
            <v>0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  <cell r="Z5934">
            <v>0</v>
          </cell>
        </row>
        <row r="5935">
          <cell r="D5935">
            <v>304604</v>
          </cell>
          <cell r="E5935" t="str">
            <v>Keytodac National High School</v>
          </cell>
          <cell r="F5935">
            <v>0</v>
          </cell>
          <cell r="G5935">
            <v>0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</row>
        <row r="5936">
          <cell r="D5936">
            <v>316801</v>
          </cell>
          <cell r="E5936" t="str">
            <v>Sultan Ali Akbar Sinenggayan National High School - Laguilayan Annex</v>
          </cell>
          <cell r="F5936">
            <v>30</v>
          </cell>
          <cell r="G5936">
            <v>22</v>
          </cell>
          <cell r="H5936">
            <v>52</v>
          </cell>
          <cell r="I5936">
            <v>2</v>
          </cell>
          <cell r="J5936">
            <v>1</v>
          </cell>
          <cell r="K5936">
            <v>3</v>
          </cell>
          <cell r="L5936">
            <v>0</v>
          </cell>
          <cell r="M5936">
            <v>0</v>
          </cell>
          <cell r="N5936">
            <v>0</v>
          </cell>
          <cell r="O5936">
            <v>4</v>
          </cell>
          <cell r="P5936">
            <v>3</v>
          </cell>
          <cell r="Q5936">
            <v>7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</row>
        <row r="5937">
          <cell r="D5937">
            <v>304600</v>
          </cell>
          <cell r="E5937" t="str">
            <v>Datu Ampak Kawan National High School</v>
          </cell>
          <cell r="F5937">
            <v>0</v>
          </cell>
          <cell r="G5937">
            <v>0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</row>
        <row r="5938">
          <cell r="D5938">
            <v>304582</v>
          </cell>
          <cell r="E5938" t="str">
            <v>Masiag National High School - Bagumbayan Annex</v>
          </cell>
          <cell r="F5938">
            <v>0</v>
          </cell>
          <cell r="G5938">
            <v>0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0</v>
          </cell>
          <cell r="Y5938">
            <v>0</v>
          </cell>
          <cell r="Z5938">
            <v>0</v>
          </cell>
        </row>
        <row r="5939">
          <cell r="D5939">
            <v>304584</v>
          </cell>
          <cell r="E5939" t="str">
            <v>Bai Saripinang National High School</v>
          </cell>
          <cell r="F5939">
            <v>0</v>
          </cell>
          <cell r="G5939">
            <v>0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  <cell r="Z5939">
            <v>0</v>
          </cell>
        </row>
        <row r="5940">
          <cell r="D5940">
            <v>304581</v>
          </cell>
          <cell r="E5940" t="str">
            <v>Kapaya National High School</v>
          </cell>
          <cell r="F5940">
            <v>0</v>
          </cell>
          <cell r="G5940">
            <v>0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0</v>
          </cell>
          <cell r="Y5940">
            <v>0</v>
          </cell>
          <cell r="Z5940">
            <v>0</v>
          </cell>
        </row>
        <row r="5941">
          <cell r="D5941">
            <v>500717</v>
          </cell>
          <cell r="E5941" t="str">
            <v>Dante Integrated School</v>
          </cell>
          <cell r="F5941">
            <v>0</v>
          </cell>
          <cell r="G5941">
            <v>0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</row>
        <row r="5942">
          <cell r="D5942">
            <v>304602</v>
          </cell>
          <cell r="E5942" t="str">
            <v>Senator Ninoy Aquino National High School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</row>
        <row r="5943">
          <cell r="D5943">
            <v>316808</v>
          </cell>
          <cell r="E5943" t="str">
            <v>Sabanal National High School - Kalamansig Annex</v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</row>
        <row r="5944">
          <cell r="D5944">
            <v>304611</v>
          </cell>
          <cell r="E5944" t="str">
            <v>Baluan National High School</v>
          </cell>
          <cell r="F5944">
            <v>0</v>
          </cell>
          <cell r="G5944">
            <v>0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</row>
        <row r="5945">
          <cell r="D5945">
            <v>304621</v>
          </cell>
          <cell r="E5945" t="str">
            <v>Salabaca National High School</v>
          </cell>
          <cell r="F5945">
            <v>28</v>
          </cell>
          <cell r="G5945">
            <v>34</v>
          </cell>
          <cell r="H5945">
            <v>62</v>
          </cell>
          <cell r="I5945">
            <v>0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</row>
        <row r="5946">
          <cell r="D5946">
            <v>304588</v>
          </cell>
          <cell r="E5946" t="str">
            <v>Columbio National High School</v>
          </cell>
          <cell r="F5946">
            <v>0</v>
          </cell>
          <cell r="G5946">
            <v>0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</row>
        <row r="5947">
          <cell r="D5947">
            <v>316803</v>
          </cell>
          <cell r="E5947" t="str">
            <v>Biwang NHS - Bagumbayan Annex</v>
          </cell>
          <cell r="F5947">
            <v>0</v>
          </cell>
          <cell r="G5947">
            <v>0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</row>
        <row r="5948">
          <cell r="D5948">
            <v>316802</v>
          </cell>
          <cell r="E5948" t="str">
            <v>Sewod National High School - Langgal Annex</v>
          </cell>
          <cell r="F5948">
            <v>0</v>
          </cell>
          <cell r="G5948">
            <v>0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</row>
        <row r="5949">
          <cell r="D5949">
            <v>304601</v>
          </cell>
          <cell r="E5949" t="str">
            <v>Gapok National High School - Langgal Annex</v>
          </cell>
          <cell r="F5949">
            <v>0</v>
          </cell>
          <cell r="G5949">
            <v>0</v>
          </cell>
          <cell r="H5949">
            <v>0</v>
          </cell>
          <cell r="I5949">
            <v>0</v>
          </cell>
          <cell r="J5949">
            <v>0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</row>
        <row r="5950">
          <cell r="D5950">
            <v>304625</v>
          </cell>
          <cell r="E5950" t="str">
            <v>Telafas National High School</v>
          </cell>
          <cell r="F5950">
            <v>0</v>
          </cell>
          <cell r="G5950">
            <v>0</v>
          </cell>
          <cell r="H5950">
            <v>0</v>
          </cell>
          <cell r="I5950">
            <v>0</v>
          </cell>
          <cell r="J5950">
            <v>0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</row>
        <row r="5951">
          <cell r="D5951">
            <v>316805</v>
          </cell>
          <cell r="E5951" t="str">
            <v>Salumping National High School - Esperanza Annex</v>
          </cell>
          <cell r="F5951">
            <v>0</v>
          </cell>
          <cell r="G5951">
            <v>0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</row>
        <row r="5952">
          <cell r="D5952">
            <v>500723</v>
          </cell>
          <cell r="E5952" t="str">
            <v>Tapudi Integrated School</v>
          </cell>
          <cell r="F5952">
            <v>0</v>
          </cell>
          <cell r="G5952">
            <v>0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</row>
        <row r="5953">
          <cell r="D5953">
            <v>304628</v>
          </cell>
          <cell r="E5953" t="str">
            <v>CANIZARES NATIONAL HIGH SCHOOL- School of Arts and Trades</v>
          </cell>
          <cell r="F5953">
            <v>0</v>
          </cell>
          <cell r="G5953">
            <v>0</v>
          </cell>
          <cell r="H5953">
            <v>0</v>
          </cell>
          <cell r="I5953">
            <v>0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</row>
        <row r="5954">
          <cell r="D5954">
            <v>316905</v>
          </cell>
          <cell r="E5954" t="str">
            <v>CCNHS - Annex (LR Sebastian Site)</v>
          </cell>
          <cell r="F5954">
            <v>0</v>
          </cell>
          <cell r="G5954">
            <v>0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</row>
        <row r="5955">
          <cell r="D5955">
            <v>304634</v>
          </cell>
          <cell r="E5955" t="str">
            <v>Notre Dame Village National High School</v>
          </cell>
          <cell r="F5955">
            <v>0</v>
          </cell>
          <cell r="G5955">
            <v>0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</row>
        <row r="5956">
          <cell r="D5956">
            <v>304631</v>
          </cell>
          <cell r="E5956" t="str">
            <v>Datu Ayunan National High School</v>
          </cell>
          <cell r="F5956">
            <v>0</v>
          </cell>
          <cell r="G5956">
            <v>0</v>
          </cell>
          <cell r="H5956">
            <v>0</v>
          </cell>
          <cell r="I5956">
            <v>0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</row>
        <row r="5957">
          <cell r="D5957">
            <v>316903</v>
          </cell>
          <cell r="E5957" t="str">
            <v>CCNHS - ANNEX ( Bubong Site)</v>
          </cell>
          <cell r="F5957">
            <v>0</v>
          </cell>
          <cell r="G5957">
            <v>0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</row>
        <row r="5958">
          <cell r="D5958">
            <v>316907</v>
          </cell>
          <cell r="E5958" t="str">
            <v>CCNHS - Annex (Don E. Sero Site)</v>
          </cell>
          <cell r="F5958">
            <v>0</v>
          </cell>
          <cell r="G5958">
            <v>0</v>
          </cell>
          <cell r="H5958">
            <v>0</v>
          </cell>
          <cell r="I5958">
            <v>0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</row>
        <row r="5959">
          <cell r="D5959">
            <v>304633</v>
          </cell>
          <cell r="E5959" t="str">
            <v>J. Marquez NHS</v>
          </cell>
          <cell r="F5959">
            <v>0</v>
          </cell>
          <cell r="G5959">
            <v>0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</row>
        <row r="5960">
          <cell r="D5960">
            <v>316906</v>
          </cell>
          <cell r="E5960" t="str">
            <v>CCNHS - Annex (Diocolano Site)</v>
          </cell>
          <cell r="F5960">
            <v>0</v>
          </cell>
          <cell r="G5960">
            <v>0</v>
          </cell>
          <cell r="H5960">
            <v>0</v>
          </cell>
          <cell r="I5960">
            <v>0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</row>
        <row r="5961">
          <cell r="D5961">
            <v>316904</v>
          </cell>
          <cell r="E5961" t="str">
            <v>CCNHS-ANNEX (Buaya-Buaya Site)</v>
          </cell>
          <cell r="F5961">
            <v>0</v>
          </cell>
          <cell r="G5961">
            <v>0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  <cell r="Z5961">
            <v>0</v>
          </cell>
        </row>
        <row r="5962">
          <cell r="D5962">
            <v>304632</v>
          </cell>
          <cell r="E5962" t="str">
            <v>Datu Siang NHS</v>
          </cell>
          <cell r="F5962">
            <v>0</v>
          </cell>
          <cell r="G5962">
            <v>0</v>
          </cell>
          <cell r="H5962">
            <v>0</v>
          </cell>
          <cell r="I5962">
            <v>2</v>
          </cell>
          <cell r="J5962">
            <v>3</v>
          </cell>
          <cell r="K5962">
            <v>5</v>
          </cell>
          <cell r="L5962">
            <v>7</v>
          </cell>
          <cell r="M5962">
            <v>5</v>
          </cell>
          <cell r="N5962">
            <v>12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0</v>
          </cell>
          <cell r="Y5962">
            <v>0</v>
          </cell>
          <cell r="Z5962">
            <v>0</v>
          </cell>
        </row>
        <row r="5963">
          <cell r="D5963">
            <v>304630</v>
          </cell>
          <cell r="E5963" t="str">
            <v>Cotabato City NHS - Main</v>
          </cell>
          <cell r="F5963">
            <v>0</v>
          </cell>
          <cell r="G5963">
            <v>0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</row>
        <row r="5964">
          <cell r="D5964">
            <v>304629</v>
          </cell>
          <cell r="E5964" t="str">
            <v>Cotabato City NHS - Rojas #13</v>
          </cell>
          <cell r="F5964">
            <v>0</v>
          </cell>
          <cell r="G5964">
            <v>0</v>
          </cell>
          <cell r="H5964">
            <v>0</v>
          </cell>
          <cell r="I5964">
            <v>0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</row>
        <row r="5965">
          <cell r="D5965">
            <v>316902</v>
          </cell>
          <cell r="E5965" t="str">
            <v>CCNHS - Datu Sema Kalantungan Site</v>
          </cell>
          <cell r="F5965">
            <v>0</v>
          </cell>
          <cell r="G5965">
            <v>0</v>
          </cell>
          <cell r="H5965">
            <v>0</v>
          </cell>
          <cell r="I5965">
            <v>0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</row>
        <row r="5966">
          <cell r="D5966">
            <v>304635</v>
          </cell>
          <cell r="E5966" t="str">
            <v>Pilot Provincial Science High School and Technology</v>
          </cell>
          <cell r="F5966">
            <v>0</v>
          </cell>
          <cell r="G5966">
            <v>0</v>
          </cell>
          <cell r="H5966">
            <v>0</v>
          </cell>
          <cell r="I5966">
            <v>0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</row>
        <row r="5967">
          <cell r="D5967">
            <v>317005</v>
          </cell>
          <cell r="E5967" t="str">
            <v>Dadiangas North High School</v>
          </cell>
          <cell r="F5967">
            <v>0</v>
          </cell>
          <cell r="G5967">
            <v>0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</row>
        <row r="5968">
          <cell r="D5968">
            <v>304636</v>
          </cell>
          <cell r="E5968" t="str">
            <v>A.G. Busano, Sr. High School</v>
          </cell>
          <cell r="F5968">
            <v>38</v>
          </cell>
          <cell r="G5968">
            <v>47</v>
          </cell>
          <cell r="H5968">
            <v>85</v>
          </cell>
          <cell r="I5968">
            <v>38</v>
          </cell>
          <cell r="J5968">
            <v>0</v>
          </cell>
          <cell r="K5968">
            <v>38</v>
          </cell>
          <cell r="L5968">
            <v>38</v>
          </cell>
          <cell r="M5968">
            <v>0</v>
          </cell>
          <cell r="N5968">
            <v>38</v>
          </cell>
          <cell r="O5968">
            <v>5</v>
          </cell>
          <cell r="P5968">
            <v>0</v>
          </cell>
          <cell r="Q5968">
            <v>5</v>
          </cell>
          <cell r="R5968">
            <v>8</v>
          </cell>
          <cell r="S5968">
            <v>0</v>
          </cell>
          <cell r="T5968">
            <v>8</v>
          </cell>
          <cell r="U5968">
            <v>3</v>
          </cell>
          <cell r="V5968">
            <v>2</v>
          </cell>
          <cell r="W5968">
            <v>5</v>
          </cell>
          <cell r="X5968">
            <v>2</v>
          </cell>
          <cell r="Y5968">
            <v>3</v>
          </cell>
          <cell r="Z5968">
            <v>5</v>
          </cell>
        </row>
        <row r="5969">
          <cell r="D5969">
            <v>304640</v>
          </cell>
          <cell r="E5969" t="str">
            <v>Engracia L. Valdomar National High School</v>
          </cell>
          <cell r="F5969">
            <v>0</v>
          </cell>
          <cell r="G5969">
            <v>0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  <cell r="Z5969">
            <v>0</v>
          </cell>
        </row>
        <row r="5970">
          <cell r="D5970">
            <v>500302</v>
          </cell>
          <cell r="E5970" t="str">
            <v>General Santos City SPED Integrated School</v>
          </cell>
          <cell r="F5970">
            <v>0</v>
          </cell>
          <cell r="G5970">
            <v>0</v>
          </cell>
          <cell r="H5970">
            <v>0</v>
          </cell>
          <cell r="I5970">
            <v>0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</row>
        <row r="5971">
          <cell r="D5971">
            <v>304637</v>
          </cell>
          <cell r="E5971" t="str">
            <v>Datu Andiam Manza National High School</v>
          </cell>
          <cell r="F5971">
            <v>0</v>
          </cell>
          <cell r="G5971">
            <v>0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</row>
        <row r="5972">
          <cell r="D5972">
            <v>304645</v>
          </cell>
          <cell r="E5972" t="str">
            <v>Johnny Ang National High  School</v>
          </cell>
          <cell r="F5972">
            <v>0</v>
          </cell>
          <cell r="G5972">
            <v>0</v>
          </cell>
          <cell r="H5972">
            <v>0</v>
          </cell>
          <cell r="I5972">
            <v>0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</row>
        <row r="5973">
          <cell r="D5973">
            <v>304655</v>
          </cell>
          <cell r="E5973" t="str">
            <v>GSC National Secondary School of Arts &amp; Trades</v>
          </cell>
          <cell r="F5973">
            <v>0</v>
          </cell>
          <cell r="G5973">
            <v>0</v>
          </cell>
          <cell r="H5973">
            <v>0</v>
          </cell>
          <cell r="I5973">
            <v>0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0</v>
          </cell>
          <cell r="Y5973">
            <v>0</v>
          </cell>
          <cell r="Z5973">
            <v>0</v>
          </cell>
        </row>
        <row r="5974">
          <cell r="D5974">
            <v>304639</v>
          </cell>
          <cell r="E5974" t="str">
            <v>Bula National School of Fisheries</v>
          </cell>
          <cell r="F5974">
            <v>0</v>
          </cell>
          <cell r="G5974">
            <v>0</v>
          </cell>
          <cell r="H5974">
            <v>0</v>
          </cell>
          <cell r="I5974">
            <v>0</v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</row>
        <row r="5975">
          <cell r="D5975">
            <v>304654</v>
          </cell>
          <cell r="E5975" t="str">
            <v>Lagao National High School Annex</v>
          </cell>
          <cell r="F5975">
            <v>0</v>
          </cell>
          <cell r="G5975">
            <v>0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</row>
        <row r="5976">
          <cell r="D5976">
            <v>317002</v>
          </cell>
          <cell r="E5976" t="str">
            <v>Pao-Pao High School</v>
          </cell>
          <cell r="F5976">
            <v>0</v>
          </cell>
          <cell r="G5976">
            <v>0</v>
          </cell>
          <cell r="H5976">
            <v>0</v>
          </cell>
          <cell r="I5976">
            <v>0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</row>
        <row r="5977">
          <cell r="D5977">
            <v>304643</v>
          </cell>
          <cell r="E5977" t="str">
            <v>Banisil National High School</v>
          </cell>
          <cell r="F5977">
            <v>194</v>
          </cell>
          <cell r="G5977">
            <v>195</v>
          </cell>
          <cell r="H5977">
            <v>389</v>
          </cell>
          <cell r="I5977">
            <v>85</v>
          </cell>
          <cell r="J5977">
            <v>79</v>
          </cell>
          <cell r="K5977">
            <v>164</v>
          </cell>
          <cell r="L5977">
            <v>170</v>
          </cell>
          <cell r="M5977">
            <v>137</v>
          </cell>
          <cell r="N5977">
            <v>307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0</v>
          </cell>
          <cell r="Y5977">
            <v>0</v>
          </cell>
          <cell r="Z5977">
            <v>0</v>
          </cell>
        </row>
        <row r="5978">
          <cell r="D5978">
            <v>304638</v>
          </cell>
          <cell r="E5978" t="str">
            <v>Buayan National High School</v>
          </cell>
          <cell r="F5978">
            <v>0</v>
          </cell>
          <cell r="G5978">
            <v>0</v>
          </cell>
          <cell r="H5978">
            <v>0</v>
          </cell>
          <cell r="I5978">
            <v>0</v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0</v>
          </cell>
          <cell r="Y5978">
            <v>0</v>
          </cell>
          <cell r="Z5978">
            <v>0</v>
          </cell>
        </row>
        <row r="5979">
          <cell r="D5979">
            <v>304651</v>
          </cell>
          <cell r="E5979" t="str">
            <v>Ligaya High School</v>
          </cell>
          <cell r="F5979">
            <v>0</v>
          </cell>
          <cell r="G5979">
            <v>0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</row>
        <row r="5980">
          <cell r="D5980">
            <v>304641</v>
          </cell>
          <cell r="E5980" t="str">
            <v>Fatima National High School</v>
          </cell>
          <cell r="F5980">
            <v>0</v>
          </cell>
          <cell r="G5980">
            <v>0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</row>
        <row r="5981">
          <cell r="D5981">
            <v>304648</v>
          </cell>
          <cell r="E5981" t="str">
            <v>Irineo Santiago National High School of Metro Dadiangas (Main)</v>
          </cell>
          <cell r="F5981">
            <v>0</v>
          </cell>
          <cell r="G5981">
            <v>0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</row>
        <row r="5982">
          <cell r="D5982">
            <v>317004</v>
          </cell>
          <cell r="E5982" t="str">
            <v>Elias Buscano Sr. High School</v>
          </cell>
          <cell r="F5982">
            <v>0</v>
          </cell>
          <cell r="G5982">
            <v>0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</row>
        <row r="5983">
          <cell r="D5983">
            <v>317003</v>
          </cell>
          <cell r="E5983" t="str">
            <v>Baluan National High School</v>
          </cell>
          <cell r="F5983">
            <v>77</v>
          </cell>
          <cell r="G5983">
            <v>59</v>
          </cell>
          <cell r="H5983">
            <v>136</v>
          </cell>
          <cell r="I5983">
            <v>2</v>
          </cell>
          <cell r="J5983">
            <v>1</v>
          </cell>
          <cell r="K5983">
            <v>3</v>
          </cell>
          <cell r="L5983">
            <v>5</v>
          </cell>
          <cell r="M5983">
            <v>3</v>
          </cell>
          <cell r="N5983">
            <v>8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0</v>
          </cell>
          <cell r="Y5983">
            <v>0</v>
          </cell>
          <cell r="Z5983">
            <v>0</v>
          </cell>
        </row>
        <row r="5984">
          <cell r="D5984">
            <v>304644</v>
          </cell>
          <cell r="E5984" t="str">
            <v>Bawing National High School</v>
          </cell>
          <cell r="F5984">
            <v>0</v>
          </cell>
          <cell r="G5984">
            <v>0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</row>
        <row r="5985">
          <cell r="D5985">
            <v>304649</v>
          </cell>
          <cell r="E5985" t="str">
            <v>Datu B. Balunto National High School</v>
          </cell>
          <cell r="F5985">
            <v>0</v>
          </cell>
          <cell r="G5985">
            <v>0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</row>
        <row r="5986">
          <cell r="D5986">
            <v>317006</v>
          </cell>
          <cell r="E5986" t="str">
            <v>Samboang-Ngilay High School</v>
          </cell>
          <cell r="F5986">
            <v>0</v>
          </cell>
          <cell r="G5986">
            <v>0</v>
          </cell>
          <cell r="H5986">
            <v>0</v>
          </cell>
          <cell r="I5986">
            <v>0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  <cell r="Z5986">
            <v>0</v>
          </cell>
        </row>
        <row r="5987">
          <cell r="D5987">
            <v>304652</v>
          </cell>
          <cell r="E5987" t="str">
            <v>Upper Labay High School</v>
          </cell>
          <cell r="F5987">
            <v>0</v>
          </cell>
          <cell r="G5987">
            <v>0</v>
          </cell>
          <cell r="H5987">
            <v>0</v>
          </cell>
          <cell r="I5987">
            <v>0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0</v>
          </cell>
          <cell r="X5987">
            <v>0</v>
          </cell>
          <cell r="Y5987">
            <v>0</v>
          </cell>
          <cell r="Z5987">
            <v>0</v>
          </cell>
        </row>
        <row r="5988">
          <cell r="D5988">
            <v>304650</v>
          </cell>
          <cell r="E5988" t="str">
            <v>Labangal National High School (Main)</v>
          </cell>
          <cell r="F5988">
            <v>210</v>
          </cell>
          <cell r="G5988">
            <v>170</v>
          </cell>
          <cell r="H5988">
            <v>380</v>
          </cell>
          <cell r="I5988">
            <v>5</v>
          </cell>
          <cell r="J5988">
            <v>3</v>
          </cell>
          <cell r="K5988">
            <v>8</v>
          </cell>
          <cell r="L5988">
            <v>1</v>
          </cell>
          <cell r="M5988">
            <v>1</v>
          </cell>
          <cell r="N5988">
            <v>2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</row>
        <row r="5989">
          <cell r="D5989">
            <v>304647</v>
          </cell>
          <cell r="E5989" t="str">
            <v>New Society National High School</v>
          </cell>
          <cell r="F5989">
            <v>0</v>
          </cell>
          <cell r="G5989">
            <v>0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</row>
        <row r="5990">
          <cell r="D5990">
            <v>304653</v>
          </cell>
          <cell r="E5990" t="str">
            <v>Lagao National High School (Main)</v>
          </cell>
          <cell r="F5990">
            <v>0</v>
          </cell>
          <cell r="G5990">
            <v>0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</row>
        <row r="5991">
          <cell r="D5991">
            <v>304642</v>
          </cell>
          <cell r="E5991" t="str">
            <v>General Santos City National High School (Main)</v>
          </cell>
          <cell r="F5991">
            <v>0</v>
          </cell>
          <cell r="G5991">
            <v>0</v>
          </cell>
          <cell r="H5991">
            <v>0</v>
          </cell>
          <cell r="I5991">
            <v>0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</row>
        <row r="5992">
          <cell r="D5992">
            <v>304666</v>
          </cell>
          <cell r="E5992" t="str">
            <v>Spottswood NHS</v>
          </cell>
          <cell r="F5992">
            <v>30</v>
          </cell>
          <cell r="G5992">
            <v>22</v>
          </cell>
          <cell r="H5992">
            <v>52</v>
          </cell>
          <cell r="I5992">
            <v>0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</row>
        <row r="5993">
          <cell r="D5993">
            <v>304661</v>
          </cell>
          <cell r="E5993" t="str">
            <v>Kidapawan City National High School</v>
          </cell>
          <cell r="F5993">
            <v>0</v>
          </cell>
          <cell r="G5993">
            <v>0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</row>
        <row r="5994">
          <cell r="D5994">
            <v>304658</v>
          </cell>
          <cell r="E5994" t="str">
            <v>Ginatilan National High School</v>
          </cell>
          <cell r="F5994">
            <v>0</v>
          </cell>
          <cell r="G5994">
            <v>0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</row>
        <row r="5995">
          <cell r="D5995">
            <v>304659</v>
          </cell>
          <cell r="E5995" t="str">
            <v>Manongol National High School</v>
          </cell>
          <cell r="F5995">
            <v>0</v>
          </cell>
          <cell r="G5995">
            <v>0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0</v>
          </cell>
          <cell r="Y5995">
            <v>0</v>
          </cell>
          <cell r="Z5995">
            <v>0</v>
          </cell>
        </row>
        <row r="5996">
          <cell r="D5996">
            <v>304663</v>
          </cell>
          <cell r="E5996" t="str">
            <v>Kalaisan National High School</v>
          </cell>
          <cell r="F5996">
            <v>0</v>
          </cell>
          <cell r="G5996">
            <v>0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0</v>
          </cell>
          <cell r="X5996">
            <v>0</v>
          </cell>
          <cell r="Y5996">
            <v>0</v>
          </cell>
          <cell r="Z5996">
            <v>0</v>
          </cell>
        </row>
        <row r="5997">
          <cell r="D5997">
            <v>304668</v>
          </cell>
          <cell r="E5997" t="str">
            <v>Paco National High School</v>
          </cell>
          <cell r="F5997">
            <v>0</v>
          </cell>
          <cell r="G5997">
            <v>0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</row>
        <row r="5998">
          <cell r="D5998">
            <v>317101</v>
          </cell>
          <cell r="E5998" t="str">
            <v>Linangkob National High School</v>
          </cell>
          <cell r="F5998">
            <v>0</v>
          </cell>
          <cell r="G5998">
            <v>26</v>
          </cell>
          <cell r="H5998">
            <v>26</v>
          </cell>
          <cell r="I5998">
            <v>0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</row>
        <row r="5999">
          <cell r="D5999">
            <v>304662</v>
          </cell>
          <cell r="E5999" t="str">
            <v>Juan P. Jalipa Memorial National High School</v>
          </cell>
          <cell r="F5999">
            <v>0</v>
          </cell>
          <cell r="G5999">
            <v>0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</row>
        <row r="6000">
          <cell r="D6000">
            <v>304665</v>
          </cell>
          <cell r="E6000" t="str">
            <v>Saniel Cruz National High School</v>
          </cell>
          <cell r="F6000">
            <v>0</v>
          </cell>
          <cell r="G6000">
            <v>0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</row>
        <row r="6001">
          <cell r="D6001">
            <v>304657</v>
          </cell>
          <cell r="E6001" t="str">
            <v>Gayola National High School</v>
          </cell>
          <cell r="F6001">
            <v>0</v>
          </cell>
          <cell r="G6001">
            <v>0</v>
          </cell>
          <cell r="H6001">
            <v>0</v>
          </cell>
          <cell r="I6001">
            <v>0</v>
          </cell>
          <cell r="J6001">
            <v>0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</row>
        <row r="6002">
          <cell r="D6002">
            <v>317102</v>
          </cell>
          <cell r="E6002" t="str">
            <v>Juan L. Gantuangco School of Arts and Trades</v>
          </cell>
          <cell r="F6002">
            <v>30</v>
          </cell>
          <cell r="G6002">
            <v>40</v>
          </cell>
          <cell r="H6002">
            <v>70</v>
          </cell>
          <cell r="I6002">
            <v>3</v>
          </cell>
          <cell r="J6002">
            <v>5</v>
          </cell>
          <cell r="K6002">
            <v>8</v>
          </cell>
          <cell r="L6002">
            <v>1</v>
          </cell>
          <cell r="M6002">
            <v>2</v>
          </cell>
          <cell r="N6002">
            <v>3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</row>
        <row r="6003">
          <cell r="D6003">
            <v>317103</v>
          </cell>
          <cell r="E6003" t="str">
            <v>Patadon National High School</v>
          </cell>
          <cell r="F6003">
            <v>0</v>
          </cell>
          <cell r="G6003">
            <v>0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</row>
        <row r="6004">
          <cell r="D6004">
            <v>304656</v>
          </cell>
          <cell r="E6004" t="str">
            <v>Amas National High School</v>
          </cell>
          <cell r="F6004">
            <v>0</v>
          </cell>
          <cell r="G6004">
            <v>0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</row>
        <row r="6005">
          <cell r="D6005">
            <v>304664</v>
          </cell>
          <cell r="E6005" t="str">
            <v>Mt. Apo National High School</v>
          </cell>
          <cell r="F6005">
            <v>0</v>
          </cell>
          <cell r="G6005">
            <v>0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</row>
        <row r="6006">
          <cell r="D6006">
            <v>304667</v>
          </cell>
          <cell r="E6006" t="str">
            <v>Onica National High School</v>
          </cell>
          <cell r="F6006">
            <v>0</v>
          </cell>
          <cell r="G6006">
            <v>0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</row>
        <row r="6007">
          <cell r="D6007">
            <v>304660</v>
          </cell>
          <cell r="E6007" t="str">
            <v>Perez National High School</v>
          </cell>
          <cell r="F6007">
            <v>0</v>
          </cell>
          <cell r="G6007">
            <v>0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</row>
        <row r="6008">
          <cell r="D6008">
            <v>317203</v>
          </cell>
          <cell r="E6008" t="str">
            <v>Rotonda National High School</v>
          </cell>
          <cell r="F6008">
            <v>0</v>
          </cell>
          <cell r="G6008">
            <v>0</v>
          </cell>
          <cell r="H6008">
            <v>0</v>
          </cell>
          <cell r="I6008">
            <v>0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</row>
        <row r="6009">
          <cell r="D6009">
            <v>304672</v>
          </cell>
          <cell r="E6009" t="str">
            <v>Marbel 7 National High School</v>
          </cell>
          <cell r="F6009">
            <v>10</v>
          </cell>
          <cell r="G6009">
            <v>10</v>
          </cell>
          <cell r="H6009">
            <v>20</v>
          </cell>
          <cell r="I6009">
            <v>12</v>
          </cell>
          <cell r="J6009">
            <v>9</v>
          </cell>
          <cell r="K6009">
            <v>21</v>
          </cell>
          <cell r="L6009">
            <v>0</v>
          </cell>
          <cell r="M6009">
            <v>0</v>
          </cell>
          <cell r="N6009">
            <v>0</v>
          </cell>
          <cell r="O6009">
            <v>30</v>
          </cell>
          <cell r="P6009">
            <v>28</v>
          </cell>
          <cell r="Q6009">
            <v>58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</row>
        <row r="6010">
          <cell r="D6010">
            <v>317201</v>
          </cell>
          <cell r="E6010" t="str">
            <v>Bacongco National High School</v>
          </cell>
          <cell r="F6010">
            <v>54</v>
          </cell>
          <cell r="G6010">
            <v>54</v>
          </cell>
          <cell r="H6010">
            <v>108</v>
          </cell>
          <cell r="I6010">
            <v>10</v>
          </cell>
          <cell r="J6010">
            <v>15</v>
          </cell>
          <cell r="K6010">
            <v>25</v>
          </cell>
          <cell r="L6010">
            <v>0</v>
          </cell>
          <cell r="M6010">
            <v>0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10</v>
          </cell>
          <cell r="V6010">
            <v>10</v>
          </cell>
          <cell r="W6010">
            <v>20</v>
          </cell>
          <cell r="X6010">
            <v>0</v>
          </cell>
          <cell r="Y6010">
            <v>1</v>
          </cell>
          <cell r="Z6010">
            <v>1</v>
          </cell>
        </row>
        <row r="6011">
          <cell r="D6011">
            <v>304669</v>
          </cell>
          <cell r="E6011" t="str">
            <v>Concepcion NHS</v>
          </cell>
          <cell r="F6011">
            <v>154</v>
          </cell>
          <cell r="G6011">
            <v>130</v>
          </cell>
          <cell r="H6011">
            <v>284</v>
          </cell>
          <cell r="I6011">
            <v>8</v>
          </cell>
          <cell r="J6011">
            <v>11</v>
          </cell>
          <cell r="K6011">
            <v>19</v>
          </cell>
          <cell r="L6011">
            <v>17</v>
          </cell>
          <cell r="M6011">
            <v>22</v>
          </cell>
          <cell r="N6011">
            <v>39</v>
          </cell>
          <cell r="O6011">
            <v>2</v>
          </cell>
          <cell r="P6011">
            <v>1</v>
          </cell>
          <cell r="Q6011">
            <v>3</v>
          </cell>
          <cell r="R6011">
            <v>2</v>
          </cell>
          <cell r="S6011">
            <v>2</v>
          </cell>
          <cell r="T6011">
            <v>4</v>
          </cell>
          <cell r="U6011">
            <v>0</v>
          </cell>
          <cell r="V6011">
            <v>0</v>
          </cell>
          <cell r="W6011">
            <v>0</v>
          </cell>
          <cell r="X6011">
            <v>1</v>
          </cell>
          <cell r="Y6011">
            <v>0</v>
          </cell>
          <cell r="Z6011">
            <v>1</v>
          </cell>
        </row>
        <row r="6012">
          <cell r="D6012">
            <v>317202</v>
          </cell>
          <cell r="E6012" t="str">
            <v>Saravia NHS</v>
          </cell>
          <cell r="F6012">
            <v>90</v>
          </cell>
          <cell r="G6012">
            <v>68</v>
          </cell>
          <cell r="H6012">
            <v>158</v>
          </cell>
          <cell r="I6012">
            <v>5</v>
          </cell>
          <cell r="J6012">
            <v>6</v>
          </cell>
          <cell r="K6012">
            <v>11</v>
          </cell>
          <cell r="L6012">
            <v>6</v>
          </cell>
          <cell r="M6012">
            <v>6</v>
          </cell>
          <cell r="N6012">
            <v>12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>
            <v>0</v>
          </cell>
          <cell r="V6012">
            <v>0</v>
          </cell>
          <cell r="W6012">
            <v>0</v>
          </cell>
          <cell r="X6012">
            <v>0</v>
          </cell>
          <cell r="Y6012">
            <v>0</v>
          </cell>
          <cell r="Z6012">
            <v>0</v>
          </cell>
        </row>
        <row r="6013">
          <cell r="D6013">
            <v>304671</v>
          </cell>
          <cell r="E6013" t="str">
            <v>Koronadal NCHS</v>
          </cell>
          <cell r="F6013">
            <v>0</v>
          </cell>
          <cell r="G6013">
            <v>0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</row>
        <row r="6014">
          <cell r="D6014">
            <v>304670</v>
          </cell>
          <cell r="E6014" t="str">
            <v>Esperanza NHS</v>
          </cell>
          <cell r="F6014">
            <v>0</v>
          </cell>
          <cell r="G6014">
            <v>0</v>
          </cell>
          <cell r="H6014">
            <v>0</v>
          </cell>
          <cell r="I6014">
            <v>0</v>
          </cell>
          <cell r="J6014">
            <v>0</v>
          </cell>
          <cell r="K6014">
            <v>0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</row>
        <row r="6015">
          <cell r="D6015">
            <v>330521</v>
          </cell>
          <cell r="E6015" t="str">
            <v>Philippine Science High School - SOCCSKSARGEN Region Campus</v>
          </cell>
          <cell r="F6015">
            <v>89</v>
          </cell>
          <cell r="G6015">
            <v>51</v>
          </cell>
          <cell r="H6015">
            <v>140</v>
          </cell>
          <cell r="I6015">
            <v>8</v>
          </cell>
          <cell r="J6015">
            <v>12</v>
          </cell>
          <cell r="K6015">
            <v>20</v>
          </cell>
          <cell r="L6015">
            <v>8</v>
          </cell>
          <cell r="M6015">
            <v>12</v>
          </cell>
          <cell r="N6015">
            <v>20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</row>
        <row r="6016">
          <cell r="D6016">
            <v>304627</v>
          </cell>
          <cell r="E6016" t="str">
            <v>Virginia F. Griño National High School</v>
          </cell>
          <cell r="F6016">
            <v>0</v>
          </cell>
          <cell r="G6016">
            <v>0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</row>
        <row r="6017">
          <cell r="D6017">
            <v>304622</v>
          </cell>
          <cell r="E6017" t="str">
            <v>San Emmanuel NHS</v>
          </cell>
          <cell r="F6017">
            <v>0</v>
          </cell>
          <cell r="G6017">
            <v>0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</row>
        <row r="6018">
          <cell r="D6018">
            <v>304624</v>
          </cell>
          <cell r="E6018" t="str">
            <v>Tacurong NHS</v>
          </cell>
          <cell r="F6018">
            <v>0</v>
          </cell>
          <cell r="G6018">
            <v>0</v>
          </cell>
          <cell r="H6018">
            <v>0</v>
          </cell>
          <cell r="I6018">
            <v>0</v>
          </cell>
          <cell r="J6018">
            <v>0</v>
          </cell>
          <cell r="K6018">
            <v>0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  <cell r="V6018">
            <v>0</v>
          </cell>
          <cell r="W6018">
            <v>0</v>
          </cell>
          <cell r="X6018">
            <v>0</v>
          </cell>
          <cell r="Y6018">
            <v>0</v>
          </cell>
          <cell r="Z6018">
            <v>0</v>
          </cell>
        </row>
        <row r="6019">
          <cell r="D6019">
            <v>304620</v>
          </cell>
          <cell r="E6019" t="str">
            <v>Rajah Muda NHS</v>
          </cell>
          <cell r="F6019">
            <v>0</v>
          </cell>
          <cell r="G6019">
            <v>0</v>
          </cell>
          <cell r="H6019">
            <v>0</v>
          </cell>
          <cell r="I6019">
            <v>0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  <cell r="Z6019">
            <v>0</v>
          </cell>
        </row>
        <row r="6020">
          <cell r="D6020">
            <v>304579</v>
          </cell>
          <cell r="E6020" t="str">
            <v>Apolinario S. Bernardo National High School</v>
          </cell>
          <cell r="F6020">
            <v>0</v>
          </cell>
          <cell r="G6020">
            <v>0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0</v>
          </cell>
          <cell r="X6020">
            <v>0</v>
          </cell>
          <cell r="Y6020">
            <v>0</v>
          </cell>
          <cell r="Z6020">
            <v>0</v>
          </cell>
        </row>
        <row r="6021">
          <cell r="D6021">
            <v>317320</v>
          </cell>
          <cell r="E6021" t="str">
            <v>Pupotsan NHS (Magallanes NHS Annex)</v>
          </cell>
          <cell r="F6021">
            <v>0</v>
          </cell>
          <cell r="G6021">
            <v>0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</row>
        <row r="6022">
          <cell r="D6022">
            <v>317317</v>
          </cell>
          <cell r="E6022" t="str">
            <v>Rizal NHS (Guinabsan NHS Annex)</v>
          </cell>
          <cell r="F6022">
            <v>60</v>
          </cell>
          <cell r="G6022">
            <v>27</v>
          </cell>
          <cell r="H6022">
            <v>87</v>
          </cell>
          <cell r="I6022">
            <v>4</v>
          </cell>
          <cell r="J6022">
            <v>3</v>
          </cell>
          <cell r="K6022">
            <v>7</v>
          </cell>
          <cell r="L6022">
            <v>4</v>
          </cell>
          <cell r="M6022">
            <v>3</v>
          </cell>
          <cell r="N6022">
            <v>7</v>
          </cell>
          <cell r="O6022">
            <v>5</v>
          </cell>
          <cell r="P6022">
            <v>5</v>
          </cell>
          <cell r="Q6022">
            <v>10</v>
          </cell>
          <cell r="R6022">
            <v>5</v>
          </cell>
          <cell r="S6022">
            <v>5</v>
          </cell>
          <cell r="T6022">
            <v>10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</row>
        <row r="6023">
          <cell r="D6023">
            <v>304688</v>
          </cell>
          <cell r="E6023" t="str">
            <v>Kitcharao NHS</v>
          </cell>
          <cell r="F6023">
            <v>0</v>
          </cell>
          <cell r="G6023">
            <v>0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</row>
        <row r="6024">
          <cell r="D6024">
            <v>500048</v>
          </cell>
          <cell r="E6024" t="str">
            <v>Lawan-Lawan NHS</v>
          </cell>
          <cell r="F6024">
            <v>0</v>
          </cell>
          <cell r="G6024">
            <v>0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</row>
        <row r="6025">
          <cell r="D6025">
            <v>304680</v>
          </cell>
          <cell r="E6025" t="str">
            <v>Casiklan National High School</v>
          </cell>
          <cell r="F6025">
            <v>0</v>
          </cell>
          <cell r="G6025">
            <v>0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  <cell r="Z6025">
            <v>0</v>
          </cell>
        </row>
        <row r="6026">
          <cell r="D6026">
            <v>317303</v>
          </cell>
          <cell r="E6026" t="str">
            <v>San Vicente NHS</v>
          </cell>
          <cell r="F6026">
            <v>0</v>
          </cell>
          <cell r="G6026">
            <v>0</v>
          </cell>
          <cell r="H6026">
            <v>0</v>
          </cell>
          <cell r="I6026">
            <v>0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  <cell r="Z6026">
            <v>0</v>
          </cell>
        </row>
        <row r="6027">
          <cell r="D6027">
            <v>317311</v>
          </cell>
          <cell r="E6027" t="str">
            <v>Balangbalang National High School</v>
          </cell>
          <cell r="F6027">
            <v>0</v>
          </cell>
          <cell r="G6027">
            <v>0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</row>
        <row r="6028">
          <cell r="D6028">
            <v>304694</v>
          </cell>
          <cell r="E6028" t="str">
            <v>Marcos Calo NHS</v>
          </cell>
          <cell r="F6028">
            <v>0</v>
          </cell>
          <cell r="G6028">
            <v>0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</row>
        <row r="6029">
          <cell r="D6029">
            <v>304679</v>
          </cell>
          <cell r="E6029" t="str">
            <v>Durian National High School</v>
          </cell>
          <cell r="F6029">
            <v>0</v>
          </cell>
          <cell r="G6029">
            <v>0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>
            <v>0</v>
          </cell>
          <cell r="M6029">
            <v>0</v>
          </cell>
          <cell r="N6029">
            <v>0</v>
          </cell>
          <cell r="O6029">
            <v>0</v>
          </cell>
          <cell r="P6029">
            <v>0</v>
          </cell>
          <cell r="Q6029">
            <v>0</v>
          </cell>
          <cell r="R6029">
            <v>0</v>
          </cell>
          <cell r="S6029">
            <v>0</v>
          </cell>
          <cell r="T6029">
            <v>0</v>
          </cell>
          <cell r="U6029">
            <v>0</v>
          </cell>
          <cell r="V6029">
            <v>0</v>
          </cell>
          <cell r="W6029">
            <v>0</v>
          </cell>
          <cell r="X6029">
            <v>0</v>
          </cell>
          <cell r="Y6029">
            <v>0</v>
          </cell>
          <cell r="Z6029">
            <v>0</v>
          </cell>
        </row>
        <row r="6030">
          <cell r="D6030">
            <v>317308</v>
          </cell>
          <cell r="E6030" t="str">
            <v>Culit National High School</v>
          </cell>
          <cell r="F6030">
            <v>0</v>
          </cell>
          <cell r="G6030">
            <v>0</v>
          </cell>
          <cell r="H6030">
            <v>0</v>
          </cell>
          <cell r="I6030">
            <v>0</v>
          </cell>
          <cell r="J6030">
            <v>0</v>
          </cell>
          <cell r="K6030">
            <v>0</v>
          </cell>
          <cell r="L6030">
            <v>0</v>
          </cell>
          <cell r="M6030">
            <v>0</v>
          </cell>
          <cell r="N6030">
            <v>0</v>
          </cell>
          <cell r="O6030">
            <v>0</v>
          </cell>
          <cell r="P6030">
            <v>0</v>
          </cell>
          <cell r="Q6030">
            <v>0</v>
          </cell>
          <cell r="R6030">
            <v>0</v>
          </cell>
          <cell r="S6030">
            <v>0</v>
          </cell>
          <cell r="T6030">
            <v>0</v>
          </cell>
          <cell r="U6030">
            <v>0</v>
          </cell>
          <cell r="V6030">
            <v>0</v>
          </cell>
          <cell r="W6030">
            <v>0</v>
          </cell>
          <cell r="X6030">
            <v>0</v>
          </cell>
          <cell r="Y6030">
            <v>0</v>
          </cell>
          <cell r="Z6030">
            <v>0</v>
          </cell>
        </row>
        <row r="6031">
          <cell r="D6031">
            <v>304682</v>
          </cell>
          <cell r="E6031" t="str">
            <v>Guinabsan National High School</v>
          </cell>
          <cell r="F6031">
            <v>0</v>
          </cell>
          <cell r="G6031">
            <v>0</v>
          </cell>
          <cell r="H6031">
            <v>0</v>
          </cell>
          <cell r="I6031">
            <v>0</v>
          </cell>
          <cell r="J6031">
            <v>0</v>
          </cell>
          <cell r="K6031">
            <v>0</v>
          </cell>
          <cell r="L6031">
            <v>0</v>
          </cell>
          <cell r="M6031">
            <v>0</v>
          </cell>
          <cell r="N6031">
            <v>0</v>
          </cell>
          <cell r="O6031">
            <v>0</v>
          </cell>
          <cell r="P6031">
            <v>0</v>
          </cell>
          <cell r="Q6031">
            <v>0</v>
          </cell>
          <cell r="R6031">
            <v>0</v>
          </cell>
          <cell r="S6031">
            <v>0</v>
          </cell>
          <cell r="T6031">
            <v>0</v>
          </cell>
          <cell r="U6031">
            <v>0</v>
          </cell>
          <cell r="V6031">
            <v>0</v>
          </cell>
          <cell r="W6031">
            <v>0</v>
          </cell>
          <cell r="X6031">
            <v>0</v>
          </cell>
          <cell r="Y6031">
            <v>0</v>
          </cell>
          <cell r="Z6031">
            <v>0</v>
          </cell>
        </row>
        <row r="6032">
          <cell r="D6032">
            <v>500047</v>
          </cell>
          <cell r="E6032" t="str">
            <v>Buenavista Special Education HS</v>
          </cell>
          <cell r="F6032">
            <v>0</v>
          </cell>
          <cell r="G6032">
            <v>0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>
            <v>0</v>
          </cell>
          <cell r="M6032">
            <v>0</v>
          </cell>
          <cell r="N6032">
            <v>0</v>
          </cell>
          <cell r="O6032">
            <v>0</v>
          </cell>
          <cell r="P6032">
            <v>0</v>
          </cell>
          <cell r="Q6032">
            <v>0</v>
          </cell>
          <cell r="R6032">
            <v>0</v>
          </cell>
          <cell r="S6032">
            <v>0</v>
          </cell>
          <cell r="T6032">
            <v>0</v>
          </cell>
          <cell r="U6032">
            <v>0</v>
          </cell>
          <cell r="V6032">
            <v>0</v>
          </cell>
          <cell r="W6032">
            <v>0</v>
          </cell>
          <cell r="X6032">
            <v>0</v>
          </cell>
          <cell r="Y6032">
            <v>0</v>
          </cell>
          <cell r="Z6032">
            <v>0</v>
          </cell>
        </row>
        <row r="6033">
          <cell r="D6033">
            <v>304701</v>
          </cell>
          <cell r="E6033" t="str">
            <v>Tubay NHS</v>
          </cell>
          <cell r="F6033">
            <v>0</v>
          </cell>
          <cell r="G6033">
            <v>0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>
            <v>0</v>
          </cell>
          <cell r="M6033">
            <v>0</v>
          </cell>
          <cell r="N6033">
            <v>0</v>
          </cell>
          <cell r="O6033">
            <v>0</v>
          </cell>
          <cell r="P6033">
            <v>0</v>
          </cell>
          <cell r="Q6033">
            <v>0</v>
          </cell>
          <cell r="R6033">
            <v>0</v>
          </cell>
          <cell r="S6033">
            <v>0</v>
          </cell>
          <cell r="T6033">
            <v>0</v>
          </cell>
          <cell r="U6033">
            <v>0</v>
          </cell>
          <cell r="V6033">
            <v>0</v>
          </cell>
          <cell r="W6033">
            <v>0</v>
          </cell>
          <cell r="X6033">
            <v>0</v>
          </cell>
          <cell r="Y6033">
            <v>0</v>
          </cell>
          <cell r="Z6033">
            <v>0</v>
          </cell>
        </row>
        <row r="6034">
          <cell r="D6034">
            <v>304692</v>
          </cell>
          <cell r="E6034" t="str">
            <v>Magdagooc NHS</v>
          </cell>
          <cell r="F6034">
            <v>29</v>
          </cell>
          <cell r="G6034">
            <v>30</v>
          </cell>
          <cell r="H6034">
            <v>59</v>
          </cell>
          <cell r="I6034">
            <v>0</v>
          </cell>
          <cell r="J6034">
            <v>0</v>
          </cell>
          <cell r="K6034">
            <v>0</v>
          </cell>
          <cell r="L6034">
            <v>4</v>
          </cell>
          <cell r="M6034">
            <v>2</v>
          </cell>
          <cell r="N6034">
            <v>6</v>
          </cell>
          <cell r="O6034">
            <v>0</v>
          </cell>
          <cell r="P6034">
            <v>0</v>
          </cell>
          <cell r="Q6034">
            <v>0</v>
          </cell>
          <cell r="R6034">
            <v>0</v>
          </cell>
          <cell r="S6034">
            <v>0</v>
          </cell>
          <cell r="T6034">
            <v>0</v>
          </cell>
          <cell r="U6034">
            <v>0</v>
          </cell>
          <cell r="V6034">
            <v>0</v>
          </cell>
          <cell r="W6034">
            <v>0</v>
          </cell>
          <cell r="X6034">
            <v>0</v>
          </cell>
          <cell r="Y6034">
            <v>0</v>
          </cell>
          <cell r="Z6034">
            <v>0</v>
          </cell>
        </row>
        <row r="6035">
          <cell r="D6035">
            <v>304689</v>
          </cell>
          <cell r="E6035" t="str">
            <v>Las Nieves NHS</v>
          </cell>
          <cell r="F6035">
            <v>0</v>
          </cell>
          <cell r="G6035">
            <v>0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0</v>
          </cell>
          <cell r="M6035">
            <v>0</v>
          </cell>
          <cell r="N6035">
            <v>0</v>
          </cell>
          <cell r="O6035">
            <v>0</v>
          </cell>
          <cell r="P6035">
            <v>0</v>
          </cell>
          <cell r="Q6035">
            <v>0</v>
          </cell>
          <cell r="R6035">
            <v>0</v>
          </cell>
          <cell r="S6035">
            <v>0</v>
          </cell>
          <cell r="T6035">
            <v>0</v>
          </cell>
          <cell r="U6035">
            <v>0</v>
          </cell>
          <cell r="V6035">
            <v>0</v>
          </cell>
          <cell r="W6035">
            <v>0</v>
          </cell>
          <cell r="X6035">
            <v>0</v>
          </cell>
          <cell r="Y6035">
            <v>0</v>
          </cell>
          <cell r="Z6035">
            <v>0</v>
          </cell>
        </row>
        <row r="6036">
          <cell r="D6036">
            <v>304683</v>
          </cell>
          <cell r="E6036" t="str">
            <v>Simbalan National High School</v>
          </cell>
          <cell r="F6036">
            <v>0</v>
          </cell>
          <cell r="G6036">
            <v>0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>
            <v>0</v>
          </cell>
          <cell r="M6036">
            <v>0</v>
          </cell>
          <cell r="N6036">
            <v>0</v>
          </cell>
          <cell r="O6036">
            <v>0</v>
          </cell>
          <cell r="P6036">
            <v>0</v>
          </cell>
          <cell r="Q6036">
            <v>0</v>
          </cell>
          <cell r="R6036">
            <v>0</v>
          </cell>
          <cell r="S6036">
            <v>0</v>
          </cell>
          <cell r="T6036">
            <v>0</v>
          </cell>
          <cell r="U6036">
            <v>0</v>
          </cell>
          <cell r="V6036">
            <v>0</v>
          </cell>
          <cell r="W6036">
            <v>0</v>
          </cell>
          <cell r="X6036">
            <v>0</v>
          </cell>
          <cell r="Y6036">
            <v>0</v>
          </cell>
          <cell r="Z6036">
            <v>0</v>
          </cell>
        </row>
        <row r="6037">
          <cell r="D6037">
            <v>500313</v>
          </cell>
          <cell r="E6037" t="str">
            <v>F.S. OMAYANA ELEMENTARY SCHOOL</v>
          </cell>
          <cell r="F6037">
            <v>0</v>
          </cell>
          <cell r="G6037">
            <v>0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>
            <v>0</v>
          </cell>
          <cell r="M6037">
            <v>0</v>
          </cell>
          <cell r="N6037">
            <v>0</v>
          </cell>
          <cell r="O6037">
            <v>0</v>
          </cell>
          <cell r="P6037">
            <v>0</v>
          </cell>
          <cell r="Q6037">
            <v>0</v>
          </cell>
          <cell r="R6037">
            <v>0</v>
          </cell>
          <cell r="S6037">
            <v>0</v>
          </cell>
          <cell r="T6037">
            <v>0</v>
          </cell>
          <cell r="U6037">
            <v>0</v>
          </cell>
          <cell r="V6037">
            <v>0</v>
          </cell>
          <cell r="W6037">
            <v>0</v>
          </cell>
          <cell r="X6037">
            <v>0</v>
          </cell>
          <cell r="Y6037">
            <v>0</v>
          </cell>
          <cell r="Z6037">
            <v>0</v>
          </cell>
        </row>
        <row r="6038">
          <cell r="D6038">
            <v>317319</v>
          </cell>
          <cell r="E6038" t="str">
            <v>Bangonay National High School</v>
          </cell>
          <cell r="F6038">
            <v>25</v>
          </cell>
          <cell r="G6038">
            <v>24</v>
          </cell>
          <cell r="H6038">
            <v>49</v>
          </cell>
          <cell r="I6038">
            <v>3</v>
          </cell>
          <cell r="J6038">
            <v>5</v>
          </cell>
          <cell r="K6038">
            <v>8</v>
          </cell>
          <cell r="L6038">
            <v>0</v>
          </cell>
          <cell r="M6038">
            <v>0</v>
          </cell>
          <cell r="N6038">
            <v>0</v>
          </cell>
          <cell r="O6038">
            <v>1</v>
          </cell>
          <cell r="P6038">
            <v>8</v>
          </cell>
          <cell r="Q6038">
            <v>9</v>
          </cell>
          <cell r="R6038">
            <v>0</v>
          </cell>
          <cell r="S6038">
            <v>0</v>
          </cell>
          <cell r="T6038">
            <v>0</v>
          </cell>
          <cell r="U6038">
            <v>0</v>
          </cell>
          <cell r="V6038">
            <v>0</v>
          </cell>
          <cell r="W6038">
            <v>0</v>
          </cell>
          <cell r="X6038">
            <v>0</v>
          </cell>
          <cell r="Y6038">
            <v>0</v>
          </cell>
          <cell r="Z6038">
            <v>0</v>
          </cell>
        </row>
        <row r="6039">
          <cell r="D6039">
            <v>340204</v>
          </cell>
          <cell r="E6039" t="str">
            <v>SHS in Carmen, Agusan Del Norte</v>
          </cell>
          <cell r="F6039">
            <v>0</v>
          </cell>
          <cell r="G6039">
            <v>0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>
            <v>0</v>
          </cell>
          <cell r="M6039">
            <v>0</v>
          </cell>
          <cell r="N6039">
            <v>0</v>
          </cell>
          <cell r="O6039">
            <v>0</v>
          </cell>
          <cell r="P6039">
            <v>0</v>
          </cell>
          <cell r="Q6039">
            <v>0</v>
          </cell>
          <cell r="R6039">
            <v>0</v>
          </cell>
          <cell r="S6039">
            <v>0</v>
          </cell>
          <cell r="T6039">
            <v>0</v>
          </cell>
          <cell r="U6039">
            <v>0</v>
          </cell>
          <cell r="V6039">
            <v>0</v>
          </cell>
          <cell r="W6039">
            <v>0</v>
          </cell>
          <cell r="X6039">
            <v>0</v>
          </cell>
          <cell r="Y6039">
            <v>0</v>
          </cell>
          <cell r="Z6039">
            <v>0</v>
          </cell>
        </row>
        <row r="6040">
          <cell r="D6040">
            <v>317314</v>
          </cell>
          <cell r="E6040" t="str">
            <v>Abilan National High School</v>
          </cell>
          <cell r="F6040">
            <v>7</v>
          </cell>
          <cell r="G6040">
            <v>17</v>
          </cell>
          <cell r="H6040">
            <v>24</v>
          </cell>
          <cell r="I6040">
            <v>1</v>
          </cell>
          <cell r="J6040">
            <v>2</v>
          </cell>
          <cell r="K6040">
            <v>3</v>
          </cell>
          <cell r="L6040">
            <v>0</v>
          </cell>
          <cell r="M6040">
            <v>0</v>
          </cell>
          <cell r="N6040">
            <v>0</v>
          </cell>
          <cell r="O6040">
            <v>0</v>
          </cell>
          <cell r="P6040">
            <v>0</v>
          </cell>
          <cell r="Q6040">
            <v>0</v>
          </cell>
          <cell r="R6040">
            <v>0</v>
          </cell>
          <cell r="S6040">
            <v>0</v>
          </cell>
          <cell r="T6040">
            <v>0</v>
          </cell>
          <cell r="U6040">
            <v>0</v>
          </cell>
          <cell r="V6040">
            <v>0</v>
          </cell>
          <cell r="W6040">
            <v>0</v>
          </cell>
          <cell r="X6040">
            <v>0</v>
          </cell>
          <cell r="Y6040">
            <v>0</v>
          </cell>
          <cell r="Z6040">
            <v>0</v>
          </cell>
        </row>
        <row r="6041">
          <cell r="D6041">
            <v>304687</v>
          </cell>
          <cell r="E6041" t="str">
            <v>Jaliobong NHS</v>
          </cell>
          <cell r="F6041">
            <v>0</v>
          </cell>
          <cell r="G6041">
            <v>0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0</v>
          </cell>
          <cell r="M6041">
            <v>0</v>
          </cell>
          <cell r="N6041">
            <v>0</v>
          </cell>
          <cell r="O6041">
            <v>0</v>
          </cell>
          <cell r="P6041">
            <v>0</v>
          </cell>
          <cell r="Q6041">
            <v>0</v>
          </cell>
          <cell r="R6041">
            <v>0</v>
          </cell>
          <cell r="S6041">
            <v>0</v>
          </cell>
          <cell r="T6041">
            <v>0</v>
          </cell>
          <cell r="U6041">
            <v>0</v>
          </cell>
          <cell r="V6041">
            <v>0</v>
          </cell>
          <cell r="W6041">
            <v>0</v>
          </cell>
          <cell r="X6041">
            <v>0</v>
          </cell>
          <cell r="Y6041">
            <v>0</v>
          </cell>
          <cell r="Z6041">
            <v>0</v>
          </cell>
        </row>
        <row r="6042">
          <cell r="D6042">
            <v>304686</v>
          </cell>
          <cell r="E6042" t="str">
            <v>Jagupit NHS</v>
          </cell>
          <cell r="F6042">
            <v>0</v>
          </cell>
          <cell r="G6042">
            <v>0</v>
          </cell>
          <cell r="H6042">
            <v>0</v>
          </cell>
          <cell r="I6042">
            <v>0</v>
          </cell>
          <cell r="J6042">
            <v>0</v>
          </cell>
          <cell r="K6042">
            <v>0</v>
          </cell>
          <cell r="L6042">
            <v>0</v>
          </cell>
          <cell r="M6042">
            <v>0</v>
          </cell>
          <cell r="N6042">
            <v>0</v>
          </cell>
          <cell r="O6042">
            <v>0</v>
          </cell>
          <cell r="P6042">
            <v>0</v>
          </cell>
          <cell r="Q6042">
            <v>0</v>
          </cell>
          <cell r="R6042">
            <v>0</v>
          </cell>
          <cell r="S6042">
            <v>0</v>
          </cell>
          <cell r="T6042">
            <v>0</v>
          </cell>
          <cell r="U6042">
            <v>0</v>
          </cell>
          <cell r="V6042">
            <v>0</v>
          </cell>
          <cell r="W6042">
            <v>0</v>
          </cell>
          <cell r="X6042">
            <v>0</v>
          </cell>
          <cell r="Y6042">
            <v>0</v>
          </cell>
          <cell r="Z6042">
            <v>0</v>
          </cell>
        </row>
        <row r="6043">
          <cell r="D6043">
            <v>304702</v>
          </cell>
          <cell r="E6043" t="str">
            <v>Vinapor NHS</v>
          </cell>
          <cell r="F6043">
            <v>0</v>
          </cell>
          <cell r="G6043">
            <v>0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>
            <v>0</v>
          </cell>
          <cell r="M6043">
            <v>0</v>
          </cell>
          <cell r="N6043">
            <v>0</v>
          </cell>
          <cell r="O6043">
            <v>0</v>
          </cell>
          <cell r="P6043">
            <v>0</v>
          </cell>
          <cell r="Q6043">
            <v>0</v>
          </cell>
          <cell r="R6043">
            <v>0</v>
          </cell>
          <cell r="S6043">
            <v>0</v>
          </cell>
          <cell r="T6043">
            <v>0</v>
          </cell>
          <cell r="U6043">
            <v>0</v>
          </cell>
          <cell r="V6043">
            <v>0</v>
          </cell>
          <cell r="W6043">
            <v>0</v>
          </cell>
          <cell r="X6043">
            <v>0</v>
          </cell>
          <cell r="Y6043">
            <v>0</v>
          </cell>
          <cell r="Z6043">
            <v>0</v>
          </cell>
        </row>
        <row r="6044">
          <cell r="D6044">
            <v>500049</v>
          </cell>
          <cell r="E6044" t="str">
            <v>Manapa II ES</v>
          </cell>
          <cell r="F6044">
            <v>0</v>
          </cell>
          <cell r="G6044">
            <v>0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>
            <v>0</v>
          </cell>
          <cell r="M6044">
            <v>0</v>
          </cell>
          <cell r="N6044">
            <v>0</v>
          </cell>
          <cell r="O6044">
            <v>0</v>
          </cell>
          <cell r="P6044">
            <v>0</v>
          </cell>
          <cell r="Q6044">
            <v>0</v>
          </cell>
          <cell r="R6044">
            <v>0</v>
          </cell>
          <cell r="S6044">
            <v>0</v>
          </cell>
          <cell r="T6044">
            <v>0</v>
          </cell>
          <cell r="U6044">
            <v>0</v>
          </cell>
          <cell r="V6044">
            <v>0</v>
          </cell>
          <cell r="W6044">
            <v>0</v>
          </cell>
          <cell r="X6044">
            <v>0</v>
          </cell>
          <cell r="Y6044">
            <v>0</v>
          </cell>
          <cell r="Z6044">
            <v>0</v>
          </cell>
        </row>
        <row r="6045">
          <cell r="D6045">
            <v>304685</v>
          </cell>
          <cell r="E6045" t="str">
            <v>Jabonga National High School</v>
          </cell>
          <cell r="F6045">
            <v>0</v>
          </cell>
          <cell r="G6045">
            <v>0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>
            <v>0</v>
          </cell>
          <cell r="M6045">
            <v>0</v>
          </cell>
          <cell r="N6045">
            <v>0</v>
          </cell>
          <cell r="O6045">
            <v>0</v>
          </cell>
          <cell r="P6045">
            <v>0</v>
          </cell>
          <cell r="Q6045">
            <v>0</v>
          </cell>
          <cell r="R6045">
            <v>0</v>
          </cell>
          <cell r="S6045">
            <v>0</v>
          </cell>
          <cell r="T6045">
            <v>0</v>
          </cell>
          <cell r="U6045">
            <v>0</v>
          </cell>
          <cell r="V6045">
            <v>0</v>
          </cell>
          <cell r="W6045">
            <v>0</v>
          </cell>
          <cell r="X6045">
            <v>0</v>
          </cell>
          <cell r="Y6045">
            <v>0</v>
          </cell>
          <cell r="Z6045">
            <v>0</v>
          </cell>
        </row>
        <row r="6046">
          <cell r="D6046">
            <v>317304</v>
          </cell>
          <cell r="E6046" t="str">
            <v>Cahayagan National High School</v>
          </cell>
          <cell r="F6046">
            <v>0</v>
          </cell>
          <cell r="G6046">
            <v>0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>
            <v>0</v>
          </cell>
          <cell r="M6046">
            <v>0</v>
          </cell>
          <cell r="N6046">
            <v>0</v>
          </cell>
          <cell r="O6046">
            <v>0</v>
          </cell>
          <cell r="P6046">
            <v>0</v>
          </cell>
          <cell r="Q6046">
            <v>0</v>
          </cell>
          <cell r="R6046">
            <v>0</v>
          </cell>
          <cell r="S6046">
            <v>0</v>
          </cell>
          <cell r="T6046">
            <v>0</v>
          </cell>
          <cell r="U6046">
            <v>0</v>
          </cell>
          <cell r="V6046">
            <v>0</v>
          </cell>
          <cell r="W6046">
            <v>0</v>
          </cell>
          <cell r="X6046">
            <v>0</v>
          </cell>
          <cell r="Y6046">
            <v>0</v>
          </cell>
          <cell r="Z6046">
            <v>0</v>
          </cell>
        </row>
        <row r="6047">
          <cell r="D6047">
            <v>317305</v>
          </cell>
          <cell r="E6047" t="str">
            <v>Lekda NHS (Guinabsan NHS Annex)</v>
          </cell>
          <cell r="F6047">
            <v>0</v>
          </cell>
          <cell r="G6047">
            <v>0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>
            <v>0</v>
          </cell>
          <cell r="M6047">
            <v>0</v>
          </cell>
          <cell r="N6047">
            <v>0</v>
          </cell>
          <cell r="O6047">
            <v>0</v>
          </cell>
          <cell r="P6047">
            <v>0</v>
          </cell>
          <cell r="Q6047">
            <v>0</v>
          </cell>
          <cell r="R6047">
            <v>0</v>
          </cell>
          <cell r="S6047">
            <v>0</v>
          </cell>
          <cell r="T6047">
            <v>0</v>
          </cell>
          <cell r="U6047">
            <v>0</v>
          </cell>
          <cell r="V6047">
            <v>0</v>
          </cell>
          <cell r="W6047">
            <v>0</v>
          </cell>
          <cell r="X6047">
            <v>0</v>
          </cell>
          <cell r="Y6047">
            <v>0</v>
          </cell>
          <cell r="Z6047">
            <v>0</v>
          </cell>
        </row>
        <row r="6048">
          <cell r="D6048">
            <v>304690</v>
          </cell>
          <cell r="E6048" t="str">
            <v>LINGAYAO NATIONAL HIGH SCHOOL</v>
          </cell>
          <cell r="F6048">
            <v>0</v>
          </cell>
          <cell r="G6048">
            <v>0</v>
          </cell>
          <cell r="H6048">
            <v>0</v>
          </cell>
          <cell r="I6048">
            <v>0</v>
          </cell>
          <cell r="J6048">
            <v>0</v>
          </cell>
          <cell r="K6048">
            <v>0</v>
          </cell>
          <cell r="L6048">
            <v>0</v>
          </cell>
          <cell r="M6048">
            <v>0</v>
          </cell>
          <cell r="N6048">
            <v>0</v>
          </cell>
          <cell r="O6048">
            <v>0</v>
          </cell>
          <cell r="P6048">
            <v>0</v>
          </cell>
          <cell r="Q6048">
            <v>0</v>
          </cell>
          <cell r="R6048">
            <v>0</v>
          </cell>
          <cell r="S6048">
            <v>0</v>
          </cell>
          <cell r="T6048">
            <v>0</v>
          </cell>
          <cell r="U6048">
            <v>0</v>
          </cell>
          <cell r="V6048">
            <v>0</v>
          </cell>
          <cell r="W6048">
            <v>0</v>
          </cell>
          <cell r="X6048">
            <v>0</v>
          </cell>
          <cell r="Y6048">
            <v>0</v>
          </cell>
          <cell r="Z6048">
            <v>0</v>
          </cell>
        </row>
        <row r="6049">
          <cell r="D6049">
            <v>500314</v>
          </cell>
          <cell r="E6049" t="str">
            <v>Hinandayan ES</v>
          </cell>
          <cell r="F6049">
            <v>8</v>
          </cell>
          <cell r="G6049">
            <v>11</v>
          </cell>
          <cell r="H6049">
            <v>19</v>
          </cell>
          <cell r="I6049">
            <v>0</v>
          </cell>
          <cell r="J6049">
            <v>0</v>
          </cell>
          <cell r="K6049">
            <v>0</v>
          </cell>
          <cell r="L6049">
            <v>0</v>
          </cell>
          <cell r="M6049">
            <v>0</v>
          </cell>
          <cell r="N6049">
            <v>0</v>
          </cell>
          <cell r="O6049">
            <v>0</v>
          </cell>
          <cell r="P6049">
            <v>0</v>
          </cell>
          <cell r="Q6049">
            <v>0</v>
          </cell>
          <cell r="R6049">
            <v>0</v>
          </cell>
          <cell r="S6049">
            <v>0</v>
          </cell>
          <cell r="T6049">
            <v>0</v>
          </cell>
          <cell r="U6049">
            <v>0</v>
          </cell>
          <cell r="V6049">
            <v>0</v>
          </cell>
          <cell r="W6049">
            <v>0</v>
          </cell>
          <cell r="X6049">
            <v>0</v>
          </cell>
          <cell r="Y6049">
            <v>0</v>
          </cell>
          <cell r="Z6049">
            <v>0</v>
          </cell>
        </row>
        <row r="6050">
          <cell r="D6050">
            <v>304696</v>
          </cell>
          <cell r="E6050" t="str">
            <v>Nasipit National Vocational School</v>
          </cell>
          <cell r="F6050">
            <v>189</v>
          </cell>
          <cell r="G6050">
            <v>130</v>
          </cell>
          <cell r="H6050">
            <v>319</v>
          </cell>
          <cell r="I6050">
            <v>5</v>
          </cell>
          <cell r="J6050">
            <v>7</v>
          </cell>
          <cell r="K6050">
            <v>12</v>
          </cell>
          <cell r="L6050">
            <v>5</v>
          </cell>
          <cell r="M6050">
            <v>7</v>
          </cell>
          <cell r="N6050">
            <v>12</v>
          </cell>
          <cell r="O6050">
            <v>0</v>
          </cell>
          <cell r="P6050">
            <v>0</v>
          </cell>
          <cell r="Q6050">
            <v>0</v>
          </cell>
          <cell r="R6050">
            <v>0</v>
          </cell>
          <cell r="S6050">
            <v>0</v>
          </cell>
          <cell r="T6050">
            <v>0</v>
          </cell>
          <cell r="U6050">
            <v>0</v>
          </cell>
          <cell r="V6050">
            <v>0</v>
          </cell>
          <cell r="W6050">
            <v>0</v>
          </cell>
          <cell r="X6050">
            <v>0</v>
          </cell>
          <cell r="Y6050">
            <v>0</v>
          </cell>
          <cell r="Z6050">
            <v>0</v>
          </cell>
        </row>
        <row r="6051">
          <cell r="D6051">
            <v>304691</v>
          </cell>
          <cell r="E6051" t="str">
            <v>Magallanes National High School</v>
          </cell>
          <cell r="F6051">
            <v>0</v>
          </cell>
          <cell r="G6051">
            <v>0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0</v>
          </cell>
          <cell r="M6051">
            <v>0</v>
          </cell>
          <cell r="N6051">
            <v>0</v>
          </cell>
          <cell r="O6051">
            <v>0</v>
          </cell>
          <cell r="P6051">
            <v>0</v>
          </cell>
          <cell r="Q6051">
            <v>0</v>
          </cell>
          <cell r="R6051">
            <v>0</v>
          </cell>
          <cell r="S6051">
            <v>0</v>
          </cell>
          <cell r="T6051">
            <v>0</v>
          </cell>
          <cell r="U6051">
            <v>0</v>
          </cell>
          <cell r="V6051">
            <v>0</v>
          </cell>
          <cell r="W6051">
            <v>0</v>
          </cell>
          <cell r="X6051">
            <v>0</v>
          </cell>
          <cell r="Y6051">
            <v>0</v>
          </cell>
          <cell r="Z6051">
            <v>0</v>
          </cell>
        </row>
        <row r="6052">
          <cell r="D6052">
            <v>500311</v>
          </cell>
          <cell r="E6052" t="str">
            <v>Manoligao ES</v>
          </cell>
          <cell r="F6052">
            <v>0</v>
          </cell>
          <cell r="G6052">
            <v>0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>
            <v>0</v>
          </cell>
          <cell r="M6052">
            <v>0</v>
          </cell>
          <cell r="N6052">
            <v>0</v>
          </cell>
          <cell r="O6052">
            <v>0</v>
          </cell>
          <cell r="P6052">
            <v>0</v>
          </cell>
          <cell r="Q6052">
            <v>0</v>
          </cell>
          <cell r="R6052">
            <v>0</v>
          </cell>
          <cell r="S6052">
            <v>0</v>
          </cell>
          <cell r="T6052">
            <v>0</v>
          </cell>
          <cell r="U6052">
            <v>0</v>
          </cell>
          <cell r="V6052">
            <v>0</v>
          </cell>
          <cell r="W6052">
            <v>0</v>
          </cell>
          <cell r="X6052">
            <v>0</v>
          </cell>
          <cell r="Y6052">
            <v>0</v>
          </cell>
          <cell r="Z6052">
            <v>0</v>
          </cell>
        </row>
        <row r="6053">
          <cell r="D6053">
            <v>317301</v>
          </cell>
          <cell r="E6053" t="str">
            <v>Sangay National High School</v>
          </cell>
          <cell r="F6053">
            <v>0</v>
          </cell>
          <cell r="G6053">
            <v>0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0</v>
          </cell>
          <cell r="M6053">
            <v>0</v>
          </cell>
          <cell r="N6053">
            <v>0</v>
          </cell>
          <cell r="O6053">
            <v>0</v>
          </cell>
          <cell r="P6053">
            <v>0</v>
          </cell>
          <cell r="Q6053">
            <v>0</v>
          </cell>
          <cell r="R6053">
            <v>0</v>
          </cell>
          <cell r="S6053">
            <v>0</v>
          </cell>
          <cell r="T6053">
            <v>0</v>
          </cell>
          <cell r="U6053">
            <v>0</v>
          </cell>
          <cell r="V6053">
            <v>0</v>
          </cell>
          <cell r="W6053">
            <v>0</v>
          </cell>
          <cell r="X6053">
            <v>0</v>
          </cell>
          <cell r="Y6053">
            <v>0</v>
          </cell>
          <cell r="Z6053">
            <v>0</v>
          </cell>
        </row>
        <row r="6054">
          <cell r="D6054">
            <v>317310</v>
          </cell>
          <cell r="E6054" t="str">
            <v>E. G. Montilla National High School</v>
          </cell>
          <cell r="F6054">
            <v>38</v>
          </cell>
          <cell r="G6054">
            <v>23</v>
          </cell>
          <cell r="H6054">
            <v>61</v>
          </cell>
          <cell r="I6054">
            <v>2</v>
          </cell>
          <cell r="J6054">
            <v>2</v>
          </cell>
          <cell r="K6054">
            <v>4</v>
          </cell>
          <cell r="L6054">
            <v>26</v>
          </cell>
          <cell r="M6054">
            <v>21</v>
          </cell>
          <cell r="N6054">
            <v>47</v>
          </cell>
          <cell r="O6054">
            <v>0</v>
          </cell>
          <cell r="P6054">
            <v>0</v>
          </cell>
          <cell r="Q6054">
            <v>0</v>
          </cell>
          <cell r="R6054">
            <v>0</v>
          </cell>
          <cell r="S6054">
            <v>0</v>
          </cell>
          <cell r="T6054">
            <v>0</v>
          </cell>
          <cell r="U6054">
            <v>0</v>
          </cell>
          <cell r="V6054">
            <v>0</v>
          </cell>
          <cell r="W6054">
            <v>0</v>
          </cell>
          <cell r="X6054">
            <v>0</v>
          </cell>
          <cell r="Y6054">
            <v>0</v>
          </cell>
          <cell r="Z6054">
            <v>0</v>
          </cell>
        </row>
        <row r="6055">
          <cell r="D6055">
            <v>304674</v>
          </cell>
          <cell r="E6055" t="str">
            <v>Buenavista National High School</v>
          </cell>
          <cell r="F6055">
            <v>0</v>
          </cell>
          <cell r="G6055">
            <v>0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0</v>
          </cell>
          <cell r="M6055">
            <v>0</v>
          </cell>
          <cell r="N6055">
            <v>0</v>
          </cell>
          <cell r="O6055">
            <v>0</v>
          </cell>
          <cell r="P6055">
            <v>0</v>
          </cell>
          <cell r="Q6055">
            <v>0</v>
          </cell>
          <cell r="R6055">
            <v>0</v>
          </cell>
          <cell r="S6055">
            <v>0</v>
          </cell>
          <cell r="T6055">
            <v>0</v>
          </cell>
          <cell r="U6055">
            <v>0</v>
          </cell>
          <cell r="V6055">
            <v>0</v>
          </cell>
          <cell r="W6055">
            <v>0</v>
          </cell>
          <cell r="X6055">
            <v>0</v>
          </cell>
          <cell r="Y6055">
            <v>0</v>
          </cell>
          <cell r="Z6055">
            <v>0</v>
          </cell>
        </row>
        <row r="6056">
          <cell r="D6056">
            <v>317302</v>
          </cell>
          <cell r="E6056" t="str">
            <v>Nasipit NHS</v>
          </cell>
          <cell r="F6056">
            <v>0</v>
          </cell>
          <cell r="G6056">
            <v>0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0</v>
          </cell>
          <cell r="M6056">
            <v>0</v>
          </cell>
          <cell r="N6056">
            <v>0</v>
          </cell>
          <cell r="O6056">
            <v>0</v>
          </cell>
          <cell r="P6056">
            <v>0</v>
          </cell>
          <cell r="Q6056">
            <v>0</v>
          </cell>
          <cell r="R6056">
            <v>0</v>
          </cell>
          <cell r="S6056">
            <v>0</v>
          </cell>
          <cell r="T6056">
            <v>0</v>
          </cell>
          <cell r="U6056">
            <v>0</v>
          </cell>
          <cell r="V6056">
            <v>0</v>
          </cell>
          <cell r="W6056">
            <v>0</v>
          </cell>
          <cell r="X6056">
            <v>0</v>
          </cell>
          <cell r="Y6056">
            <v>0</v>
          </cell>
          <cell r="Z6056">
            <v>0</v>
          </cell>
        </row>
        <row r="6057">
          <cell r="D6057">
            <v>317315</v>
          </cell>
          <cell r="E6057" t="str">
            <v>Agong-ong National High School</v>
          </cell>
          <cell r="F6057">
            <v>0</v>
          </cell>
          <cell r="G6057">
            <v>0</v>
          </cell>
          <cell r="H6057">
            <v>0</v>
          </cell>
          <cell r="I6057">
            <v>0</v>
          </cell>
          <cell r="J6057">
            <v>0</v>
          </cell>
          <cell r="K6057">
            <v>0</v>
          </cell>
          <cell r="L6057">
            <v>0</v>
          </cell>
          <cell r="M6057">
            <v>0</v>
          </cell>
          <cell r="N6057">
            <v>0</v>
          </cell>
          <cell r="O6057">
            <v>0</v>
          </cell>
          <cell r="P6057">
            <v>0</v>
          </cell>
          <cell r="Q6057">
            <v>0</v>
          </cell>
          <cell r="R6057">
            <v>0</v>
          </cell>
          <cell r="S6057">
            <v>0</v>
          </cell>
          <cell r="T6057">
            <v>0</v>
          </cell>
          <cell r="U6057">
            <v>0</v>
          </cell>
          <cell r="V6057">
            <v>0</v>
          </cell>
          <cell r="W6057">
            <v>0</v>
          </cell>
          <cell r="X6057">
            <v>0</v>
          </cell>
          <cell r="Y6057">
            <v>0</v>
          </cell>
          <cell r="Z6057">
            <v>0</v>
          </cell>
        </row>
        <row r="6058">
          <cell r="D6058">
            <v>304700</v>
          </cell>
          <cell r="E6058" t="str">
            <v>Tinigbasan NHS</v>
          </cell>
          <cell r="F6058">
            <v>0</v>
          </cell>
          <cell r="G6058">
            <v>0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>
            <v>0</v>
          </cell>
          <cell r="M6058">
            <v>0</v>
          </cell>
          <cell r="N6058">
            <v>0</v>
          </cell>
          <cell r="O6058">
            <v>0</v>
          </cell>
          <cell r="P6058">
            <v>0</v>
          </cell>
          <cell r="Q6058">
            <v>0</v>
          </cell>
          <cell r="R6058">
            <v>0</v>
          </cell>
          <cell r="S6058">
            <v>0</v>
          </cell>
          <cell r="T6058">
            <v>0</v>
          </cell>
          <cell r="U6058">
            <v>0</v>
          </cell>
          <cell r="V6058">
            <v>0</v>
          </cell>
          <cell r="W6058">
            <v>0</v>
          </cell>
          <cell r="X6058">
            <v>0</v>
          </cell>
          <cell r="Y6058">
            <v>0</v>
          </cell>
          <cell r="Z6058">
            <v>0</v>
          </cell>
        </row>
        <row r="6059">
          <cell r="D6059">
            <v>304695</v>
          </cell>
          <cell r="E6059" t="str">
            <v>Mat-i NHS</v>
          </cell>
          <cell r="F6059">
            <v>0</v>
          </cell>
          <cell r="G6059">
            <v>0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>
            <v>0</v>
          </cell>
          <cell r="M6059">
            <v>0</v>
          </cell>
          <cell r="N6059">
            <v>0</v>
          </cell>
          <cell r="O6059">
            <v>0</v>
          </cell>
          <cell r="P6059">
            <v>0</v>
          </cell>
          <cell r="Q6059">
            <v>0</v>
          </cell>
          <cell r="R6059">
            <v>0</v>
          </cell>
          <cell r="S6059">
            <v>0</v>
          </cell>
          <cell r="T6059">
            <v>0</v>
          </cell>
          <cell r="U6059">
            <v>0</v>
          </cell>
          <cell r="V6059">
            <v>0</v>
          </cell>
          <cell r="W6059">
            <v>0</v>
          </cell>
          <cell r="X6059">
            <v>0</v>
          </cell>
          <cell r="Y6059">
            <v>0</v>
          </cell>
          <cell r="Z6059">
            <v>0</v>
          </cell>
        </row>
        <row r="6060">
          <cell r="D6060">
            <v>304698</v>
          </cell>
          <cell r="E6060" t="str">
            <v>Santiago NHS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0</v>
          </cell>
          <cell r="M6060">
            <v>0</v>
          </cell>
          <cell r="N6060">
            <v>0</v>
          </cell>
          <cell r="O6060">
            <v>0</v>
          </cell>
          <cell r="P6060">
            <v>0</v>
          </cell>
          <cell r="Q6060">
            <v>0</v>
          </cell>
          <cell r="R6060">
            <v>0</v>
          </cell>
          <cell r="S6060">
            <v>0</v>
          </cell>
          <cell r="T6060">
            <v>0</v>
          </cell>
          <cell r="U6060">
            <v>0</v>
          </cell>
          <cell r="V6060">
            <v>0</v>
          </cell>
          <cell r="W6060">
            <v>0</v>
          </cell>
          <cell r="X6060">
            <v>0</v>
          </cell>
          <cell r="Y6060">
            <v>0</v>
          </cell>
          <cell r="Z6060">
            <v>0</v>
          </cell>
        </row>
        <row r="6061">
          <cell r="D6061">
            <v>317309</v>
          </cell>
          <cell r="E6061" t="str">
            <v>Dona Rosario National High School</v>
          </cell>
          <cell r="F6061">
            <v>3</v>
          </cell>
          <cell r="G6061">
            <v>2</v>
          </cell>
          <cell r="H6061">
            <v>5</v>
          </cell>
          <cell r="I6061">
            <v>0</v>
          </cell>
          <cell r="J6061">
            <v>0</v>
          </cell>
          <cell r="K6061">
            <v>0</v>
          </cell>
          <cell r="L6061">
            <v>0</v>
          </cell>
          <cell r="M6061">
            <v>0</v>
          </cell>
          <cell r="N6061">
            <v>0</v>
          </cell>
          <cell r="O6061">
            <v>0</v>
          </cell>
          <cell r="P6061">
            <v>0</v>
          </cell>
          <cell r="Q6061">
            <v>0</v>
          </cell>
          <cell r="R6061">
            <v>0</v>
          </cell>
          <cell r="S6061">
            <v>0</v>
          </cell>
          <cell r="T6061">
            <v>0</v>
          </cell>
          <cell r="U6061">
            <v>0</v>
          </cell>
          <cell r="V6061">
            <v>0</v>
          </cell>
          <cell r="W6061">
            <v>0</v>
          </cell>
          <cell r="X6061">
            <v>0</v>
          </cell>
          <cell r="Y6061">
            <v>0</v>
          </cell>
          <cell r="Z6061">
            <v>0</v>
          </cell>
        </row>
        <row r="6062">
          <cell r="D6062">
            <v>304693</v>
          </cell>
          <cell r="E6062" t="str">
            <v>Maningalao NHS</v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0</v>
          </cell>
          <cell r="M6062">
            <v>0</v>
          </cell>
          <cell r="N6062">
            <v>0</v>
          </cell>
          <cell r="O6062">
            <v>0</v>
          </cell>
          <cell r="P6062">
            <v>0</v>
          </cell>
          <cell r="Q6062">
            <v>0</v>
          </cell>
          <cell r="R6062">
            <v>0</v>
          </cell>
          <cell r="S6062">
            <v>0</v>
          </cell>
          <cell r="T6062">
            <v>0</v>
          </cell>
          <cell r="U6062">
            <v>0</v>
          </cell>
          <cell r="V6062">
            <v>0</v>
          </cell>
          <cell r="W6062">
            <v>0</v>
          </cell>
          <cell r="X6062">
            <v>0</v>
          </cell>
          <cell r="Y6062">
            <v>0</v>
          </cell>
          <cell r="Z6062">
            <v>0</v>
          </cell>
        </row>
        <row r="6063">
          <cell r="D6063">
            <v>304678</v>
          </cell>
          <cell r="E6063" t="str">
            <v>Cuyago National High School</v>
          </cell>
          <cell r="F6063">
            <v>30</v>
          </cell>
          <cell r="G6063">
            <v>56</v>
          </cell>
          <cell r="H6063">
            <v>86</v>
          </cell>
          <cell r="I6063">
            <v>0</v>
          </cell>
          <cell r="J6063">
            <v>0</v>
          </cell>
          <cell r="K6063">
            <v>0</v>
          </cell>
          <cell r="L6063">
            <v>0</v>
          </cell>
          <cell r="M6063">
            <v>0</v>
          </cell>
          <cell r="N6063">
            <v>0</v>
          </cell>
          <cell r="O6063">
            <v>0</v>
          </cell>
          <cell r="P6063">
            <v>0</v>
          </cell>
          <cell r="Q6063">
            <v>0</v>
          </cell>
          <cell r="R6063">
            <v>0</v>
          </cell>
          <cell r="S6063">
            <v>0</v>
          </cell>
          <cell r="T6063">
            <v>0</v>
          </cell>
          <cell r="U6063">
            <v>0</v>
          </cell>
          <cell r="V6063">
            <v>0</v>
          </cell>
          <cell r="W6063">
            <v>0</v>
          </cell>
          <cell r="X6063">
            <v>0</v>
          </cell>
          <cell r="Y6063">
            <v>0</v>
          </cell>
          <cell r="Z6063">
            <v>0</v>
          </cell>
        </row>
        <row r="6064">
          <cell r="D6064">
            <v>304673</v>
          </cell>
          <cell r="E6064" t="str">
            <v>Agay National High School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0</v>
          </cell>
          <cell r="M6064">
            <v>0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>
            <v>0</v>
          </cell>
          <cell r="V6064">
            <v>0</v>
          </cell>
          <cell r="W6064">
            <v>0</v>
          </cell>
          <cell r="X6064">
            <v>0</v>
          </cell>
          <cell r="Y6064">
            <v>0</v>
          </cell>
          <cell r="Z6064">
            <v>0</v>
          </cell>
        </row>
        <row r="6065">
          <cell r="D6065">
            <v>304737</v>
          </cell>
          <cell r="E6065" t="str">
            <v>Anislagan NHS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0</v>
          </cell>
          <cell r="M6065">
            <v>0</v>
          </cell>
          <cell r="N6065">
            <v>0</v>
          </cell>
          <cell r="O6065">
            <v>0</v>
          </cell>
          <cell r="P6065">
            <v>0</v>
          </cell>
          <cell r="Q6065">
            <v>0</v>
          </cell>
          <cell r="R6065">
            <v>0</v>
          </cell>
          <cell r="S6065">
            <v>0</v>
          </cell>
          <cell r="T6065">
            <v>0</v>
          </cell>
          <cell r="U6065">
            <v>0</v>
          </cell>
          <cell r="V6065">
            <v>0</v>
          </cell>
          <cell r="W6065">
            <v>0</v>
          </cell>
          <cell r="X6065">
            <v>0</v>
          </cell>
          <cell r="Y6065">
            <v>0</v>
          </cell>
          <cell r="Z6065">
            <v>0</v>
          </cell>
        </row>
        <row r="6066">
          <cell r="D6066">
            <v>317443</v>
          </cell>
          <cell r="E6066" t="str">
            <v>San Isidro National High School</v>
          </cell>
          <cell r="F6066">
            <v>0</v>
          </cell>
          <cell r="G6066">
            <v>0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>
            <v>0</v>
          </cell>
          <cell r="M6066">
            <v>0</v>
          </cell>
          <cell r="N6066">
            <v>0</v>
          </cell>
          <cell r="O6066">
            <v>0</v>
          </cell>
          <cell r="P6066">
            <v>0</v>
          </cell>
          <cell r="Q6066">
            <v>0</v>
          </cell>
          <cell r="R6066">
            <v>0</v>
          </cell>
          <cell r="S6066">
            <v>0</v>
          </cell>
          <cell r="T6066">
            <v>0</v>
          </cell>
          <cell r="U6066">
            <v>0</v>
          </cell>
          <cell r="V6066">
            <v>0</v>
          </cell>
          <cell r="W6066">
            <v>0</v>
          </cell>
          <cell r="X6066">
            <v>0</v>
          </cell>
          <cell r="Y6066">
            <v>0</v>
          </cell>
          <cell r="Z6066">
            <v>0</v>
          </cell>
        </row>
        <row r="6067">
          <cell r="D6067">
            <v>304745</v>
          </cell>
          <cell r="E6067" t="str">
            <v>Bayugan III NHS</v>
          </cell>
          <cell r="F6067">
            <v>108</v>
          </cell>
          <cell r="G6067">
            <v>73</v>
          </cell>
          <cell r="H6067">
            <v>181</v>
          </cell>
          <cell r="I6067">
            <v>2</v>
          </cell>
          <cell r="J6067">
            <v>5</v>
          </cell>
          <cell r="K6067">
            <v>7</v>
          </cell>
          <cell r="L6067">
            <v>0</v>
          </cell>
          <cell r="M6067">
            <v>0</v>
          </cell>
          <cell r="N6067">
            <v>0</v>
          </cell>
          <cell r="O6067">
            <v>0</v>
          </cell>
          <cell r="P6067">
            <v>0</v>
          </cell>
          <cell r="Q6067">
            <v>0</v>
          </cell>
          <cell r="R6067">
            <v>0</v>
          </cell>
          <cell r="S6067">
            <v>0</v>
          </cell>
          <cell r="T6067">
            <v>0</v>
          </cell>
          <cell r="U6067">
            <v>0</v>
          </cell>
          <cell r="V6067">
            <v>0</v>
          </cell>
          <cell r="W6067">
            <v>0</v>
          </cell>
          <cell r="X6067">
            <v>2</v>
          </cell>
          <cell r="Y6067">
            <v>1</v>
          </cell>
          <cell r="Z6067">
            <v>3</v>
          </cell>
        </row>
        <row r="6068">
          <cell r="D6068">
            <v>317427</v>
          </cell>
          <cell r="E6068" t="str">
            <v>Nueva Gracia Nhs</v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1</v>
          </cell>
          <cell r="K6068">
            <v>1</v>
          </cell>
          <cell r="L6068">
            <v>0</v>
          </cell>
          <cell r="M6068">
            <v>5</v>
          </cell>
          <cell r="N6068">
            <v>5</v>
          </cell>
          <cell r="O6068">
            <v>0</v>
          </cell>
          <cell r="P6068">
            <v>0</v>
          </cell>
          <cell r="Q6068">
            <v>0</v>
          </cell>
          <cell r="R6068">
            <v>0</v>
          </cell>
          <cell r="S6068">
            <v>0</v>
          </cell>
          <cell r="T6068">
            <v>0</v>
          </cell>
          <cell r="U6068">
            <v>0</v>
          </cell>
          <cell r="V6068">
            <v>0</v>
          </cell>
          <cell r="W6068">
            <v>0</v>
          </cell>
          <cell r="X6068">
            <v>0</v>
          </cell>
          <cell r="Y6068">
            <v>0</v>
          </cell>
          <cell r="Z6068">
            <v>0</v>
          </cell>
        </row>
        <row r="6069">
          <cell r="D6069">
            <v>317402</v>
          </cell>
          <cell r="E6069" t="str">
            <v>Bayugan II National High School</v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0</v>
          </cell>
          <cell r="M6069">
            <v>0</v>
          </cell>
          <cell r="N6069">
            <v>0</v>
          </cell>
          <cell r="O6069">
            <v>0</v>
          </cell>
          <cell r="P6069">
            <v>0</v>
          </cell>
          <cell r="Q6069">
            <v>0</v>
          </cell>
          <cell r="R6069">
            <v>0</v>
          </cell>
          <cell r="S6069">
            <v>0</v>
          </cell>
          <cell r="T6069">
            <v>0</v>
          </cell>
          <cell r="U6069">
            <v>0</v>
          </cell>
          <cell r="V6069">
            <v>0</v>
          </cell>
          <cell r="W6069">
            <v>0</v>
          </cell>
          <cell r="X6069">
            <v>0</v>
          </cell>
          <cell r="Y6069">
            <v>0</v>
          </cell>
          <cell r="Z6069">
            <v>0</v>
          </cell>
        </row>
        <row r="6070">
          <cell r="D6070">
            <v>304708</v>
          </cell>
          <cell r="E6070" t="str">
            <v>Binucayan NHS</v>
          </cell>
          <cell r="F6070">
            <v>0</v>
          </cell>
          <cell r="G6070">
            <v>0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>
            <v>0</v>
          </cell>
          <cell r="M6070">
            <v>0</v>
          </cell>
          <cell r="N6070">
            <v>0</v>
          </cell>
          <cell r="O6070">
            <v>0</v>
          </cell>
          <cell r="P6070">
            <v>0</v>
          </cell>
          <cell r="Q6070">
            <v>0</v>
          </cell>
          <cell r="R6070">
            <v>0</v>
          </cell>
          <cell r="S6070">
            <v>0</v>
          </cell>
          <cell r="T6070">
            <v>0</v>
          </cell>
          <cell r="U6070">
            <v>0</v>
          </cell>
          <cell r="V6070">
            <v>0</v>
          </cell>
          <cell r="W6070">
            <v>0</v>
          </cell>
          <cell r="X6070">
            <v>0</v>
          </cell>
          <cell r="Y6070">
            <v>0</v>
          </cell>
          <cell r="Z6070">
            <v>0</v>
          </cell>
        </row>
        <row r="6071">
          <cell r="D6071">
            <v>304721</v>
          </cell>
          <cell r="E6071" t="str">
            <v>Mabuhay National High School</v>
          </cell>
          <cell r="F6071">
            <v>0</v>
          </cell>
          <cell r="G6071">
            <v>0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0</v>
          </cell>
          <cell r="M6071">
            <v>0</v>
          </cell>
          <cell r="N6071">
            <v>0</v>
          </cell>
          <cell r="O6071">
            <v>0</v>
          </cell>
          <cell r="P6071">
            <v>0</v>
          </cell>
          <cell r="Q6071">
            <v>0</v>
          </cell>
          <cell r="R6071">
            <v>0</v>
          </cell>
          <cell r="S6071">
            <v>0</v>
          </cell>
          <cell r="T6071">
            <v>0</v>
          </cell>
          <cell r="U6071">
            <v>0</v>
          </cell>
          <cell r="V6071">
            <v>0</v>
          </cell>
          <cell r="W6071">
            <v>0</v>
          </cell>
          <cell r="X6071">
            <v>0</v>
          </cell>
          <cell r="Y6071">
            <v>0</v>
          </cell>
          <cell r="Z6071">
            <v>0</v>
          </cell>
        </row>
        <row r="6072">
          <cell r="D6072">
            <v>317440</v>
          </cell>
          <cell r="E6072" t="str">
            <v>Catmonon National High School</v>
          </cell>
          <cell r="F6072">
            <v>0</v>
          </cell>
          <cell r="G6072">
            <v>0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0</v>
          </cell>
          <cell r="M6072">
            <v>0</v>
          </cell>
          <cell r="N6072">
            <v>0</v>
          </cell>
          <cell r="O6072">
            <v>0</v>
          </cell>
          <cell r="P6072">
            <v>0</v>
          </cell>
          <cell r="Q6072">
            <v>0</v>
          </cell>
          <cell r="R6072">
            <v>0</v>
          </cell>
          <cell r="S6072">
            <v>0</v>
          </cell>
          <cell r="T6072">
            <v>0</v>
          </cell>
          <cell r="U6072">
            <v>0</v>
          </cell>
          <cell r="V6072">
            <v>0</v>
          </cell>
          <cell r="W6072">
            <v>0</v>
          </cell>
          <cell r="X6072">
            <v>0</v>
          </cell>
          <cell r="Y6072">
            <v>0</v>
          </cell>
          <cell r="Z6072">
            <v>0</v>
          </cell>
        </row>
        <row r="6073">
          <cell r="D6073">
            <v>304722</v>
          </cell>
          <cell r="E6073" t="str">
            <v>Lucena NHS</v>
          </cell>
          <cell r="F6073">
            <v>0</v>
          </cell>
          <cell r="G6073">
            <v>0</v>
          </cell>
          <cell r="H6073">
            <v>0</v>
          </cell>
          <cell r="I6073">
            <v>0</v>
          </cell>
          <cell r="J6073">
            <v>0</v>
          </cell>
          <cell r="K6073">
            <v>0</v>
          </cell>
          <cell r="L6073">
            <v>0</v>
          </cell>
          <cell r="M6073">
            <v>0</v>
          </cell>
          <cell r="N6073">
            <v>0</v>
          </cell>
          <cell r="O6073">
            <v>0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0</v>
          </cell>
          <cell r="U6073">
            <v>0</v>
          </cell>
          <cell r="V6073">
            <v>0</v>
          </cell>
          <cell r="W6073">
            <v>0</v>
          </cell>
          <cell r="X6073">
            <v>0</v>
          </cell>
          <cell r="Y6073">
            <v>0</v>
          </cell>
          <cell r="Z6073">
            <v>0</v>
          </cell>
        </row>
        <row r="6074">
          <cell r="D6074">
            <v>317411</v>
          </cell>
          <cell r="E6074" t="str">
            <v>Desamparados Nhs</v>
          </cell>
          <cell r="F6074">
            <v>0</v>
          </cell>
          <cell r="G6074">
            <v>0</v>
          </cell>
          <cell r="H6074">
            <v>0</v>
          </cell>
          <cell r="I6074">
            <v>0</v>
          </cell>
          <cell r="J6074">
            <v>0</v>
          </cell>
          <cell r="K6074">
            <v>0</v>
          </cell>
          <cell r="L6074">
            <v>0</v>
          </cell>
          <cell r="M6074">
            <v>0</v>
          </cell>
          <cell r="N6074">
            <v>0</v>
          </cell>
          <cell r="O6074">
            <v>0</v>
          </cell>
          <cell r="P6074">
            <v>0</v>
          </cell>
          <cell r="Q6074">
            <v>0</v>
          </cell>
          <cell r="R6074">
            <v>0</v>
          </cell>
          <cell r="S6074">
            <v>0</v>
          </cell>
          <cell r="T6074">
            <v>0</v>
          </cell>
          <cell r="U6074">
            <v>0</v>
          </cell>
          <cell r="V6074">
            <v>0</v>
          </cell>
          <cell r="W6074">
            <v>0</v>
          </cell>
          <cell r="X6074">
            <v>0</v>
          </cell>
          <cell r="Y6074">
            <v>0</v>
          </cell>
          <cell r="Z6074">
            <v>0</v>
          </cell>
        </row>
        <row r="6075">
          <cell r="D6075">
            <v>317409</v>
          </cell>
          <cell r="E6075" t="str">
            <v>Kapatungan National High School</v>
          </cell>
          <cell r="F6075">
            <v>0</v>
          </cell>
          <cell r="G6075">
            <v>0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0</v>
          </cell>
          <cell r="M6075">
            <v>0</v>
          </cell>
          <cell r="N6075">
            <v>0</v>
          </cell>
          <cell r="O6075">
            <v>0</v>
          </cell>
          <cell r="P6075">
            <v>0</v>
          </cell>
          <cell r="Q6075">
            <v>0</v>
          </cell>
          <cell r="R6075">
            <v>0</v>
          </cell>
          <cell r="S6075">
            <v>0</v>
          </cell>
          <cell r="T6075">
            <v>0</v>
          </cell>
          <cell r="U6075">
            <v>0</v>
          </cell>
          <cell r="V6075">
            <v>0</v>
          </cell>
          <cell r="W6075">
            <v>0</v>
          </cell>
          <cell r="X6075">
            <v>0</v>
          </cell>
          <cell r="Y6075">
            <v>0</v>
          </cell>
          <cell r="Z6075">
            <v>0</v>
          </cell>
        </row>
        <row r="6076">
          <cell r="D6076">
            <v>304739</v>
          </cell>
          <cell r="E6076" t="str">
            <v>Laminga NHS</v>
          </cell>
          <cell r="F6076">
            <v>0</v>
          </cell>
          <cell r="G6076">
            <v>0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0</v>
          </cell>
          <cell r="M6076">
            <v>0</v>
          </cell>
          <cell r="N6076">
            <v>0</v>
          </cell>
          <cell r="O6076">
            <v>0</v>
          </cell>
          <cell r="P6076">
            <v>0</v>
          </cell>
          <cell r="Q6076">
            <v>0</v>
          </cell>
          <cell r="R6076">
            <v>0</v>
          </cell>
          <cell r="S6076">
            <v>0</v>
          </cell>
          <cell r="T6076">
            <v>0</v>
          </cell>
          <cell r="U6076">
            <v>0</v>
          </cell>
          <cell r="V6076">
            <v>0</v>
          </cell>
          <cell r="W6076">
            <v>0</v>
          </cell>
          <cell r="X6076">
            <v>0</v>
          </cell>
          <cell r="Y6076">
            <v>0</v>
          </cell>
          <cell r="Z6076">
            <v>0</v>
          </cell>
        </row>
        <row r="6077">
          <cell r="D6077">
            <v>304709</v>
          </cell>
          <cell r="E6077" t="str">
            <v>Bunawan National High School</v>
          </cell>
          <cell r="F6077">
            <v>0</v>
          </cell>
          <cell r="G6077">
            <v>0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>
            <v>0</v>
          </cell>
          <cell r="M6077">
            <v>0</v>
          </cell>
          <cell r="N6077">
            <v>0</v>
          </cell>
          <cell r="O6077">
            <v>0</v>
          </cell>
          <cell r="P6077">
            <v>0</v>
          </cell>
          <cell r="Q6077">
            <v>0</v>
          </cell>
          <cell r="R6077">
            <v>0</v>
          </cell>
          <cell r="S6077">
            <v>0</v>
          </cell>
          <cell r="T6077">
            <v>0</v>
          </cell>
          <cell r="U6077">
            <v>0</v>
          </cell>
          <cell r="V6077">
            <v>0</v>
          </cell>
          <cell r="W6077">
            <v>0</v>
          </cell>
          <cell r="X6077">
            <v>0</v>
          </cell>
          <cell r="Y6077">
            <v>0</v>
          </cell>
          <cell r="Z6077">
            <v>0</v>
          </cell>
        </row>
        <row r="6078">
          <cell r="D6078">
            <v>317422</v>
          </cell>
          <cell r="E6078" t="str">
            <v>Corpuz Nhs</v>
          </cell>
          <cell r="F6078">
            <v>5</v>
          </cell>
          <cell r="G6078">
            <v>17</v>
          </cell>
          <cell r="H6078">
            <v>22</v>
          </cell>
          <cell r="I6078">
            <v>2</v>
          </cell>
          <cell r="J6078">
            <v>5</v>
          </cell>
          <cell r="K6078">
            <v>7</v>
          </cell>
          <cell r="L6078">
            <v>4</v>
          </cell>
          <cell r="M6078">
            <v>10</v>
          </cell>
          <cell r="N6078">
            <v>14</v>
          </cell>
          <cell r="O6078">
            <v>0</v>
          </cell>
          <cell r="P6078">
            <v>0</v>
          </cell>
          <cell r="Q6078">
            <v>0</v>
          </cell>
          <cell r="R6078">
            <v>0</v>
          </cell>
          <cell r="S6078">
            <v>0</v>
          </cell>
          <cell r="T6078">
            <v>0</v>
          </cell>
          <cell r="U6078">
            <v>0</v>
          </cell>
          <cell r="V6078">
            <v>0</v>
          </cell>
          <cell r="W6078">
            <v>0</v>
          </cell>
          <cell r="X6078">
            <v>0</v>
          </cell>
          <cell r="Y6078">
            <v>0</v>
          </cell>
          <cell r="Z6078">
            <v>0</v>
          </cell>
        </row>
        <row r="6079">
          <cell r="D6079">
            <v>317418</v>
          </cell>
          <cell r="E6079" t="str">
            <v>San Luis National High School - Balit Annex</v>
          </cell>
          <cell r="F6079">
            <v>15</v>
          </cell>
          <cell r="G6079">
            <v>12</v>
          </cell>
          <cell r="H6079">
            <v>27</v>
          </cell>
          <cell r="I6079">
            <v>0</v>
          </cell>
          <cell r="J6079">
            <v>0</v>
          </cell>
          <cell r="K6079">
            <v>0</v>
          </cell>
          <cell r="L6079">
            <v>0</v>
          </cell>
          <cell r="M6079">
            <v>0</v>
          </cell>
          <cell r="N6079">
            <v>0</v>
          </cell>
          <cell r="O6079">
            <v>0</v>
          </cell>
          <cell r="P6079">
            <v>0</v>
          </cell>
          <cell r="Q6079">
            <v>0</v>
          </cell>
          <cell r="R6079">
            <v>0</v>
          </cell>
          <cell r="S6079">
            <v>0</v>
          </cell>
          <cell r="T6079">
            <v>0</v>
          </cell>
          <cell r="U6079">
            <v>0</v>
          </cell>
          <cell r="V6079">
            <v>0</v>
          </cell>
          <cell r="W6079">
            <v>0</v>
          </cell>
          <cell r="X6079">
            <v>0</v>
          </cell>
          <cell r="Y6079">
            <v>0</v>
          </cell>
          <cell r="Z6079">
            <v>0</v>
          </cell>
        </row>
        <row r="6080">
          <cell r="D6080">
            <v>317423</v>
          </cell>
          <cell r="E6080" t="str">
            <v>Nato National High School</v>
          </cell>
          <cell r="F6080">
            <v>0</v>
          </cell>
          <cell r="G6080">
            <v>0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0</v>
          </cell>
          <cell r="M6080">
            <v>0</v>
          </cell>
          <cell r="N6080">
            <v>0</v>
          </cell>
          <cell r="O6080">
            <v>0</v>
          </cell>
          <cell r="P6080">
            <v>0</v>
          </cell>
          <cell r="Q6080">
            <v>0</v>
          </cell>
          <cell r="R6080">
            <v>0</v>
          </cell>
          <cell r="S6080">
            <v>0</v>
          </cell>
          <cell r="T6080">
            <v>0</v>
          </cell>
          <cell r="U6080">
            <v>0</v>
          </cell>
          <cell r="V6080">
            <v>0</v>
          </cell>
          <cell r="W6080">
            <v>0</v>
          </cell>
          <cell r="X6080">
            <v>0</v>
          </cell>
          <cell r="Y6080">
            <v>0</v>
          </cell>
          <cell r="Z6080">
            <v>0</v>
          </cell>
        </row>
        <row r="6081">
          <cell r="D6081">
            <v>317424</v>
          </cell>
          <cell r="E6081" t="str">
            <v>Duangan Nhs</v>
          </cell>
          <cell r="F6081">
            <v>0</v>
          </cell>
          <cell r="G6081">
            <v>0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0</v>
          </cell>
          <cell r="M6081">
            <v>0</v>
          </cell>
          <cell r="N6081">
            <v>0</v>
          </cell>
          <cell r="O6081">
            <v>0</v>
          </cell>
          <cell r="P6081">
            <v>0</v>
          </cell>
          <cell r="Q6081">
            <v>0</v>
          </cell>
          <cell r="R6081">
            <v>0</v>
          </cell>
          <cell r="S6081">
            <v>0</v>
          </cell>
          <cell r="T6081">
            <v>0</v>
          </cell>
          <cell r="U6081">
            <v>0</v>
          </cell>
          <cell r="V6081">
            <v>0</v>
          </cell>
          <cell r="W6081">
            <v>0</v>
          </cell>
          <cell r="X6081">
            <v>0</v>
          </cell>
          <cell r="Y6081">
            <v>0</v>
          </cell>
          <cell r="Z6081">
            <v>0</v>
          </cell>
        </row>
        <row r="6082">
          <cell r="D6082">
            <v>317407</v>
          </cell>
          <cell r="E6082" t="str">
            <v>Manat NHS</v>
          </cell>
          <cell r="F6082">
            <v>0</v>
          </cell>
          <cell r="G6082">
            <v>0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0</v>
          </cell>
          <cell r="M6082">
            <v>0</v>
          </cell>
          <cell r="N6082">
            <v>0</v>
          </cell>
          <cell r="O6082">
            <v>0</v>
          </cell>
          <cell r="P6082">
            <v>0</v>
          </cell>
          <cell r="Q6082">
            <v>0</v>
          </cell>
          <cell r="R6082">
            <v>0</v>
          </cell>
          <cell r="S6082">
            <v>0</v>
          </cell>
          <cell r="T6082">
            <v>0</v>
          </cell>
          <cell r="U6082">
            <v>0</v>
          </cell>
          <cell r="V6082">
            <v>0</v>
          </cell>
          <cell r="W6082">
            <v>0</v>
          </cell>
          <cell r="X6082">
            <v>0</v>
          </cell>
          <cell r="Y6082">
            <v>0</v>
          </cell>
          <cell r="Z6082">
            <v>0</v>
          </cell>
        </row>
        <row r="6083">
          <cell r="D6083">
            <v>317412</v>
          </cell>
          <cell r="E6083" t="str">
            <v>Pulang Lupa NHS</v>
          </cell>
          <cell r="F6083">
            <v>0</v>
          </cell>
          <cell r="G6083">
            <v>0</v>
          </cell>
          <cell r="H6083">
            <v>0</v>
          </cell>
          <cell r="I6083">
            <v>3</v>
          </cell>
          <cell r="J6083">
            <v>2</v>
          </cell>
          <cell r="K6083">
            <v>5</v>
          </cell>
          <cell r="L6083">
            <v>10</v>
          </cell>
          <cell r="M6083">
            <v>7</v>
          </cell>
          <cell r="N6083">
            <v>17</v>
          </cell>
          <cell r="O6083">
            <v>0</v>
          </cell>
          <cell r="P6083">
            <v>0</v>
          </cell>
          <cell r="Q6083">
            <v>0</v>
          </cell>
          <cell r="R6083">
            <v>0</v>
          </cell>
          <cell r="S6083">
            <v>0</v>
          </cell>
          <cell r="T6083">
            <v>0</v>
          </cell>
          <cell r="U6083">
            <v>0</v>
          </cell>
          <cell r="V6083">
            <v>0</v>
          </cell>
          <cell r="W6083">
            <v>0</v>
          </cell>
          <cell r="X6083">
            <v>0</v>
          </cell>
          <cell r="Y6083">
            <v>0</v>
          </cell>
          <cell r="Z6083">
            <v>0</v>
          </cell>
        </row>
        <row r="6084">
          <cell r="D6084">
            <v>317405</v>
          </cell>
          <cell r="E6084" t="str">
            <v>Azpetia NHS</v>
          </cell>
          <cell r="F6084">
            <v>50</v>
          </cell>
          <cell r="G6084">
            <v>40</v>
          </cell>
          <cell r="H6084">
            <v>90</v>
          </cell>
          <cell r="I6084">
            <v>5</v>
          </cell>
          <cell r="J6084">
            <v>4</v>
          </cell>
          <cell r="K6084">
            <v>9</v>
          </cell>
          <cell r="L6084">
            <v>5</v>
          </cell>
          <cell r="M6084">
            <v>4</v>
          </cell>
          <cell r="N6084">
            <v>9</v>
          </cell>
          <cell r="O6084">
            <v>0</v>
          </cell>
          <cell r="P6084">
            <v>0</v>
          </cell>
          <cell r="Q6084">
            <v>0</v>
          </cell>
          <cell r="R6084">
            <v>0</v>
          </cell>
          <cell r="S6084">
            <v>0</v>
          </cell>
          <cell r="T6084">
            <v>0</v>
          </cell>
          <cell r="U6084">
            <v>0</v>
          </cell>
          <cell r="V6084">
            <v>0</v>
          </cell>
          <cell r="W6084">
            <v>0</v>
          </cell>
          <cell r="X6084">
            <v>0</v>
          </cell>
          <cell r="Y6084">
            <v>0</v>
          </cell>
          <cell r="Z6084">
            <v>0</v>
          </cell>
        </row>
        <row r="6085">
          <cell r="D6085">
            <v>304720</v>
          </cell>
          <cell r="E6085" t="str">
            <v>Los Arcos NHS</v>
          </cell>
          <cell r="F6085">
            <v>0</v>
          </cell>
          <cell r="G6085">
            <v>0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>
            <v>0</v>
          </cell>
          <cell r="M6085">
            <v>0</v>
          </cell>
          <cell r="N6085">
            <v>0</v>
          </cell>
          <cell r="O6085">
            <v>0</v>
          </cell>
          <cell r="P6085">
            <v>0</v>
          </cell>
          <cell r="Q6085">
            <v>0</v>
          </cell>
          <cell r="R6085">
            <v>0</v>
          </cell>
          <cell r="S6085">
            <v>0</v>
          </cell>
          <cell r="T6085">
            <v>0</v>
          </cell>
          <cell r="U6085">
            <v>0</v>
          </cell>
          <cell r="V6085">
            <v>0</v>
          </cell>
          <cell r="W6085">
            <v>0</v>
          </cell>
          <cell r="X6085">
            <v>0</v>
          </cell>
          <cell r="Y6085">
            <v>0</v>
          </cell>
          <cell r="Z6085">
            <v>0</v>
          </cell>
        </row>
        <row r="6086">
          <cell r="D6086">
            <v>317445</v>
          </cell>
          <cell r="E6086" t="str">
            <v>Veruela NHS Annex - Nueva Era HS</v>
          </cell>
          <cell r="F6086">
            <v>0</v>
          </cell>
          <cell r="G6086">
            <v>0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>
            <v>0</v>
          </cell>
          <cell r="M6086">
            <v>0</v>
          </cell>
          <cell r="N6086">
            <v>0</v>
          </cell>
          <cell r="O6086">
            <v>0</v>
          </cell>
          <cell r="P6086">
            <v>0</v>
          </cell>
          <cell r="Q6086">
            <v>0</v>
          </cell>
          <cell r="R6086">
            <v>0</v>
          </cell>
          <cell r="S6086">
            <v>0</v>
          </cell>
          <cell r="T6086">
            <v>0</v>
          </cell>
          <cell r="U6086">
            <v>0</v>
          </cell>
          <cell r="V6086">
            <v>0</v>
          </cell>
          <cell r="W6086">
            <v>0</v>
          </cell>
          <cell r="X6086">
            <v>0</v>
          </cell>
          <cell r="Y6086">
            <v>0</v>
          </cell>
          <cell r="Z6086">
            <v>0</v>
          </cell>
        </row>
        <row r="6087">
          <cell r="D6087">
            <v>317442</v>
          </cell>
          <cell r="E6087" t="str">
            <v>Afga Nhs</v>
          </cell>
          <cell r="F6087">
            <v>0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0</v>
          </cell>
          <cell r="M6087">
            <v>0</v>
          </cell>
          <cell r="N6087">
            <v>0</v>
          </cell>
          <cell r="O6087">
            <v>0</v>
          </cell>
          <cell r="P6087">
            <v>0</v>
          </cell>
          <cell r="Q6087">
            <v>0</v>
          </cell>
          <cell r="R6087">
            <v>0</v>
          </cell>
          <cell r="S6087">
            <v>0</v>
          </cell>
          <cell r="T6087">
            <v>0</v>
          </cell>
          <cell r="U6087">
            <v>0</v>
          </cell>
          <cell r="V6087">
            <v>0</v>
          </cell>
          <cell r="W6087">
            <v>0</v>
          </cell>
          <cell r="X6087">
            <v>0</v>
          </cell>
          <cell r="Y6087">
            <v>0</v>
          </cell>
          <cell r="Z6087">
            <v>0</v>
          </cell>
        </row>
        <row r="6088">
          <cell r="D6088">
            <v>304704</v>
          </cell>
          <cell r="E6088" t="str">
            <v>Agusan del Sur National Science High School</v>
          </cell>
          <cell r="F6088">
            <v>0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0</v>
          </cell>
          <cell r="M6088">
            <v>0</v>
          </cell>
          <cell r="N6088">
            <v>0</v>
          </cell>
          <cell r="O6088">
            <v>0</v>
          </cell>
          <cell r="P6088">
            <v>0</v>
          </cell>
          <cell r="Q6088">
            <v>0</v>
          </cell>
          <cell r="R6088">
            <v>0</v>
          </cell>
          <cell r="S6088">
            <v>0</v>
          </cell>
          <cell r="T6088">
            <v>0</v>
          </cell>
          <cell r="U6088">
            <v>0</v>
          </cell>
          <cell r="V6088">
            <v>0</v>
          </cell>
          <cell r="W6088">
            <v>0</v>
          </cell>
          <cell r="X6088">
            <v>0</v>
          </cell>
          <cell r="Y6088">
            <v>0</v>
          </cell>
          <cell r="Z6088">
            <v>0</v>
          </cell>
        </row>
        <row r="6089">
          <cell r="D6089">
            <v>317429</v>
          </cell>
          <cell r="E6089" t="str">
            <v>Novele National High School</v>
          </cell>
          <cell r="F6089">
            <v>0</v>
          </cell>
          <cell r="G6089">
            <v>0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0</v>
          </cell>
          <cell r="M6089">
            <v>0</v>
          </cell>
          <cell r="N6089">
            <v>0</v>
          </cell>
          <cell r="O6089">
            <v>0</v>
          </cell>
          <cell r="P6089">
            <v>0</v>
          </cell>
          <cell r="Q6089">
            <v>0</v>
          </cell>
          <cell r="R6089">
            <v>0</v>
          </cell>
          <cell r="S6089">
            <v>0</v>
          </cell>
          <cell r="T6089">
            <v>0</v>
          </cell>
          <cell r="U6089">
            <v>0</v>
          </cell>
          <cell r="V6089">
            <v>0</v>
          </cell>
          <cell r="W6089">
            <v>0</v>
          </cell>
          <cell r="X6089">
            <v>0</v>
          </cell>
          <cell r="Y6089">
            <v>0</v>
          </cell>
          <cell r="Z6089">
            <v>0</v>
          </cell>
        </row>
        <row r="6090">
          <cell r="D6090">
            <v>317415</v>
          </cell>
          <cell r="E6090" t="str">
            <v>San Toribio NHS</v>
          </cell>
          <cell r="F6090">
            <v>0</v>
          </cell>
          <cell r="G6090">
            <v>0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>
            <v>0</v>
          </cell>
          <cell r="M6090">
            <v>0</v>
          </cell>
          <cell r="N6090">
            <v>0</v>
          </cell>
          <cell r="O6090">
            <v>0</v>
          </cell>
          <cell r="P6090">
            <v>0</v>
          </cell>
          <cell r="Q6090">
            <v>0</v>
          </cell>
          <cell r="R6090">
            <v>0</v>
          </cell>
          <cell r="S6090">
            <v>0</v>
          </cell>
          <cell r="T6090">
            <v>0</v>
          </cell>
          <cell r="U6090">
            <v>0</v>
          </cell>
          <cell r="V6090">
            <v>0</v>
          </cell>
          <cell r="W6090">
            <v>0</v>
          </cell>
          <cell r="X6090">
            <v>0</v>
          </cell>
          <cell r="Y6090">
            <v>0</v>
          </cell>
          <cell r="Z6090">
            <v>0</v>
          </cell>
        </row>
        <row r="6091">
          <cell r="D6091">
            <v>317426</v>
          </cell>
          <cell r="E6091" t="str">
            <v>Buenasuerte National High School</v>
          </cell>
          <cell r="F6091">
            <v>0</v>
          </cell>
          <cell r="G6091">
            <v>0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  <cell r="L6091">
            <v>0</v>
          </cell>
          <cell r="M6091">
            <v>0</v>
          </cell>
          <cell r="N6091">
            <v>0</v>
          </cell>
          <cell r="O6091">
            <v>0</v>
          </cell>
          <cell r="P6091">
            <v>0</v>
          </cell>
          <cell r="Q6091">
            <v>0</v>
          </cell>
          <cell r="R6091">
            <v>0</v>
          </cell>
          <cell r="S6091">
            <v>0</v>
          </cell>
          <cell r="T6091">
            <v>0</v>
          </cell>
          <cell r="U6091">
            <v>0</v>
          </cell>
          <cell r="V6091">
            <v>0</v>
          </cell>
          <cell r="W6091">
            <v>0</v>
          </cell>
          <cell r="X6091">
            <v>0</v>
          </cell>
          <cell r="Y6091">
            <v>0</v>
          </cell>
          <cell r="Z6091">
            <v>0</v>
          </cell>
        </row>
        <row r="6092">
          <cell r="D6092">
            <v>317435</v>
          </cell>
          <cell r="E6092" t="str">
            <v>Talacogon National High School - Maharlika Annex</v>
          </cell>
          <cell r="F6092">
            <v>0</v>
          </cell>
          <cell r="G6092">
            <v>0</v>
          </cell>
          <cell r="H6092">
            <v>0</v>
          </cell>
          <cell r="I6092">
            <v>0</v>
          </cell>
          <cell r="J6092">
            <v>0</v>
          </cell>
          <cell r="K6092">
            <v>0</v>
          </cell>
          <cell r="L6092">
            <v>0</v>
          </cell>
          <cell r="M6092">
            <v>0</v>
          </cell>
          <cell r="N6092">
            <v>0</v>
          </cell>
          <cell r="O6092">
            <v>0</v>
          </cell>
          <cell r="P6092">
            <v>0</v>
          </cell>
          <cell r="Q6092">
            <v>0</v>
          </cell>
          <cell r="R6092">
            <v>0</v>
          </cell>
          <cell r="S6092">
            <v>0</v>
          </cell>
          <cell r="T6092">
            <v>0</v>
          </cell>
          <cell r="U6092">
            <v>0</v>
          </cell>
          <cell r="V6092">
            <v>0</v>
          </cell>
          <cell r="W6092">
            <v>0</v>
          </cell>
          <cell r="X6092">
            <v>0</v>
          </cell>
          <cell r="Y6092">
            <v>0</v>
          </cell>
          <cell r="Z6092">
            <v>0</v>
          </cell>
        </row>
        <row r="6093">
          <cell r="D6093">
            <v>304710</v>
          </cell>
          <cell r="E6093" t="str">
            <v>Del Monte NHS</v>
          </cell>
          <cell r="F6093">
            <v>175</v>
          </cell>
          <cell r="G6093">
            <v>138</v>
          </cell>
          <cell r="H6093">
            <v>313</v>
          </cell>
          <cell r="I6093">
            <v>30</v>
          </cell>
          <cell r="J6093">
            <v>29</v>
          </cell>
          <cell r="K6093">
            <v>59</v>
          </cell>
          <cell r="L6093">
            <v>0</v>
          </cell>
          <cell r="M6093">
            <v>0</v>
          </cell>
          <cell r="N6093">
            <v>0</v>
          </cell>
          <cell r="O6093">
            <v>0</v>
          </cell>
          <cell r="P6093">
            <v>0</v>
          </cell>
          <cell r="Q6093">
            <v>0</v>
          </cell>
          <cell r="R6093">
            <v>0</v>
          </cell>
          <cell r="S6093">
            <v>0</v>
          </cell>
          <cell r="T6093">
            <v>0</v>
          </cell>
          <cell r="U6093">
            <v>0</v>
          </cell>
          <cell r="V6093">
            <v>0</v>
          </cell>
          <cell r="W6093">
            <v>0</v>
          </cell>
          <cell r="X6093">
            <v>0</v>
          </cell>
          <cell r="Y6093">
            <v>0</v>
          </cell>
          <cell r="Z6093">
            <v>0</v>
          </cell>
        </row>
        <row r="6094">
          <cell r="D6094">
            <v>317444</v>
          </cell>
          <cell r="E6094" t="str">
            <v>Aurora Nhs</v>
          </cell>
          <cell r="F6094">
            <v>0</v>
          </cell>
          <cell r="G6094">
            <v>0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0</v>
          </cell>
          <cell r="M6094">
            <v>0</v>
          </cell>
          <cell r="N6094">
            <v>0</v>
          </cell>
          <cell r="O6094">
            <v>0</v>
          </cell>
          <cell r="P6094">
            <v>0</v>
          </cell>
          <cell r="Q6094">
            <v>0</v>
          </cell>
          <cell r="R6094">
            <v>0</v>
          </cell>
          <cell r="S6094">
            <v>0</v>
          </cell>
          <cell r="T6094">
            <v>0</v>
          </cell>
          <cell r="U6094">
            <v>0</v>
          </cell>
          <cell r="V6094">
            <v>0</v>
          </cell>
          <cell r="W6094">
            <v>0</v>
          </cell>
          <cell r="X6094">
            <v>0</v>
          </cell>
          <cell r="Y6094">
            <v>0</v>
          </cell>
          <cell r="Z6094">
            <v>0</v>
          </cell>
        </row>
        <row r="6095">
          <cell r="D6095">
            <v>317416</v>
          </cell>
          <cell r="E6095" t="str">
            <v>Causwagan National High School</v>
          </cell>
          <cell r="F6095">
            <v>0</v>
          </cell>
          <cell r="G6095">
            <v>0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  <cell r="L6095">
            <v>0</v>
          </cell>
          <cell r="M6095">
            <v>0</v>
          </cell>
          <cell r="N6095">
            <v>0</v>
          </cell>
          <cell r="O6095">
            <v>0</v>
          </cell>
          <cell r="P6095">
            <v>0</v>
          </cell>
          <cell r="Q6095">
            <v>0</v>
          </cell>
          <cell r="R6095">
            <v>0</v>
          </cell>
          <cell r="S6095">
            <v>0</v>
          </cell>
          <cell r="T6095">
            <v>0</v>
          </cell>
          <cell r="U6095">
            <v>0</v>
          </cell>
          <cell r="V6095">
            <v>0</v>
          </cell>
          <cell r="W6095">
            <v>0</v>
          </cell>
          <cell r="X6095">
            <v>0</v>
          </cell>
          <cell r="Y6095">
            <v>0</v>
          </cell>
          <cell r="Z6095">
            <v>0</v>
          </cell>
        </row>
        <row r="6096">
          <cell r="D6096">
            <v>317428</v>
          </cell>
          <cell r="E6096" t="str">
            <v>West Prosperidad Nhs</v>
          </cell>
          <cell r="F6096">
            <v>0</v>
          </cell>
          <cell r="G6096">
            <v>0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  <cell r="L6096">
            <v>0</v>
          </cell>
          <cell r="M6096">
            <v>0</v>
          </cell>
          <cell r="N6096">
            <v>0</v>
          </cell>
          <cell r="O6096">
            <v>0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>
            <v>0</v>
          </cell>
          <cell r="V6096">
            <v>0</v>
          </cell>
          <cell r="W6096">
            <v>0</v>
          </cell>
          <cell r="X6096">
            <v>0</v>
          </cell>
          <cell r="Y6096">
            <v>0</v>
          </cell>
          <cell r="Z6096">
            <v>0</v>
          </cell>
        </row>
        <row r="6097">
          <cell r="D6097">
            <v>304716</v>
          </cell>
          <cell r="E6097" t="str">
            <v>La Paz NHS</v>
          </cell>
          <cell r="F6097">
            <v>0</v>
          </cell>
          <cell r="G6097">
            <v>0</v>
          </cell>
          <cell r="H6097">
            <v>0</v>
          </cell>
          <cell r="I6097">
            <v>0</v>
          </cell>
          <cell r="J6097">
            <v>0</v>
          </cell>
          <cell r="K6097">
            <v>0</v>
          </cell>
          <cell r="L6097">
            <v>0</v>
          </cell>
          <cell r="M6097">
            <v>0</v>
          </cell>
          <cell r="N6097">
            <v>0</v>
          </cell>
          <cell r="O6097">
            <v>0</v>
          </cell>
          <cell r="P6097">
            <v>0</v>
          </cell>
          <cell r="Q6097">
            <v>0</v>
          </cell>
          <cell r="R6097">
            <v>0</v>
          </cell>
          <cell r="S6097">
            <v>0</v>
          </cell>
          <cell r="T6097">
            <v>0</v>
          </cell>
          <cell r="U6097">
            <v>0</v>
          </cell>
          <cell r="V6097">
            <v>0</v>
          </cell>
          <cell r="W6097">
            <v>0</v>
          </cell>
          <cell r="X6097">
            <v>0</v>
          </cell>
          <cell r="Y6097">
            <v>0</v>
          </cell>
          <cell r="Z6097">
            <v>0</v>
          </cell>
        </row>
        <row r="6098">
          <cell r="D6098">
            <v>304744</v>
          </cell>
          <cell r="E6098" t="str">
            <v>Sta. Cruz NHS</v>
          </cell>
          <cell r="F6098">
            <v>0</v>
          </cell>
          <cell r="G6098">
            <v>0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>
            <v>0</v>
          </cell>
          <cell r="M6098">
            <v>0</v>
          </cell>
          <cell r="N6098">
            <v>0</v>
          </cell>
          <cell r="O6098">
            <v>0</v>
          </cell>
          <cell r="P6098">
            <v>0</v>
          </cell>
          <cell r="Q6098">
            <v>0</v>
          </cell>
          <cell r="R6098">
            <v>0</v>
          </cell>
          <cell r="S6098">
            <v>0</v>
          </cell>
          <cell r="T6098">
            <v>0</v>
          </cell>
          <cell r="U6098">
            <v>0</v>
          </cell>
          <cell r="V6098">
            <v>0</v>
          </cell>
          <cell r="W6098">
            <v>0</v>
          </cell>
          <cell r="X6098">
            <v>0</v>
          </cell>
          <cell r="Y6098">
            <v>0</v>
          </cell>
          <cell r="Z6098">
            <v>0</v>
          </cell>
        </row>
        <row r="6099">
          <cell r="D6099">
            <v>304741</v>
          </cell>
          <cell r="E6099" t="str">
            <v>Magsaysay Nhs</v>
          </cell>
          <cell r="F6099">
            <v>0</v>
          </cell>
          <cell r="G6099">
            <v>0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>
            <v>0</v>
          </cell>
          <cell r="M6099">
            <v>0</v>
          </cell>
          <cell r="N6099">
            <v>0</v>
          </cell>
          <cell r="O6099">
            <v>0</v>
          </cell>
          <cell r="P6099">
            <v>0</v>
          </cell>
          <cell r="Q6099">
            <v>0</v>
          </cell>
          <cell r="R6099">
            <v>0</v>
          </cell>
          <cell r="S6099">
            <v>0</v>
          </cell>
          <cell r="T6099">
            <v>0</v>
          </cell>
          <cell r="U6099">
            <v>0</v>
          </cell>
          <cell r="V6099">
            <v>0</v>
          </cell>
          <cell r="W6099">
            <v>0</v>
          </cell>
          <cell r="X6099">
            <v>0</v>
          </cell>
          <cell r="Y6099">
            <v>0</v>
          </cell>
          <cell r="Z6099">
            <v>0</v>
          </cell>
        </row>
        <row r="6100">
          <cell r="D6100">
            <v>304755</v>
          </cell>
          <cell r="E6100" t="str">
            <v>Zillovia NHS</v>
          </cell>
          <cell r="F6100">
            <v>0</v>
          </cell>
          <cell r="G6100">
            <v>0</v>
          </cell>
          <cell r="H6100">
            <v>0</v>
          </cell>
          <cell r="I6100">
            <v>0</v>
          </cell>
          <cell r="J6100">
            <v>0</v>
          </cell>
          <cell r="K6100">
            <v>0</v>
          </cell>
          <cell r="L6100">
            <v>0</v>
          </cell>
          <cell r="M6100">
            <v>0</v>
          </cell>
          <cell r="N6100">
            <v>0</v>
          </cell>
          <cell r="O6100">
            <v>0</v>
          </cell>
          <cell r="P6100">
            <v>0</v>
          </cell>
          <cell r="Q6100">
            <v>0</v>
          </cell>
          <cell r="R6100">
            <v>0</v>
          </cell>
          <cell r="S6100">
            <v>0</v>
          </cell>
          <cell r="T6100">
            <v>0</v>
          </cell>
          <cell r="U6100">
            <v>0</v>
          </cell>
          <cell r="V6100">
            <v>0</v>
          </cell>
          <cell r="W6100">
            <v>0</v>
          </cell>
          <cell r="X6100">
            <v>0</v>
          </cell>
          <cell r="Y6100">
            <v>0</v>
          </cell>
          <cell r="Z6100">
            <v>0</v>
          </cell>
        </row>
        <row r="6101">
          <cell r="D6101">
            <v>317441</v>
          </cell>
          <cell r="E6101" t="str">
            <v>Salug Nhs</v>
          </cell>
          <cell r="F6101">
            <v>0</v>
          </cell>
          <cell r="G6101">
            <v>0</v>
          </cell>
          <cell r="H6101">
            <v>0</v>
          </cell>
          <cell r="I6101">
            <v>0</v>
          </cell>
          <cell r="J6101">
            <v>0</v>
          </cell>
          <cell r="K6101">
            <v>0</v>
          </cell>
          <cell r="L6101">
            <v>0</v>
          </cell>
          <cell r="M6101">
            <v>0</v>
          </cell>
          <cell r="N6101">
            <v>0</v>
          </cell>
          <cell r="O6101">
            <v>0</v>
          </cell>
          <cell r="P6101">
            <v>0</v>
          </cell>
          <cell r="Q6101">
            <v>0</v>
          </cell>
          <cell r="R6101">
            <v>0</v>
          </cell>
          <cell r="S6101">
            <v>0</v>
          </cell>
          <cell r="T6101">
            <v>0</v>
          </cell>
          <cell r="U6101">
            <v>0</v>
          </cell>
          <cell r="V6101">
            <v>0</v>
          </cell>
          <cell r="W6101">
            <v>0</v>
          </cell>
          <cell r="X6101">
            <v>0</v>
          </cell>
          <cell r="Y6101">
            <v>0</v>
          </cell>
          <cell r="Z6101">
            <v>0</v>
          </cell>
        </row>
        <row r="6102">
          <cell r="D6102">
            <v>317414</v>
          </cell>
          <cell r="E6102" t="str">
            <v>Hawilian National High School</v>
          </cell>
          <cell r="F6102">
            <v>0</v>
          </cell>
          <cell r="G6102">
            <v>0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>
            <v>0</v>
          </cell>
          <cell r="M6102">
            <v>0</v>
          </cell>
          <cell r="N6102">
            <v>0</v>
          </cell>
          <cell r="O6102">
            <v>0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>
            <v>0</v>
          </cell>
          <cell r="V6102">
            <v>0</v>
          </cell>
          <cell r="W6102">
            <v>0</v>
          </cell>
          <cell r="X6102">
            <v>0</v>
          </cell>
          <cell r="Y6102">
            <v>0</v>
          </cell>
          <cell r="Z6102">
            <v>0</v>
          </cell>
        </row>
        <row r="6103">
          <cell r="D6103">
            <v>317403</v>
          </cell>
          <cell r="E6103" t="str">
            <v>Lapinigan NHS - New Visayas Ext.</v>
          </cell>
          <cell r="F6103">
            <v>0</v>
          </cell>
          <cell r="G6103">
            <v>0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>
            <v>0</v>
          </cell>
          <cell r="M6103">
            <v>0</v>
          </cell>
          <cell r="N6103">
            <v>0</v>
          </cell>
          <cell r="O6103">
            <v>0</v>
          </cell>
          <cell r="P6103">
            <v>0</v>
          </cell>
          <cell r="Q6103">
            <v>0</v>
          </cell>
          <cell r="R6103">
            <v>0</v>
          </cell>
          <cell r="S6103">
            <v>0</v>
          </cell>
          <cell r="T6103">
            <v>0</v>
          </cell>
          <cell r="U6103">
            <v>0</v>
          </cell>
          <cell r="V6103">
            <v>0</v>
          </cell>
          <cell r="W6103">
            <v>0</v>
          </cell>
          <cell r="X6103">
            <v>0</v>
          </cell>
          <cell r="Y6103">
            <v>0</v>
          </cell>
          <cell r="Z6103">
            <v>0</v>
          </cell>
        </row>
        <row r="6104">
          <cell r="D6104">
            <v>317431</v>
          </cell>
          <cell r="E6104" t="str">
            <v>Magaud National High School</v>
          </cell>
          <cell r="F6104">
            <v>0</v>
          </cell>
          <cell r="G6104">
            <v>0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>
            <v>0</v>
          </cell>
          <cell r="M6104">
            <v>0</v>
          </cell>
          <cell r="N6104">
            <v>0</v>
          </cell>
          <cell r="O6104">
            <v>0</v>
          </cell>
          <cell r="P6104">
            <v>0</v>
          </cell>
          <cell r="Q6104">
            <v>0</v>
          </cell>
          <cell r="R6104">
            <v>0</v>
          </cell>
          <cell r="S6104">
            <v>0</v>
          </cell>
          <cell r="T6104">
            <v>0</v>
          </cell>
          <cell r="U6104">
            <v>0</v>
          </cell>
          <cell r="V6104">
            <v>0</v>
          </cell>
          <cell r="W6104">
            <v>0</v>
          </cell>
          <cell r="X6104">
            <v>0</v>
          </cell>
          <cell r="Y6104">
            <v>0</v>
          </cell>
          <cell r="Z6104">
            <v>0</v>
          </cell>
        </row>
        <row r="6105">
          <cell r="D6105">
            <v>304711</v>
          </cell>
          <cell r="E6105" t="str">
            <v>Democrito O. Plaza MHS</v>
          </cell>
          <cell r="F6105">
            <v>0</v>
          </cell>
          <cell r="G6105">
            <v>0</v>
          </cell>
          <cell r="H6105">
            <v>0</v>
          </cell>
          <cell r="I6105">
            <v>0</v>
          </cell>
          <cell r="J6105">
            <v>0</v>
          </cell>
          <cell r="K6105">
            <v>0</v>
          </cell>
          <cell r="L6105">
            <v>0</v>
          </cell>
          <cell r="M6105">
            <v>0</v>
          </cell>
          <cell r="N6105">
            <v>0</v>
          </cell>
          <cell r="O6105">
            <v>0</v>
          </cell>
          <cell r="P6105">
            <v>0</v>
          </cell>
          <cell r="Q6105">
            <v>0</v>
          </cell>
          <cell r="R6105">
            <v>0</v>
          </cell>
          <cell r="S6105">
            <v>0</v>
          </cell>
          <cell r="T6105">
            <v>0</v>
          </cell>
          <cell r="U6105">
            <v>0</v>
          </cell>
          <cell r="V6105">
            <v>0</v>
          </cell>
          <cell r="W6105">
            <v>0</v>
          </cell>
          <cell r="X6105">
            <v>0</v>
          </cell>
          <cell r="Y6105">
            <v>0</v>
          </cell>
          <cell r="Z6105">
            <v>0</v>
          </cell>
        </row>
        <row r="6106">
          <cell r="D6106">
            <v>500315</v>
          </cell>
          <cell r="E6106" t="str">
            <v>Sabang Gibong Nhs</v>
          </cell>
          <cell r="F6106">
            <v>0</v>
          </cell>
          <cell r="G6106">
            <v>0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>
            <v>0</v>
          </cell>
          <cell r="M6106">
            <v>0</v>
          </cell>
          <cell r="N6106">
            <v>0</v>
          </cell>
          <cell r="O6106">
            <v>0</v>
          </cell>
          <cell r="P6106">
            <v>0</v>
          </cell>
          <cell r="Q6106">
            <v>0</v>
          </cell>
          <cell r="R6106">
            <v>0</v>
          </cell>
          <cell r="S6106">
            <v>0</v>
          </cell>
          <cell r="T6106">
            <v>0</v>
          </cell>
          <cell r="U6106">
            <v>0</v>
          </cell>
          <cell r="V6106">
            <v>0</v>
          </cell>
          <cell r="W6106">
            <v>0</v>
          </cell>
          <cell r="X6106">
            <v>0</v>
          </cell>
          <cell r="Y6106">
            <v>0</v>
          </cell>
          <cell r="Z6106">
            <v>0</v>
          </cell>
        </row>
        <row r="6107">
          <cell r="D6107">
            <v>304730</v>
          </cell>
          <cell r="E6107" t="str">
            <v>Patin-ay National High School</v>
          </cell>
          <cell r="F6107">
            <v>0</v>
          </cell>
          <cell r="G6107">
            <v>0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0</v>
          </cell>
          <cell r="M6107">
            <v>0</v>
          </cell>
          <cell r="N6107">
            <v>0</v>
          </cell>
          <cell r="O6107">
            <v>0</v>
          </cell>
          <cell r="P6107">
            <v>0</v>
          </cell>
          <cell r="Q6107">
            <v>0</v>
          </cell>
          <cell r="R6107">
            <v>0</v>
          </cell>
          <cell r="S6107">
            <v>0</v>
          </cell>
          <cell r="T6107">
            <v>0</v>
          </cell>
          <cell r="U6107">
            <v>0</v>
          </cell>
          <cell r="V6107">
            <v>0</v>
          </cell>
          <cell r="W6107">
            <v>0</v>
          </cell>
          <cell r="X6107">
            <v>0</v>
          </cell>
          <cell r="Y6107">
            <v>0</v>
          </cell>
          <cell r="Z6107">
            <v>0</v>
          </cell>
        </row>
        <row r="6108">
          <cell r="D6108">
            <v>304715</v>
          </cell>
          <cell r="E6108" t="str">
            <v>Waloe National High School</v>
          </cell>
          <cell r="F6108">
            <v>0</v>
          </cell>
          <cell r="G6108">
            <v>0</v>
          </cell>
          <cell r="H6108">
            <v>0</v>
          </cell>
          <cell r="I6108">
            <v>0</v>
          </cell>
          <cell r="J6108">
            <v>0</v>
          </cell>
          <cell r="K6108">
            <v>0</v>
          </cell>
          <cell r="L6108">
            <v>0</v>
          </cell>
          <cell r="M6108">
            <v>0</v>
          </cell>
          <cell r="N6108">
            <v>0</v>
          </cell>
          <cell r="O6108">
            <v>0</v>
          </cell>
          <cell r="P6108">
            <v>0</v>
          </cell>
          <cell r="Q6108">
            <v>0</v>
          </cell>
          <cell r="R6108">
            <v>0</v>
          </cell>
          <cell r="S6108">
            <v>0</v>
          </cell>
          <cell r="T6108">
            <v>0</v>
          </cell>
          <cell r="U6108">
            <v>0</v>
          </cell>
          <cell r="V6108">
            <v>0</v>
          </cell>
          <cell r="W6108">
            <v>0</v>
          </cell>
          <cell r="X6108">
            <v>0</v>
          </cell>
          <cell r="Y6108">
            <v>0</v>
          </cell>
          <cell r="Z6108">
            <v>0</v>
          </cell>
        </row>
        <row r="6109">
          <cell r="D6109">
            <v>317432</v>
          </cell>
          <cell r="E6109" t="str">
            <v>Labnig NHS</v>
          </cell>
          <cell r="F6109">
            <v>0</v>
          </cell>
          <cell r="G6109">
            <v>0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>
            <v>0</v>
          </cell>
          <cell r="M6109">
            <v>0</v>
          </cell>
          <cell r="N6109">
            <v>0</v>
          </cell>
          <cell r="O6109">
            <v>0</v>
          </cell>
          <cell r="P6109">
            <v>0</v>
          </cell>
          <cell r="Q6109">
            <v>0</v>
          </cell>
          <cell r="R6109">
            <v>0</v>
          </cell>
          <cell r="S6109">
            <v>0</v>
          </cell>
          <cell r="T6109">
            <v>0</v>
          </cell>
          <cell r="U6109">
            <v>0</v>
          </cell>
          <cell r="V6109">
            <v>0</v>
          </cell>
          <cell r="W6109">
            <v>0</v>
          </cell>
          <cell r="X6109">
            <v>0</v>
          </cell>
          <cell r="Y6109">
            <v>0</v>
          </cell>
          <cell r="Z6109">
            <v>0</v>
          </cell>
        </row>
        <row r="6110">
          <cell r="D6110">
            <v>317425</v>
          </cell>
          <cell r="E6110" t="str">
            <v>Oro Nhs</v>
          </cell>
          <cell r="F6110">
            <v>0</v>
          </cell>
          <cell r="G6110">
            <v>0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>
            <v>0</v>
          </cell>
          <cell r="M6110">
            <v>0</v>
          </cell>
          <cell r="N6110">
            <v>0</v>
          </cell>
          <cell r="O6110">
            <v>0</v>
          </cell>
          <cell r="P6110">
            <v>0</v>
          </cell>
          <cell r="Q6110">
            <v>0</v>
          </cell>
          <cell r="R6110">
            <v>0</v>
          </cell>
          <cell r="S6110">
            <v>0</v>
          </cell>
          <cell r="T6110">
            <v>0</v>
          </cell>
          <cell r="U6110">
            <v>0</v>
          </cell>
          <cell r="V6110">
            <v>0</v>
          </cell>
          <cell r="W6110">
            <v>0</v>
          </cell>
          <cell r="X6110">
            <v>0</v>
          </cell>
          <cell r="Y6110">
            <v>0</v>
          </cell>
          <cell r="Z6110">
            <v>0</v>
          </cell>
        </row>
        <row r="6111">
          <cell r="D6111">
            <v>304717</v>
          </cell>
          <cell r="E6111" t="str">
            <v>Lapinigan National High School</v>
          </cell>
          <cell r="F6111">
            <v>0</v>
          </cell>
          <cell r="G6111">
            <v>0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>
            <v>0</v>
          </cell>
          <cell r="M6111">
            <v>0</v>
          </cell>
          <cell r="N6111">
            <v>0</v>
          </cell>
          <cell r="O6111">
            <v>0</v>
          </cell>
          <cell r="P6111">
            <v>0</v>
          </cell>
          <cell r="Q6111">
            <v>0</v>
          </cell>
          <cell r="R6111">
            <v>0</v>
          </cell>
          <cell r="S6111">
            <v>0</v>
          </cell>
          <cell r="T6111">
            <v>0</v>
          </cell>
          <cell r="U6111">
            <v>0</v>
          </cell>
          <cell r="V6111">
            <v>0</v>
          </cell>
          <cell r="W6111">
            <v>0</v>
          </cell>
          <cell r="X6111">
            <v>0</v>
          </cell>
          <cell r="Y6111">
            <v>0</v>
          </cell>
          <cell r="Z6111">
            <v>0</v>
          </cell>
        </row>
        <row r="6112">
          <cell r="D6112">
            <v>304751</v>
          </cell>
          <cell r="E6112" t="str">
            <v>STO. TOMAS NATIONAL HIGH SCHOOL</v>
          </cell>
          <cell r="F6112">
            <v>4</v>
          </cell>
          <cell r="G6112">
            <v>6</v>
          </cell>
          <cell r="H6112">
            <v>10</v>
          </cell>
          <cell r="I6112">
            <v>4</v>
          </cell>
          <cell r="J6112">
            <v>6</v>
          </cell>
          <cell r="K6112">
            <v>10</v>
          </cell>
          <cell r="L6112">
            <v>2</v>
          </cell>
          <cell r="M6112">
            <v>2</v>
          </cell>
          <cell r="N6112">
            <v>4</v>
          </cell>
          <cell r="O6112">
            <v>0</v>
          </cell>
          <cell r="P6112">
            <v>0</v>
          </cell>
          <cell r="Q6112">
            <v>0</v>
          </cell>
          <cell r="R6112">
            <v>0</v>
          </cell>
          <cell r="S6112">
            <v>0</v>
          </cell>
          <cell r="T6112">
            <v>0</v>
          </cell>
          <cell r="U6112">
            <v>0</v>
          </cell>
          <cell r="V6112">
            <v>0</v>
          </cell>
          <cell r="W6112">
            <v>0</v>
          </cell>
          <cell r="X6112">
            <v>0</v>
          </cell>
          <cell r="Y6112">
            <v>0</v>
          </cell>
          <cell r="Z6112">
            <v>0</v>
          </cell>
        </row>
        <row r="6113">
          <cell r="D6113">
            <v>304738</v>
          </cell>
          <cell r="E6113" t="str">
            <v>Cecilia NHS</v>
          </cell>
          <cell r="F6113">
            <v>0</v>
          </cell>
          <cell r="G6113">
            <v>0</v>
          </cell>
          <cell r="H6113">
            <v>0</v>
          </cell>
          <cell r="I6113">
            <v>0</v>
          </cell>
          <cell r="J6113">
            <v>0</v>
          </cell>
          <cell r="K6113">
            <v>0</v>
          </cell>
          <cell r="L6113">
            <v>0</v>
          </cell>
          <cell r="M6113">
            <v>0</v>
          </cell>
          <cell r="N6113">
            <v>0</v>
          </cell>
          <cell r="O6113">
            <v>0</v>
          </cell>
          <cell r="P6113">
            <v>0</v>
          </cell>
          <cell r="Q6113">
            <v>0</v>
          </cell>
          <cell r="R6113">
            <v>0</v>
          </cell>
          <cell r="S6113">
            <v>0</v>
          </cell>
          <cell r="T6113">
            <v>0</v>
          </cell>
          <cell r="U6113">
            <v>0</v>
          </cell>
          <cell r="V6113">
            <v>0</v>
          </cell>
          <cell r="W6113">
            <v>0</v>
          </cell>
          <cell r="X6113">
            <v>0</v>
          </cell>
          <cell r="Y6113">
            <v>0</v>
          </cell>
          <cell r="Z6113">
            <v>0</v>
          </cell>
        </row>
        <row r="6114">
          <cell r="D6114">
            <v>304747</v>
          </cell>
          <cell r="E6114" t="str">
            <v>Datu Lipus Makapandong National High School</v>
          </cell>
          <cell r="F6114">
            <v>0</v>
          </cell>
          <cell r="G6114">
            <v>0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>
            <v>0</v>
          </cell>
          <cell r="M6114">
            <v>0</v>
          </cell>
          <cell r="N6114">
            <v>0</v>
          </cell>
          <cell r="O6114">
            <v>0</v>
          </cell>
          <cell r="P6114">
            <v>0</v>
          </cell>
          <cell r="Q6114">
            <v>0</v>
          </cell>
          <cell r="R6114">
            <v>0</v>
          </cell>
          <cell r="S6114">
            <v>0</v>
          </cell>
          <cell r="T6114">
            <v>0</v>
          </cell>
          <cell r="U6114">
            <v>0</v>
          </cell>
          <cell r="V6114">
            <v>0</v>
          </cell>
          <cell r="W6114">
            <v>0</v>
          </cell>
          <cell r="X6114">
            <v>0</v>
          </cell>
          <cell r="Y6114">
            <v>0</v>
          </cell>
          <cell r="Z6114">
            <v>0</v>
          </cell>
        </row>
        <row r="6115">
          <cell r="D6115">
            <v>304718</v>
          </cell>
          <cell r="E6115" t="str">
            <v>Libertad NHS</v>
          </cell>
          <cell r="F6115">
            <v>0</v>
          </cell>
          <cell r="G6115">
            <v>0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>
            <v>0</v>
          </cell>
          <cell r="M6115">
            <v>0</v>
          </cell>
          <cell r="N6115">
            <v>0</v>
          </cell>
          <cell r="O6115">
            <v>0</v>
          </cell>
          <cell r="P6115">
            <v>0</v>
          </cell>
          <cell r="Q6115">
            <v>0</v>
          </cell>
          <cell r="R6115">
            <v>0</v>
          </cell>
          <cell r="S6115">
            <v>0</v>
          </cell>
          <cell r="T6115">
            <v>0</v>
          </cell>
          <cell r="U6115">
            <v>0</v>
          </cell>
          <cell r="V6115">
            <v>0</v>
          </cell>
          <cell r="W6115">
            <v>0</v>
          </cell>
          <cell r="X6115">
            <v>0</v>
          </cell>
          <cell r="Y6115">
            <v>0</v>
          </cell>
          <cell r="Z6115">
            <v>0</v>
          </cell>
        </row>
        <row r="6116">
          <cell r="D6116">
            <v>317434</v>
          </cell>
          <cell r="E6116" t="str">
            <v>Marbon Nhs</v>
          </cell>
          <cell r="F6116">
            <v>0</v>
          </cell>
          <cell r="G6116">
            <v>0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>
            <v>0</v>
          </cell>
          <cell r="M6116">
            <v>0</v>
          </cell>
          <cell r="N6116">
            <v>0</v>
          </cell>
          <cell r="O6116">
            <v>0</v>
          </cell>
          <cell r="P6116">
            <v>0</v>
          </cell>
          <cell r="Q6116">
            <v>0</v>
          </cell>
          <cell r="R6116">
            <v>0</v>
          </cell>
          <cell r="S6116">
            <v>0</v>
          </cell>
          <cell r="T6116">
            <v>0</v>
          </cell>
          <cell r="U6116">
            <v>0</v>
          </cell>
          <cell r="V6116">
            <v>0</v>
          </cell>
          <cell r="W6116">
            <v>0</v>
          </cell>
          <cell r="X6116">
            <v>0</v>
          </cell>
          <cell r="Y6116">
            <v>0</v>
          </cell>
          <cell r="Z6116">
            <v>0</v>
          </cell>
        </row>
        <row r="6117">
          <cell r="D6117">
            <v>304714</v>
          </cell>
          <cell r="E6117" t="str">
            <v>Kasapa National High School</v>
          </cell>
          <cell r="F6117">
            <v>0</v>
          </cell>
          <cell r="G6117">
            <v>0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>
            <v>0</v>
          </cell>
          <cell r="M6117">
            <v>0</v>
          </cell>
          <cell r="N6117">
            <v>0</v>
          </cell>
          <cell r="O6117">
            <v>0</v>
          </cell>
          <cell r="P6117">
            <v>0</v>
          </cell>
          <cell r="Q6117">
            <v>0</v>
          </cell>
          <cell r="R6117">
            <v>0</v>
          </cell>
          <cell r="S6117">
            <v>0</v>
          </cell>
          <cell r="T6117">
            <v>0</v>
          </cell>
          <cell r="U6117">
            <v>0</v>
          </cell>
          <cell r="V6117">
            <v>0</v>
          </cell>
          <cell r="W6117">
            <v>0</v>
          </cell>
          <cell r="X6117">
            <v>0</v>
          </cell>
          <cell r="Y6117">
            <v>0</v>
          </cell>
          <cell r="Z6117">
            <v>0</v>
          </cell>
        </row>
        <row r="6118">
          <cell r="D6118">
            <v>317404</v>
          </cell>
          <cell r="E6118" t="str">
            <v>San Vicente NHS</v>
          </cell>
          <cell r="F6118">
            <v>0</v>
          </cell>
          <cell r="G6118">
            <v>0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>
            <v>0</v>
          </cell>
          <cell r="M6118">
            <v>0</v>
          </cell>
          <cell r="N6118">
            <v>0</v>
          </cell>
          <cell r="O6118">
            <v>0</v>
          </cell>
          <cell r="P6118">
            <v>0</v>
          </cell>
          <cell r="Q6118">
            <v>0</v>
          </cell>
          <cell r="R6118">
            <v>0</v>
          </cell>
          <cell r="S6118">
            <v>0</v>
          </cell>
          <cell r="T6118">
            <v>0</v>
          </cell>
          <cell r="U6118">
            <v>0</v>
          </cell>
          <cell r="V6118">
            <v>0</v>
          </cell>
          <cell r="W6118">
            <v>0</v>
          </cell>
          <cell r="X6118">
            <v>0</v>
          </cell>
          <cell r="Y6118">
            <v>0</v>
          </cell>
          <cell r="Z6118">
            <v>0</v>
          </cell>
        </row>
        <row r="6119">
          <cell r="D6119">
            <v>317437</v>
          </cell>
          <cell r="E6119" t="str">
            <v>Salvacion Nhs</v>
          </cell>
          <cell r="F6119">
            <v>0</v>
          </cell>
          <cell r="G6119">
            <v>0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>
            <v>0</v>
          </cell>
          <cell r="M6119">
            <v>0</v>
          </cell>
          <cell r="N6119">
            <v>0</v>
          </cell>
          <cell r="O6119">
            <v>0</v>
          </cell>
          <cell r="P6119">
            <v>0</v>
          </cell>
          <cell r="Q6119">
            <v>0</v>
          </cell>
          <cell r="R6119">
            <v>0</v>
          </cell>
          <cell r="S6119">
            <v>0</v>
          </cell>
          <cell r="T6119">
            <v>0</v>
          </cell>
          <cell r="U6119">
            <v>0</v>
          </cell>
          <cell r="V6119">
            <v>0</v>
          </cell>
          <cell r="W6119">
            <v>0</v>
          </cell>
          <cell r="X6119">
            <v>0</v>
          </cell>
          <cell r="Y6119">
            <v>0</v>
          </cell>
          <cell r="Z6119">
            <v>0</v>
          </cell>
        </row>
        <row r="6120">
          <cell r="D6120">
            <v>304743</v>
          </cell>
          <cell r="E6120" t="str">
            <v>Padiay NHSHI</v>
          </cell>
          <cell r="F6120">
            <v>0</v>
          </cell>
          <cell r="G6120">
            <v>0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>
            <v>0</v>
          </cell>
          <cell r="M6120">
            <v>0</v>
          </cell>
          <cell r="N6120">
            <v>0</v>
          </cell>
          <cell r="O6120">
            <v>0</v>
          </cell>
          <cell r="P6120">
            <v>0</v>
          </cell>
          <cell r="Q6120">
            <v>0</v>
          </cell>
          <cell r="R6120">
            <v>0</v>
          </cell>
          <cell r="S6120">
            <v>0</v>
          </cell>
          <cell r="T6120">
            <v>0</v>
          </cell>
          <cell r="U6120">
            <v>0</v>
          </cell>
          <cell r="V6120">
            <v>0</v>
          </cell>
          <cell r="W6120">
            <v>0</v>
          </cell>
          <cell r="X6120">
            <v>0</v>
          </cell>
          <cell r="Y6120">
            <v>0</v>
          </cell>
          <cell r="Z6120">
            <v>0</v>
          </cell>
        </row>
        <row r="6121">
          <cell r="D6121">
            <v>304703</v>
          </cell>
          <cell r="E6121" t="str">
            <v>Agusan del Sur National High School</v>
          </cell>
          <cell r="F6121">
            <v>0</v>
          </cell>
          <cell r="G6121">
            <v>0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>
            <v>0</v>
          </cell>
          <cell r="M6121">
            <v>0</v>
          </cell>
          <cell r="N6121">
            <v>0</v>
          </cell>
          <cell r="O6121">
            <v>0</v>
          </cell>
          <cell r="P6121">
            <v>0</v>
          </cell>
          <cell r="Q6121">
            <v>0</v>
          </cell>
          <cell r="R6121">
            <v>0</v>
          </cell>
          <cell r="S6121">
            <v>0</v>
          </cell>
          <cell r="T6121">
            <v>0</v>
          </cell>
          <cell r="U6121">
            <v>0</v>
          </cell>
          <cell r="V6121">
            <v>0</v>
          </cell>
          <cell r="W6121">
            <v>0</v>
          </cell>
          <cell r="X6121">
            <v>0</v>
          </cell>
          <cell r="Y6121">
            <v>0</v>
          </cell>
          <cell r="Z6121">
            <v>0</v>
          </cell>
        </row>
        <row r="6122">
          <cell r="D6122">
            <v>304705</v>
          </cell>
          <cell r="E6122" t="str">
            <v>Sta. Maria NHS</v>
          </cell>
          <cell r="F6122">
            <v>0</v>
          </cell>
          <cell r="G6122">
            <v>0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>
            <v>0</v>
          </cell>
          <cell r="M6122">
            <v>0</v>
          </cell>
          <cell r="N6122">
            <v>0</v>
          </cell>
          <cell r="O6122">
            <v>0</v>
          </cell>
          <cell r="P6122">
            <v>0</v>
          </cell>
          <cell r="Q6122">
            <v>0</v>
          </cell>
          <cell r="R6122">
            <v>0</v>
          </cell>
          <cell r="S6122">
            <v>0</v>
          </cell>
          <cell r="T6122">
            <v>0</v>
          </cell>
          <cell r="U6122">
            <v>0</v>
          </cell>
          <cell r="V6122">
            <v>0</v>
          </cell>
          <cell r="W6122">
            <v>0</v>
          </cell>
          <cell r="X6122">
            <v>0</v>
          </cell>
          <cell r="Y6122">
            <v>0</v>
          </cell>
          <cell r="Z6122">
            <v>0</v>
          </cell>
        </row>
        <row r="6123">
          <cell r="D6123">
            <v>304726</v>
          </cell>
          <cell r="E6123" t="str">
            <v>New Tubigon High School of Home Industries</v>
          </cell>
          <cell r="F6123">
            <v>0</v>
          </cell>
          <cell r="G6123">
            <v>0</v>
          </cell>
          <cell r="H6123">
            <v>0</v>
          </cell>
          <cell r="I6123">
            <v>0</v>
          </cell>
          <cell r="J6123">
            <v>0</v>
          </cell>
          <cell r="K6123">
            <v>0</v>
          </cell>
          <cell r="L6123">
            <v>0</v>
          </cell>
          <cell r="M6123">
            <v>0</v>
          </cell>
          <cell r="N6123">
            <v>0</v>
          </cell>
          <cell r="O6123">
            <v>0</v>
          </cell>
          <cell r="P6123">
            <v>0</v>
          </cell>
          <cell r="Q6123">
            <v>0</v>
          </cell>
          <cell r="R6123">
            <v>0</v>
          </cell>
          <cell r="S6123">
            <v>0</v>
          </cell>
          <cell r="T6123">
            <v>0</v>
          </cell>
          <cell r="U6123">
            <v>0</v>
          </cell>
          <cell r="V6123">
            <v>0</v>
          </cell>
          <cell r="W6123">
            <v>0</v>
          </cell>
          <cell r="X6123">
            <v>0</v>
          </cell>
          <cell r="Y6123">
            <v>0</v>
          </cell>
          <cell r="Z6123">
            <v>0</v>
          </cell>
        </row>
        <row r="6124">
          <cell r="D6124">
            <v>317408</v>
          </cell>
          <cell r="E6124" t="str">
            <v>Sinobong NHS</v>
          </cell>
          <cell r="F6124">
            <v>0</v>
          </cell>
          <cell r="G6124">
            <v>0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0</v>
          </cell>
          <cell r="M6124">
            <v>0</v>
          </cell>
          <cell r="N6124">
            <v>0</v>
          </cell>
          <cell r="O6124">
            <v>0</v>
          </cell>
          <cell r="P6124">
            <v>0</v>
          </cell>
          <cell r="Q6124">
            <v>0</v>
          </cell>
          <cell r="R6124">
            <v>0</v>
          </cell>
          <cell r="S6124">
            <v>0</v>
          </cell>
          <cell r="T6124">
            <v>0</v>
          </cell>
          <cell r="U6124">
            <v>0</v>
          </cell>
          <cell r="V6124">
            <v>0</v>
          </cell>
          <cell r="W6124">
            <v>0</v>
          </cell>
          <cell r="X6124">
            <v>0</v>
          </cell>
          <cell r="Y6124">
            <v>0</v>
          </cell>
          <cell r="Z6124">
            <v>0</v>
          </cell>
        </row>
        <row r="6125">
          <cell r="D6125">
            <v>317447</v>
          </cell>
          <cell r="E6125" t="str">
            <v>KAUSWAGAN National High School</v>
          </cell>
          <cell r="F6125">
            <v>0</v>
          </cell>
          <cell r="G6125">
            <v>0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>
            <v>0</v>
          </cell>
          <cell r="M6125">
            <v>0</v>
          </cell>
          <cell r="N6125">
            <v>0</v>
          </cell>
          <cell r="O6125">
            <v>0</v>
          </cell>
          <cell r="P6125">
            <v>0</v>
          </cell>
          <cell r="Q6125">
            <v>0</v>
          </cell>
          <cell r="R6125">
            <v>0</v>
          </cell>
          <cell r="S6125">
            <v>0</v>
          </cell>
          <cell r="T6125">
            <v>0</v>
          </cell>
          <cell r="U6125">
            <v>0</v>
          </cell>
          <cell r="V6125">
            <v>0</v>
          </cell>
          <cell r="W6125">
            <v>0</v>
          </cell>
          <cell r="X6125">
            <v>0</v>
          </cell>
          <cell r="Y6125">
            <v>0</v>
          </cell>
          <cell r="Z6125">
            <v>0</v>
          </cell>
        </row>
        <row r="6126">
          <cell r="D6126">
            <v>317401</v>
          </cell>
          <cell r="E6126" t="str">
            <v>Panagangan NHS</v>
          </cell>
          <cell r="F6126">
            <v>0</v>
          </cell>
          <cell r="G6126">
            <v>0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>
            <v>0</v>
          </cell>
          <cell r="M6126">
            <v>0</v>
          </cell>
          <cell r="N6126">
            <v>0</v>
          </cell>
          <cell r="O6126">
            <v>0</v>
          </cell>
          <cell r="P6126">
            <v>0</v>
          </cell>
          <cell r="Q6126">
            <v>0</v>
          </cell>
          <cell r="R6126">
            <v>0</v>
          </cell>
          <cell r="S6126">
            <v>0</v>
          </cell>
          <cell r="T6126">
            <v>0</v>
          </cell>
          <cell r="U6126">
            <v>0</v>
          </cell>
          <cell r="V6126">
            <v>0</v>
          </cell>
          <cell r="W6126">
            <v>0</v>
          </cell>
          <cell r="X6126">
            <v>0</v>
          </cell>
          <cell r="Y6126">
            <v>0</v>
          </cell>
          <cell r="Z6126">
            <v>0</v>
          </cell>
        </row>
        <row r="6127">
          <cell r="D6127">
            <v>304736</v>
          </cell>
          <cell r="E6127" t="str">
            <v>San Luis NHS</v>
          </cell>
          <cell r="F6127">
            <v>0</v>
          </cell>
          <cell r="G6127">
            <v>0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>
            <v>0</v>
          </cell>
          <cell r="M6127">
            <v>0</v>
          </cell>
          <cell r="N6127">
            <v>0</v>
          </cell>
          <cell r="O6127">
            <v>0</v>
          </cell>
          <cell r="P6127">
            <v>0</v>
          </cell>
          <cell r="Q6127">
            <v>0</v>
          </cell>
          <cell r="R6127">
            <v>0</v>
          </cell>
          <cell r="S6127">
            <v>0</v>
          </cell>
          <cell r="T6127">
            <v>0</v>
          </cell>
          <cell r="U6127">
            <v>0</v>
          </cell>
          <cell r="V6127">
            <v>0</v>
          </cell>
          <cell r="W6127">
            <v>0</v>
          </cell>
          <cell r="X6127">
            <v>0</v>
          </cell>
          <cell r="Y6127">
            <v>0</v>
          </cell>
          <cell r="Z6127">
            <v>0</v>
          </cell>
        </row>
        <row r="6128">
          <cell r="D6128">
            <v>317421</v>
          </cell>
          <cell r="E6128" t="str">
            <v>Johnson Nhs</v>
          </cell>
          <cell r="F6128">
            <v>0</v>
          </cell>
          <cell r="G6128">
            <v>0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>
            <v>0</v>
          </cell>
          <cell r="M6128">
            <v>0</v>
          </cell>
          <cell r="N6128">
            <v>0</v>
          </cell>
          <cell r="O6128">
            <v>0</v>
          </cell>
          <cell r="P6128">
            <v>0</v>
          </cell>
          <cell r="Q6128">
            <v>0</v>
          </cell>
          <cell r="R6128">
            <v>0</v>
          </cell>
          <cell r="S6128">
            <v>0</v>
          </cell>
          <cell r="T6128">
            <v>0</v>
          </cell>
          <cell r="U6128">
            <v>0</v>
          </cell>
          <cell r="V6128">
            <v>0</v>
          </cell>
          <cell r="W6128">
            <v>0</v>
          </cell>
          <cell r="X6128">
            <v>0</v>
          </cell>
          <cell r="Y6128">
            <v>0</v>
          </cell>
          <cell r="Z6128">
            <v>0</v>
          </cell>
        </row>
        <row r="6129">
          <cell r="D6129">
            <v>317406</v>
          </cell>
          <cell r="E6129" t="str">
            <v>La Fortuna NHS</v>
          </cell>
          <cell r="F6129">
            <v>0</v>
          </cell>
          <cell r="G6129">
            <v>0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>
            <v>0</v>
          </cell>
          <cell r="M6129">
            <v>0</v>
          </cell>
          <cell r="N6129">
            <v>0</v>
          </cell>
          <cell r="O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>
            <v>0</v>
          </cell>
          <cell r="V6129">
            <v>0</v>
          </cell>
          <cell r="W6129">
            <v>0</v>
          </cell>
          <cell r="X6129">
            <v>0</v>
          </cell>
          <cell r="Y6129">
            <v>0</v>
          </cell>
          <cell r="Z6129">
            <v>0</v>
          </cell>
        </row>
        <row r="6130">
          <cell r="D6130">
            <v>317433</v>
          </cell>
          <cell r="E6130" t="str">
            <v>Buena Gracia National High School</v>
          </cell>
          <cell r="F6130">
            <v>0</v>
          </cell>
          <cell r="G6130">
            <v>0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>
            <v>0</v>
          </cell>
          <cell r="M6130">
            <v>0</v>
          </cell>
          <cell r="N6130">
            <v>0</v>
          </cell>
          <cell r="O6130">
            <v>0</v>
          </cell>
          <cell r="P6130">
            <v>0</v>
          </cell>
          <cell r="Q6130">
            <v>0</v>
          </cell>
          <cell r="R6130">
            <v>0</v>
          </cell>
          <cell r="S6130">
            <v>0</v>
          </cell>
          <cell r="T6130">
            <v>0</v>
          </cell>
          <cell r="U6130">
            <v>0</v>
          </cell>
          <cell r="V6130">
            <v>0</v>
          </cell>
          <cell r="W6130">
            <v>0</v>
          </cell>
          <cell r="X6130">
            <v>0</v>
          </cell>
          <cell r="Y6130">
            <v>0</v>
          </cell>
          <cell r="Z6130">
            <v>0</v>
          </cell>
        </row>
        <row r="6131">
          <cell r="D6131">
            <v>317438</v>
          </cell>
          <cell r="E6131" t="str">
            <v>SAN ROQUE NATIONAL HIGH SCHOOL</v>
          </cell>
          <cell r="F6131">
            <v>0</v>
          </cell>
          <cell r="G6131">
            <v>0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>
            <v>0</v>
          </cell>
          <cell r="M6131">
            <v>0</v>
          </cell>
          <cell r="N6131">
            <v>0</v>
          </cell>
          <cell r="O6131">
            <v>0</v>
          </cell>
          <cell r="P6131">
            <v>0</v>
          </cell>
          <cell r="Q6131">
            <v>0</v>
          </cell>
          <cell r="R6131">
            <v>0</v>
          </cell>
          <cell r="S6131">
            <v>0</v>
          </cell>
          <cell r="T6131">
            <v>0</v>
          </cell>
          <cell r="U6131">
            <v>0</v>
          </cell>
          <cell r="V6131">
            <v>0</v>
          </cell>
          <cell r="W6131">
            <v>0</v>
          </cell>
          <cell r="X6131">
            <v>0</v>
          </cell>
          <cell r="Y6131">
            <v>0</v>
          </cell>
          <cell r="Z6131">
            <v>0</v>
          </cell>
        </row>
        <row r="6132">
          <cell r="D6132">
            <v>304750</v>
          </cell>
          <cell r="E6132" t="str">
            <v>Sta. Josefa National High School</v>
          </cell>
          <cell r="F6132">
            <v>0</v>
          </cell>
          <cell r="G6132">
            <v>0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>
            <v>0</v>
          </cell>
          <cell r="M6132">
            <v>0</v>
          </cell>
          <cell r="N6132">
            <v>0</v>
          </cell>
          <cell r="O6132">
            <v>0</v>
          </cell>
          <cell r="P6132">
            <v>0</v>
          </cell>
          <cell r="Q6132">
            <v>0</v>
          </cell>
          <cell r="R6132">
            <v>0</v>
          </cell>
          <cell r="S6132">
            <v>0</v>
          </cell>
          <cell r="T6132">
            <v>0</v>
          </cell>
          <cell r="U6132">
            <v>0</v>
          </cell>
          <cell r="V6132">
            <v>0</v>
          </cell>
          <cell r="W6132">
            <v>0</v>
          </cell>
          <cell r="X6132">
            <v>0</v>
          </cell>
          <cell r="Y6132">
            <v>0</v>
          </cell>
          <cell r="Z6132">
            <v>0</v>
          </cell>
        </row>
        <row r="6133">
          <cell r="D6133">
            <v>304748</v>
          </cell>
          <cell r="E6133" t="str">
            <v>Marfil NHS</v>
          </cell>
          <cell r="F6133">
            <v>0</v>
          </cell>
          <cell r="G6133">
            <v>0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>
            <v>0</v>
          </cell>
          <cell r="M6133">
            <v>0</v>
          </cell>
          <cell r="N6133">
            <v>0</v>
          </cell>
          <cell r="O6133">
            <v>0</v>
          </cell>
          <cell r="P6133">
            <v>0</v>
          </cell>
          <cell r="Q6133">
            <v>0</v>
          </cell>
          <cell r="R6133">
            <v>0</v>
          </cell>
          <cell r="S6133">
            <v>0</v>
          </cell>
          <cell r="T6133">
            <v>0</v>
          </cell>
          <cell r="U6133">
            <v>0</v>
          </cell>
          <cell r="V6133">
            <v>0</v>
          </cell>
          <cell r="W6133">
            <v>0</v>
          </cell>
          <cell r="X6133">
            <v>0</v>
          </cell>
          <cell r="Y6133">
            <v>0</v>
          </cell>
          <cell r="Z6133">
            <v>0</v>
          </cell>
        </row>
        <row r="6134">
          <cell r="D6134">
            <v>304712</v>
          </cell>
          <cell r="E6134" t="str">
            <v>Esperanza National High School</v>
          </cell>
          <cell r="F6134">
            <v>0</v>
          </cell>
          <cell r="G6134">
            <v>0</v>
          </cell>
          <cell r="H6134">
            <v>0</v>
          </cell>
          <cell r="I6134">
            <v>12</v>
          </cell>
          <cell r="J6134">
            <v>6</v>
          </cell>
          <cell r="K6134">
            <v>18</v>
          </cell>
          <cell r="L6134">
            <v>0</v>
          </cell>
          <cell r="M6134">
            <v>0</v>
          </cell>
          <cell r="N6134">
            <v>0</v>
          </cell>
          <cell r="O6134">
            <v>12</v>
          </cell>
          <cell r="P6134">
            <v>6</v>
          </cell>
          <cell r="Q6134">
            <v>18</v>
          </cell>
          <cell r="R6134">
            <v>0</v>
          </cell>
          <cell r="S6134">
            <v>0</v>
          </cell>
          <cell r="T6134">
            <v>0</v>
          </cell>
          <cell r="U6134">
            <v>0</v>
          </cell>
          <cell r="V6134">
            <v>0</v>
          </cell>
          <cell r="W6134">
            <v>0</v>
          </cell>
          <cell r="X6134">
            <v>0</v>
          </cell>
          <cell r="Y6134">
            <v>0</v>
          </cell>
          <cell r="Z6134">
            <v>0</v>
          </cell>
        </row>
        <row r="6135">
          <cell r="D6135">
            <v>304749</v>
          </cell>
          <cell r="E6135" t="str">
            <v>Sta. Irene National High School</v>
          </cell>
          <cell r="F6135">
            <v>95</v>
          </cell>
          <cell r="G6135">
            <v>98</v>
          </cell>
          <cell r="H6135">
            <v>193</v>
          </cell>
          <cell r="I6135">
            <v>27</v>
          </cell>
          <cell r="J6135">
            <v>23</v>
          </cell>
          <cell r="K6135">
            <v>50</v>
          </cell>
          <cell r="L6135">
            <v>41</v>
          </cell>
          <cell r="M6135">
            <v>36</v>
          </cell>
          <cell r="N6135">
            <v>77</v>
          </cell>
          <cell r="O6135">
            <v>0</v>
          </cell>
          <cell r="P6135">
            <v>0</v>
          </cell>
          <cell r="Q6135">
            <v>0</v>
          </cell>
          <cell r="R6135">
            <v>0</v>
          </cell>
          <cell r="S6135">
            <v>0</v>
          </cell>
          <cell r="T6135">
            <v>0</v>
          </cell>
          <cell r="U6135">
            <v>12</v>
          </cell>
          <cell r="V6135">
            <v>9</v>
          </cell>
          <cell r="W6135">
            <v>21</v>
          </cell>
          <cell r="X6135">
            <v>3</v>
          </cell>
          <cell r="Y6135">
            <v>2</v>
          </cell>
          <cell r="Z6135">
            <v>5</v>
          </cell>
        </row>
        <row r="6136">
          <cell r="D6136">
            <v>304733</v>
          </cell>
          <cell r="E6136" t="str">
            <v>Sampaguita National High Schools</v>
          </cell>
          <cell r="F6136">
            <v>0</v>
          </cell>
          <cell r="G6136">
            <v>0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>
            <v>0</v>
          </cell>
          <cell r="M6136">
            <v>0</v>
          </cell>
          <cell r="N6136">
            <v>0</v>
          </cell>
          <cell r="O6136">
            <v>0</v>
          </cell>
          <cell r="P6136">
            <v>0</v>
          </cell>
          <cell r="Q6136">
            <v>0</v>
          </cell>
          <cell r="R6136">
            <v>0</v>
          </cell>
          <cell r="S6136">
            <v>0</v>
          </cell>
          <cell r="T6136">
            <v>0</v>
          </cell>
          <cell r="U6136">
            <v>0</v>
          </cell>
          <cell r="V6136">
            <v>0</v>
          </cell>
          <cell r="W6136">
            <v>0</v>
          </cell>
          <cell r="X6136">
            <v>0</v>
          </cell>
          <cell r="Y6136">
            <v>0</v>
          </cell>
          <cell r="Z6136">
            <v>0</v>
          </cell>
        </row>
        <row r="6137">
          <cell r="D6137">
            <v>317439</v>
          </cell>
          <cell r="E6137" t="str">
            <v>Sta. Fe Nhs</v>
          </cell>
          <cell r="F6137">
            <v>0</v>
          </cell>
          <cell r="G6137">
            <v>0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  <cell r="L6137">
            <v>0</v>
          </cell>
          <cell r="M6137">
            <v>0</v>
          </cell>
          <cell r="N6137">
            <v>0</v>
          </cell>
          <cell r="O6137">
            <v>0</v>
          </cell>
          <cell r="P6137">
            <v>0</v>
          </cell>
          <cell r="Q6137">
            <v>0</v>
          </cell>
          <cell r="R6137">
            <v>0</v>
          </cell>
          <cell r="S6137">
            <v>0</v>
          </cell>
          <cell r="T6137">
            <v>0</v>
          </cell>
          <cell r="U6137">
            <v>0</v>
          </cell>
          <cell r="V6137">
            <v>0</v>
          </cell>
          <cell r="W6137">
            <v>0</v>
          </cell>
          <cell r="X6137">
            <v>0</v>
          </cell>
          <cell r="Y6137">
            <v>0</v>
          </cell>
          <cell r="Z6137">
            <v>0</v>
          </cell>
        </row>
        <row r="6138">
          <cell r="D6138">
            <v>304752</v>
          </cell>
          <cell r="E6138" t="str">
            <v>Talacogon NHS</v>
          </cell>
          <cell r="F6138">
            <v>177</v>
          </cell>
          <cell r="G6138">
            <v>142</v>
          </cell>
          <cell r="H6138">
            <v>319</v>
          </cell>
          <cell r="I6138">
            <v>0</v>
          </cell>
          <cell r="J6138">
            <v>0</v>
          </cell>
          <cell r="K6138">
            <v>0</v>
          </cell>
          <cell r="L6138">
            <v>0</v>
          </cell>
          <cell r="M6138">
            <v>0</v>
          </cell>
          <cell r="N6138">
            <v>0</v>
          </cell>
          <cell r="O6138">
            <v>0</v>
          </cell>
          <cell r="P6138">
            <v>0</v>
          </cell>
          <cell r="Q6138">
            <v>0</v>
          </cell>
          <cell r="R6138">
            <v>0</v>
          </cell>
          <cell r="S6138">
            <v>0</v>
          </cell>
          <cell r="T6138">
            <v>0</v>
          </cell>
          <cell r="U6138">
            <v>0</v>
          </cell>
          <cell r="V6138">
            <v>0</v>
          </cell>
          <cell r="W6138">
            <v>0</v>
          </cell>
          <cell r="X6138">
            <v>0</v>
          </cell>
          <cell r="Y6138">
            <v>0</v>
          </cell>
          <cell r="Z6138">
            <v>0</v>
          </cell>
        </row>
        <row r="6139">
          <cell r="D6139">
            <v>304713</v>
          </cell>
          <cell r="E6139" t="str">
            <v>Guadalupe NHS</v>
          </cell>
          <cell r="F6139">
            <v>0</v>
          </cell>
          <cell r="G6139">
            <v>0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>
            <v>0</v>
          </cell>
          <cell r="M6139">
            <v>0</v>
          </cell>
          <cell r="N6139">
            <v>0</v>
          </cell>
          <cell r="O6139">
            <v>0</v>
          </cell>
          <cell r="P6139">
            <v>0</v>
          </cell>
          <cell r="Q6139">
            <v>0</v>
          </cell>
          <cell r="R6139">
            <v>0</v>
          </cell>
          <cell r="S6139">
            <v>0</v>
          </cell>
          <cell r="T6139">
            <v>0</v>
          </cell>
          <cell r="U6139">
            <v>0</v>
          </cell>
          <cell r="V6139">
            <v>0</v>
          </cell>
          <cell r="W6139">
            <v>0</v>
          </cell>
          <cell r="X6139">
            <v>0</v>
          </cell>
          <cell r="Y6139">
            <v>0</v>
          </cell>
          <cell r="Z6139">
            <v>0</v>
          </cell>
        </row>
        <row r="6140">
          <cell r="D6140">
            <v>304734</v>
          </cell>
          <cell r="E6140" t="str">
            <v>San Isidro NHS</v>
          </cell>
          <cell r="F6140">
            <v>65</v>
          </cell>
          <cell r="G6140">
            <v>32</v>
          </cell>
          <cell r="H6140">
            <v>97</v>
          </cell>
          <cell r="I6140">
            <v>6</v>
          </cell>
          <cell r="J6140">
            <v>3</v>
          </cell>
          <cell r="K6140">
            <v>9</v>
          </cell>
          <cell r="L6140">
            <v>0</v>
          </cell>
          <cell r="M6140">
            <v>0</v>
          </cell>
          <cell r="N6140">
            <v>0</v>
          </cell>
          <cell r="O6140">
            <v>0</v>
          </cell>
          <cell r="P6140">
            <v>0</v>
          </cell>
          <cell r="Q6140">
            <v>0</v>
          </cell>
          <cell r="R6140">
            <v>0</v>
          </cell>
          <cell r="S6140">
            <v>0</v>
          </cell>
          <cell r="T6140">
            <v>0</v>
          </cell>
          <cell r="U6140">
            <v>0</v>
          </cell>
          <cell r="V6140">
            <v>0</v>
          </cell>
          <cell r="W6140">
            <v>0</v>
          </cell>
          <cell r="X6140">
            <v>0</v>
          </cell>
          <cell r="Y6140">
            <v>0</v>
          </cell>
          <cell r="Z6140">
            <v>0</v>
          </cell>
        </row>
        <row r="6141">
          <cell r="D6141">
            <v>317446</v>
          </cell>
          <cell r="E6141" t="str">
            <v>San Vicente National High School</v>
          </cell>
          <cell r="F6141">
            <v>0</v>
          </cell>
          <cell r="G6141">
            <v>0</v>
          </cell>
          <cell r="H6141">
            <v>0</v>
          </cell>
          <cell r="I6141">
            <v>5</v>
          </cell>
          <cell r="J6141">
            <v>5</v>
          </cell>
          <cell r="K6141">
            <v>10</v>
          </cell>
          <cell r="L6141">
            <v>5</v>
          </cell>
          <cell r="M6141">
            <v>5</v>
          </cell>
          <cell r="N6141">
            <v>10</v>
          </cell>
          <cell r="O6141">
            <v>0</v>
          </cell>
          <cell r="P6141">
            <v>0</v>
          </cell>
          <cell r="Q6141">
            <v>0</v>
          </cell>
          <cell r="R6141">
            <v>0</v>
          </cell>
          <cell r="S6141">
            <v>0</v>
          </cell>
          <cell r="T6141">
            <v>0</v>
          </cell>
          <cell r="U6141">
            <v>17</v>
          </cell>
          <cell r="V6141">
            <v>13</v>
          </cell>
          <cell r="W6141">
            <v>30</v>
          </cell>
          <cell r="X6141">
            <v>0</v>
          </cell>
          <cell r="Y6141">
            <v>0</v>
          </cell>
          <cell r="Z6141">
            <v>0</v>
          </cell>
        </row>
        <row r="6142">
          <cell r="D6142">
            <v>317430</v>
          </cell>
          <cell r="E6142" t="str">
            <v>San Jose NHS</v>
          </cell>
          <cell r="F6142">
            <v>0</v>
          </cell>
          <cell r="G6142">
            <v>0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  <cell r="L6142">
            <v>0</v>
          </cell>
          <cell r="M6142">
            <v>0</v>
          </cell>
          <cell r="N6142">
            <v>0</v>
          </cell>
          <cell r="O6142">
            <v>0</v>
          </cell>
          <cell r="P6142">
            <v>0</v>
          </cell>
          <cell r="Q6142">
            <v>0</v>
          </cell>
          <cell r="R6142">
            <v>0</v>
          </cell>
          <cell r="S6142">
            <v>0</v>
          </cell>
          <cell r="T6142">
            <v>0</v>
          </cell>
          <cell r="U6142">
            <v>0</v>
          </cell>
          <cell r="V6142">
            <v>0</v>
          </cell>
          <cell r="W6142">
            <v>0</v>
          </cell>
          <cell r="X6142">
            <v>0</v>
          </cell>
          <cell r="Y6142">
            <v>0</v>
          </cell>
          <cell r="Z6142">
            <v>0</v>
          </cell>
        </row>
        <row r="6143">
          <cell r="D6143">
            <v>317413</v>
          </cell>
          <cell r="E6143" t="str">
            <v>Aurora National High School-Sta. Josefa</v>
          </cell>
          <cell r="F6143">
            <v>18</v>
          </cell>
          <cell r="G6143">
            <v>18</v>
          </cell>
          <cell r="H6143">
            <v>36</v>
          </cell>
          <cell r="I6143">
            <v>2</v>
          </cell>
          <cell r="J6143">
            <v>3</v>
          </cell>
          <cell r="K6143">
            <v>5</v>
          </cell>
          <cell r="L6143">
            <v>3</v>
          </cell>
          <cell r="M6143">
            <v>2</v>
          </cell>
          <cell r="N6143">
            <v>5</v>
          </cell>
          <cell r="O6143">
            <v>1</v>
          </cell>
          <cell r="P6143">
            <v>1</v>
          </cell>
          <cell r="Q6143">
            <v>2</v>
          </cell>
          <cell r="R6143">
            <v>2</v>
          </cell>
          <cell r="S6143">
            <v>1</v>
          </cell>
          <cell r="T6143">
            <v>3</v>
          </cell>
          <cell r="U6143">
            <v>2</v>
          </cell>
          <cell r="V6143">
            <v>1</v>
          </cell>
          <cell r="W6143">
            <v>3</v>
          </cell>
          <cell r="X6143">
            <v>1</v>
          </cell>
          <cell r="Y6143">
            <v>1</v>
          </cell>
          <cell r="Z6143">
            <v>2</v>
          </cell>
        </row>
        <row r="6144">
          <cell r="D6144">
            <v>317419</v>
          </cell>
          <cell r="E6144" t="str">
            <v>Sayon Nhs</v>
          </cell>
          <cell r="F6144">
            <v>54</v>
          </cell>
          <cell r="G6144">
            <v>37</v>
          </cell>
          <cell r="H6144">
            <v>91</v>
          </cell>
          <cell r="I6144">
            <v>8</v>
          </cell>
          <cell r="J6144">
            <v>7</v>
          </cell>
          <cell r="K6144">
            <v>15</v>
          </cell>
          <cell r="L6144">
            <v>7</v>
          </cell>
          <cell r="M6144">
            <v>7</v>
          </cell>
          <cell r="N6144">
            <v>14</v>
          </cell>
          <cell r="O6144">
            <v>5</v>
          </cell>
          <cell r="P6144">
            <v>6</v>
          </cell>
          <cell r="Q6144">
            <v>11</v>
          </cell>
          <cell r="R6144">
            <v>4</v>
          </cell>
          <cell r="S6144">
            <v>5</v>
          </cell>
          <cell r="T6144">
            <v>9</v>
          </cell>
          <cell r="U6144">
            <v>5</v>
          </cell>
          <cell r="V6144">
            <v>6</v>
          </cell>
          <cell r="W6144">
            <v>11</v>
          </cell>
          <cell r="X6144">
            <v>5</v>
          </cell>
          <cell r="Y6144">
            <v>4</v>
          </cell>
          <cell r="Z6144">
            <v>9</v>
          </cell>
        </row>
        <row r="6145">
          <cell r="D6145">
            <v>304753</v>
          </cell>
          <cell r="E6145" t="str">
            <v>Trento NHS</v>
          </cell>
          <cell r="F6145">
            <v>0</v>
          </cell>
          <cell r="G6145">
            <v>0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>
            <v>0</v>
          </cell>
          <cell r="M6145">
            <v>0</v>
          </cell>
          <cell r="N6145">
            <v>0</v>
          </cell>
          <cell r="O6145">
            <v>0</v>
          </cell>
          <cell r="P6145">
            <v>0</v>
          </cell>
          <cell r="Q6145">
            <v>0</v>
          </cell>
          <cell r="R6145">
            <v>0</v>
          </cell>
          <cell r="S6145">
            <v>0</v>
          </cell>
          <cell r="T6145">
            <v>0</v>
          </cell>
          <cell r="U6145">
            <v>0</v>
          </cell>
          <cell r="V6145">
            <v>0</v>
          </cell>
          <cell r="W6145">
            <v>0</v>
          </cell>
          <cell r="X6145">
            <v>0</v>
          </cell>
          <cell r="Y6145">
            <v>0</v>
          </cell>
          <cell r="Z6145">
            <v>0</v>
          </cell>
        </row>
        <row r="6146">
          <cell r="D6146">
            <v>304760</v>
          </cell>
          <cell r="E6146" t="str">
            <v>Bilay NHS</v>
          </cell>
          <cell r="F6146">
            <v>0</v>
          </cell>
          <cell r="G6146">
            <v>0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  <cell r="N6146">
            <v>0</v>
          </cell>
          <cell r="O6146">
            <v>0</v>
          </cell>
          <cell r="P6146">
            <v>0</v>
          </cell>
          <cell r="Q6146">
            <v>0</v>
          </cell>
          <cell r="R6146">
            <v>0</v>
          </cell>
          <cell r="S6146">
            <v>0</v>
          </cell>
          <cell r="T6146">
            <v>0</v>
          </cell>
          <cell r="U6146">
            <v>0</v>
          </cell>
          <cell r="V6146">
            <v>0</v>
          </cell>
          <cell r="W6146">
            <v>0</v>
          </cell>
          <cell r="X6146">
            <v>0</v>
          </cell>
          <cell r="Y6146">
            <v>0</v>
          </cell>
          <cell r="Z6146">
            <v>0</v>
          </cell>
        </row>
        <row r="6147">
          <cell r="D6147">
            <v>304764</v>
          </cell>
          <cell r="E6147" t="str">
            <v>Los Angeles National High School</v>
          </cell>
          <cell r="F6147">
            <v>0</v>
          </cell>
          <cell r="G6147">
            <v>0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>
            <v>0</v>
          </cell>
          <cell r="M6147">
            <v>0</v>
          </cell>
          <cell r="N6147">
            <v>0</v>
          </cell>
          <cell r="O6147">
            <v>0</v>
          </cell>
          <cell r="P6147">
            <v>0</v>
          </cell>
          <cell r="Q6147">
            <v>0</v>
          </cell>
          <cell r="R6147">
            <v>0</v>
          </cell>
          <cell r="S6147">
            <v>0</v>
          </cell>
          <cell r="T6147">
            <v>0</v>
          </cell>
          <cell r="U6147">
            <v>0</v>
          </cell>
          <cell r="V6147">
            <v>0</v>
          </cell>
          <cell r="W6147">
            <v>0</v>
          </cell>
          <cell r="X6147">
            <v>0</v>
          </cell>
          <cell r="Y6147">
            <v>0</v>
          </cell>
          <cell r="Z6147">
            <v>0</v>
          </cell>
        </row>
        <row r="6148">
          <cell r="D6148">
            <v>317504</v>
          </cell>
          <cell r="E6148" t="str">
            <v>Mahay Integrated Secondary School</v>
          </cell>
          <cell r="F6148">
            <v>0</v>
          </cell>
          <cell r="G6148">
            <v>0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0</v>
          </cell>
          <cell r="M6148">
            <v>0</v>
          </cell>
          <cell r="N6148">
            <v>0</v>
          </cell>
          <cell r="O6148">
            <v>0</v>
          </cell>
          <cell r="P6148">
            <v>0</v>
          </cell>
          <cell r="Q6148">
            <v>0</v>
          </cell>
          <cell r="R6148">
            <v>0</v>
          </cell>
          <cell r="S6148">
            <v>0</v>
          </cell>
          <cell r="T6148">
            <v>0</v>
          </cell>
          <cell r="U6148">
            <v>0</v>
          </cell>
          <cell r="V6148">
            <v>0</v>
          </cell>
          <cell r="W6148">
            <v>0</v>
          </cell>
          <cell r="X6148">
            <v>0</v>
          </cell>
          <cell r="Y6148">
            <v>0</v>
          </cell>
          <cell r="Z6148">
            <v>0</v>
          </cell>
        </row>
        <row r="6149">
          <cell r="D6149">
            <v>304772</v>
          </cell>
          <cell r="E6149" t="str">
            <v>Tungao NHS</v>
          </cell>
          <cell r="F6149">
            <v>0</v>
          </cell>
          <cell r="G6149">
            <v>0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>
            <v>0</v>
          </cell>
          <cell r="M6149">
            <v>0</v>
          </cell>
          <cell r="N6149">
            <v>0</v>
          </cell>
          <cell r="O6149">
            <v>0</v>
          </cell>
          <cell r="P6149">
            <v>0</v>
          </cell>
          <cell r="Q6149">
            <v>0</v>
          </cell>
          <cell r="R6149">
            <v>0</v>
          </cell>
          <cell r="S6149">
            <v>0</v>
          </cell>
          <cell r="T6149">
            <v>0</v>
          </cell>
          <cell r="U6149">
            <v>0</v>
          </cell>
          <cell r="V6149">
            <v>0</v>
          </cell>
          <cell r="W6149">
            <v>0</v>
          </cell>
          <cell r="X6149">
            <v>0</v>
          </cell>
          <cell r="Y6149">
            <v>0</v>
          </cell>
          <cell r="Z6149">
            <v>0</v>
          </cell>
        </row>
        <row r="6150">
          <cell r="D6150">
            <v>304756</v>
          </cell>
          <cell r="E6150" t="str">
            <v>Agusan National High School</v>
          </cell>
          <cell r="F6150">
            <v>0</v>
          </cell>
          <cell r="G6150">
            <v>0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0</v>
          </cell>
          <cell r="M6150">
            <v>0</v>
          </cell>
          <cell r="N6150">
            <v>0</v>
          </cell>
          <cell r="O6150">
            <v>0</v>
          </cell>
          <cell r="P6150">
            <v>0</v>
          </cell>
          <cell r="Q6150">
            <v>0</v>
          </cell>
          <cell r="R6150">
            <v>0</v>
          </cell>
          <cell r="S6150">
            <v>0</v>
          </cell>
          <cell r="T6150">
            <v>0</v>
          </cell>
          <cell r="U6150">
            <v>0</v>
          </cell>
          <cell r="V6150">
            <v>0</v>
          </cell>
          <cell r="W6150">
            <v>0</v>
          </cell>
          <cell r="X6150">
            <v>0</v>
          </cell>
          <cell r="Y6150">
            <v>0</v>
          </cell>
          <cell r="Z6150">
            <v>0</v>
          </cell>
        </row>
        <row r="6151">
          <cell r="D6151">
            <v>500316</v>
          </cell>
          <cell r="E6151" t="str">
            <v>Cabcabon NHS</v>
          </cell>
          <cell r="F6151">
            <v>0</v>
          </cell>
          <cell r="G6151">
            <v>0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0</v>
          </cell>
          <cell r="M6151">
            <v>0</v>
          </cell>
          <cell r="N6151">
            <v>0</v>
          </cell>
          <cell r="O6151">
            <v>0</v>
          </cell>
          <cell r="P6151">
            <v>0</v>
          </cell>
          <cell r="Q6151">
            <v>0</v>
          </cell>
          <cell r="R6151">
            <v>0</v>
          </cell>
          <cell r="S6151">
            <v>0</v>
          </cell>
          <cell r="T6151">
            <v>0</v>
          </cell>
          <cell r="U6151">
            <v>0</v>
          </cell>
          <cell r="V6151">
            <v>0</v>
          </cell>
          <cell r="W6151">
            <v>0</v>
          </cell>
          <cell r="X6151">
            <v>0</v>
          </cell>
          <cell r="Y6151">
            <v>0</v>
          </cell>
          <cell r="Z6151">
            <v>0</v>
          </cell>
        </row>
        <row r="6152">
          <cell r="D6152">
            <v>317520</v>
          </cell>
          <cell r="E6152" t="str">
            <v>Pedro D. Duncano National HS</v>
          </cell>
          <cell r="F6152">
            <v>0</v>
          </cell>
          <cell r="G6152">
            <v>0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0</v>
          </cell>
          <cell r="M6152">
            <v>0</v>
          </cell>
          <cell r="N6152">
            <v>0</v>
          </cell>
          <cell r="O6152">
            <v>0</v>
          </cell>
          <cell r="P6152">
            <v>0</v>
          </cell>
          <cell r="Q6152">
            <v>0</v>
          </cell>
          <cell r="R6152">
            <v>0</v>
          </cell>
          <cell r="S6152">
            <v>0</v>
          </cell>
          <cell r="T6152">
            <v>0</v>
          </cell>
          <cell r="U6152">
            <v>0</v>
          </cell>
          <cell r="V6152">
            <v>0</v>
          </cell>
          <cell r="W6152">
            <v>0</v>
          </cell>
          <cell r="X6152">
            <v>0</v>
          </cell>
          <cell r="Y6152">
            <v>0</v>
          </cell>
          <cell r="Z6152">
            <v>0</v>
          </cell>
        </row>
        <row r="6153">
          <cell r="D6153">
            <v>304758</v>
          </cell>
          <cell r="E6153" t="str">
            <v>Amparo NHS</v>
          </cell>
          <cell r="F6153">
            <v>0</v>
          </cell>
          <cell r="G6153">
            <v>0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0</v>
          </cell>
          <cell r="M6153">
            <v>0</v>
          </cell>
          <cell r="N6153">
            <v>0</v>
          </cell>
          <cell r="O6153">
            <v>0</v>
          </cell>
          <cell r="P6153">
            <v>0</v>
          </cell>
          <cell r="Q6153">
            <v>0</v>
          </cell>
          <cell r="R6153">
            <v>0</v>
          </cell>
          <cell r="S6153">
            <v>0</v>
          </cell>
          <cell r="T6153">
            <v>0</v>
          </cell>
          <cell r="U6153">
            <v>0</v>
          </cell>
          <cell r="V6153">
            <v>0</v>
          </cell>
          <cell r="W6153">
            <v>0</v>
          </cell>
          <cell r="X6153">
            <v>0</v>
          </cell>
          <cell r="Y6153">
            <v>0</v>
          </cell>
          <cell r="Z6153">
            <v>0</v>
          </cell>
        </row>
        <row r="6154">
          <cell r="D6154">
            <v>500317</v>
          </cell>
          <cell r="E6154" t="str">
            <v>La Soledad NHS</v>
          </cell>
          <cell r="F6154">
            <v>0</v>
          </cell>
          <cell r="G6154">
            <v>0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0</v>
          </cell>
          <cell r="M6154">
            <v>0</v>
          </cell>
          <cell r="N6154">
            <v>0</v>
          </cell>
          <cell r="O6154">
            <v>0</v>
          </cell>
          <cell r="P6154">
            <v>0</v>
          </cell>
          <cell r="Q6154">
            <v>0</v>
          </cell>
          <cell r="R6154">
            <v>0</v>
          </cell>
          <cell r="S6154">
            <v>0</v>
          </cell>
          <cell r="T6154">
            <v>0</v>
          </cell>
          <cell r="U6154">
            <v>0</v>
          </cell>
          <cell r="V6154">
            <v>0</v>
          </cell>
          <cell r="W6154">
            <v>0</v>
          </cell>
          <cell r="X6154">
            <v>0</v>
          </cell>
          <cell r="Y6154">
            <v>0</v>
          </cell>
          <cell r="Z6154">
            <v>0</v>
          </cell>
        </row>
        <row r="6155">
          <cell r="D6155">
            <v>317517</v>
          </cell>
          <cell r="E6155" t="str">
            <v>Alviola ISS</v>
          </cell>
          <cell r="F6155">
            <v>0</v>
          </cell>
          <cell r="G6155">
            <v>0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0</v>
          </cell>
          <cell r="M6155">
            <v>0</v>
          </cell>
          <cell r="N6155">
            <v>0</v>
          </cell>
          <cell r="O6155">
            <v>0</v>
          </cell>
          <cell r="P6155">
            <v>0</v>
          </cell>
          <cell r="Q6155">
            <v>0</v>
          </cell>
          <cell r="R6155">
            <v>0</v>
          </cell>
          <cell r="S6155">
            <v>0</v>
          </cell>
          <cell r="T6155">
            <v>0</v>
          </cell>
          <cell r="U6155">
            <v>0</v>
          </cell>
          <cell r="V6155">
            <v>0</v>
          </cell>
          <cell r="W6155">
            <v>0</v>
          </cell>
          <cell r="X6155">
            <v>0</v>
          </cell>
          <cell r="Y6155">
            <v>0</v>
          </cell>
          <cell r="Z6155">
            <v>0</v>
          </cell>
        </row>
        <row r="6156">
          <cell r="D6156">
            <v>340337</v>
          </cell>
          <cell r="E6156" t="str">
            <v>Butuan City Senior High School Stand Alone</v>
          </cell>
          <cell r="F6156">
            <v>0</v>
          </cell>
          <cell r="G6156">
            <v>0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0</v>
          </cell>
          <cell r="M6156">
            <v>0</v>
          </cell>
          <cell r="N6156">
            <v>0</v>
          </cell>
          <cell r="O6156">
            <v>0</v>
          </cell>
          <cell r="P6156">
            <v>0</v>
          </cell>
          <cell r="Q6156">
            <v>0</v>
          </cell>
          <cell r="R6156">
            <v>0</v>
          </cell>
          <cell r="S6156">
            <v>0</v>
          </cell>
          <cell r="T6156">
            <v>0</v>
          </cell>
          <cell r="U6156">
            <v>0</v>
          </cell>
          <cell r="V6156">
            <v>0</v>
          </cell>
          <cell r="W6156">
            <v>0</v>
          </cell>
          <cell r="X6156">
            <v>0</v>
          </cell>
          <cell r="Y6156">
            <v>0</v>
          </cell>
          <cell r="Z6156">
            <v>0</v>
          </cell>
        </row>
        <row r="6157">
          <cell r="D6157">
            <v>317502</v>
          </cell>
          <cell r="E6157" t="str">
            <v>Aupagan National High School</v>
          </cell>
          <cell r="F6157">
            <v>0</v>
          </cell>
          <cell r="G6157">
            <v>0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0</v>
          </cell>
          <cell r="M6157">
            <v>0</v>
          </cell>
          <cell r="N6157">
            <v>0</v>
          </cell>
          <cell r="O6157">
            <v>0</v>
          </cell>
          <cell r="P6157">
            <v>0</v>
          </cell>
          <cell r="Q6157">
            <v>0</v>
          </cell>
          <cell r="R6157">
            <v>0</v>
          </cell>
          <cell r="S6157">
            <v>0</v>
          </cell>
          <cell r="T6157">
            <v>0</v>
          </cell>
          <cell r="U6157">
            <v>0</v>
          </cell>
          <cell r="V6157">
            <v>0</v>
          </cell>
          <cell r="W6157">
            <v>0</v>
          </cell>
          <cell r="X6157">
            <v>0</v>
          </cell>
          <cell r="Y6157">
            <v>0</v>
          </cell>
          <cell r="Z6157">
            <v>0</v>
          </cell>
        </row>
        <row r="6158">
          <cell r="D6158">
            <v>304766</v>
          </cell>
          <cell r="E6158" t="str">
            <v>Lumbocan NHS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  <cell r="N6158">
            <v>0</v>
          </cell>
          <cell r="O6158">
            <v>0</v>
          </cell>
          <cell r="P6158">
            <v>0</v>
          </cell>
          <cell r="Q6158">
            <v>0</v>
          </cell>
          <cell r="R6158">
            <v>0</v>
          </cell>
          <cell r="S6158">
            <v>0</v>
          </cell>
          <cell r="T6158">
            <v>0</v>
          </cell>
          <cell r="U6158">
            <v>0</v>
          </cell>
          <cell r="V6158">
            <v>0</v>
          </cell>
          <cell r="W6158">
            <v>0</v>
          </cell>
          <cell r="X6158">
            <v>0</v>
          </cell>
          <cell r="Y6158">
            <v>0</v>
          </cell>
          <cell r="Z6158">
            <v>0</v>
          </cell>
        </row>
        <row r="6159">
          <cell r="D6159">
            <v>500984</v>
          </cell>
          <cell r="E6159" t="str">
            <v>Basag National High School</v>
          </cell>
          <cell r="F6159">
            <v>0</v>
          </cell>
          <cell r="G6159">
            <v>0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0</v>
          </cell>
          <cell r="M6159">
            <v>0</v>
          </cell>
          <cell r="N6159">
            <v>0</v>
          </cell>
          <cell r="O6159">
            <v>0</v>
          </cell>
          <cell r="P6159">
            <v>0</v>
          </cell>
          <cell r="Q6159">
            <v>0</v>
          </cell>
          <cell r="R6159">
            <v>0</v>
          </cell>
          <cell r="S6159">
            <v>0</v>
          </cell>
          <cell r="T6159">
            <v>0</v>
          </cell>
          <cell r="U6159">
            <v>0</v>
          </cell>
          <cell r="V6159">
            <v>0</v>
          </cell>
          <cell r="W6159">
            <v>0</v>
          </cell>
          <cell r="X6159">
            <v>0</v>
          </cell>
          <cell r="Y6159">
            <v>0</v>
          </cell>
          <cell r="Z6159">
            <v>0</v>
          </cell>
        </row>
        <row r="6160">
          <cell r="D6160">
            <v>317518</v>
          </cell>
          <cell r="E6160" t="str">
            <v>Bugsukan ISS</v>
          </cell>
          <cell r="F6160">
            <v>0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0</v>
          </cell>
          <cell r="M6160">
            <v>0</v>
          </cell>
          <cell r="N6160">
            <v>0</v>
          </cell>
          <cell r="O6160">
            <v>0</v>
          </cell>
          <cell r="P6160">
            <v>0</v>
          </cell>
          <cell r="Q6160">
            <v>0</v>
          </cell>
          <cell r="R6160">
            <v>0</v>
          </cell>
          <cell r="S6160">
            <v>0</v>
          </cell>
          <cell r="T6160">
            <v>0</v>
          </cell>
          <cell r="U6160">
            <v>0</v>
          </cell>
          <cell r="V6160">
            <v>0</v>
          </cell>
          <cell r="W6160">
            <v>0</v>
          </cell>
          <cell r="X6160">
            <v>0</v>
          </cell>
          <cell r="Y6160">
            <v>0</v>
          </cell>
          <cell r="Z6160">
            <v>0</v>
          </cell>
        </row>
        <row r="6161">
          <cell r="D6161">
            <v>304770</v>
          </cell>
          <cell r="E6161" t="str">
            <v>Sumile National High School</v>
          </cell>
          <cell r="F6161">
            <v>0</v>
          </cell>
          <cell r="G6161">
            <v>0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0</v>
          </cell>
          <cell r="M6161">
            <v>0</v>
          </cell>
          <cell r="N6161">
            <v>0</v>
          </cell>
          <cell r="O6161">
            <v>0</v>
          </cell>
          <cell r="P6161">
            <v>0</v>
          </cell>
          <cell r="Q6161">
            <v>0</v>
          </cell>
          <cell r="R6161">
            <v>0</v>
          </cell>
          <cell r="S6161">
            <v>0</v>
          </cell>
          <cell r="T6161">
            <v>0</v>
          </cell>
          <cell r="U6161">
            <v>0</v>
          </cell>
          <cell r="V6161">
            <v>0</v>
          </cell>
          <cell r="W6161">
            <v>0</v>
          </cell>
          <cell r="X6161">
            <v>0</v>
          </cell>
          <cell r="Y6161">
            <v>0</v>
          </cell>
          <cell r="Z6161">
            <v>0</v>
          </cell>
        </row>
        <row r="6162">
          <cell r="D6162">
            <v>317508</v>
          </cell>
          <cell r="E6162" t="str">
            <v>Pinamanculan National High School</v>
          </cell>
          <cell r="F6162">
            <v>0</v>
          </cell>
          <cell r="G6162">
            <v>0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0</v>
          </cell>
          <cell r="M6162">
            <v>0</v>
          </cell>
          <cell r="N6162">
            <v>0</v>
          </cell>
          <cell r="O6162">
            <v>0</v>
          </cell>
          <cell r="P6162">
            <v>0</v>
          </cell>
          <cell r="Q6162">
            <v>0</v>
          </cell>
          <cell r="R6162">
            <v>0</v>
          </cell>
          <cell r="S6162">
            <v>0</v>
          </cell>
          <cell r="T6162">
            <v>0</v>
          </cell>
          <cell r="U6162">
            <v>0</v>
          </cell>
          <cell r="V6162">
            <v>0</v>
          </cell>
          <cell r="W6162">
            <v>0</v>
          </cell>
          <cell r="X6162">
            <v>0</v>
          </cell>
          <cell r="Y6162">
            <v>0</v>
          </cell>
          <cell r="Z6162">
            <v>0</v>
          </cell>
        </row>
        <row r="6163">
          <cell r="D6163">
            <v>500319</v>
          </cell>
          <cell r="E6163" t="str">
            <v>Manila de Bugabos National High School</v>
          </cell>
          <cell r="F6163">
            <v>0</v>
          </cell>
          <cell r="G6163">
            <v>0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0</v>
          </cell>
          <cell r="P6163">
            <v>0</v>
          </cell>
          <cell r="Q6163">
            <v>0</v>
          </cell>
          <cell r="R6163">
            <v>0</v>
          </cell>
          <cell r="S6163">
            <v>0</v>
          </cell>
          <cell r="T6163">
            <v>0</v>
          </cell>
          <cell r="U6163">
            <v>0</v>
          </cell>
          <cell r="V6163">
            <v>0</v>
          </cell>
          <cell r="W6163">
            <v>0</v>
          </cell>
          <cell r="X6163">
            <v>0</v>
          </cell>
          <cell r="Y6163">
            <v>0</v>
          </cell>
          <cell r="Z6163">
            <v>0</v>
          </cell>
        </row>
        <row r="6164">
          <cell r="D6164">
            <v>304769</v>
          </cell>
          <cell r="E6164" t="str">
            <v>San Vicente National High School</v>
          </cell>
          <cell r="F6164">
            <v>0</v>
          </cell>
          <cell r="G6164">
            <v>0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  <cell r="O6164">
            <v>0</v>
          </cell>
          <cell r="P6164">
            <v>0</v>
          </cell>
          <cell r="Q6164">
            <v>0</v>
          </cell>
          <cell r="R6164">
            <v>0</v>
          </cell>
          <cell r="S6164">
            <v>0</v>
          </cell>
          <cell r="T6164">
            <v>0</v>
          </cell>
          <cell r="U6164">
            <v>0</v>
          </cell>
          <cell r="V6164">
            <v>0</v>
          </cell>
          <cell r="W6164">
            <v>0</v>
          </cell>
          <cell r="X6164">
            <v>0</v>
          </cell>
          <cell r="Y6164">
            <v>0</v>
          </cell>
          <cell r="Z6164">
            <v>0</v>
          </cell>
        </row>
        <row r="6165">
          <cell r="D6165">
            <v>317511</v>
          </cell>
          <cell r="E6165" t="str">
            <v>Ampayon National High School</v>
          </cell>
          <cell r="F6165">
            <v>0</v>
          </cell>
          <cell r="G6165">
            <v>0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>
            <v>0</v>
          </cell>
          <cell r="M6165">
            <v>0</v>
          </cell>
          <cell r="N6165">
            <v>0</v>
          </cell>
          <cell r="O6165">
            <v>0</v>
          </cell>
          <cell r="P6165">
            <v>0</v>
          </cell>
          <cell r="Q6165">
            <v>0</v>
          </cell>
          <cell r="R6165">
            <v>0</v>
          </cell>
          <cell r="S6165">
            <v>0</v>
          </cell>
          <cell r="T6165">
            <v>0</v>
          </cell>
          <cell r="U6165">
            <v>0</v>
          </cell>
          <cell r="V6165">
            <v>0</v>
          </cell>
          <cell r="W6165">
            <v>0</v>
          </cell>
          <cell r="X6165">
            <v>0</v>
          </cell>
          <cell r="Y6165">
            <v>0</v>
          </cell>
          <cell r="Z6165">
            <v>0</v>
          </cell>
        </row>
        <row r="6166">
          <cell r="D6166">
            <v>317505</v>
          </cell>
          <cell r="E6166" t="str">
            <v>Maibu National High School</v>
          </cell>
          <cell r="F6166">
            <v>0</v>
          </cell>
          <cell r="G6166">
            <v>0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>
            <v>0</v>
          </cell>
          <cell r="M6166">
            <v>0</v>
          </cell>
          <cell r="N6166">
            <v>0</v>
          </cell>
          <cell r="O6166">
            <v>0</v>
          </cell>
          <cell r="P6166">
            <v>0</v>
          </cell>
          <cell r="Q6166">
            <v>0</v>
          </cell>
          <cell r="R6166">
            <v>0</v>
          </cell>
          <cell r="S6166">
            <v>0</v>
          </cell>
          <cell r="T6166">
            <v>0</v>
          </cell>
          <cell r="U6166">
            <v>0</v>
          </cell>
          <cell r="V6166">
            <v>0</v>
          </cell>
          <cell r="W6166">
            <v>0</v>
          </cell>
          <cell r="X6166">
            <v>0</v>
          </cell>
          <cell r="Y6166">
            <v>0</v>
          </cell>
          <cell r="Z6166">
            <v>0</v>
          </cell>
        </row>
        <row r="6167">
          <cell r="D6167">
            <v>304763</v>
          </cell>
          <cell r="E6167" t="str">
            <v>Libertad Integrated Senior High School</v>
          </cell>
          <cell r="F6167">
            <v>0</v>
          </cell>
          <cell r="G6167">
            <v>0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>
            <v>0</v>
          </cell>
          <cell r="M6167">
            <v>0</v>
          </cell>
          <cell r="N6167">
            <v>0</v>
          </cell>
          <cell r="O6167">
            <v>0</v>
          </cell>
          <cell r="P6167">
            <v>0</v>
          </cell>
          <cell r="Q6167">
            <v>0</v>
          </cell>
          <cell r="R6167">
            <v>0</v>
          </cell>
          <cell r="S6167">
            <v>0</v>
          </cell>
          <cell r="T6167">
            <v>0</v>
          </cell>
          <cell r="U6167">
            <v>0</v>
          </cell>
          <cell r="V6167">
            <v>0</v>
          </cell>
          <cell r="W6167">
            <v>0</v>
          </cell>
          <cell r="X6167">
            <v>0</v>
          </cell>
          <cell r="Y6167">
            <v>0</v>
          </cell>
          <cell r="Z6167">
            <v>0</v>
          </cell>
        </row>
        <row r="6168">
          <cell r="D6168">
            <v>304762</v>
          </cell>
          <cell r="E6168" t="str">
            <v>Butuan City Sch. of Arts &amp; Trades</v>
          </cell>
          <cell r="F6168">
            <v>0</v>
          </cell>
          <cell r="G6168">
            <v>0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>
            <v>0</v>
          </cell>
          <cell r="M6168">
            <v>0</v>
          </cell>
          <cell r="N6168">
            <v>0</v>
          </cell>
          <cell r="O6168">
            <v>0</v>
          </cell>
          <cell r="P6168">
            <v>0</v>
          </cell>
          <cell r="Q6168">
            <v>0</v>
          </cell>
          <cell r="R6168">
            <v>0</v>
          </cell>
          <cell r="S6168">
            <v>0</v>
          </cell>
          <cell r="T6168">
            <v>0</v>
          </cell>
          <cell r="U6168">
            <v>0</v>
          </cell>
          <cell r="V6168">
            <v>0</v>
          </cell>
          <cell r="W6168">
            <v>0</v>
          </cell>
          <cell r="X6168">
            <v>0</v>
          </cell>
          <cell r="Y6168">
            <v>0</v>
          </cell>
          <cell r="Z6168">
            <v>0</v>
          </cell>
        </row>
        <row r="6169">
          <cell r="D6169">
            <v>317515</v>
          </cell>
          <cell r="E6169" t="str">
            <v>Pareja ISS</v>
          </cell>
          <cell r="F6169">
            <v>0</v>
          </cell>
          <cell r="G6169">
            <v>0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L6169">
            <v>0</v>
          </cell>
          <cell r="M6169">
            <v>0</v>
          </cell>
          <cell r="N6169">
            <v>0</v>
          </cell>
          <cell r="O6169">
            <v>0</v>
          </cell>
          <cell r="P6169">
            <v>0</v>
          </cell>
          <cell r="Q6169">
            <v>0</v>
          </cell>
          <cell r="R6169">
            <v>0</v>
          </cell>
          <cell r="S6169">
            <v>0</v>
          </cell>
          <cell r="T6169">
            <v>0</v>
          </cell>
          <cell r="U6169">
            <v>0</v>
          </cell>
          <cell r="V6169">
            <v>0</v>
          </cell>
          <cell r="W6169">
            <v>0</v>
          </cell>
          <cell r="X6169">
            <v>0</v>
          </cell>
          <cell r="Y6169">
            <v>0</v>
          </cell>
          <cell r="Z6169">
            <v>0</v>
          </cell>
        </row>
        <row r="6170">
          <cell r="D6170">
            <v>304765</v>
          </cell>
          <cell r="E6170" t="str">
            <v>Anticala NHS</v>
          </cell>
          <cell r="F6170">
            <v>0</v>
          </cell>
          <cell r="G6170">
            <v>0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>
            <v>0</v>
          </cell>
          <cell r="M6170">
            <v>0</v>
          </cell>
          <cell r="N6170">
            <v>0</v>
          </cell>
          <cell r="O6170">
            <v>0</v>
          </cell>
          <cell r="P6170">
            <v>0</v>
          </cell>
          <cell r="Q6170">
            <v>0</v>
          </cell>
          <cell r="R6170">
            <v>0</v>
          </cell>
          <cell r="S6170">
            <v>0</v>
          </cell>
          <cell r="T6170">
            <v>0</v>
          </cell>
          <cell r="U6170">
            <v>0</v>
          </cell>
          <cell r="V6170">
            <v>0</v>
          </cell>
          <cell r="W6170">
            <v>0</v>
          </cell>
          <cell r="X6170">
            <v>0</v>
          </cell>
          <cell r="Y6170">
            <v>0</v>
          </cell>
          <cell r="Z6170">
            <v>0</v>
          </cell>
        </row>
        <row r="6171">
          <cell r="D6171">
            <v>317513</v>
          </cell>
          <cell r="E6171" t="str">
            <v>Bagong Silang National High School</v>
          </cell>
          <cell r="F6171">
            <v>0</v>
          </cell>
          <cell r="G6171">
            <v>0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>
            <v>0</v>
          </cell>
          <cell r="M6171">
            <v>0</v>
          </cell>
          <cell r="N6171">
            <v>0</v>
          </cell>
          <cell r="O6171">
            <v>0</v>
          </cell>
          <cell r="P6171">
            <v>0</v>
          </cell>
          <cell r="Q6171">
            <v>0</v>
          </cell>
          <cell r="R6171">
            <v>0</v>
          </cell>
          <cell r="S6171">
            <v>0</v>
          </cell>
          <cell r="T6171">
            <v>0</v>
          </cell>
          <cell r="U6171">
            <v>0</v>
          </cell>
          <cell r="V6171">
            <v>0</v>
          </cell>
          <cell r="W6171">
            <v>0</v>
          </cell>
          <cell r="X6171">
            <v>0</v>
          </cell>
          <cell r="Y6171">
            <v>0</v>
          </cell>
          <cell r="Z6171">
            <v>0</v>
          </cell>
        </row>
        <row r="6172">
          <cell r="D6172">
            <v>317521</v>
          </cell>
          <cell r="E6172" t="str">
            <v>Pigdaulan National High School</v>
          </cell>
          <cell r="F6172">
            <v>0</v>
          </cell>
          <cell r="G6172">
            <v>0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0</v>
          </cell>
          <cell r="M6172">
            <v>0</v>
          </cell>
          <cell r="N6172">
            <v>0</v>
          </cell>
          <cell r="O6172">
            <v>0</v>
          </cell>
          <cell r="P6172">
            <v>0</v>
          </cell>
          <cell r="Q6172">
            <v>0</v>
          </cell>
          <cell r="R6172">
            <v>0</v>
          </cell>
          <cell r="S6172">
            <v>0</v>
          </cell>
          <cell r="T6172">
            <v>0</v>
          </cell>
          <cell r="U6172">
            <v>0</v>
          </cell>
          <cell r="V6172">
            <v>0</v>
          </cell>
          <cell r="W6172">
            <v>0</v>
          </cell>
          <cell r="X6172">
            <v>0</v>
          </cell>
          <cell r="Y6172">
            <v>0</v>
          </cell>
          <cell r="Z6172">
            <v>0</v>
          </cell>
        </row>
        <row r="6173">
          <cell r="D6173">
            <v>317522</v>
          </cell>
          <cell r="E6173" t="str">
            <v>Tagkiling Tribal ISS</v>
          </cell>
          <cell r="F6173">
            <v>23</v>
          </cell>
          <cell r="G6173">
            <v>14</v>
          </cell>
          <cell r="H6173">
            <v>37</v>
          </cell>
          <cell r="I6173">
            <v>16</v>
          </cell>
          <cell r="J6173">
            <v>10</v>
          </cell>
          <cell r="K6173">
            <v>26</v>
          </cell>
          <cell r="L6173">
            <v>0</v>
          </cell>
          <cell r="M6173">
            <v>0</v>
          </cell>
          <cell r="N6173">
            <v>0</v>
          </cell>
          <cell r="O6173">
            <v>7</v>
          </cell>
          <cell r="P6173">
            <v>4</v>
          </cell>
          <cell r="Q6173">
            <v>11</v>
          </cell>
          <cell r="R6173">
            <v>0</v>
          </cell>
          <cell r="S6173">
            <v>0</v>
          </cell>
          <cell r="T6173">
            <v>0</v>
          </cell>
          <cell r="U6173">
            <v>0</v>
          </cell>
          <cell r="V6173">
            <v>0</v>
          </cell>
          <cell r="W6173">
            <v>0</v>
          </cell>
          <cell r="X6173">
            <v>0</v>
          </cell>
          <cell r="Y6173">
            <v>0</v>
          </cell>
          <cell r="Z6173">
            <v>0</v>
          </cell>
        </row>
        <row r="6174">
          <cell r="D6174">
            <v>304767</v>
          </cell>
          <cell r="E6174" t="str">
            <v>Maguinda NHS</v>
          </cell>
          <cell r="F6174">
            <v>0</v>
          </cell>
          <cell r="G6174">
            <v>0</v>
          </cell>
          <cell r="H6174">
            <v>0</v>
          </cell>
          <cell r="I6174">
            <v>0</v>
          </cell>
          <cell r="J6174">
            <v>0</v>
          </cell>
          <cell r="K6174">
            <v>0</v>
          </cell>
          <cell r="L6174">
            <v>0</v>
          </cell>
          <cell r="M6174">
            <v>0</v>
          </cell>
          <cell r="N6174">
            <v>0</v>
          </cell>
          <cell r="O6174">
            <v>0</v>
          </cell>
          <cell r="P6174">
            <v>0</v>
          </cell>
          <cell r="Q6174">
            <v>0</v>
          </cell>
          <cell r="R6174">
            <v>0</v>
          </cell>
          <cell r="S6174">
            <v>0</v>
          </cell>
          <cell r="T6174">
            <v>0</v>
          </cell>
          <cell r="U6174">
            <v>0</v>
          </cell>
          <cell r="V6174">
            <v>0</v>
          </cell>
          <cell r="W6174">
            <v>0</v>
          </cell>
          <cell r="X6174">
            <v>0</v>
          </cell>
          <cell r="Y6174">
            <v>0</v>
          </cell>
          <cell r="Z6174">
            <v>0</v>
          </cell>
        </row>
        <row r="6175">
          <cell r="D6175">
            <v>317507</v>
          </cell>
          <cell r="E6175" t="str">
            <v>Consuelo National High School</v>
          </cell>
          <cell r="F6175">
            <v>0</v>
          </cell>
          <cell r="G6175">
            <v>0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>
            <v>0</v>
          </cell>
          <cell r="M6175">
            <v>0</v>
          </cell>
          <cell r="N6175">
            <v>0</v>
          </cell>
          <cell r="O6175">
            <v>0</v>
          </cell>
          <cell r="P6175">
            <v>0</v>
          </cell>
          <cell r="Q6175">
            <v>0</v>
          </cell>
          <cell r="R6175">
            <v>0</v>
          </cell>
          <cell r="S6175">
            <v>0</v>
          </cell>
          <cell r="T6175">
            <v>0</v>
          </cell>
          <cell r="U6175">
            <v>0</v>
          </cell>
          <cell r="V6175">
            <v>0</v>
          </cell>
          <cell r="W6175">
            <v>0</v>
          </cell>
          <cell r="X6175">
            <v>0</v>
          </cell>
          <cell r="Y6175">
            <v>0</v>
          </cell>
          <cell r="Z6175">
            <v>0</v>
          </cell>
        </row>
        <row r="6176">
          <cell r="D6176">
            <v>317510</v>
          </cell>
          <cell r="E6176" t="str">
            <v>Kinamlutan National High School</v>
          </cell>
          <cell r="F6176">
            <v>28</v>
          </cell>
          <cell r="G6176">
            <v>19</v>
          </cell>
          <cell r="H6176">
            <v>47</v>
          </cell>
          <cell r="I6176">
            <v>26</v>
          </cell>
          <cell r="J6176">
            <v>17</v>
          </cell>
          <cell r="K6176">
            <v>43</v>
          </cell>
          <cell r="L6176">
            <v>0</v>
          </cell>
          <cell r="M6176">
            <v>0</v>
          </cell>
          <cell r="N6176">
            <v>0</v>
          </cell>
          <cell r="O6176">
            <v>0</v>
          </cell>
          <cell r="P6176">
            <v>0</v>
          </cell>
          <cell r="Q6176">
            <v>0</v>
          </cell>
          <cell r="R6176">
            <v>0</v>
          </cell>
          <cell r="S6176">
            <v>0</v>
          </cell>
          <cell r="T6176">
            <v>0</v>
          </cell>
          <cell r="U6176">
            <v>0</v>
          </cell>
          <cell r="V6176">
            <v>0</v>
          </cell>
          <cell r="W6176">
            <v>0</v>
          </cell>
          <cell r="X6176">
            <v>0</v>
          </cell>
          <cell r="Y6176">
            <v>0</v>
          </cell>
          <cell r="Z6176">
            <v>0</v>
          </cell>
        </row>
        <row r="6177">
          <cell r="D6177">
            <v>304759</v>
          </cell>
          <cell r="E6177" t="str">
            <v>Banza NHS</v>
          </cell>
          <cell r="F6177">
            <v>0</v>
          </cell>
          <cell r="G6177">
            <v>0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0</v>
          </cell>
          <cell r="M6177">
            <v>0</v>
          </cell>
          <cell r="N6177">
            <v>0</v>
          </cell>
          <cell r="O6177">
            <v>0</v>
          </cell>
          <cell r="P6177">
            <v>0</v>
          </cell>
          <cell r="Q6177">
            <v>0</v>
          </cell>
          <cell r="R6177">
            <v>0</v>
          </cell>
          <cell r="S6177">
            <v>0</v>
          </cell>
          <cell r="T6177">
            <v>0</v>
          </cell>
          <cell r="U6177">
            <v>0</v>
          </cell>
          <cell r="V6177">
            <v>0</v>
          </cell>
          <cell r="W6177">
            <v>0</v>
          </cell>
          <cell r="X6177">
            <v>0</v>
          </cell>
          <cell r="Y6177">
            <v>0</v>
          </cell>
          <cell r="Z6177">
            <v>0</v>
          </cell>
        </row>
        <row r="6178">
          <cell r="D6178">
            <v>304757</v>
          </cell>
          <cell r="E6178" t="str">
            <v>Agusan Pequeno NHS</v>
          </cell>
          <cell r="F6178">
            <v>28</v>
          </cell>
          <cell r="G6178">
            <v>25</v>
          </cell>
          <cell r="H6178">
            <v>53</v>
          </cell>
          <cell r="I6178">
            <v>28</v>
          </cell>
          <cell r="J6178">
            <v>25</v>
          </cell>
          <cell r="K6178">
            <v>53</v>
          </cell>
          <cell r="L6178">
            <v>0</v>
          </cell>
          <cell r="M6178">
            <v>0</v>
          </cell>
          <cell r="N6178">
            <v>0</v>
          </cell>
          <cell r="O6178">
            <v>0</v>
          </cell>
          <cell r="P6178">
            <v>0</v>
          </cell>
          <cell r="Q6178">
            <v>0</v>
          </cell>
          <cell r="R6178">
            <v>0</v>
          </cell>
          <cell r="S6178">
            <v>0</v>
          </cell>
          <cell r="T6178">
            <v>0</v>
          </cell>
          <cell r="U6178">
            <v>28</v>
          </cell>
          <cell r="V6178">
            <v>25</v>
          </cell>
          <cell r="W6178">
            <v>53</v>
          </cell>
          <cell r="X6178">
            <v>28</v>
          </cell>
          <cell r="Y6178">
            <v>25</v>
          </cell>
          <cell r="Z6178">
            <v>53</v>
          </cell>
        </row>
        <row r="6179">
          <cell r="D6179">
            <v>317506</v>
          </cell>
          <cell r="E6179" t="str">
            <v>La Trinidad Integrated Secondary School</v>
          </cell>
          <cell r="F6179">
            <v>0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0</v>
          </cell>
          <cell r="M6179">
            <v>0</v>
          </cell>
          <cell r="N6179">
            <v>0</v>
          </cell>
          <cell r="O6179">
            <v>0</v>
          </cell>
          <cell r="P6179">
            <v>0</v>
          </cell>
          <cell r="Q6179">
            <v>0</v>
          </cell>
          <cell r="R6179">
            <v>0</v>
          </cell>
          <cell r="S6179">
            <v>0</v>
          </cell>
          <cell r="T6179">
            <v>0</v>
          </cell>
          <cell r="U6179">
            <v>0</v>
          </cell>
          <cell r="V6179">
            <v>0</v>
          </cell>
          <cell r="W6179">
            <v>0</v>
          </cell>
          <cell r="X6179">
            <v>0</v>
          </cell>
          <cell r="Y6179">
            <v>0</v>
          </cell>
          <cell r="Z6179">
            <v>0</v>
          </cell>
        </row>
        <row r="6180">
          <cell r="D6180">
            <v>304771</v>
          </cell>
          <cell r="E6180" t="str">
            <v>Taligaman NHS</v>
          </cell>
          <cell r="F6180">
            <v>190</v>
          </cell>
          <cell r="G6180">
            <v>147</v>
          </cell>
          <cell r="H6180">
            <v>337</v>
          </cell>
          <cell r="I6180">
            <v>96</v>
          </cell>
          <cell r="J6180">
            <v>58</v>
          </cell>
          <cell r="K6180">
            <v>154</v>
          </cell>
          <cell r="L6180">
            <v>0</v>
          </cell>
          <cell r="M6180">
            <v>0</v>
          </cell>
          <cell r="N6180">
            <v>0</v>
          </cell>
          <cell r="O6180">
            <v>0</v>
          </cell>
          <cell r="P6180">
            <v>0</v>
          </cell>
          <cell r="Q6180">
            <v>0</v>
          </cell>
          <cell r="R6180">
            <v>0</v>
          </cell>
          <cell r="S6180">
            <v>0</v>
          </cell>
          <cell r="T6180">
            <v>0</v>
          </cell>
          <cell r="U6180">
            <v>0</v>
          </cell>
          <cell r="V6180">
            <v>0</v>
          </cell>
          <cell r="W6180">
            <v>0</v>
          </cell>
          <cell r="X6180">
            <v>0</v>
          </cell>
          <cell r="Y6180">
            <v>0</v>
          </cell>
          <cell r="Z6180">
            <v>0</v>
          </cell>
        </row>
        <row r="6181">
          <cell r="D6181">
            <v>304761</v>
          </cell>
          <cell r="E6181" t="str">
            <v>Butuan City Comprehensive HS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0</v>
          </cell>
          <cell r="M6181">
            <v>0</v>
          </cell>
          <cell r="N6181">
            <v>0</v>
          </cell>
          <cell r="O6181">
            <v>0</v>
          </cell>
          <cell r="P6181">
            <v>0</v>
          </cell>
          <cell r="Q6181">
            <v>0</v>
          </cell>
          <cell r="R6181">
            <v>0</v>
          </cell>
          <cell r="S6181">
            <v>0</v>
          </cell>
          <cell r="T6181">
            <v>0</v>
          </cell>
          <cell r="U6181">
            <v>0</v>
          </cell>
          <cell r="V6181">
            <v>0</v>
          </cell>
          <cell r="W6181">
            <v>0</v>
          </cell>
          <cell r="X6181">
            <v>0</v>
          </cell>
          <cell r="Y6181">
            <v>0</v>
          </cell>
          <cell r="Z6181">
            <v>0</v>
          </cell>
        </row>
        <row r="6182">
          <cell r="D6182">
            <v>317501</v>
          </cell>
          <cell r="E6182" t="str">
            <v>FLORIDA NATIONAL HIGH SCHOOL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0</v>
          </cell>
          <cell r="M6182">
            <v>0</v>
          </cell>
          <cell r="N6182">
            <v>0</v>
          </cell>
          <cell r="O6182">
            <v>0</v>
          </cell>
          <cell r="P6182">
            <v>0</v>
          </cell>
          <cell r="Q6182">
            <v>0</v>
          </cell>
          <cell r="R6182">
            <v>0</v>
          </cell>
          <cell r="S6182">
            <v>0</v>
          </cell>
          <cell r="T6182">
            <v>0</v>
          </cell>
          <cell r="U6182">
            <v>0</v>
          </cell>
          <cell r="V6182">
            <v>0</v>
          </cell>
          <cell r="W6182">
            <v>0</v>
          </cell>
          <cell r="X6182">
            <v>0</v>
          </cell>
          <cell r="Y6182">
            <v>0</v>
          </cell>
          <cell r="Z6182">
            <v>0</v>
          </cell>
        </row>
        <row r="6183">
          <cell r="D6183">
            <v>305490</v>
          </cell>
          <cell r="E6183" t="str">
            <v>Philippine Science High School - Caraga Region Campus</v>
          </cell>
          <cell r="F6183">
            <v>0</v>
          </cell>
          <cell r="G6183">
            <v>0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>
            <v>0</v>
          </cell>
          <cell r="M6183">
            <v>0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0</v>
          </cell>
          <cell r="U6183">
            <v>0</v>
          </cell>
          <cell r="V6183">
            <v>0</v>
          </cell>
          <cell r="W6183">
            <v>0</v>
          </cell>
          <cell r="X6183">
            <v>0</v>
          </cell>
          <cell r="Y6183">
            <v>0</v>
          </cell>
          <cell r="Z6183">
            <v>0</v>
          </cell>
        </row>
        <row r="6184">
          <cell r="D6184">
            <v>501554</v>
          </cell>
          <cell r="E6184" t="str">
            <v>Bugsukan Integrated School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>
            <v>0</v>
          </cell>
          <cell r="V6184">
            <v>0</v>
          </cell>
          <cell r="W6184">
            <v>0</v>
          </cell>
          <cell r="X6184">
            <v>0</v>
          </cell>
          <cell r="Y6184">
            <v>0</v>
          </cell>
          <cell r="Z6184">
            <v>0</v>
          </cell>
        </row>
        <row r="6185">
          <cell r="D6185">
            <v>501553</v>
          </cell>
          <cell r="E6185" t="str">
            <v>Alviola Integrated School</v>
          </cell>
          <cell r="F6185">
            <v>0</v>
          </cell>
          <cell r="G6185">
            <v>0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  <cell r="R6185">
            <v>0</v>
          </cell>
          <cell r="S6185">
            <v>0</v>
          </cell>
          <cell r="T6185">
            <v>0</v>
          </cell>
          <cell r="U6185">
            <v>0</v>
          </cell>
          <cell r="V6185">
            <v>0</v>
          </cell>
          <cell r="W6185">
            <v>0</v>
          </cell>
          <cell r="X6185">
            <v>0</v>
          </cell>
          <cell r="Y6185">
            <v>0</v>
          </cell>
          <cell r="Z6185">
            <v>0</v>
          </cell>
        </row>
        <row r="6186">
          <cell r="D6186">
            <v>501552</v>
          </cell>
          <cell r="E6186" t="str">
            <v>Pareja Integrated School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0</v>
          </cell>
          <cell r="M6186">
            <v>0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>
            <v>0</v>
          </cell>
          <cell r="V6186">
            <v>0</v>
          </cell>
          <cell r="W6186">
            <v>0</v>
          </cell>
          <cell r="X6186">
            <v>0</v>
          </cell>
          <cell r="Y6186">
            <v>0</v>
          </cell>
          <cell r="Z6186">
            <v>0</v>
          </cell>
        </row>
        <row r="6187">
          <cell r="D6187">
            <v>501551</v>
          </cell>
          <cell r="E6187" t="str">
            <v>Mahay Integrated Secondary School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0</v>
          </cell>
          <cell r="M6187">
            <v>0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  <cell r="R6187">
            <v>0</v>
          </cell>
          <cell r="S6187">
            <v>0</v>
          </cell>
          <cell r="T6187">
            <v>0</v>
          </cell>
          <cell r="U6187">
            <v>0</v>
          </cell>
          <cell r="V6187">
            <v>0</v>
          </cell>
          <cell r="W6187">
            <v>0</v>
          </cell>
          <cell r="X6187">
            <v>0</v>
          </cell>
          <cell r="Y6187">
            <v>0</v>
          </cell>
          <cell r="Z6187">
            <v>0</v>
          </cell>
        </row>
        <row r="6188">
          <cell r="D6188">
            <v>501550</v>
          </cell>
          <cell r="E6188" t="str">
            <v>Tagkiling Tribal ISS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0</v>
          </cell>
          <cell r="M6188">
            <v>0</v>
          </cell>
          <cell r="N6188">
            <v>0</v>
          </cell>
          <cell r="O6188">
            <v>0</v>
          </cell>
          <cell r="P6188">
            <v>0</v>
          </cell>
          <cell r="Q6188">
            <v>0</v>
          </cell>
          <cell r="R6188">
            <v>0</v>
          </cell>
          <cell r="S6188">
            <v>0</v>
          </cell>
          <cell r="T6188">
            <v>0</v>
          </cell>
          <cell r="U6188">
            <v>0</v>
          </cell>
          <cell r="V6188">
            <v>0</v>
          </cell>
          <cell r="W6188">
            <v>0</v>
          </cell>
          <cell r="X6188">
            <v>0</v>
          </cell>
          <cell r="Y6188">
            <v>0</v>
          </cell>
          <cell r="Z6188">
            <v>0</v>
          </cell>
        </row>
        <row r="6189">
          <cell r="D6189">
            <v>501201</v>
          </cell>
          <cell r="E6189" t="str">
            <v>La Trinidad Integrated School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0</v>
          </cell>
          <cell r="M6189">
            <v>0</v>
          </cell>
          <cell r="N6189">
            <v>0</v>
          </cell>
          <cell r="O6189">
            <v>0</v>
          </cell>
          <cell r="P6189">
            <v>0</v>
          </cell>
          <cell r="Q6189">
            <v>0</v>
          </cell>
          <cell r="R6189">
            <v>0</v>
          </cell>
          <cell r="S6189">
            <v>0</v>
          </cell>
          <cell r="T6189">
            <v>0</v>
          </cell>
          <cell r="U6189">
            <v>0</v>
          </cell>
          <cell r="V6189">
            <v>0</v>
          </cell>
          <cell r="W6189">
            <v>0</v>
          </cell>
          <cell r="X6189">
            <v>0</v>
          </cell>
          <cell r="Y6189">
            <v>0</v>
          </cell>
          <cell r="Z6189">
            <v>0</v>
          </cell>
        </row>
        <row r="6190">
          <cell r="D6190">
            <v>304777</v>
          </cell>
          <cell r="E6190" t="str">
            <v>Gen Luna National High School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0</v>
          </cell>
          <cell r="M6190">
            <v>0</v>
          </cell>
          <cell r="N6190">
            <v>0</v>
          </cell>
          <cell r="O6190">
            <v>0</v>
          </cell>
          <cell r="P6190">
            <v>0</v>
          </cell>
          <cell r="Q6190">
            <v>0</v>
          </cell>
          <cell r="R6190">
            <v>0</v>
          </cell>
          <cell r="S6190">
            <v>0</v>
          </cell>
          <cell r="T6190">
            <v>0</v>
          </cell>
          <cell r="U6190">
            <v>0</v>
          </cell>
          <cell r="V6190">
            <v>0</v>
          </cell>
          <cell r="W6190">
            <v>0</v>
          </cell>
          <cell r="X6190">
            <v>0</v>
          </cell>
          <cell r="Y6190">
            <v>0</v>
          </cell>
          <cell r="Z6190">
            <v>0</v>
          </cell>
        </row>
        <row r="6191">
          <cell r="D6191">
            <v>304785</v>
          </cell>
          <cell r="E6191" t="str">
            <v>Sapao National High School</v>
          </cell>
          <cell r="F6191">
            <v>0</v>
          </cell>
          <cell r="G6191">
            <v>0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0</v>
          </cell>
          <cell r="M6191">
            <v>0</v>
          </cell>
          <cell r="N6191">
            <v>0</v>
          </cell>
          <cell r="O6191">
            <v>0</v>
          </cell>
          <cell r="P6191">
            <v>0</v>
          </cell>
          <cell r="Q6191">
            <v>0</v>
          </cell>
          <cell r="R6191">
            <v>0</v>
          </cell>
          <cell r="S6191">
            <v>0</v>
          </cell>
          <cell r="T6191">
            <v>0</v>
          </cell>
          <cell r="U6191">
            <v>0</v>
          </cell>
          <cell r="V6191">
            <v>0</v>
          </cell>
          <cell r="W6191">
            <v>0</v>
          </cell>
          <cell r="X6191">
            <v>0</v>
          </cell>
          <cell r="Y6191">
            <v>0</v>
          </cell>
          <cell r="Z6191">
            <v>0</v>
          </cell>
        </row>
        <row r="6192">
          <cell r="D6192">
            <v>304790</v>
          </cell>
          <cell r="E6192" t="str">
            <v>Pamosaingan National High School</v>
          </cell>
          <cell r="F6192">
            <v>0</v>
          </cell>
          <cell r="G6192">
            <v>0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>
            <v>0</v>
          </cell>
          <cell r="M6192">
            <v>0</v>
          </cell>
          <cell r="N6192">
            <v>0</v>
          </cell>
          <cell r="O6192">
            <v>0</v>
          </cell>
          <cell r="P6192">
            <v>0</v>
          </cell>
          <cell r="Q6192">
            <v>0</v>
          </cell>
          <cell r="R6192">
            <v>0</v>
          </cell>
          <cell r="S6192">
            <v>0</v>
          </cell>
          <cell r="T6192">
            <v>0</v>
          </cell>
          <cell r="U6192">
            <v>0</v>
          </cell>
          <cell r="V6192">
            <v>0</v>
          </cell>
          <cell r="W6192">
            <v>0</v>
          </cell>
          <cell r="X6192">
            <v>0</v>
          </cell>
          <cell r="Y6192">
            <v>0</v>
          </cell>
          <cell r="Z6192">
            <v>0</v>
          </cell>
        </row>
        <row r="6193">
          <cell r="D6193">
            <v>304779</v>
          </cell>
          <cell r="E6193" t="str">
            <v>Pilar National High School</v>
          </cell>
          <cell r="F6193">
            <v>3</v>
          </cell>
          <cell r="G6193">
            <v>1</v>
          </cell>
          <cell r="H6193">
            <v>4</v>
          </cell>
          <cell r="I6193">
            <v>0</v>
          </cell>
          <cell r="J6193">
            <v>0</v>
          </cell>
          <cell r="K6193">
            <v>0</v>
          </cell>
          <cell r="L6193">
            <v>0</v>
          </cell>
          <cell r="M6193">
            <v>0</v>
          </cell>
          <cell r="N6193">
            <v>0</v>
          </cell>
          <cell r="O6193">
            <v>0</v>
          </cell>
          <cell r="P6193">
            <v>0</v>
          </cell>
          <cell r="Q6193">
            <v>0</v>
          </cell>
          <cell r="R6193">
            <v>0</v>
          </cell>
          <cell r="S6193">
            <v>0</v>
          </cell>
          <cell r="T6193">
            <v>0</v>
          </cell>
          <cell r="U6193">
            <v>0</v>
          </cell>
          <cell r="V6193">
            <v>0</v>
          </cell>
          <cell r="W6193">
            <v>0</v>
          </cell>
          <cell r="X6193">
            <v>0</v>
          </cell>
          <cell r="Y6193">
            <v>0</v>
          </cell>
          <cell r="Z6193">
            <v>0</v>
          </cell>
        </row>
        <row r="6194">
          <cell r="D6194">
            <v>304791</v>
          </cell>
          <cell r="E6194" t="str">
            <v>Union National High School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0</v>
          </cell>
          <cell r="M6194">
            <v>0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>
            <v>0</v>
          </cell>
          <cell r="V6194">
            <v>0</v>
          </cell>
          <cell r="W6194">
            <v>0</v>
          </cell>
          <cell r="X6194">
            <v>0</v>
          </cell>
          <cell r="Y6194">
            <v>0</v>
          </cell>
          <cell r="Z6194">
            <v>0</v>
          </cell>
        </row>
        <row r="6195">
          <cell r="D6195">
            <v>317607</v>
          </cell>
          <cell r="E6195" t="str">
            <v>Alegria National High School</v>
          </cell>
          <cell r="F6195">
            <v>6</v>
          </cell>
          <cell r="G6195">
            <v>3</v>
          </cell>
          <cell r="H6195">
            <v>9</v>
          </cell>
          <cell r="I6195">
            <v>17</v>
          </cell>
          <cell r="J6195">
            <v>18</v>
          </cell>
          <cell r="K6195">
            <v>35</v>
          </cell>
          <cell r="L6195">
            <v>17</v>
          </cell>
          <cell r="M6195">
            <v>18</v>
          </cell>
          <cell r="N6195">
            <v>35</v>
          </cell>
          <cell r="O6195">
            <v>10</v>
          </cell>
          <cell r="P6195">
            <v>7</v>
          </cell>
          <cell r="Q6195">
            <v>17</v>
          </cell>
          <cell r="R6195">
            <v>10</v>
          </cell>
          <cell r="S6195">
            <v>7</v>
          </cell>
          <cell r="T6195">
            <v>17</v>
          </cell>
          <cell r="U6195">
            <v>0</v>
          </cell>
          <cell r="V6195">
            <v>0</v>
          </cell>
          <cell r="W6195">
            <v>0</v>
          </cell>
          <cell r="X6195">
            <v>0</v>
          </cell>
          <cell r="Y6195">
            <v>0</v>
          </cell>
          <cell r="Z6195">
            <v>0</v>
          </cell>
        </row>
        <row r="6196">
          <cell r="D6196">
            <v>317601</v>
          </cell>
          <cell r="E6196" t="str">
            <v>Suyangan National High School</v>
          </cell>
          <cell r="F6196">
            <v>0</v>
          </cell>
          <cell r="G6196">
            <v>0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>
            <v>0</v>
          </cell>
          <cell r="M6196">
            <v>0</v>
          </cell>
          <cell r="N6196">
            <v>0</v>
          </cell>
          <cell r="O6196">
            <v>0</v>
          </cell>
          <cell r="P6196">
            <v>0</v>
          </cell>
          <cell r="Q6196">
            <v>0</v>
          </cell>
          <cell r="R6196">
            <v>0</v>
          </cell>
          <cell r="S6196">
            <v>0</v>
          </cell>
          <cell r="T6196">
            <v>0</v>
          </cell>
          <cell r="U6196">
            <v>0</v>
          </cell>
          <cell r="V6196">
            <v>0</v>
          </cell>
          <cell r="W6196">
            <v>0</v>
          </cell>
          <cell r="X6196">
            <v>0</v>
          </cell>
          <cell r="Y6196">
            <v>0</v>
          </cell>
          <cell r="Z6196">
            <v>0</v>
          </cell>
        </row>
        <row r="6197">
          <cell r="D6197">
            <v>317604</v>
          </cell>
          <cell r="E6197" t="str">
            <v>Siargao National Science High School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0</v>
          </cell>
          <cell r="M6197">
            <v>0</v>
          </cell>
          <cell r="N6197">
            <v>0</v>
          </cell>
          <cell r="O6197">
            <v>0</v>
          </cell>
          <cell r="P6197">
            <v>0</v>
          </cell>
          <cell r="Q6197">
            <v>0</v>
          </cell>
          <cell r="R6197">
            <v>0</v>
          </cell>
          <cell r="S6197">
            <v>0</v>
          </cell>
          <cell r="T6197">
            <v>0</v>
          </cell>
          <cell r="U6197">
            <v>0</v>
          </cell>
          <cell r="V6197">
            <v>0</v>
          </cell>
          <cell r="W6197">
            <v>0</v>
          </cell>
          <cell r="X6197">
            <v>0</v>
          </cell>
          <cell r="Y6197">
            <v>0</v>
          </cell>
          <cell r="Z6197">
            <v>0</v>
          </cell>
        </row>
        <row r="6198">
          <cell r="D6198">
            <v>304783</v>
          </cell>
          <cell r="E6198" t="str">
            <v>Del Carmen National High School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0</v>
          </cell>
          <cell r="M6198">
            <v>0</v>
          </cell>
          <cell r="N6198">
            <v>0</v>
          </cell>
          <cell r="O6198">
            <v>0</v>
          </cell>
          <cell r="P6198">
            <v>0</v>
          </cell>
          <cell r="Q6198">
            <v>0</v>
          </cell>
          <cell r="R6198">
            <v>0</v>
          </cell>
          <cell r="S6198">
            <v>0</v>
          </cell>
          <cell r="T6198">
            <v>0</v>
          </cell>
          <cell r="U6198">
            <v>0</v>
          </cell>
          <cell r="V6198">
            <v>0</v>
          </cell>
          <cell r="W6198">
            <v>0</v>
          </cell>
          <cell r="X6198">
            <v>0</v>
          </cell>
          <cell r="Y6198">
            <v>0</v>
          </cell>
          <cell r="Z6198">
            <v>0</v>
          </cell>
        </row>
        <row r="6199">
          <cell r="D6199">
            <v>304788</v>
          </cell>
          <cell r="E6199" t="str">
            <v>SOCORRO NATIONAL HIGH SCHOOL</v>
          </cell>
          <cell r="F6199">
            <v>0</v>
          </cell>
          <cell r="G6199">
            <v>0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0</v>
          </cell>
          <cell r="M6199">
            <v>0</v>
          </cell>
          <cell r="N6199">
            <v>0</v>
          </cell>
          <cell r="O6199">
            <v>0</v>
          </cell>
          <cell r="P6199">
            <v>0</v>
          </cell>
          <cell r="Q6199">
            <v>0</v>
          </cell>
          <cell r="R6199">
            <v>0</v>
          </cell>
          <cell r="S6199">
            <v>0</v>
          </cell>
          <cell r="T6199">
            <v>0</v>
          </cell>
          <cell r="U6199">
            <v>0</v>
          </cell>
          <cell r="V6199">
            <v>0</v>
          </cell>
          <cell r="W6199">
            <v>0</v>
          </cell>
          <cell r="X6199">
            <v>0</v>
          </cell>
          <cell r="Y6199">
            <v>0</v>
          </cell>
          <cell r="Z6199">
            <v>0</v>
          </cell>
        </row>
        <row r="6200">
          <cell r="D6200">
            <v>317602</v>
          </cell>
          <cell r="E6200" t="str">
            <v>Atoyay National High School</v>
          </cell>
          <cell r="F6200">
            <v>0</v>
          </cell>
          <cell r="G6200">
            <v>0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  <cell r="L6200">
            <v>0</v>
          </cell>
          <cell r="M6200">
            <v>0</v>
          </cell>
          <cell r="N6200">
            <v>0</v>
          </cell>
          <cell r="O6200">
            <v>0</v>
          </cell>
          <cell r="P6200">
            <v>0</v>
          </cell>
          <cell r="Q6200">
            <v>0</v>
          </cell>
          <cell r="R6200">
            <v>0</v>
          </cell>
          <cell r="S6200">
            <v>0</v>
          </cell>
          <cell r="T6200">
            <v>0</v>
          </cell>
          <cell r="U6200">
            <v>0</v>
          </cell>
          <cell r="V6200">
            <v>0</v>
          </cell>
          <cell r="W6200">
            <v>0</v>
          </cell>
          <cell r="X6200">
            <v>0</v>
          </cell>
          <cell r="Y6200">
            <v>0</v>
          </cell>
          <cell r="Z6200">
            <v>0</v>
          </cell>
        </row>
        <row r="6201">
          <cell r="D6201">
            <v>304773</v>
          </cell>
          <cell r="E6201" t="str">
            <v>Burgos National High School</v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0</v>
          </cell>
          <cell r="M6201">
            <v>0</v>
          </cell>
          <cell r="N6201">
            <v>0</v>
          </cell>
          <cell r="O6201">
            <v>0</v>
          </cell>
          <cell r="P6201">
            <v>0</v>
          </cell>
          <cell r="Q6201">
            <v>0</v>
          </cell>
          <cell r="R6201">
            <v>0</v>
          </cell>
          <cell r="S6201">
            <v>0</v>
          </cell>
          <cell r="T6201">
            <v>0</v>
          </cell>
          <cell r="U6201">
            <v>0</v>
          </cell>
          <cell r="V6201">
            <v>0</v>
          </cell>
          <cell r="W6201">
            <v>0</v>
          </cell>
          <cell r="X6201">
            <v>0</v>
          </cell>
          <cell r="Y6201">
            <v>0</v>
          </cell>
          <cell r="Z6201">
            <v>0</v>
          </cell>
        </row>
        <row r="6202">
          <cell r="D6202">
            <v>304774</v>
          </cell>
          <cell r="E6202" t="str">
            <v>Dapa National High School</v>
          </cell>
          <cell r="F6202">
            <v>0</v>
          </cell>
          <cell r="G6202">
            <v>0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0</v>
          </cell>
          <cell r="M6202">
            <v>0</v>
          </cell>
          <cell r="N6202">
            <v>0</v>
          </cell>
          <cell r="O6202">
            <v>0</v>
          </cell>
          <cell r="P6202">
            <v>0</v>
          </cell>
          <cell r="Q6202">
            <v>0</v>
          </cell>
          <cell r="R6202">
            <v>0</v>
          </cell>
          <cell r="S6202">
            <v>0</v>
          </cell>
          <cell r="T6202">
            <v>0</v>
          </cell>
          <cell r="U6202">
            <v>0</v>
          </cell>
          <cell r="V6202">
            <v>0</v>
          </cell>
          <cell r="W6202">
            <v>0</v>
          </cell>
          <cell r="X6202">
            <v>0</v>
          </cell>
          <cell r="Y6202">
            <v>0</v>
          </cell>
          <cell r="Z6202">
            <v>0</v>
          </cell>
        </row>
        <row r="6203">
          <cell r="D6203">
            <v>304780</v>
          </cell>
          <cell r="E6203" t="str">
            <v>Caridad National High School</v>
          </cell>
          <cell r="F6203">
            <v>1</v>
          </cell>
          <cell r="G6203">
            <v>2</v>
          </cell>
          <cell r="H6203">
            <v>3</v>
          </cell>
          <cell r="I6203">
            <v>1</v>
          </cell>
          <cell r="J6203">
            <v>2</v>
          </cell>
          <cell r="K6203">
            <v>3</v>
          </cell>
          <cell r="L6203">
            <v>1</v>
          </cell>
          <cell r="M6203">
            <v>2</v>
          </cell>
          <cell r="N6203">
            <v>3</v>
          </cell>
          <cell r="O6203">
            <v>0</v>
          </cell>
          <cell r="P6203">
            <v>0</v>
          </cell>
          <cell r="Q6203">
            <v>0</v>
          </cell>
          <cell r="R6203">
            <v>0</v>
          </cell>
          <cell r="S6203">
            <v>0</v>
          </cell>
          <cell r="T6203">
            <v>0</v>
          </cell>
          <cell r="U6203">
            <v>0</v>
          </cell>
          <cell r="V6203">
            <v>0</v>
          </cell>
          <cell r="W6203">
            <v>0</v>
          </cell>
          <cell r="X6203">
            <v>0</v>
          </cell>
          <cell r="Y6203">
            <v>0</v>
          </cell>
          <cell r="Z6203">
            <v>0</v>
          </cell>
        </row>
        <row r="6204">
          <cell r="D6204">
            <v>304781</v>
          </cell>
          <cell r="E6204" t="str">
            <v>San Benito National High School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  <cell r="O6204">
            <v>0</v>
          </cell>
          <cell r="P6204">
            <v>0</v>
          </cell>
          <cell r="Q6204">
            <v>0</v>
          </cell>
          <cell r="R6204">
            <v>0</v>
          </cell>
          <cell r="S6204">
            <v>0</v>
          </cell>
          <cell r="T6204">
            <v>0</v>
          </cell>
          <cell r="U6204">
            <v>0</v>
          </cell>
          <cell r="V6204">
            <v>0</v>
          </cell>
          <cell r="W6204">
            <v>0</v>
          </cell>
          <cell r="X6204">
            <v>0</v>
          </cell>
          <cell r="Y6204">
            <v>0</v>
          </cell>
          <cell r="Z6204">
            <v>0</v>
          </cell>
        </row>
        <row r="6205">
          <cell r="D6205">
            <v>304789</v>
          </cell>
          <cell r="E6205" t="str">
            <v>Nueva Estrella NHS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0</v>
          </cell>
          <cell r="Q6205">
            <v>0</v>
          </cell>
          <cell r="R6205">
            <v>0</v>
          </cell>
          <cell r="S6205">
            <v>0</v>
          </cell>
          <cell r="T6205">
            <v>0</v>
          </cell>
          <cell r="U6205">
            <v>0</v>
          </cell>
          <cell r="V6205">
            <v>0</v>
          </cell>
          <cell r="W6205">
            <v>0</v>
          </cell>
          <cell r="X6205">
            <v>0</v>
          </cell>
          <cell r="Y6205">
            <v>0</v>
          </cell>
          <cell r="Z6205">
            <v>0</v>
          </cell>
        </row>
        <row r="6206">
          <cell r="D6206">
            <v>304782</v>
          </cell>
          <cell r="E6206" t="str">
            <v>San Isidro National High School</v>
          </cell>
          <cell r="F6206">
            <v>0</v>
          </cell>
          <cell r="G6206">
            <v>0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0</v>
          </cell>
          <cell r="M6206">
            <v>0</v>
          </cell>
          <cell r="N6206">
            <v>0</v>
          </cell>
          <cell r="O6206">
            <v>0</v>
          </cell>
          <cell r="P6206">
            <v>0</v>
          </cell>
          <cell r="Q6206">
            <v>0</v>
          </cell>
          <cell r="R6206">
            <v>0</v>
          </cell>
          <cell r="S6206">
            <v>0</v>
          </cell>
          <cell r="T6206">
            <v>0</v>
          </cell>
          <cell r="U6206">
            <v>0</v>
          </cell>
          <cell r="V6206">
            <v>0</v>
          </cell>
          <cell r="W6206">
            <v>0</v>
          </cell>
          <cell r="X6206">
            <v>0</v>
          </cell>
          <cell r="Y6206">
            <v>0</v>
          </cell>
          <cell r="Z6206">
            <v>0</v>
          </cell>
        </row>
        <row r="6207">
          <cell r="D6207">
            <v>304775</v>
          </cell>
          <cell r="E6207" t="str">
            <v>Consolacion National High School</v>
          </cell>
          <cell r="F6207">
            <v>0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0</v>
          </cell>
          <cell r="M6207">
            <v>0</v>
          </cell>
          <cell r="N6207">
            <v>0</v>
          </cell>
          <cell r="O6207">
            <v>0</v>
          </cell>
          <cell r="P6207">
            <v>0</v>
          </cell>
          <cell r="Q6207">
            <v>0</v>
          </cell>
          <cell r="R6207">
            <v>0</v>
          </cell>
          <cell r="S6207">
            <v>0</v>
          </cell>
          <cell r="T6207">
            <v>0</v>
          </cell>
          <cell r="U6207">
            <v>0</v>
          </cell>
          <cell r="V6207">
            <v>0</v>
          </cell>
          <cell r="W6207">
            <v>0</v>
          </cell>
          <cell r="X6207">
            <v>0</v>
          </cell>
          <cell r="Y6207">
            <v>0</v>
          </cell>
          <cell r="Z6207">
            <v>0</v>
          </cell>
        </row>
        <row r="6208">
          <cell r="D6208">
            <v>317605</v>
          </cell>
          <cell r="E6208" t="str">
            <v>Oguing Navarro Memorial National High School</v>
          </cell>
          <cell r="F6208">
            <v>52</v>
          </cell>
          <cell r="G6208">
            <v>28</v>
          </cell>
          <cell r="H6208">
            <v>80</v>
          </cell>
          <cell r="I6208">
            <v>0</v>
          </cell>
          <cell r="J6208">
            <v>0</v>
          </cell>
          <cell r="K6208">
            <v>0</v>
          </cell>
          <cell r="L6208">
            <v>0</v>
          </cell>
          <cell r="M6208">
            <v>0</v>
          </cell>
          <cell r="N6208">
            <v>0</v>
          </cell>
          <cell r="O6208">
            <v>0</v>
          </cell>
          <cell r="P6208">
            <v>0</v>
          </cell>
          <cell r="Q6208">
            <v>0</v>
          </cell>
          <cell r="R6208">
            <v>0</v>
          </cell>
          <cell r="S6208">
            <v>0</v>
          </cell>
          <cell r="T6208">
            <v>0</v>
          </cell>
          <cell r="U6208">
            <v>0</v>
          </cell>
          <cell r="V6208">
            <v>0</v>
          </cell>
          <cell r="W6208">
            <v>0</v>
          </cell>
          <cell r="X6208">
            <v>0</v>
          </cell>
          <cell r="Y6208">
            <v>0</v>
          </cell>
          <cell r="Z6208">
            <v>0</v>
          </cell>
        </row>
        <row r="6209">
          <cell r="D6209">
            <v>304776</v>
          </cell>
          <cell r="E6209" t="str">
            <v>Mariano Matugas Memorial National High School</v>
          </cell>
          <cell r="F6209">
            <v>23</v>
          </cell>
          <cell r="G6209">
            <v>25</v>
          </cell>
          <cell r="H6209">
            <v>48</v>
          </cell>
          <cell r="I6209">
            <v>2</v>
          </cell>
          <cell r="J6209">
            <v>1</v>
          </cell>
          <cell r="K6209">
            <v>3</v>
          </cell>
          <cell r="L6209">
            <v>3</v>
          </cell>
          <cell r="M6209">
            <v>3</v>
          </cell>
          <cell r="N6209">
            <v>6</v>
          </cell>
          <cell r="O6209">
            <v>2</v>
          </cell>
          <cell r="P6209">
            <v>2</v>
          </cell>
          <cell r="Q6209">
            <v>4</v>
          </cell>
          <cell r="R6209">
            <v>2</v>
          </cell>
          <cell r="S6209">
            <v>1</v>
          </cell>
          <cell r="T6209">
            <v>3</v>
          </cell>
          <cell r="U6209">
            <v>1</v>
          </cell>
          <cell r="V6209">
            <v>1</v>
          </cell>
          <cell r="W6209">
            <v>2</v>
          </cell>
          <cell r="X6209">
            <v>0</v>
          </cell>
          <cell r="Y6209">
            <v>0</v>
          </cell>
          <cell r="Z6209">
            <v>0</v>
          </cell>
        </row>
        <row r="6210">
          <cell r="D6210">
            <v>304778</v>
          </cell>
          <cell r="E6210" t="str">
            <v>Sta. Fe National High School</v>
          </cell>
          <cell r="F6210">
            <v>50</v>
          </cell>
          <cell r="G6210">
            <v>40</v>
          </cell>
          <cell r="H6210">
            <v>90</v>
          </cell>
          <cell r="I6210">
            <v>3</v>
          </cell>
          <cell r="J6210">
            <v>2</v>
          </cell>
          <cell r="K6210">
            <v>5</v>
          </cell>
          <cell r="L6210">
            <v>3</v>
          </cell>
          <cell r="M6210">
            <v>2</v>
          </cell>
          <cell r="N6210">
            <v>5</v>
          </cell>
          <cell r="O6210">
            <v>1</v>
          </cell>
          <cell r="P6210">
            <v>1</v>
          </cell>
          <cell r="Q6210">
            <v>2</v>
          </cell>
          <cell r="R6210">
            <v>1</v>
          </cell>
          <cell r="S6210">
            <v>1</v>
          </cell>
          <cell r="T6210">
            <v>2</v>
          </cell>
          <cell r="U6210">
            <v>0</v>
          </cell>
          <cell r="V6210">
            <v>0</v>
          </cell>
          <cell r="W6210">
            <v>0</v>
          </cell>
          <cell r="X6210">
            <v>0</v>
          </cell>
          <cell r="Y6210">
            <v>0</v>
          </cell>
          <cell r="Z6210">
            <v>0</v>
          </cell>
        </row>
        <row r="6211">
          <cell r="D6211">
            <v>340383</v>
          </cell>
          <cell r="E6211" t="str">
            <v>Cabrera-Altres National High School</v>
          </cell>
          <cell r="F6211">
            <v>0</v>
          </cell>
          <cell r="G6211">
            <v>0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>
            <v>0</v>
          </cell>
          <cell r="M6211">
            <v>0</v>
          </cell>
          <cell r="N6211">
            <v>0</v>
          </cell>
          <cell r="O6211">
            <v>0</v>
          </cell>
          <cell r="P6211">
            <v>0</v>
          </cell>
          <cell r="Q6211">
            <v>0</v>
          </cell>
          <cell r="R6211">
            <v>0</v>
          </cell>
          <cell r="S6211">
            <v>0</v>
          </cell>
          <cell r="T6211">
            <v>0</v>
          </cell>
          <cell r="U6211">
            <v>0</v>
          </cell>
          <cell r="V6211">
            <v>0</v>
          </cell>
          <cell r="W6211">
            <v>0</v>
          </cell>
          <cell r="X6211">
            <v>0</v>
          </cell>
          <cell r="Y6211">
            <v>0</v>
          </cell>
          <cell r="Z6211">
            <v>0</v>
          </cell>
        </row>
        <row r="6212">
          <cell r="D6212">
            <v>317703</v>
          </cell>
          <cell r="E6212" t="str">
            <v>Libuac National High School</v>
          </cell>
          <cell r="F6212">
            <v>3</v>
          </cell>
          <cell r="G6212">
            <v>1</v>
          </cell>
          <cell r="H6212">
            <v>4</v>
          </cell>
          <cell r="I6212">
            <v>3</v>
          </cell>
          <cell r="J6212">
            <v>1</v>
          </cell>
          <cell r="K6212">
            <v>4</v>
          </cell>
          <cell r="L6212">
            <v>2</v>
          </cell>
          <cell r="M6212">
            <v>1</v>
          </cell>
          <cell r="N6212">
            <v>3</v>
          </cell>
          <cell r="O6212">
            <v>0</v>
          </cell>
          <cell r="P6212">
            <v>0</v>
          </cell>
          <cell r="Q6212">
            <v>0</v>
          </cell>
          <cell r="R6212">
            <v>0</v>
          </cell>
          <cell r="S6212">
            <v>0</v>
          </cell>
          <cell r="T6212">
            <v>0</v>
          </cell>
          <cell r="U6212">
            <v>0</v>
          </cell>
          <cell r="V6212">
            <v>0</v>
          </cell>
          <cell r="W6212">
            <v>0</v>
          </cell>
          <cell r="X6212">
            <v>0</v>
          </cell>
          <cell r="Y6212">
            <v>0</v>
          </cell>
          <cell r="Z6212">
            <v>0</v>
          </cell>
        </row>
        <row r="6213">
          <cell r="D6213">
            <v>304805</v>
          </cell>
          <cell r="E6213" t="str">
            <v>Talisay NHS - Annex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0</v>
          </cell>
          <cell r="M6213">
            <v>0</v>
          </cell>
          <cell r="N6213">
            <v>0</v>
          </cell>
          <cell r="O6213">
            <v>0</v>
          </cell>
          <cell r="P6213">
            <v>0</v>
          </cell>
          <cell r="Q6213">
            <v>0</v>
          </cell>
          <cell r="R6213">
            <v>0</v>
          </cell>
          <cell r="S6213">
            <v>0</v>
          </cell>
          <cell r="T6213">
            <v>0</v>
          </cell>
          <cell r="U6213">
            <v>0</v>
          </cell>
          <cell r="V6213">
            <v>0</v>
          </cell>
          <cell r="W6213">
            <v>0</v>
          </cell>
          <cell r="X6213">
            <v>0</v>
          </cell>
          <cell r="Y6213">
            <v>0</v>
          </cell>
          <cell r="Z6213">
            <v>0</v>
          </cell>
        </row>
        <row r="6214">
          <cell r="D6214">
            <v>317706</v>
          </cell>
          <cell r="E6214" t="str">
            <v>Manjagao NHS</v>
          </cell>
          <cell r="F6214">
            <v>0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0</v>
          </cell>
          <cell r="M6214">
            <v>0</v>
          </cell>
          <cell r="N6214">
            <v>0</v>
          </cell>
          <cell r="O6214">
            <v>0</v>
          </cell>
          <cell r="P6214">
            <v>0</v>
          </cell>
          <cell r="Q6214">
            <v>0</v>
          </cell>
          <cell r="R6214">
            <v>0</v>
          </cell>
          <cell r="S6214">
            <v>0</v>
          </cell>
          <cell r="T6214">
            <v>0</v>
          </cell>
          <cell r="U6214">
            <v>0</v>
          </cell>
          <cell r="V6214">
            <v>0</v>
          </cell>
          <cell r="W6214">
            <v>0</v>
          </cell>
          <cell r="X6214">
            <v>0</v>
          </cell>
          <cell r="Y6214">
            <v>0</v>
          </cell>
          <cell r="Z6214">
            <v>0</v>
          </cell>
        </row>
        <row r="6215">
          <cell r="D6215">
            <v>317701</v>
          </cell>
          <cell r="E6215" t="str">
            <v>Taft NHS</v>
          </cell>
          <cell r="F6215">
            <v>0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0</v>
          </cell>
          <cell r="M6215">
            <v>0</v>
          </cell>
          <cell r="N6215">
            <v>0</v>
          </cell>
          <cell r="O6215">
            <v>0</v>
          </cell>
          <cell r="P6215">
            <v>0</v>
          </cell>
          <cell r="Q6215">
            <v>0</v>
          </cell>
          <cell r="R6215">
            <v>0</v>
          </cell>
          <cell r="S6215">
            <v>0</v>
          </cell>
          <cell r="T6215">
            <v>0</v>
          </cell>
          <cell r="U6215">
            <v>0</v>
          </cell>
          <cell r="V6215">
            <v>0</v>
          </cell>
          <cell r="W6215">
            <v>0</v>
          </cell>
          <cell r="X6215">
            <v>0</v>
          </cell>
          <cell r="Y6215">
            <v>0</v>
          </cell>
          <cell r="Z6215">
            <v>0</v>
          </cell>
        </row>
        <row r="6216">
          <cell r="D6216">
            <v>304800</v>
          </cell>
          <cell r="E6216" t="str">
            <v>Anomar NHS</v>
          </cell>
          <cell r="F6216">
            <v>70</v>
          </cell>
          <cell r="G6216">
            <v>55</v>
          </cell>
          <cell r="H6216">
            <v>125</v>
          </cell>
          <cell r="I6216">
            <v>18</v>
          </cell>
          <cell r="J6216">
            <v>10</v>
          </cell>
          <cell r="K6216">
            <v>28</v>
          </cell>
          <cell r="L6216">
            <v>20</v>
          </cell>
          <cell r="M6216">
            <v>14</v>
          </cell>
          <cell r="N6216">
            <v>34</v>
          </cell>
          <cell r="O6216">
            <v>0</v>
          </cell>
          <cell r="P6216">
            <v>0</v>
          </cell>
          <cell r="Q6216">
            <v>0</v>
          </cell>
          <cell r="R6216">
            <v>0</v>
          </cell>
          <cell r="S6216">
            <v>0</v>
          </cell>
          <cell r="T6216">
            <v>0</v>
          </cell>
          <cell r="U6216">
            <v>0</v>
          </cell>
          <cell r="V6216">
            <v>0</v>
          </cell>
          <cell r="W6216">
            <v>0</v>
          </cell>
          <cell r="X6216">
            <v>0</v>
          </cell>
          <cell r="Y6216">
            <v>0</v>
          </cell>
          <cell r="Z6216">
            <v>0</v>
          </cell>
        </row>
        <row r="6217">
          <cell r="D6217">
            <v>304803</v>
          </cell>
          <cell r="E6217" t="str">
            <v>Day-asan NHS</v>
          </cell>
          <cell r="F6217">
            <v>0</v>
          </cell>
          <cell r="G6217">
            <v>0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  <cell r="L6217">
            <v>0</v>
          </cell>
          <cell r="M6217">
            <v>0</v>
          </cell>
          <cell r="N6217">
            <v>0</v>
          </cell>
          <cell r="O6217">
            <v>0</v>
          </cell>
          <cell r="P6217">
            <v>0</v>
          </cell>
          <cell r="Q6217">
            <v>0</v>
          </cell>
          <cell r="R6217">
            <v>0</v>
          </cell>
          <cell r="S6217">
            <v>0</v>
          </cell>
          <cell r="T6217">
            <v>0</v>
          </cell>
          <cell r="U6217">
            <v>0</v>
          </cell>
          <cell r="V6217">
            <v>0</v>
          </cell>
          <cell r="W6217">
            <v>0</v>
          </cell>
          <cell r="X6217">
            <v>0</v>
          </cell>
          <cell r="Y6217">
            <v>0</v>
          </cell>
          <cell r="Z6217">
            <v>0</v>
          </cell>
        </row>
        <row r="6218">
          <cell r="D6218">
            <v>304801</v>
          </cell>
          <cell r="E6218" t="str">
            <v>Surigao City NHS</v>
          </cell>
          <cell r="F6218">
            <v>0</v>
          </cell>
          <cell r="G6218">
            <v>0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0</v>
          </cell>
          <cell r="M6218">
            <v>0</v>
          </cell>
          <cell r="N6218">
            <v>0</v>
          </cell>
          <cell r="O6218">
            <v>0</v>
          </cell>
          <cell r="P6218">
            <v>0</v>
          </cell>
          <cell r="Q6218">
            <v>0</v>
          </cell>
          <cell r="R6218">
            <v>0</v>
          </cell>
          <cell r="S6218">
            <v>0</v>
          </cell>
          <cell r="T6218">
            <v>0</v>
          </cell>
          <cell r="U6218">
            <v>0</v>
          </cell>
          <cell r="V6218">
            <v>0</v>
          </cell>
          <cell r="W6218">
            <v>0</v>
          </cell>
          <cell r="X6218">
            <v>0</v>
          </cell>
          <cell r="Y6218">
            <v>0</v>
          </cell>
          <cell r="Z6218">
            <v>0</v>
          </cell>
        </row>
        <row r="6219">
          <cell r="D6219">
            <v>317704</v>
          </cell>
          <cell r="E6219" t="str">
            <v>Lipata National High School</v>
          </cell>
          <cell r="F6219">
            <v>0</v>
          </cell>
          <cell r="G6219">
            <v>0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>
            <v>0</v>
          </cell>
          <cell r="M6219">
            <v>0</v>
          </cell>
          <cell r="N6219">
            <v>0</v>
          </cell>
          <cell r="O6219">
            <v>0</v>
          </cell>
          <cell r="P6219">
            <v>0</v>
          </cell>
          <cell r="Q6219">
            <v>0</v>
          </cell>
          <cell r="R6219">
            <v>0</v>
          </cell>
          <cell r="S6219">
            <v>0</v>
          </cell>
          <cell r="T6219">
            <v>0</v>
          </cell>
          <cell r="U6219">
            <v>0</v>
          </cell>
          <cell r="V6219">
            <v>0</v>
          </cell>
          <cell r="W6219">
            <v>0</v>
          </cell>
          <cell r="X6219">
            <v>0</v>
          </cell>
          <cell r="Y6219">
            <v>0</v>
          </cell>
          <cell r="Z6219">
            <v>0</v>
          </cell>
        </row>
        <row r="6220">
          <cell r="D6220">
            <v>304802</v>
          </cell>
          <cell r="E6220" t="str">
            <v>Capalayan NHS</v>
          </cell>
          <cell r="F6220">
            <v>0</v>
          </cell>
          <cell r="G6220">
            <v>0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  <cell r="L6220">
            <v>0</v>
          </cell>
          <cell r="M6220">
            <v>0</v>
          </cell>
          <cell r="N6220">
            <v>0</v>
          </cell>
          <cell r="O6220">
            <v>0</v>
          </cell>
          <cell r="P6220">
            <v>0</v>
          </cell>
          <cell r="Q6220">
            <v>0</v>
          </cell>
          <cell r="R6220">
            <v>0</v>
          </cell>
          <cell r="S6220">
            <v>0</v>
          </cell>
          <cell r="T6220">
            <v>0</v>
          </cell>
          <cell r="U6220">
            <v>0</v>
          </cell>
          <cell r="V6220">
            <v>0</v>
          </cell>
          <cell r="W6220">
            <v>0</v>
          </cell>
          <cell r="X6220">
            <v>0</v>
          </cell>
          <cell r="Y6220">
            <v>0</v>
          </cell>
          <cell r="Z6220">
            <v>0</v>
          </cell>
        </row>
        <row r="6221">
          <cell r="D6221">
            <v>304792</v>
          </cell>
          <cell r="E6221" t="str">
            <v>Juan P. Cedro Sr. Memorial High Schoo</v>
          </cell>
          <cell r="F6221">
            <v>23</v>
          </cell>
          <cell r="G6221">
            <v>11</v>
          </cell>
          <cell r="H6221">
            <v>34</v>
          </cell>
          <cell r="I6221">
            <v>0</v>
          </cell>
          <cell r="J6221">
            <v>0</v>
          </cell>
          <cell r="K6221">
            <v>0</v>
          </cell>
          <cell r="L6221">
            <v>0</v>
          </cell>
          <cell r="M6221">
            <v>0</v>
          </cell>
          <cell r="N6221">
            <v>0</v>
          </cell>
          <cell r="O6221">
            <v>0</v>
          </cell>
          <cell r="P6221">
            <v>0</v>
          </cell>
          <cell r="Q6221">
            <v>0</v>
          </cell>
          <cell r="R6221">
            <v>0</v>
          </cell>
          <cell r="S6221">
            <v>0</v>
          </cell>
          <cell r="T6221">
            <v>0</v>
          </cell>
          <cell r="U6221">
            <v>0</v>
          </cell>
          <cell r="V6221">
            <v>0</v>
          </cell>
          <cell r="W6221">
            <v>0</v>
          </cell>
          <cell r="X6221">
            <v>0</v>
          </cell>
          <cell r="Y6221">
            <v>0</v>
          </cell>
          <cell r="Z6221">
            <v>0</v>
          </cell>
        </row>
        <row r="6222">
          <cell r="D6222">
            <v>304794</v>
          </cell>
          <cell r="E6222" t="str">
            <v>Caraga Regional Science HS</v>
          </cell>
          <cell r="F6222">
            <v>288</v>
          </cell>
          <cell r="G6222">
            <v>188</v>
          </cell>
          <cell r="H6222">
            <v>476</v>
          </cell>
          <cell r="I6222">
            <v>0</v>
          </cell>
          <cell r="J6222">
            <v>0</v>
          </cell>
          <cell r="K6222">
            <v>0</v>
          </cell>
          <cell r="L6222">
            <v>0</v>
          </cell>
          <cell r="M6222">
            <v>0</v>
          </cell>
          <cell r="N6222">
            <v>0</v>
          </cell>
          <cell r="O6222">
            <v>0</v>
          </cell>
          <cell r="P6222">
            <v>0</v>
          </cell>
          <cell r="Q6222">
            <v>0</v>
          </cell>
          <cell r="R6222">
            <v>0</v>
          </cell>
          <cell r="S6222">
            <v>0</v>
          </cell>
          <cell r="T6222">
            <v>0</v>
          </cell>
          <cell r="U6222">
            <v>0</v>
          </cell>
          <cell r="V6222">
            <v>0</v>
          </cell>
          <cell r="W6222">
            <v>0</v>
          </cell>
          <cell r="X6222">
            <v>0</v>
          </cell>
          <cell r="Y6222">
            <v>0</v>
          </cell>
          <cell r="Z6222">
            <v>0</v>
          </cell>
        </row>
        <row r="6223">
          <cell r="D6223">
            <v>304806</v>
          </cell>
          <cell r="E6223" t="str">
            <v>Zaragoza National High School</v>
          </cell>
          <cell r="F6223">
            <v>34</v>
          </cell>
          <cell r="G6223">
            <v>18</v>
          </cell>
          <cell r="H6223">
            <v>52</v>
          </cell>
          <cell r="I6223">
            <v>0</v>
          </cell>
          <cell r="J6223">
            <v>0</v>
          </cell>
          <cell r="K6223">
            <v>0</v>
          </cell>
          <cell r="L6223">
            <v>0</v>
          </cell>
          <cell r="M6223">
            <v>0</v>
          </cell>
          <cell r="N6223">
            <v>0</v>
          </cell>
          <cell r="O6223">
            <v>0</v>
          </cell>
          <cell r="P6223">
            <v>0</v>
          </cell>
          <cell r="Q6223">
            <v>0</v>
          </cell>
          <cell r="R6223">
            <v>0</v>
          </cell>
          <cell r="S6223">
            <v>0</v>
          </cell>
          <cell r="T6223">
            <v>0</v>
          </cell>
          <cell r="U6223">
            <v>0</v>
          </cell>
          <cell r="V6223">
            <v>0</v>
          </cell>
          <cell r="W6223">
            <v>0</v>
          </cell>
          <cell r="X6223">
            <v>0</v>
          </cell>
          <cell r="Y6223">
            <v>0</v>
          </cell>
          <cell r="Z6223">
            <v>0</v>
          </cell>
        </row>
        <row r="6224">
          <cell r="D6224">
            <v>317707</v>
          </cell>
          <cell r="E6224" t="str">
            <v>Wilfredo D. Rafols Memorial National High School</v>
          </cell>
          <cell r="F6224">
            <v>14</v>
          </cell>
          <cell r="G6224">
            <v>21</v>
          </cell>
          <cell r="H6224">
            <v>35</v>
          </cell>
          <cell r="I6224">
            <v>13</v>
          </cell>
          <cell r="J6224">
            <v>19</v>
          </cell>
          <cell r="K6224">
            <v>32</v>
          </cell>
          <cell r="L6224">
            <v>51</v>
          </cell>
          <cell r="M6224">
            <v>92</v>
          </cell>
          <cell r="N6224">
            <v>143</v>
          </cell>
          <cell r="O6224">
            <v>0</v>
          </cell>
          <cell r="P6224">
            <v>0</v>
          </cell>
          <cell r="Q6224">
            <v>0</v>
          </cell>
          <cell r="R6224">
            <v>0</v>
          </cell>
          <cell r="S6224">
            <v>0</v>
          </cell>
          <cell r="T6224">
            <v>0</v>
          </cell>
          <cell r="U6224">
            <v>1</v>
          </cell>
          <cell r="V6224">
            <v>2</v>
          </cell>
          <cell r="W6224">
            <v>3</v>
          </cell>
          <cell r="X6224">
            <v>0</v>
          </cell>
          <cell r="Y6224">
            <v>0</v>
          </cell>
          <cell r="Z6224">
            <v>0</v>
          </cell>
        </row>
        <row r="6225">
          <cell r="D6225">
            <v>304807</v>
          </cell>
          <cell r="E6225" t="str">
            <v>San Jose NHS</v>
          </cell>
          <cell r="F6225">
            <v>22</v>
          </cell>
          <cell r="G6225">
            <v>25</v>
          </cell>
          <cell r="H6225">
            <v>47</v>
          </cell>
          <cell r="I6225">
            <v>0</v>
          </cell>
          <cell r="J6225">
            <v>0</v>
          </cell>
          <cell r="K6225">
            <v>0</v>
          </cell>
          <cell r="L6225">
            <v>0</v>
          </cell>
          <cell r="M6225">
            <v>0</v>
          </cell>
          <cell r="N6225">
            <v>0</v>
          </cell>
          <cell r="O6225">
            <v>0</v>
          </cell>
          <cell r="P6225">
            <v>0</v>
          </cell>
          <cell r="Q6225">
            <v>0</v>
          </cell>
          <cell r="R6225">
            <v>0</v>
          </cell>
          <cell r="S6225">
            <v>0</v>
          </cell>
          <cell r="T6225">
            <v>0</v>
          </cell>
          <cell r="U6225">
            <v>0</v>
          </cell>
          <cell r="V6225">
            <v>0</v>
          </cell>
          <cell r="W6225">
            <v>0</v>
          </cell>
          <cell r="X6225">
            <v>0</v>
          </cell>
          <cell r="Y6225">
            <v>0</v>
          </cell>
          <cell r="Z6225">
            <v>0</v>
          </cell>
        </row>
        <row r="6226">
          <cell r="D6226">
            <v>317702</v>
          </cell>
          <cell r="E6226" t="str">
            <v>Cantiasay NHS</v>
          </cell>
          <cell r="F6226">
            <v>0</v>
          </cell>
          <cell r="G6226">
            <v>0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>
            <v>0</v>
          </cell>
          <cell r="M6226">
            <v>0</v>
          </cell>
          <cell r="N6226">
            <v>0</v>
          </cell>
          <cell r="O6226">
            <v>0</v>
          </cell>
          <cell r="P6226">
            <v>0</v>
          </cell>
          <cell r="Q6226">
            <v>0</v>
          </cell>
          <cell r="R6226">
            <v>0</v>
          </cell>
          <cell r="S6226">
            <v>0</v>
          </cell>
          <cell r="T6226">
            <v>0</v>
          </cell>
          <cell r="U6226">
            <v>0</v>
          </cell>
          <cell r="V6226">
            <v>0</v>
          </cell>
          <cell r="W6226">
            <v>0</v>
          </cell>
          <cell r="X6226">
            <v>0</v>
          </cell>
          <cell r="Y6226">
            <v>0</v>
          </cell>
          <cell r="Z6226">
            <v>0</v>
          </cell>
        </row>
        <row r="6227">
          <cell r="D6227">
            <v>304793</v>
          </cell>
          <cell r="E6227" t="str">
            <v>Alegria NHS</v>
          </cell>
          <cell r="F6227">
            <v>17</v>
          </cell>
          <cell r="G6227">
            <v>30</v>
          </cell>
          <cell r="H6227">
            <v>47</v>
          </cell>
          <cell r="I6227">
            <v>1</v>
          </cell>
          <cell r="J6227">
            <v>12</v>
          </cell>
          <cell r="K6227">
            <v>13</v>
          </cell>
          <cell r="L6227">
            <v>1</v>
          </cell>
          <cell r="M6227">
            <v>12</v>
          </cell>
          <cell r="N6227">
            <v>13</v>
          </cell>
          <cell r="O6227">
            <v>0</v>
          </cell>
          <cell r="P6227">
            <v>0</v>
          </cell>
          <cell r="Q6227">
            <v>0</v>
          </cell>
          <cell r="R6227">
            <v>0</v>
          </cell>
          <cell r="S6227">
            <v>0</v>
          </cell>
          <cell r="T6227">
            <v>0</v>
          </cell>
          <cell r="U6227">
            <v>1</v>
          </cell>
          <cell r="V6227">
            <v>3</v>
          </cell>
          <cell r="W6227">
            <v>4</v>
          </cell>
          <cell r="X6227">
            <v>0</v>
          </cell>
          <cell r="Y6227">
            <v>0</v>
          </cell>
          <cell r="Z6227">
            <v>0</v>
          </cell>
        </row>
        <row r="6228">
          <cell r="D6228">
            <v>304795</v>
          </cell>
          <cell r="E6228" t="str">
            <v>Ipil NHS</v>
          </cell>
          <cell r="F6228">
            <v>99</v>
          </cell>
          <cell r="G6228">
            <v>68</v>
          </cell>
          <cell r="H6228">
            <v>167</v>
          </cell>
          <cell r="I6228">
            <v>2</v>
          </cell>
          <cell r="J6228">
            <v>5</v>
          </cell>
          <cell r="K6228">
            <v>7</v>
          </cell>
          <cell r="L6228">
            <v>0</v>
          </cell>
          <cell r="M6228">
            <v>0</v>
          </cell>
          <cell r="N6228">
            <v>0</v>
          </cell>
          <cell r="O6228">
            <v>0</v>
          </cell>
          <cell r="P6228">
            <v>0</v>
          </cell>
          <cell r="Q6228">
            <v>0</v>
          </cell>
          <cell r="R6228">
            <v>0</v>
          </cell>
          <cell r="S6228">
            <v>0</v>
          </cell>
          <cell r="T6228">
            <v>0</v>
          </cell>
          <cell r="U6228">
            <v>0</v>
          </cell>
          <cell r="V6228">
            <v>0</v>
          </cell>
          <cell r="W6228">
            <v>0</v>
          </cell>
          <cell r="X6228">
            <v>0</v>
          </cell>
          <cell r="Y6228">
            <v>0</v>
          </cell>
          <cell r="Z6228">
            <v>0</v>
          </cell>
        </row>
        <row r="6229">
          <cell r="D6229">
            <v>304804</v>
          </cell>
          <cell r="E6229" t="str">
            <v>Nonoc NHS - Annex</v>
          </cell>
          <cell r="F6229">
            <v>0</v>
          </cell>
          <cell r="G6229">
            <v>0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>
            <v>0</v>
          </cell>
          <cell r="M6229">
            <v>0</v>
          </cell>
          <cell r="N6229">
            <v>0</v>
          </cell>
          <cell r="O6229">
            <v>0</v>
          </cell>
          <cell r="P6229">
            <v>0</v>
          </cell>
          <cell r="Q6229">
            <v>0</v>
          </cell>
          <cell r="R6229">
            <v>0</v>
          </cell>
          <cell r="S6229">
            <v>0</v>
          </cell>
          <cell r="T6229">
            <v>0</v>
          </cell>
          <cell r="U6229">
            <v>0</v>
          </cell>
          <cell r="V6229">
            <v>0</v>
          </cell>
          <cell r="W6229">
            <v>0</v>
          </cell>
          <cell r="X6229">
            <v>0</v>
          </cell>
          <cell r="Y6229">
            <v>0</v>
          </cell>
          <cell r="Z6229">
            <v>0</v>
          </cell>
        </row>
        <row r="6230">
          <cell r="D6230">
            <v>317705</v>
          </cell>
          <cell r="E6230" t="str">
            <v>Patricio A. Bernaldez Memorial National High School</v>
          </cell>
          <cell r="F6230">
            <v>27</v>
          </cell>
          <cell r="G6230">
            <v>10</v>
          </cell>
          <cell r="H6230">
            <v>37</v>
          </cell>
          <cell r="I6230">
            <v>15</v>
          </cell>
          <cell r="J6230">
            <v>1</v>
          </cell>
          <cell r="K6230">
            <v>16</v>
          </cell>
          <cell r="L6230">
            <v>72</v>
          </cell>
          <cell r="M6230">
            <v>1</v>
          </cell>
          <cell r="N6230">
            <v>73</v>
          </cell>
          <cell r="O6230">
            <v>0</v>
          </cell>
          <cell r="P6230">
            <v>0</v>
          </cell>
          <cell r="Q6230">
            <v>0</v>
          </cell>
          <cell r="R6230">
            <v>0</v>
          </cell>
          <cell r="S6230">
            <v>0</v>
          </cell>
          <cell r="T6230">
            <v>0</v>
          </cell>
          <cell r="U6230">
            <v>0</v>
          </cell>
          <cell r="V6230">
            <v>0</v>
          </cell>
          <cell r="W6230">
            <v>0</v>
          </cell>
          <cell r="X6230">
            <v>0</v>
          </cell>
          <cell r="Y6230">
            <v>0</v>
          </cell>
          <cell r="Z6230">
            <v>0</v>
          </cell>
        </row>
        <row r="6231">
          <cell r="D6231">
            <v>304799</v>
          </cell>
          <cell r="E6231" t="str">
            <v>Mat-i National High School</v>
          </cell>
          <cell r="F6231">
            <v>0</v>
          </cell>
          <cell r="G6231">
            <v>0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>
            <v>0</v>
          </cell>
          <cell r="M6231">
            <v>0</v>
          </cell>
          <cell r="N6231">
            <v>0</v>
          </cell>
          <cell r="O6231">
            <v>0</v>
          </cell>
          <cell r="P6231">
            <v>0</v>
          </cell>
          <cell r="Q6231">
            <v>0</v>
          </cell>
          <cell r="R6231">
            <v>0</v>
          </cell>
          <cell r="S6231">
            <v>0</v>
          </cell>
          <cell r="T6231">
            <v>0</v>
          </cell>
          <cell r="U6231">
            <v>0</v>
          </cell>
          <cell r="V6231">
            <v>0</v>
          </cell>
          <cell r="W6231">
            <v>0</v>
          </cell>
          <cell r="X6231">
            <v>0</v>
          </cell>
          <cell r="Y6231">
            <v>0</v>
          </cell>
          <cell r="Z6231">
            <v>0</v>
          </cell>
        </row>
        <row r="6232">
          <cell r="D6232">
            <v>317807</v>
          </cell>
          <cell r="E6232" t="str">
            <v>Pananay-an National High School</v>
          </cell>
          <cell r="F6232">
            <v>0</v>
          </cell>
          <cell r="G6232">
            <v>0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>
            <v>0</v>
          </cell>
          <cell r="M6232">
            <v>0</v>
          </cell>
          <cell r="N6232">
            <v>0</v>
          </cell>
          <cell r="O6232">
            <v>0</v>
          </cell>
          <cell r="P6232">
            <v>0</v>
          </cell>
          <cell r="Q6232">
            <v>0</v>
          </cell>
          <cell r="R6232">
            <v>0</v>
          </cell>
          <cell r="S6232">
            <v>0</v>
          </cell>
          <cell r="T6232">
            <v>0</v>
          </cell>
          <cell r="U6232">
            <v>0</v>
          </cell>
          <cell r="V6232">
            <v>0</v>
          </cell>
          <cell r="W6232">
            <v>0</v>
          </cell>
          <cell r="X6232">
            <v>0</v>
          </cell>
          <cell r="Y6232">
            <v>0</v>
          </cell>
          <cell r="Z6232">
            <v>0</v>
          </cell>
        </row>
        <row r="6233">
          <cell r="D6233">
            <v>304829</v>
          </cell>
          <cell r="E6233" t="str">
            <v>Mainit National High School</v>
          </cell>
          <cell r="F6233">
            <v>0</v>
          </cell>
          <cell r="G6233">
            <v>0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>
            <v>0</v>
          </cell>
          <cell r="M6233">
            <v>0</v>
          </cell>
          <cell r="N6233">
            <v>0</v>
          </cell>
          <cell r="O6233">
            <v>0</v>
          </cell>
          <cell r="P6233">
            <v>0</v>
          </cell>
          <cell r="Q6233">
            <v>0</v>
          </cell>
          <cell r="R6233">
            <v>0</v>
          </cell>
          <cell r="S6233">
            <v>0</v>
          </cell>
          <cell r="T6233">
            <v>0</v>
          </cell>
          <cell r="U6233">
            <v>0</v>
          </cell>
          <cell r="V6233">
            <v>0</v>
          </cell>
          <cell r="W6233">
            <v>0</v>
          </cell>
          <cell r="X6233">
            <v>0</v>
          </cell>
          <cell r="Y6233">
            <v>0</v>
          </cell>
          <cell r="Z6233">
            <v>0</v>
          </cell>
        </row>
        <row r="6234">
          <cell r="D6234">
            <v>304812</v>
          </cell>
          <cell r="E6234" t="str">
            <v>Tagana-an National High School (ASA NHS)</v>
          </cell>
          <cell r="F6234">
            <v>0</v>
          </cell>
          <cell r="G6234">
            <v>0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>
            <v>0</v>
          </cell>
          <cell r="M6234">
            <v>0</v>
          </cell>
          <cell r="N6234">
            <v>0</v>
          </cell>
          <cell r="O6234">
            <v>0</v>
          </cell>
          <cell r="P6234">
            <v>0</v>
          </cell>
          <cell r="Q6234">
            <v>0</v>
          </cell>
          <cell r="R6234">
            <v>0</v>
          </cell>
          <cell r="S6234">
            <v>0</v>
          </cell>
          <cell r="T6234">
            <v>0</v>
          </cell>
          <cell r="U6234">
            <v>0</v>
          </cell>
          <cell r="V6234">
            <v>0</v>
          </cell>
          <cell r="W6234">
            <v>0</v>
          </cell>
          <cell r="X6234">
            <v>0</v>
          </cell>
          <cell r="Y6234">
            <v>0</v>
          </cell>
          <cell r="Z6234">
            <v>0</v>
          </cell>
        </row>
        <row r="6235">
          <cell r="D6235">
            <v>304847</v>
          </cell>
          <cell r="E6235" t="str">
            <v>Surigao Del Norte National High School</v>
          </cell>
          <cell r="F6235">
            <v>0</v>
          </cell>
          <cell r="G6235">
            <v>0</v>
          </cell>
          <cell r="H6235">
            <v>0</v>
          </cell>
          <cell r="I6235">
            <v>0</v>
          </cell>
          <cell r="J6235">
            <v>0</v>
          </cell>
          <cell r="K6235">
            <v>0</v>
          </cell>
          <cell r="L6235">
            <v>0</v>
          </cell>
          <cell r="M6235">
            <v>0</v>
          </cell>
          <cell r="N6235">
            <v>0</v>
          </cell>
          <cell r="O6235">
            <v>0</v>
          </cell>
          <cell r="P6235">
            <v>0</v>
          </cell>
          <cell r="Q6235">
            <v>0</v>
          </cell>
          <cell r="R6235">
            <v>0</v>
          </cell>
          <cell r="S6235">
            <v>0</v>
          </cell>
          <cell r="T6235">
            <v>0</v>
          </cell>
          <cell r="U6235">
            <v>0</v>
          </cell>
          <cell r="V6235">
            <v>0</v>
          </cell>
          <cell r="W6235">
            <v>0</v>
          </cell>
          <cell r="X6235">
            <v>0</v>
          </cell>
          <cell r="Y6235">
            <v>0</v>
          </cell>
          <cell r="Z6235">
            <v>0</v>
          </cell>
        </row>
        <row r="6236">
          <cell r="D6236">
            <v>340416</v>
          </cell>
          <cell r="E6236" t="str">
            <v>Alegria Stand Alone Senior High School</v>
          </cell>
          <cell r="F6236">
            <v>0</v>
          </cell>
          <cell r="G6236">
            <v>0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>
            <v>0</v>
          </cell>
          <cell r="M6236">
            <v>0</v>
          </cell>
          <cell r="N6236">
            <v>0</v>
          </cell>
          <cell r="O6236">
            <v>0</v>
          </cell>
          <cell r="P6236">
            <v>0</v>
          </cell>
          <cell r="Q6236">
            <v>0</v>
          </cell>
          <cell r="R6236">
            <v>0</v>
          </cell>
          <cell r="S6236">
            <v>0</v>
          </cell>
          <cell r="T6236">
            <v>0</v>
          </cell>
          <cell r="U6236">
            <v>0</v>
          </cell>
          <cell r="V6236">
            <v>0</v>
          </cell>
          <cell r="W6236">
            <v>0</v>
          </cell>
          <cell r="X6236">
            <v>0</v>
          </cell>
          <cell r="Y6236">
            <v>0</v>
          </cell>
          <cell r="Z6236">
            <v>0</v>
          </cell>
        </row>
        <row r="6237">
          <cell r="D6237">
            <v>304838</v>
          </cell>
          <cell r="E6237" t="str">
            <v>Lakandula National High School</v>
          </cell>
          <cell r="F6237">
            <v>0</v>
          </cell>
          <cell r="G6237">
            <v>0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>
            <v>0</v>
          </cell>
          <cell r="M6237">
            <v>0</v>
          </cell>
          <cell r="N6237">
            <v>0</v>
          </cell>
          <cell r="O6237">
            <v>0</v>
          </cell>
          <cell r="P6237">
            <v>0</v>
          </cell>
          <cell r="Q6237">
            <v>0</v>
          </cell>
          <cell r="R6237">
            <v>0</v>
          </cell>
          <cell r="S6237">
            <v>0</v>
          </cell>
          <cell r="T6237">
            <v>0</v>
          </cell>
          <cell r="U6237">
            <v>0</v>
          </cell>
          <cell r="V6237">
            <v>0</v>
          </cell>
          <cell r="W6237">
            <v>0</v>
          </cell>
          <cell r="X6237">
            <v>0</v>
          </cell>
          <cell r="Y6237">
            <v>0</v>
          </cell>
          <cell r="Z6237">
            <v>0</v>
          </cell>
        </row>
        <row r="6238">
          <cell r="D6238">
            <v>317809</v>
          </cell>
          <cell r="E6238" t="str">
            <v>Talavera National High School</v>
          </cell>
          <cell r="F6238">
            <v>0</v>
          </cell>
          <cell r="G6238">
            <v>0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>
            <v>0</v>
          </cell>
          <cell r="M6238">
            <v>0</v>
          </cell>
          <cell r="N6238">
            <v>0</v>
          </cell>
          <cell r="O6238">
            <v>0</v>
          </cell>
          <cell r="P6238">
            <v>0</v>
          </cell>
          <cell r="Q6238">
            <v>0</v>
          </cell>
          <cell r="R6238">
            <v>0</v>
          </cell>
          <cell r="S6238">
            <v>0</v>
          </cell>
          <cell r="T6238">
            <v>0</v>
          </cell>
          <cell r="U6238">
            <v>0</v>
          </cell>
          <cell r="V6238">
            <v>0</v>
          </cell>
          <cell r="W6238">
            <v>0</v>
          </cell>
          <cell r="X6238">
            <v>0</v>
          </cell>
          <cell r="Y6238">
            <v>0</v>
          </cell>
          <cell r="Z6238">
            <v>0</v>
          </cell>
        </row>
        <row r="6239">
          <cell r="D6239">
            <v>317810</v>
          </cell>
          <cell r="E6239" t="str">
            <v>Cawilan National High School</v>
          </cell>
          <cell r="F6239">
            <v>0</v>
          </cell>
          <cell r="G6239">
            <v>0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>
            <v>0</v>
          </cell>
          <cell r="M6239">
            <v>0</v>
          </cell>
          <cell r="N6239">
            <v>0</v>
          </cell>
          <cell r="O6239">
            <v>0</v>
          </cell>
          <cell r="P6239">
            <v>0</v>
          </cell>
          <cell r="Q6239">
            <v>0</v>
          </cell>
          <cell r="R6239">
            <v>0</v>
          </cell>
          <cell r="S6239">
            <v>0</v>
          </cell>
          <cell r="T6239">
            <v>0</v>
          </cell>
          <cell r="U6239">
            <v>0</v>
          </cell>
          <cell r="V6239">
            <v>0</v>
          </cell>
          <cell r="W6239">
            <v>0</v>
          </cell>
          <cell r="X6239">
            <v>0</v>
          </cell>
          <cell r="Y6239">
            <v>0</v>
          </cell>
          <cell r="Z6239">
            <v>0</v>
          </cell>
        </row>
        <row r="6240">
          <cell r="D6240">
            <v>304819</v>
          </cell>
          <cell r="E6240" t="str">
            <v>Pili National High School</v>
          </cell>
          <cell r="F6240">
            <v>0</v>
          </cell>
          <cell r="G6240">
            <v>0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>
            <v>0</v>
          </cell>
          <cell r="M6240">
            <v>0</v>
          </cell>
          <cell r="N6240">
            <v>0</v>
          </cell>
          <cell r="O6240">
            <v>0</v>
          </cell>
          <cell r="P6240">
            <v>0</v>
          </cell>
          <cell r="Q6240">
            <v>0</v>
          </cell>
          <cell r="R6240">
            <v>0</v>
          </cell>
          <cell r="S6240">
            <v>0</v>
          </cell>
          <cell r="T6240">
            <v>0</v>
          </cell>
          <cell r="U6240">
            <v>0</v>
          </cell>
          <cell r="V6240">
            <v>0</v>
          </cell>
          <cell r="W6240">
            <v>0</v>
          </cell>
          <cell r="X6240">
            <v>0</v>
          </cell>
          <cell r="Y6240">
            <v>0</v>
          </cell>
          <cell r="Z6240">
            <v>0</v>
          </cell>
        </row>
        <row r="6241">
          <cell r="D6241">
            <v>304832</v>
          </cell>
          <cell r="E6241" t="str">
            <v>Bunyasan National High School</v>
          </cell>
          <cell r="F6241">
            <v>0</v>
          </cell>
          <cell r="G6241">
            <v>0</v>
          </cell>
          <cell r="H6241">
            <v>0</v>
          </cell>
          <cell r="I6241">
            <v>0</v>
          </cell>
          <cell r="J6241">
            <v>0</v>
          </cell>
          <cell r="K6241">
            <v>0</v>
          </cell>
          <cell r="L6241">
            <v>0</v>
          </cell>
          <cell r="M6241">
            <v>0</v>
          </cell>
          <cell r="N6241">
            <v>0</v>
          </cell>
          <cell r="O6241">
            <v>0</v>
          </cell>
          <cell r="P6241">
            <v>0</v>
          </cell>
          <cell r="Q6241">
            <v>0</v>
          </cell>
          <cell r="R6241">
            <v>0</v>
          </cell>
          <cell r="S6241">
            <v>0</v>
          </cell>
          <cell r="T6241">
            <v>0</v>
          </cell>
          <cell r="U6241">
            <v>0</v>
          </cell>
          <cell r="V6241">
            <v>0</v>
          </cell>
          <cell r="W6241">
            <v>0</v>
          </cell>
          <cell r="X6241">
            <v>0</v>
          </cell>
          <cell r="Y6241">
            <v>0</v>
          </cell>
          <cell r="Z6241">
            <v>0</v>
          </cell>
        </row>
        <row r="6242">
          <cell r="D6242">
            <v>304849</v>
          </cell>
          <cell r="E6242" t="str">
            <v>Toledo S. Pantilo Sr. Memorial National High School</v>
          </cell>
          <cell r="F6242">
            <v>115</v>
          </cell>
          <cell r="G6242">
            <v>92</v>
          </cell>
          <cell r="H6242">
            <v>207</v>
          </cell>
          <cell r="I6242">
            <v>5</v>
          </cell>
          <cell r="J6242">
            <v>3</v>
          </cell>
          <cell r="K6242">
            <v>8</v>
          </cell>
          <cell r="L6242">
            <v>1</v>
          </cell>
          <cell r="M6242">
            <v>1</v>
          </cell>
          <cell r="N6242">
            <v>2</v>
          </cell>
          <cell r="O6242">
            <v>0</v>
          </cell>
          <cell r="P6242">
            <v>0</v>
          </cell>
          <cell r="Q6242">
            <v>0</v>
          </cell>
          <cell r="R6242">
            <v>0</v>
          </cell>
          <cell r="S6242">
            <v>0</v>
          </cell>
          <cell r="T6242">
            <v>0</v>
          </cell>
          <cell r="U6242">
            <v>0</v>
          </cell>
          <cell r="V6242">
            <v>0</v>
          </cell>
          <cell r="W6242">
            <v>0</v>
          </cell>
          <cell r="X6242">
            <v>0</v>
          </cell>
          <cell r="Y6242">
            <v>0</v>
          </cell>
          <cell r="Z6242">
            <v>0</v>
          </cell>
        </row>
        <row r="6243">
          <cell r="D6243">
            <v>304820</v>
          </cell>
          <cell r="E6243" t="str">
            <v>Claver National High  School</v>
          </cell>
          <cell r="F6243">
            <v>0</v>
          </cell>
          <cell r="G6243">
            <v>0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>
            <v>0</v>
          </cell>
          <cell r="M6243">
            <v>0</v>
          </cell>
          <cell r="N6243">
            <v>0</v>
          </cell>
          <cell r="O6243">
            <v>0</v>
          </cell>
          <cell r="P6243">
            <v>0</v>
          </cell>
          <cell r="Q6243">
            <v>0</v>
          </cell>
          <cell r="R6243">
            <v>0</v>
          </cell>
          <cell r="S6243">
            <v>0</v>
          </cell>
          <cell r="T6243">
            <v>0</v>
          </cell>
          <cell r="U6243">
            <v>0</v>
          </cell>
          <cell r="V6243">
            <v>0</v>
          </cell>
          <cell r="W6243">
            <v>0</v>
          </cell>
          <cell r="X6243">
            <v>0</v>
          </cell>
          <cell r="Y6243">
            <v>0</v>
          </cell>
          <cell r="Z6243">
            <v>0</v>
          </cell>
        </row>
        <row r="6244">
          <cell r="D6244">
            <v>304835</v>
          </cell>
          <cell r="E6244" t="str">
            <v>Hacienda National High School</v>
          </cell>
          <cell r="F6244">
            <v>0</v>
          </cell>
          <cell r="G6244">
            <v>0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0</v>
          </cell>
          <cell r="M6244">
            <v>0</v>
          </cell>
          <cell r="N6244">
            <v>0</v>
          </cell>
          <cell r="O6244">
            <v>0</v>
          </cell>
          <cell r="P6244">
            <v>0</v>
          </cell>
          <cell r="Q6244">
            <v>0</v>
          </cell>
          <cell r="R6244">
            <v>0</v>
          </cell>
          <cell r="S6244">
            <v>0</v>
          </cell>
          <cell r="T6244">
            <v>0</v>
          </cell>
          <cell r="U6244">
            <v>0</v>
          </cell>
          <cell r="V6244">
            <v>0</v>
          </cell>
          <cell r="W6244">
            <v>0</v>
          </cell>
          <cell r="X6244">
            <v>0</v>
          </cell>
          <cell r="Y6244">
            <v>0</v>
          </cell>
          <cell r="Z6244">
            <v>0</v>
          </cell>
        </row>
        <row r="6245">
          <cell r="D6245">
            <v>304830</v>
          </cell>
          <cell r="E6245" t="str">
            <v>Paco National High School</v>
          </cell>
          <cell r="F6245">
            <v>0</v>
          </cell>
          <cell r="G6245">
            <v>0</v>
          </cell>
          <cell r="H6245">
            <v>0</v>
          </cell>
          <cell r="I6245">
            <v>0</v>
          </cell>
          <cell r="J6245">
            <v>0</v>
          </cell>
          <cell r="K6245">
            <v>0</v>
          </cell>
          <cell r="L6245">
            <v>0</v>
          </cell>
          <cell r="M6245">
            <v>0</v>
          </cell>
          <cell r="N6245">
            <v>0</v>
          </cell>
          <cell r="O6245">
            <v>0</v>
          </cell>
          <cell r="P6245">
            <v>0</v>
          </cell>
          <cell r="Q6245">
            <v>0</v>
          </cell>
          <cell r="R6245">
            <v>0</v>
          </cell>
          <cell r="S6245">
            <v>0</v>
          </cell>
          <cell r="T6245">
            <v>0</v>
          </cell>
          <cell r="U6245">
            <v>0</v>
          </cell>
          <cell r="V6245">
            <v>0</v>
          </cell>
          <cell r="W6245">
            <v>0</v>
          </cell>
          <cell r="X6245">
            <v>0</v>
          </cell>
          <cell r="Y6245">
            <v>0</v>
          </cell>
          <cell r="Z6245">
            <v>0</v>
          </cell>
        </row>
        <row r="6246">
          <cell r="D6246">
            <v>317806</v>
          </cell>
          <cell r="E6246" t="str">
            <v>Payapag National High School</v>
          </cell>
          <cell r="F6246">
            <v>0</v>
          </cell>
          <cell r="G6246">
            <v>0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0</v>
          </cell>
          <cell r="M6246">
            <v>0</v>
          </cell>
          <cell r="N6246">
            <v>0</v>
          </cell>
          <cell r="O6246">
            <v>0</v>
          </cell>
          <cell r="P6246">
            <v>0</v>
          </cell>
          <cell r="Q6246">
            <v>0</v>
          </cell>
          <cell r="R6246">
            <v>0</v>
          </cell>
          <cell r="S6246">
            <v>0</v>
          </cell>
          <cell r="T6246">
            <v>0</v>
          </cell>
          <cell r="U6246">
            <v>0</v>
          </cell>
          <cell r="V6246">
            <v>0</v>
          </cell>
          <cell r="W6246">
            <v>0</v>
          </cell>
          <cell r="X6246">
            <v>0</v>
          </cell>
          <cell r="Y6246">
            <v>0</v>
          </cell>
          <cell r="Z6246">
            <v>0</v>
          </cell>
        </row>
        <row r="6247">
          <cell r="D6247">
            <v>317803</v>
          </cell>
          <cell r="E6247" t="str">
            <v>Magpayang National High School</v>
          </cell>
          <cell r="F6247">
            <v>0</v>
          </cell>
          <cell r="G6247">
            <v>0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>
            <v>0</v>
          </cell>
          <cell r="M6247">
            <v>0</v>
          </cell>
          <cell r="N6247">
            <v>0</v>
          </cell>
          <cell r="O6247">
            <v>0</v>
          </cell>
          <cell r="P6247">
            <v>0</v>
          </cell>
          <cell r="Q6247">
            <v>0</v>
          </cell>
          <cell r="R6247">
            <v>0</v>
          </cell>
          <cell r="S6247">
            <v>0</v>
          </cell>
          <cell r="T6247">
            <v>0</v>
          </cell>
          <cell r="U6247">
            <v>0</v>
          </cell>
          <cell r="V6247">
            <v>0</v>
          </cell>
          <cell r="W6247">
            <v>0</v>
          </cell>
          <cell r="X6247">
            <v>0</v>
          </cell>
          <cell r="Y6247">
            <v>0</v>
          </cell>
          <cell r="Z6247">
            <v>0</v>
          </cell>
        </row>
        <row r="6248">
          <cell r="D6248">
            <v>317808</v>
          </cell>
          <cell r="E6248" t="str">
            <v>Dakung Patag National High School</v>
          </cell>
          <cell r="F6248">
            <v>41</v>
          </cell>
          <cell r="G6248">
            <v>34</v>
          </cell>
          <cell r="H6248">
            <v>75</v>
          </cell>
          <cell r="I6248">
            <v>8</v>
          </cell>
          <cell r="J6248">
            <v>3</v>
          </cell>
          <cell r="K6248">
            <v>11</v>
          </cell>
          <cell r="L6248">
            <v>0</v>
          </cell>
          <cell r="M6248">
            <v>0</v>
          </cell>
          <cell r="N6248">
            <v>0</v>
          </cell>
          <cell r="O6248">
            <v>0</v>
          </cell>
          <cell r="P6248">
            <v>0</v>
          </cell>
          <cell r="Q6248">
            <v>0</v>
          </cell>
          <cell r="R6248">
            <v>0</v>
          </cell>
          <cell r="S6248">
            <v>0</v>
          </cell>
          <cell r="T6248">
            <v>0</v>
          </cell>
          <cell r="U6248">
            <v>0</v>
          </cell>
          <cell r="V6248">
            <v>0</v>
          </cell>
          <cell r="W6248">
            <v>0</v>
          </cell>
          <cell r="X6248">
            <v>0</v>
          </cell>
          <cell r="Y6248">
            <v>0</v>
          </cell>
          <cell r="Z6248">
            <v>0</v>
          </cell>
        </row>
        <row r="6249">
          <cell r="D6249">
            <v>304814</v>
          </cell>
          <cell r="E6249" t="str">
            <v>Balite National High School</v>
          </cell>
          <cell r="F6249">
            <v>0</v>
          </cell>
          <cell r="G6249">
            <v>0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>
            <v>0</v>
          </cell>
          <cell r="M6249">
            <v>0</v>
          </cell>
          <cell r="N6249">
            <v>0</v>
          </cell>
          <cell r="O6249">
            <v>0</v>
          </cell>
          <cell r="P6249">
            <v>0</v>
          </cell>
          <cell r="Q6249">
            <v>0</v>
          </cell>
          <cell r="R6249">
            <v>0</v>
          </cell>
          <cell r="S6249">
            <v>0</v>
          </cell>
          <cell r="T6249">
            <v>0</v>
          </cell>
          <cell r="U6249">
            <v>0</v>
          </cell>
          <cell r="V6249">
            <v>0</v>
          </cell>
          <cell r="W6249">
            <v>0</v>
          </cell>
          <cell r="X6249">
            <v>0</v>
          </cell>
          <cell r="Y6249">
            <v>0</v>
          </cell>
          <cell r="Z6249">
            <v>0</v>
          </cell>
        </row>
        <row r="6250">
          <cell r="D6250">
            <v>304831</v>
          </cell>
          <cell r="E6250" t="str">
            <v>Masgad National High School</v>
          </cell>
          <cell r="F6250">
            <v>0</v>
          </cell>
          <cell r="G6250">
            <v>0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0</v>
          </cell>
          <cell r="M6250">
            <v>0</v>
          </cell>
          <cell r="N6250">
            <v>0</v>
          </cell>
          <cell r="O6250">
            <v>0</v>
          </cell>
          <cell r="P6250">
            <v>0</v>
          </cell>
          <cell r="Q6250">
            <v>0</v>
          </cell>
          <cell r="R6250">
            <v>0</v>
          </cell>
          <cell r="S6250">
            <v>0</v>
          </cell>
          <cell r="T6250">
            <v>0</v>
          </cell>
          <cell r="U6250">
            <v>0</v>
          </cell>
          <cell r="V6250">
            <v>0</v>
          </cell>
          <cell r="W6250">
            <v>0</v>
          </cell>
          <cell r="X6250">
            <v>0</v>
          </cell>
          <cell r="Y6250">
            <v>0</v>
          </cell>
          <cell r="Z6250">
            <v>0</v>
          </cell>
        </row>
        <row r="6251">
          <cell r="D6251">
            <v>304821</v>
          </cell>
          <cell r="E6251" t="str">
            <v>Taganito National High School</v>
          </cell>
          <cell r="F6251">
            <v>0</v>
          </cell>
          <cell r="G6251">
            <v>0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0</v>
          </cell>
          <cell r="M6251">
            <v>0</v>
          </cell>
          <cell r="N6251">
            <v>0</v>
          </cell>
          <cell r="O6251">
            <v>0</v>
          </cell>
          <cell r="P6251">
            <v>0</v>
          </cell>
          <cell r="Q6251">
            <v>0</v>
          </cell>
          <cell r="R6251">
            <v>0</v>
          </cell>
          <cell r="S6251">
            <v>0</v>
          </cell>
          <cell r="T6251">
            <v>0</v>
          </cell>
          <cell r="U6251">
            <v>0</v>
          </cell>
          <cell r="V6251">
            <v>0</v>
          </cell>
          <cell r="W6251">
            <v>0</v>
          </cell>
          <cell r="X6251">
            <v>0</v>
          </cell>
          <cell r="Y6251">
            <v>0</v>
          </cell>
          <cell r="Z6251">
            <v>0</v>
          </cell>
        </row>
        <row r="6252">
          <cell r="D6252">
            <v>304843</v>
          </cell>
          <cell r="E6252" t="str">
            <v>San Francisco National High School</v>
          </cell>
          <cell r="F6252">
            <v>0</v>
          </cell>
          <cell r="G6252">
            <v>0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>
            <v>0</v>
          </cell>
          <cell r="M6252">
            <v>0</v>
          </cell>
          <cell r="N6252">
            <v>0</v>
          </cell>
          <cell r="O6252">
            <v>0</v>
          </cell>
          <cell r="P6252">
            <v>0</v>
          </cell>
          <cell r="Q6252">
            <v>0</v>
          </cell>
          <cell r="R6252">
            <v>0</v>
          </cell>
          <cell r="S6252">
            <v>0</v>
          </cell>
          <cell r="T6252">
            <v>0</v>
          </cell>
          <cell r="U6252">
            <v>0</v>
          </cell>
          <cell r="V6252">
            <v>0</v>
          </cell>
          <cell r="W6252">
            <v>0</v>
          </cell>
          <cell r="X6252">
            <v>0</v>
          </cell>
          <cell r="Y6252">
            <v>0</v>
          </cell>
          <cell r="Z6252">
            <v>0</v>
          </cell>
        </row>
        <row r="6253">
          <cell r="D6253">
            <v>304813</v>
          </cell>
          <cell r="E6253" t="str">
            <v>Bacuag National  Agro-Industrial School</v>
          </cell>
          <cell r="F6253">
            <v>0</v>
          </cell>
          <cell r="G6253">
            <v>0</v>
          </cell>
          <cell r="H6253">
            <v>0</v>
          </cell>
          <cell r="I6253">
            <v>0</v>
          </cell>
          <cell r="J6253">
            <v>0</v>
          </cell>
          <cell r="K6253">
            <v>0</v>
          </cell>
          <cell r="L6253">
            <v>0</v>
          </cell>
          <cell r="M6253">
            <v>0</v>
          </cell>
          <cell r="N6253">
            <v>0</v>
          </cell>
          <cell r="O6253">
            <v>0</v>
          </cell>
          <cell r="P6253">
            <v>0</v>
          </cell>
          <cell r="Q6253">
            <v>0</v>
          </cell>
          <cell r="R6253">
            <v>0</v>
          </cell>
          <cell r="S6253">
            <v>0</v>
          </cell>
          <cell r="T6253">
            <v>0</v>
          </cell>
          <cell r="U6253">
            <v>0</v>
          </cell>
          <cell r="V6253">
            <v>0</v>
          </cell>
          <cell r="W6253">
            <v>0</v>
          </cell>
          <cell r="X6253">
            <v>0</v>
          </cell>
          <cell r="Y6253">
            <v>0</v>
          </cell>
          <cell r="Z6253">
            <v>0</v>
          </cell>
        </row>
        <row r="6254">
          <cell r="D6254">
            <v>304817</v>
          </cell>
          <cell r="E6254" t="str">
            <v>Campo National High School</v>
          </cell>
          <cell r="F6254">
            <v>0</v>
          </cell>
          <cell r="G6254">
            <v>0</v>
          </cell>
          <cell r="H6254">
            <v>0</v>
          </cell>
          <cell r="I6254">
            <v>0</v>
          </cell>
          <cell r="J6254">
            <v>0</v>
          </cell>
          <cell r="K6254">
            <v>0</v>
          </cell>
          <cell r="L6254">
            <v>0</v>
          </cell>
          <cell r="M6254">
            <v>0</v>
          </cell>
          <cell r="N6254">
            <v>0</v>
          </cell>
          <cell r="O6254">
            <v>0</v>
          </cell>
          <cell r="P6254">
            <v>0</v>
          </cell>
          <cell r="Q6254">
            <v>0</v>
          </cell>
          <cell r="R6254">
            <v>0</v>
          </cell>
          <cell r="S6254">
            <v>0</v>
          </cell>
          <cell r="T6254">
            <v>0</v>
          </cell>
          <cell r="U6254">
            <v>0</v>
          </cell>
          <cell r="V6254">
            <v>0</v>
          </cell>
          <cell r="W6254">
            <v>0</v>
          </cell>
          <cell r="X6254">
            <v>0</v>
          </cell>
          <cell r="Y6254">
            <v>0</v>
          </cell>
          <cell r="Z6254">
            <v>0</v>
          </cell>
        </row>
        <row r="6255">
          <cell r="D6255">
            <v>304845</v>
          </cell>
          <cell r="E6255" t="str">
            <v>Amando A. Fabio Memorial National High School (Sta. Cruz National School)</v>
          </cell>
          <cell r="F6255">
            <v>191</v>
          </cell>
          <cell r="G6255">
            <v>147</v>
          </cell>
          <cell r="H6255">
            <v>338</v>
          </cell>
          <cell r="I6255">
            <v>73</v>
          </cell>
          <cell r="J6255">
            <v>79</v>
          </cell>
          <cell r="K6255">
            <v>152</v>
          </cell>
          <cell r="L6255">
            <v>73</v>
          </cell>
          <cell r="M6255">
            <v>79</v>
          </cell>
          <cell r="N6255">
            <v>152</v>
          </cell>
          <cell r="O6255">
            <v>0</v>
          </cell>
          <cell r="P6255">
            <v>0</v>
          </cell>
          <cell r="Q6255">
            <v>0</v>
          </cell>
          <cell r="R6255">
            <v>0</v>
          </cell>
          <cell r="S6255">
            <v>0</v>
          </cell>
          <cell r="T6255">
            <v>0</v>
          </cell>
          <cell r="U6255">
            <v>0</v>
          </cell>
          <cell r="V6255">
            <v>0</v>
          </cell>
          <cell r="W6255">
            <v>0</v>
          </cell>
          <cell r="X6255">
            <v>0</v>
          </cell>
          <cell r="Y6255">
            <v>0</v>
          </cell>
          <cell r="Z6255">
            <v>0</v>
          </cell>
        </row>
        <row r="6256">
          <cell r="D6256">
            <v>304853</v>
          </cell>
          <cell r="E6256" t="str">
            <v>Timamana National High School</v>
          </cell>
          <cell r="F6256">
            <v>0</v>
          </cell>
          <cell r="G6256">
            <v>0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>
            <v>0</v>
          </cell>
          <cell r="M6256">
            <v>0</v>
          </cell>
          <cell r="N6256">
            <v>0</v>
          </cell>
          <cell r="O6256">
            <v>0</v>
          </cell>
          <cell r="P6256">
            <v>0</v>
          </cell>
          <cell r="Q6256">
            <v>0</v>
          </cell>
          <cell r="R6256">
            <v>0</v>
          </cell>
          <cell r="S6256">
            <v>0</v>
          </cell>
          <cell r="T6256">
            <v>0</v>
          </cell>
          <cell r="U6256">
            <v>0</v>
          </cell>
          <cell r="V6256">
            <v>0</v>
          </cell>
          <cell r="W6256">
            <v>0</v>
          </cell>
          <cell r="X6256">
            <v>0</v>
          </cell>
          <cell r="Y6256">
            <v>0</v>
          </cell>
          <cell r="Z6256">
            <v>0</v>
          </cell>
        </row>
        <row r="6257">
          <cell r="D6257">
            <v>304855</v>
          </cell>
          <cell r="E6257" t="str">
            <v>Tubod National High School</v>
          </cell>
          <cell r="F6257">
            <v>0</v>
          </cell>
          <cell r="G6257">
            <v>0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>
            <v>0</v>
          </cell>
          <cell r="M6257">
            <v>0</v>
          </cell>
          <cell r="N6257">
            <v>0</v>
          </cell>
          <cell r="O6257">
            <v>0</v>
          </cell>
          <cell r="P6257">
            <v>0</v>
          </cell>
          <cell r="Q6257">
            <v>0</v>
          </cell>
          <cell r="R6257">
            <v>0</v>
          </cell>
          <cell r="S6257">
            <v>0</v>
          </cell>
          <cell r="T6257">
            <v>0</v>
          </cell>
          <cell r="U6257">
            <v>0</v>
          </cell>
          <cell r="V6257">
            <v>0</v>
          </cell>
          <cell r="W6257">
            <v>0</v>
          </cell>
          <cell r="X6257">
            <v>0</v>
          </cell>
          <cell r="Y6257">
            <v>0</v>
          </cell>
          <cell r="Z6257">
            <v>0</v>
          </cell>
        </row>
        <row r="6258">
          <cell r="D6258">
            <v>304818</v>
          </cell>
          <cell r="E6258" t="str">
            <v>Cantapoy National High School</v>
          </cell>
          <cell r="F6258">
            <v>0</v>
          </cell>
          <cell r="G6258">
            <v>0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>
            <v>0</v>
          </cell>
          <cell r="M6258">
            <v>0</v>
          </cell>
          <cell r="N6258">
            <v>0</v>
          </cell>
          <cell r="O6258">
            <v>0</v>
          </cell>
          <cell r="P6258">
            <v>0</v>
          </cell>
          <cell r="Q6258">
            <v>0</v>
          </cell>
          <cell r="R6258">
            <v>0</v>
          </cell>
          <cell r="S6258">
            <v>0</v>
          </cell>
          <cell r="T6258">
            <v>0</v>
          </cell>
          <cell r="U6258">
            <v>0</v>
          </cell>
          <cell r="V6258">
            <v>0</v>
          </cell>
          <cell r="W6258">
            <v>0</v>
          </cell>
          <cell r="X6258">
            <v>0</v>
          </cell>
          <cell r="Y6258">
            <v>0</v>
          </cell>
          <cell r="Z6258">
            <v>0</v>
          </cell>
        </row>
        <row r="6259">
          <cell r="D6259">
            <v>304826</v>
          </cell>
          <cell r="E6259" t="str">
            <v>Gigaquit National  School of Home Industries</v>
          </cell>
          <cell r="F6259">
            <v>0</v>
          </cell>
          <cell r="G6259">
            <v>0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>
            <v>0</v>
          </cell>
          <cell r="M6259">
            <v>0</v>
          </cell>
          <cell r="N6259">
            <v>0</v>
          </cell>
          <cell r="O6259">
            <v>0</v>
          </cell>
          <cell r="P6259">
            <v>0</v>
          </cell>
          <cell r="Q6259">
            <v>0</v>
          </cell>
          <cell r="R6259">
            <v>0</v>
          </cell>
          <cell r="S6259">
            <v>0</v>
          </cell>
          <cell r="T6259">
            <v>0</v>
          </cell>
          <cell r="U6259">
            <v>0</v>
          </cell>
          <cell r="V6259">
            <v>0</v>
          </cell>
          <cell r="W6259">
            <v>0</v>
          </cell>
          <cell r="X6259">
            <v>0</v>
          </cell>
          <cell r="Y6259">
            <v>0</v>
          </cell>
          <cell r="Z6259">
            <v>0</v>
          </cell>
        </row>
        <row r="6260">
          <cell r="D6260">
            <v>317804</v>
          </cell>
          <cell r="E6260" t="str">
            <v>Lasicam - Perral National High School</v>
          </cell>
          <cell r="F6260">
            <v>0</v>
          </cell>
          <cell r="G6260">
            <v>0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>
            <v>0</v>
          </cell>
          <cell r="M6260">
            <v>0</v>
          </cell>
          <cell r="N6260">
            <v>0</v>
          </cell>
          <cell r="O6260">
            <v>0</v>
          </cell>
          <cell r="P6260">
            <v>0</v>
          </cell>
          <cell r="Q6260">
            <v>0</v>
          </cell>
          <cell r="R6260">
            <v>0</v>
          </cell>
          <cell r="S6260">
            <v>0</v>
          </cell>
          <cell r="T6260">
            <v>0</v>
          </cell>
          <cell r="U6260">
            <v>0</v>
          </cell>
          <cell r="V6260">
            <v>0</v>
          </cell>
          <cell r="W6260">
            <v>0</v>
          </cell>
          <cell r="X6260">
            <v>0</v>
          </cell>
          <cell r="Y6260">
            <v>0</v>
          </cell>
          <cell r="Z6260">
            <v>0</v>
          </cell>
        </row>
        <row r="6261">
          <cell r="D6261">
            <v>304833</v>
          </cell>
          <cell r="E6261" t="str">
            <v>Malimono National High School</v>
          </cell>
          <cell r="F6261">
            <v>37</v>
          </cell>
          <cell r="G6261">
            <v>42</v>
          </cell>
          <cell r="H6261">
            <v>79</v>
          </cell>
          <cell r="I6261">
            <v>0</v>
          </cell>
          <cell r="J6261">
            <v>0</v>
          </cell>
          <cell r="K6261">
            <v>0</v>
          </cell>
          <cell r="L6261">
            <v>0</v>
          </cell>
          <cell r="M6261">
            <v>0</v>
          </cell>
          <cell r="N6261">
            <v>0</v>
          </cell>
          <cell r="O6261">
            <v>0</v>
          </cell>
          <cell r="P6261">
            <v>0</v>
          </cell>
          <cell r="Q6261">
            <v>0</v>
          </cell>
          <cell r="R6261">
            <v>0</v>
          </cell>
          <cell r="S6261">
            <v>0</v>
          </cell>
          <cell r="T6261">
            <v>0</v>
          </cell>
          <cell r="U6261">
            <v>0</v>
          </cell>
          <cell r="V6261">
            <v>0</v>
          </cell>
          <cell r="W6261">
            <v>0</v>
          </cell>
          <cell r="X6261">
            <v>0</v>
          </cell>
          <cell r="Y6261">
            <v>0</v>
          </cell>
          <cell r="Z6261">
            <v>0</v>
          </cell>
        </row>
        <row r="6262">
          <cell r="D6262">
            <v>304837</v>
          </cell>
          <cell r="E6262" t="str">
            <v>Placer National High School</v>
          </cell>
          <cell r="F6262">
            <v>0</v>
          </cell>
          <cell r="G6262">
            <v>0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0</v>
          </cell>
          <cell r="M6262">
            <v>0</v>
          </cell>
          <cell r="N6262">
            <v>0</v>
          </cell>
          <cell r="O6262">
            <v>0</v>
          </cell>
          <cell r="P6262">
            <v>0</v>
          </cell>
          <cell r="Q6262">
            <v>0</v>
          </cell>
          <cell r="R6262">
            <v>0</v>
          </cell>
          <cell r="S6262">
            <v>0</v>
          </cell>
          <cell r="T6262">
            <v>0</v>
          </cell>
          <cell r="U6262">
            <v>0</v>
          </cell>
          <cell r="V6262">
            <v>0</v>
          </cell>
          <cell r="W6262">
            <v>0</v>
          </cell>
          <cell r="X6262">
            <v>0</v>
          </cell>
          <cell r="Y6262">
            <v>0</v>
          </cell>
          <cell r="Z6262">
            <v>0</v>
          </cell>
        </row>
        <row r="6263">
          <cell r="D6263">
            <v>304834</v>
          </cell>
          <cell r="E6263" t="str">
            <v>Matin-ao National High School</v>
          </cell>
          <cell r="F6263">
            <v>0</v>
          </cell>
          <cell r="G6263">
            <v>0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>
            <v>0</v>
          </cell>
          <cell r="M6263">
            <v>0</v>
          </cell>
          <cell r="N6263">
            <v>0</v>
          </cell>
          <cell r="O6263">
            <v>0</v>
          </cell>
          <cell r="P6263">
            <v>0</v>
          </cell>
          <cell r="Q6263">
            <v>0</v>
          </cell>
          <cell r="R6263">
            <v>0</v>
          </cell>
          <cell r="S6263">
            <v>0</v>
          </cell>
          <cell r="T6263">
            <v>0</v>
          </cell>
          <cell r="U6263">
            <v>0</v>
          </cell>
          <cell r="V6263">
            <v>0</v>
          </cell>
          <cell r="W6263">
            <v>0</v>
          </cell>
          <cell r="X6263">
            <v>0</v>
          </cell>
          <cell r="Y6263">
            <v>0</v>
          </cell>
          <cell r="Z6263">
            <v>0</v>
          </cell>
        </row>
        <row r="6264">
          <cell r="D6264">
            <v>304834</v>
          </cell>
          <cell r="E6264" t="str">
            <v>Matin-ao National High School</v>
          </cell>
          <cell r="F6264">
            <v>0</v>
          </cell>
          <cell r="G6264">
            <v>0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0</v>
          </cell>
          <cell r="M6264">
            <v>0</v>
          </cell>
          <cell r="N6264">
            <v>0</v>
          </cell>
          <cell r="O6264">
            <v>0</v>
          </cell>
          <cell r="P6264">
            <v>0</v>
          </cell>
          <cell r="Q6264">
            <v>0</v>
          </cell>
          <cell r="R6264">
            <v>0</v>
          </cell>
          <cell r="S6264">
            <v>0</v>
          </cell>
          <cell r="T6264">
            <v>0</v>
          </cell>
          <cell r="U6264">
            <v>0</v>
          </cell>
          <cell r="V6264">
            <v>0</v>
          </cell>
          <cell r="W6264">
            <v>0</v>
          </cell>
          <cell r="X6264">
            <v>0</v>
          </cell>
          <cell r="Y6264">
            <v>0</v>
          </cell>
          <cell r="Z6264">
            <v>0</v>
          </cell>
        </row>
        <row r="6265">
          <cell r="D6265">
            <v>304850</v>
          </cell>
          <cell r="E6265" t="str">
            <v>Mayag National High School</v>
          </cell>
          <cell r="F6265">
            <v>11</v>
          </cell>
          <cell r="G6265">
            <v>30</v>
          </cell>
          <cell r="H6265">
            <v>41</v>
          </cell>
          <cell r="I6265">
            <v>0</v>
          </cell>
          <cell r="J6265">
            <v>0</v>
          </cell>
          <cell r="K6265">
            <v>0</v>
          </cell>
          <cell r="L6265">
            <v>0</v>
          </cell>
          <cell r="M6265">
            <v>0</v>
          </cell>
          <cell r="N6265">
            <v>0</v>
          </cell>
          <cell r="O6265">
            <v>0</v>
          </cell>
          <cell r="P6265">
            <v>0</v>
          </cell>
          <cell r="Q6265">
            <v>0</v>
          </cell>
          <cell r="R6265">
            <v>0</v>
          </cell>
          <cell r="S6265">
            <v>0</v>
          </cell>
          <cell r="T6265">
            <v>0</v>
          </cell>
          <cell r="U6265">
            <v>0</v>
          </cell>
          <cell r="V6265">
            <v>0</v>
          </cell>
          <cell r="W6265">
            <v>0</v>
          </cell>
          <cell r="X6265">
            <v>0</v>
          </cell>
          <cell r="Y6265">
            <v>0</v>
          </cell>
          <cell r="Z6265">
            <v>0</v>
          </cell>
        </row>
        <row r="6266">
          <cell r="D6266">
            <v>500585</v>
          </cell>
          <cell r="E6266" t="str">
            <v>Manambia Integrated Secondary School</v>
          </cell>
          <cell r="F6266">
            <v>0</v>
          </cell>
          <cell r="G6266">
            <v>0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>
            <v>0</v>
          </cell>
          <cell r="M6266">
            <v>0</v>
          </cell>
          <cell r="N6266">
            <v>0</v>
          </cell>
          <cell r="O6266">
            <v>0</v>
          </cell>
          <cell r="P6266">
            <v>0</v>
          </cell>
          <cell r="Q6266">
            <v>0</v>
          </cell>
          <cell r="R6266">
            <v>0</v>
          </cell>
          <cell r="S6266">
            <v>0</v>
          </cell>
          <cell r="T6266">
            <v>0</v>
          </cell>
          <cell r="U6266">
            <v>0</v>
          </cell>
          <cell r="V6266">
            <v>0</v>
          </cell>
          <cell r="W6266">
            <v>0</v>
          </cell>
          <cell r="X6266">
            <v>0</v>
          </cell>
          <cell r="Y6266">
            <v>0</v>
          </cell>
          <cell r="Z6266">
            <v>0</v>
          </cell>
        </row>
        <row r="6267">
          <cell r="D6267">
            <v>317907</v>
          </cell>
          <cell r="E6267" t="str">
            <v>Clarence Ty Pimentel National High School</v>
          </cell>
          <cell r="F6267">
            <v>0</v>
          </cell>
          <cell r="G6267">
            <v>0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>
            <v>0</v>
          </cell>
          <cell r="M6267">
            <v>0</v>
          </cell>
          <cell r="N6267">
            <v>0</v>
          </cell>
          <cell r="O6267">
            <v>0</v>
          </cell>
          <cell r="P6267">
            <v>0</v>
          </cell>
          <cell r="Q6267">
            <v>0</v>
          </cell>
          <cell r="R6267">
            <v>0</v>
          </cell>
          <cell r="S6267">
            <v>0</v>
          </cell>
          <cell r="T6267">
            <v>0</v>
          </cell>
          <cell r="U6267">
            <v>0</v>
          </cell>
          <cell r="V6267">
            <v>0</v>
          </cell>
          <cell r="W6267">
            <v>0</v>
          </cell>
          <cell r="X6267">
            <v>0</v>
          </cell>
          <cell r="Y6267">
            <v>0</v>
          </cell>
          <cell r="Z6267">
            <v>0</v>
          </cell>
        </row>
        <row r="6268">
          <cell r="D6268">
            <v>500570</v>
          </cell>
          <cell r="E6268" t="str">
            <v>Palasao Integrated School</v>
          </cell>
          <cell r="F6268">
            <v>0</v>
          </cell>
          <cell r="G6268">
            <v>0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>
            <v>0</v>
          </cell>
          <cell r="M6268">
            <v>0</v>
          </cell>
          <cell r="N6268">
            <v>0</v>
          </cell>
          <cell r="O6268">
            <v>0</v>
          </cell>
          <cell r="P6268">
            <v>0</v>
          </cell>
          <cell r="Q6268">
            <v>0</v>
          </cell>
          <cell r="R6268">
            <v>0</v>
          </cell>
          <cell r="S6268">
            <v>0</v>
          </cell>
          <cell r="T6268">
            <v>0</v>
          </cell>
          <cell r="U6268">
            <v>0</v>
          </cell>
          <cell r="V6268">
            <v>0</v>
          </cell>
          <cell r="W6268">
            <v>0</v>
          </cell>
          <cell r="X6268">
            <v>0</v>
          </cell>
          <cell r="Y6268">
            <v>0</v>
          </cell>
          <cell r="Z6268">
            <v>0</v>
          </cell>
        </row>
        <row r="6269">
          <cell r="D6269">
            <v>317912</v>
          </cell>
          <cell r="E6269" t="str">
            <v>Davisol National High School</v>
          </cell>
          <cell r="F6269">
            <v>0</v>
          </cell>
          <cell r="G6269">
            <v>0</v>
          </cell>
          <cell r="H6269">
            <v>0</v>
          </cell>
          <cell r="I6269">
            <v>0</v>
          </cell>
          <cell r="J6269">
            <v>0</v>
          </cell>
          <cell r="K6269">
            <v>0</v>
          </cell>
          <cell r="L6269">
            <v>0</v>
          </cell>
          <cell r="M6269">
            <v>0</v>
          </cell>
          <cell r="N6269">
            <v>0</v>
          </cell>
          <cell r="O6269">
            <v>0</v>
          </cell>
          <cell r="P6269">
            <v>0</v>
          </cell>
          <cell r="Q6269">
            <v>0</v>
          </cell>
          <cell r="R6269">
            <v>0</v>
          </cell>
          <cell r="S6269">
            <v>0</v>
          </cell>
          <cell r="T6269">
            <v>0</v>
          </cell>
          <cell r="U6269">
            <v>0</v>
          </cell>
          <cell r="V6269">
            <v>0</v>
          </cell>
          <cell r="W6269">
            <v>0</v>
          </cell>
          <cell r="X6269">
            <v>0</v>
          </cell>
          <cell r="Y6269">
            <v>0</v>
          </cell>
          <cell r="Z6269">
            <v>0</v>
          </cell>
        </row>
        <row r="6270">
          <cell r="D6270">
            <v>304881</v>
          </cell>
          <cell r="E6270" t="str">
            <v>Maglatab National High School</v>
          </cell>
          <cell r="F6270">
            <v>0</v>
          </cell>
          <cell r="G6270">
            <v>0</v>
          </cell>
          <cell r="H6270">
            <v>0</v>
          </cell>
          <cell r="I6270">
            <v>4</v>
          </cell>
          <cell r="J6270">
            <v>4</v>
          </cell>
          <cell r="K6270">
            <v>8</v>
          </cell>
          <cell r="L6270">
            <v>2</v>
          </cell>
          <cell r="M6270">
            <v>4</v>
          </cell>
          <cell r="N6270">
            <v>6</v>
          </cell>
          <cell r="O6270">
            <v>0</v>
          </cell>
          <cell r="P6270">
            <v>0</v>
          </cell>
          <cell r="Q6270">
            <v>0</v>
          </cell>
          <cell r="R6270">
            <v>0</v>
          </cell>
          <cell r="S6270">
            <v>0</v>
          </cell>
          <cell r="T6270">
            <v>0</v>
          </cell>
          <cell r="U6270">
            <v>0</v>
          </cell>
          <cell r="V6270">
            <v>0</v>
          </cell>
          <cell r="W6270">
            <v>0</v>
          </cell>
          <cell r="X6270">
            <v>0</v>
          </cell>
          <cell r="Y6270">
            <v>0</v>
          </cell>
          <cell r="Z6270">
            <v>0</v>
          </cell>
        </row>
        <row r="6271">
          <cell r="D6271">
            <v>500324</v>
          </cell>
          <cell r="E6271" t="str">
            <v>Maglambing Integrated School</v>
          </cell>
          <cell r="F6271">
            <v>0</v>
          </cell>
          <cell r="G6271">
            <v>0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>
            <v>0</v>
          </cell>
          <cell r="M6271">
            <v>0</v>
          </cell>
          <cell r="N6271">
            <v>0</v>
          </cell>
          <cell r="O6271">
            <v>0</v>
          </cell>
          <cell r="P6271">
            <v>0</v>
          </cell>
          <cell r="Q6271">
            <v>0</v>
          </cell>
          <cell r="R6271">
            <v>0</v>
          </cell>
          <cell r="S6271">
            <v>0</v>
          </cell>
          <cell r="T6271">
            <v>0</v>
          </cell>
          <cell r="U6271">
            <v>0</v>
          </cell>
          <cell r="V6271">
            <v>0</v>
          </cell>
          <cell r="W6271">
            <v>0</v>
          </cell>
          <cell r="X6271">
            <v>0</v>
          </cell>
          <cell r="Y6271">
            <v>0</v>
          </cell>
          <cell r="Z6271">
            <v>0</v>
          </cell>
        </row>
        <row r="6272">
          <cell r="D6272">
            <v>317908</v>
          </cell>
          <cell r="E6272" t="str">
            <v>Mahayag National High School</v>
          </cell>
          <cell r="F6272">
            <v>0</v>
          </cell>
          <cell r="G6272">
            <v>0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>
            <v>0</v>
          </cell>
          <cell r="M6272">
            <v>0</v>
          </cell>
          <cell r="N6272">
            <v>0</v>
          </cell>
          <cell r="O6272">
            <v>0</v>
          </cell>
          <cell r="P6272">
            <v>0</v>
          </cell>
          <cell r="Q6272">
            <v>0</v>
          </cell>
          <cell r="R6272">
            <v>0</v>
          </cell>
          <cell r="S6272">
            <v>0</v>
          </cell>
          <cell r="T6272">
            <v>0</v>
          </cell>
          <cell r="U6272">
            <v>0</v>
          </cell>
          <cell r="V6272">
            <v>0</v>
          </cell>
          <cell r="W6272">
            <v>0</v>
          </cell>
          <cell r="X6272">
            <v>0</v>
          </cell>
          <cell r="Y6272">
            <v>0</v>
          </cell>
          <cell r="Z6272">
            <v>0</v>
          </cell>
        </row>
        <row r="6273">
          <cell r="D6273">
            <v>500575</v>
          </cell>
          <cell r="E6273" t="str">
            <v>Isla General Integrated Secondary School</v>
          </cell>
          <cell r="F6273">
            <v>0</v>
          </cell>
          <cell r="G6273">
            <v>0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>
            <v>0</v>
          </cell>
          <cell r="M6273">
            <v>0</v>
          </cell>
          <cell r="N6273">
            <v>0</v>
          </cell>
          <cell r="O6273">
            <v>0</v>
          </cell>
          <cell r="P6273">
            <v>0</v>
          </cell>
          <cell r="Q6273">
            <v>0</v>
          </cell>
          <cell r="R6273">
            <v>0</v>
          </cell>
          <cell r="S6273">
            <v>0</v>
          </cell>
          <cell r="T6273">
            <v>0</v>
          </cell>
          <cell r="U6273">
            <v>0</v>
          </cell>
          <cell r="V6273">
            <v>0</v>
          </cell>
          <cell r="W6273">
            <v>0</v>
          </cell>
          <cell r="X6273">
            <v>0</v>
          </cell>
          <cell r="Y6273">
            <v>0</v>
          </cell>
          <cell r="Z6273">
            <v>0</v>
          </cell>
        </row>
        <row r="6274">
          <cell r="D6274">
            <v>304888</v>
          </cell>
          <cell r="E6274" t="str">
            <v>Gamut National School (Barobo)</v>
          </cell>
          <cell r="F6274">
            <v>0</v>
          </cell>
          <cell r="G6274">
            <v>0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0</v>
          </cell>
          <cell r="M6274">
            <v>0</v>
          </cell>
          <cell r="N6274">
            <v>0</v>
          </cell>
          <cell r="O6274">
            <v>0</v>
          </cell>
          <cell r="P6274">
            <v>0</v>
          </cell>
          <cell r="Q6274">
            <v>0</v>
          </cell>
          <cell r="R6274">
            <v>0</v>
          </cell>
          <cell r="S6274">
            <v>0</v>
          </cell>
          <cell r="T6274">
            <v>0</v>
          </cell>
          <cell r="U6274">
            <v>0</v>
          </cell>
          <cell r="V6274">
            <v>0</v>
          </cell>
          <cell r="W6274">
            <v>0</v>
          </cell>
          <cell r="X6274">
            <v>0</v>
          </cell>
          <cell r="Y6274">
            <v>0</v>
          </cell>
          <cell r="Z6274">
            <v>0</v>
          </cell>
        </row>
        <row r="6275">
          <cell r="D6275">
            <v>304898</v>
          </cell>
          <cell r="E6275" t="str">
            <v>Marihatag National  Agricultural  High School</v>
          </cell>
          <cell r="F6275">
            <v>15</v>
          </cell>
          <cell r="G6275">
            <v>11</v>
          </cell>
          <cell r="H6275">
            <v>26</v>
          </cell>
          <cell r="I6275">
            <v>12</v>
          </cell>
          <cell r="J6275">
            <v>9</v>
          </cell>
          <cell r="K6275">
            <v>21</v>
          </cell>
          <cell r="L6275">
            <v>0</v>
          </cell>
          <cell r="M6275">
            <v>0</v>
          </cell>
          <cell r="N6275">
            <v>0</v>
          </cell>
          <cell r="O6275">
            <v>3</v>
          </cell>
          <cell r="P6275">
            <v>2</v>
          </cell>
          <cell r="Q6275">
            <v>5</v>
          </cell>
          <cell r="R6275">
            <v>0</v>
          </cell>
          <cell r="S6275">
            <v>0</v>
          </cell>
          <cell r="T6275">
            <v>0</v>
          </cell>
          <cell r="U6275">
            <v>1</v>
          </cell>
          <cell r="V6275">
            <v>1</v>
          </cell>
          <cell r="W6275">
            <v>2</v>
          </cell>
          <cell r="X6275">
            <v>0</v>
          </cell>
          <cell r="Y6275">
            <v>0</v>
          </cell>
          <cell r="Z6275">
            <v>0</v>
          </cell>
        </row>
        <row r="6276">
          <cell r="D6276">
            <v>304915</v>
          </cell>
          <cell r="E6276" t="str">
            <v>St. Christine National High School</v>
          </cell>
          <cell r="F6276">
            <v>0</v>
          </cell>
          <cell r="G6276">
            <v>0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0</v>
          </cell>
          <cell r="M6276">
            <v>0</v>
          </cell>
          <cell r="N6276">
            <v>0</v>
          </cell>
          <cell r="O6276">
            <v>0</v>
          </cell>
          <cell r="P6276">
            <v>0</v>
          </cell>
          <cell r="Q6276">
            <v>0</v>
          </cell>
          <cell r="R6276">
            <v>0</v>
          </cell>
          <cell r="S6276">
            <v>0</v>
          </cell>
          <cell r="T6276">
            <v>0</v>
          </cell>
          <cell r="U6276">
            <v>0</v>
          </cell>
          <cell r="V6276">
            <v>0</v>
          </cell>
          <cell r="W6276">
            <v>0</v>
          </cell>
          <cell r="X6276">
            <v>0</v>
          </cell>
          <cell r="Y6276">
            <v>0</v>
          </cell>
          <cell r="Z6276">
            <v>0</v>
          </cell>
        </row>
        <row r="6277">
          <cell r="D6277">
            <v>304882</v>
          </cell>
          <cell r="E6277" t="str">
            <v>San Vicente II National High School</v>
          </cell>
          <cell r="F6277">
            <v>0</v>
          </cell>
          <cell r="G6277">
            <v>0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0</v>
          </cell>
          <cell r="M6277">
            <v>0</v>
          </cell>
          <cell r="N6277">
            <v>0</v>
          </cell>
          <cell r="O6277">
            <v>0</v>
          </cell>
          <cell r="P6277">
            <v>0</v>
          </cell>
          <cell r="Q6277">
            <v>0</v>
          </cell>
          <cell r="R6277">
            <v>0</v>
          </cell>
          <cell r="S6277">
            <v>0</v>
          </cell>
          <cell r="T6277">
            <v>0</v>
          </cell>
          <cell r="U6277">
            <v>0</v>
          </cell>
          <cell r="V6277">
            <v>0</v>
          </cell>
          <cell r="W6277">
            <v>0</v>
          </cell>
          <cell r="X6277">
            <v>0</v>
          </cell>
          <cell r="Y6277">
            <v>0</v>
          </cell>
          <cell r="Z6277">
            <v>0</v>
          </cell>
        </row>
        <row r="6278">
          <cell r="D6278">
            <v>317904</v>
          </cell>
          <cell r="E6278" t="str">
            <v>Union National High School</v>
          </cell>
          <cell r="F6278">
            <v>13</v>
          </cell>
          <cell r="G6278">
            <v>5</v>
          </cell>
          <cell r="H6278">
            <v>18</v>
          </cell>
          <cell r="I6278">
            <v>0</v>
          </cell>
          <cell r="J6278">
            <v>0</v>
          </cell>
          <cell r="K6278">
            <v>0</v>
          </cell>
          <cell r="L6278">
            <v>0</v>
          </cell>
          <cell r="M6278">
            <v>0</v>
          </cell>
          <cell r="N6278">
            <v>0</v>
          </cell>
          <cell r="O6278">
            <v>0</v>
          </cell>
          <cell r="P6278">
            <v>0</v>
          </cell>
          <cell r="Q6278">
            <v>0</v>
          </cell>
          <cell r="R6278">
            <v>0</v>
          </cell>
          <cell r="S6278">
            <v>0</v>
          </cell>
          <cell r="T6278">
            <v>0</v>
          </cell>
          <cell r="U6278">
            <v>0</v>
          </cell>
          <cell r="V6278">
            <v>0</v>
          </cell>
          <cell r="W6278">
            <v>0</v>
          </cell>
          <cell r="X6278">
            <v>0</v>
          </cell>
          <cell r="Y6278">
            <v>0</v>
          </cell>
          <cell r="Z6278">
            <v>0</v>
          </cell>
        </row>
        <row r="6279">
          <cell r="D6279">
            <v>500584</v>
          </cell>
          <cell r="E6279" t="str">
            <v>Sta. Maria Elementary School</v>
          </cell>
          <cell r="F6279">
            <v>0</v>
          </cell>
          <cell r="G6279">
            <v>0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0</v>
          </cell>
          <cell r="M6279">
            <v>0</v>
          </cell>
          <cell r="N6279">
            <v>0</v>
          </cell>
          <cell r="O6279">
            <v>0</v>
          </cell>
          <cell r="P6279">
            <v>0</v>
          </cell>
          <cell r="Q6279">
            <v>0</v>
          </cell>
          <cell r="R6279">
            <v>0</v>
          </cell>
          <cell r="S6279">
            <v>0</v>
          </cell>
          <cell r="T6279">
            <v>0</v>
          </cell>
          <cell r="U6279">
            <v>0</v>
          </cell>
          <cell r="V6279">
            <v>0</v>
          </cell>
          <cell r="W6279">
            <v>0</v>
          </cell>
          <cell r="X6279">
            <v>0</v>
          </cell>
          <cell r="Y6279">
            <v>0</v>
          </cell>
          <cell r="Z6279">
            <v>0</v>
          </cell>
        </row>
        <row r="6280">
          <cell r="D6280">
            <v>317910</v>
          </cell>
          <cell r="E6280" t="str">
            <v>Loyola National High School</v>
          </cell>
          <cell r="F6280">
            <v>0</v>
          </cell>
          <cell r="G6280">
            <v>0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0</v>
          </cell>
          <cell r="M6280">
            <v>0</v>
          </cell>
          <cell r="N6280">
            <v>0</v>
          </cell>
          <cell r="O6280">
            <v>0</v>
          </cell>
          <cell r="P6280">
            <v>0</v>
          </cell>
          <cell r="Q6280">
            <v>0</v>
          </cell>
          <cell r="R6280">
            <v>0</v>
          </cell>
          <cell r="S6280">
            <v>0</v>
          </cell>
          <cell r="T6280">
            <v>0</v>
          </cell>
          <cell r="U6280">
            <v>0</v>
          </cell>
          <cell r="V6280">
            <v>0</v>
          </cell>
          <cell r="W6280">
            <v>0</v>
          </cell>
          <cell r="X6280">
            <v>0</v>
          </cell>
          <cell r="Y6280">
            <v>0</v>
          </cell>
          <cell r="Z6280">
            <v>0</v>
          </cell>
        </row>
        <row r="6281">
          <cell r="D6281">
            <v>500573</v>
          </cell>
          <cell r="E6281" t="str">
            <v>Gata Elementary School</v>
          </cell>
          <cell r="F6281">
            <v>0</v>
          </cell>
          <cell r="G6281">
            <v>0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0</v>
          </cell>
          <cell r="M6281">
            <v>0</v>
          </cell>
          <cell r="N6281">
            <v>0</v>
          </cell>
          <cell r="O6281">
            <v>0</v>
          </cell>
          <cell r="P6281">
            <v>0</v>
          </cell>
          <cell r="Q6281">
            <v>0</v>
          </cell>
          <cell r="R6281">
            <v>0</v>
          </cell>
          <cell r="S6281">
            <v>0</v>
          </cell>
          <cell r="T6281">
            <v>0</v>
          </cell>
          <cell r="U6281">
            <v>0</v>
          </cell>
          <cell r="V6281">
            <v>0</v>
          </cell>
          <cell r="W6281">
            <v>0</v>
          </cell>
          <cell r="X6281">
            <v>0</v>
          </cell>
          <cell r="Y6281">
            <v>0</v>
          </cell>
          <cell r="Z6281">
            <v>0</v>
          </cell>
        </row>
        <row r="6282">
          <cell r="D6282">
            <v>304904</v>
          </cell>
          <cell r="E6282" t="str">
            <v>Salvacion National High School</v>
          </cell>
          <cell r="F6282">
            <v>0</v>
          </cell>
          <cell r="G6282">
            <v>0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0</v>
          </cell>
          <cell r="M6282">
            <v>0</v>
          </cell>
          <cell r="N6282">
            <v>0</v>
          </cell>
          <cell r="O6282">
            <v>0</v>
          </cell>
          <cell r="P6282">
            <v>0</v>
          </cell>
          <cell r="Q6282">
            <v>0</v>
          </cell>
          <cell r="R6282">
            <v>0</v>
          </cell>
          <cell r="S6282">
            <v>0</v>
          </cell>
          <cell r="T6282">
            <v>0</v>
          </cell>
          <cell r="U6282">
            <v>0</v>
          </cell>
          <cell r="V6282">
            <v>0</v>
          </cell>
          <cell r="W6282">
            <v>0</v>
          </cell>
          <cell r="X6282">
            <v>0</v>
          </cell>
          <cell r="Y6282">
            <v>0</v>
          </cell>
          <cell r="Z6282">
            <v>0</v>
          </cell>
        </row>
        <row r="6283">
          <cell r="D6283">
            <v>317905</v>
          </cell>
          <cell r="E6283" t="str">
            <v>MARARAG NATIONAL HIGH SCHOOL</v>
          </cell>
          <cell r="F6283">
            <v>0</v>
          </cell>
          <cell r="G6283">
            <v>0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0</v>
          </cell>
          <cell r="M6283">
            <v>0</v>
          </cell>
          <cell r="N6283">
            <v>0</v>
          </cell>
          <cell r="O6283">
            <v>0</v>
          </cell>
          <cell r="P6283">
            <v>0</v>
          </cell>
          <cell r="Q6283">
            <v>0</v>
          </cell>
          <cell r="R6283">
            <v>0</v>
          </cell>
          <cell r="S6283">
            <v>0</v>
          </cell>
          <cell r="T6283">
            <v>0</v>
          </cell>
          <cell r="U6283">
            <v>0</v>
          </cell>
          <cell r="V6283">
            <v>0</v>
          </cell>
          <cell r="W6283">
            <v>0</v>
          </cell>
          <cell r="X6283">
            <v>0</v>
          </cell>
          <cell r="Y6283">
            <v>0</v>
          </cell>
          <cell r="Z6283">
            <v>0</v>
          </cell>
        </row>
        <row r="6284">
          <cell r="D6284">
            <v>304925</v>
          </cell>
          <cell r="E6284" t="str">
            <v>Jose Sanvictores Sr. National School Annex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  <cell r="M6284">
            <v>0</v>
          </cell>
          <cell r="N6284">
            <v>0</v>
          </cell>
          <cell r="O6284">
            <v>0</v>
          </cell>
          <cell r="P6284">
            <v>0</v>
          </cell>
          <cell r="Q6284">
            <v>0</v>
          </cell>
          <cell r="R6284">
            <v>0</v>
          </cell>
          <cell r="S6284">
            <v>0</v>
          </cell>
          <cell r="T6284">
            <v>0</v>
          </cell>
          <cell r="U6284">
            <v>0</v>
          </cell>
          <cell r="V6284">
            <v>0</v>
          </cell>
          <cell r="W6284">
            <v>0</v>
          </cell>
          <cell r="X6284">
            <v>0</v>
          </cell>
          <cell r="Y6284">
            <v>0</v>
          </cell>
          <cell r="Z6284">
            <v>0</v>
          </cell>
        </row>
        <row r="6285">
          <cell r="D6285">
            <v>304884</v>
          </cell>
          <cell r="E6285" t="str">
            <v>Tagbina National High School</v>
          </cell>
          <cell r="F6285">
            <v>0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0</v>
          </cell>
          <cell r="M6285">
            <v>0</v>
          </cell>
          <cell r="N6285">
            <v>0</v>
          </cell>
          <cell r="O6285">
            <v>0</v>
          </cell>
          <cell r="P6285">
            <v>0</v>
          </cell>
          <cell r="Q6285">
            <v>0</v>
          </cell>
          <cell r="R6285">
            <v>0</v>
          </cell>
          <cell r="S6285">
            <v>0</v>
          </cell>
          <cell r="T6285">
            <v>0</v>
          </cell>
          <cell r="U6285">
            <v>0</v>
          </cell>
          <cell r="V6285">
            <v>0</v>
          </cell>
          <cell r="W6285">
            <v>0</v>
          </cell>
          <cell r="X6285">
            <v>0</v>
          </cell>
          <cell r="Y6285">
            <v>0</v>
          </cell>
          <cell r="Z6285">
            <v>0</v>
          </cell>
        </row>
        <row r="6286">
          <cell r="D6286">
            <v>304885</v>
          </cell>
          <cell r="E6286" t="str">
            <v>Florita Herrera-Irizari National High School</v>
          </cell>
          <cell r="F6286">
            <v>23</v>
          </cell>
          <cell r="G6286">
            <v>15</v>
          </cell>
          <cell r="H6286">
            <v>38</v>
          </cell>
          <cell r="I6286">
            <v>2</v>
          </cell>
          <cell r="J6286">
            <v>2</v>
          </cell>
          <cell r="K6286">
            <v>4</v>
          </cell>
          <cell r="L6286">
            <v>0</v>
          </cell>
          <cell r="M6286">
            <v>0</v>
          </cell>
          <cell r="N6286">
            <v>0</v>
          </cell>
          <cell r="O6286">
            <v>0</v>
          </cell>
          <cell r="P6286">
            <v>0</v>
          </cell>
          <cell r="Q6286">
            <v>0</v>
          </cell>
          <cell r="R6286">
            <v>0</v>
          </cell>
          <cell r="S6286">
            <v>0</v>
          </cell>
          <cell r="T6286">
            <v>0</v>
          </cell>
          <cell r="U6286">
            <v>0</v>
          </cell>
          <cell r="V6286">
            <v>0</v>
          </cell>
          <cell r="W6286">
            <v>0</v>
          </cell>
          <cell r="X6286">
            <v>0</v>
          </cell>
          <cell r="Y6286">
            <v>0</v>
          </cell>
          <cell r="Z6286">
            <v>0</v>
          </cell>
        </row>
        <row r="6287">
          <cell r="D6287">
            <v>500578</v>
          </cell>
          <cell r="E6287" t="str">
            <v>Agsam Integrated Secondary School</v>
          </cell>
          <cell r="F6287">
            <v>0</v>
          </cell>
          <cell r="G6287">
            <v>0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0</v>
          </cell>
          <cell r="M6287">
            <v>0</v>
          </cell>
          <cell r="N6287">
            <v>0</v>
          </cell>
          <cell r="O6287">
            <v>0</v>
          </cell>
          <cell r="P6287">
            <v>0</v>
          </cell>
          <cell r="Q6287">
            <v>0</v>
          </cell>
          <cell r="R6287">
            <v>0</v>
          </cell>
          <cell r="S6287">
            <v>0</v>
          </cell>
          <cell r="T6287">
            <v>0</v>
          </cell>
          <cell r="U6287">
            <v>0</v>
          </cell>
          <cell r="V6287">
            <v>0</v>
          </cell>
          <cell r="W6287">
            <v>0</v>
          </cell>
          <cell r="X6287">
            <v>0</v>
          </cell>
          <cell r="Y6287">
            <v>0</v>
          </cell>
          <cell r="Z6287">
            <v>0</v>
          </cell>
        </row>
        <row r="6288">
          <cell r="D6288">
            <v>304880</v>
          </cell>
          <cell r="E6288" t="str">
            <v>Kahayagan National High School</v>
          </cell>
          <cell r="F6288">
            <v>0</v>
          </cell>
          <cell r="G6288">
            <v>0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0</v>
          </cell>
          <cell r="M6288">
            <v>0</v>
          </cell>
          <cell r="N6288">
            <v>0</v>
          </cell>
          <cell r="O6288">
            <v>0</v>
          </cell>
          <cell r="P6288">
            <v>0</v>
          </cell>
          <cell r="Q6288">
            <v>0</v>
          </cell>
          <cell r="R6288">
            <v>0</v>
          </cell>
          <cell r="S6288">
            <v>0</v>
          </cell>
          <cell r="T6288">
            <v>0</v>
          </cell>
          <cell r="U6288">
            <v>0</v>
          </cell>
          <cell r="V6288">
            <v>0</v>
          </cell>
          <cell r="W6288">
            <v>0</v>
          </cell>
          <cell r="X6288">
            <v>0</v>
          </cell>
          <cell r="Y6288">
            <v>0</v>
          </cell>
          <cell r="Z6288">
            <v>0</v>
          </cell>
        </row>
        <row r="6289">
          <cell r="D6289">
            <v>304905</v>
          </cell>
          <cell r="E6289" t="str">
            <v>San Miguel National Comprehensive High School</v>
          </cell>
          <cell r="F6289">
            <v>0</v>
          </cell>
          <cell r="G6289">
            <v>0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>
            <v>0</v>
          </cell>
          <cell r="M6289">
            <v>0</v>
          </cell>
          <cell r="N6289">
            <v>0</v>
          </cell>
          <cell r="O6289">
            <v>0</v>
          </cell>
          <cell r="P6289">
            <v>0</v>
          </cell>
          <cell r="Q6289">
            <v>0</v>
          </cell>
          <cell r="R6289">
            <v>0</v>
          </cell>
          <cell r="S6289">
            <v>0</v>
          </cell>
          <cell r="T6289">
            <v>0</v>
          </cell>
          <cell r="U6289">
            <v>0</v>
          </cell>
          <cell r="V6289">
            <v>0</v>
          </cell>
          <cell r="W6289">
            <v>0</v>
          </cell>
          <cell r="X6289">
            <v>0</v>
          </cell>
          <cell r="Y6289">
            <v>0</v>
          </cell>
          <cell r="Z6289">
            <v>0</v>
          </cell>
        </row>
        <row r="6290">
          <cell r="D6290">
            <v>304875</v>
          </cell>
          <cell r="E6290" t="str">
            <v>Carmen National Agricultural High School</v>
          </cell>
          <cell r="F6290">
            <v>0</v>
          </cell>
          <cell r="G6290">
            <v>0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>
            <v>0</v>
          </cell>
          <cell r="M6290">
            <v>0</v>
          </cell>
          <cell r="N6290">
            <v>0</v>
          </cell>
          <cell r="O6290">
            <v>0</v>
          </cell>
          <cell r="P6290">
            <v>0</v>
          </cell>
          <cell r="Q6290">
            <v>0</v>
          </cell>
          <cell r="R6290">
            <v>0</v>
          </cell>
          <cell r="S6290">
            <v>0</v>
          </cell>
          <cell r="T6290">
            <v>0</v>
          </cell>
          <cell r="U6290">
            <v>0</v>
          </cell>
          <cell r="V6290">
            <v>0</v>
          </cell>
          <cell r="W6290">
            <v>0</v>
          </cell>
          <cell r="X6290">
            <v>0</v>
          </cell>
          <cell r="Y6290">
            <v>0</v>
          </cell>
          <cell r="Z6290">
            <v>0</v>
          </cell>
        </row>
        <row r="6291">
          <cell r="D6291">
            <v>500576</v>
          </cell>
          <cell r="E6291" t="str">
            <v>Libas Sud Elementary School</v>
          </cell>
          <cell r="F6291">
            <v>0</v>
          </cell>
          <cell r="G6291">
            <v>0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>
            <v>0</v>
          </cell>
          <cell r="M6291">
            <v>0</v>
          </cell>
          <cell r="N6291">
            <v>0</v>
          </cell>
          <cell r="O6291">
            <v>0</v>
          </cell>
          <cell r="P6291">
            <v>0</v>
          </cell>
          <cell r="Q6291">
            <v>0</v>
          </cell>
          <cell r="R6291">
            <v>0</v>
          </cell>
          <cell r="S6291">
            <v>0</v>
          </cell>
          <cell r="T6291">
            <v>0</v>
          </cell>
          <cell r="U6291">
            <v>0</v>
          </cell>
          <cell r="V6291">
            <v>0</v>
          </cell>
          <cell r="W6291">
            <v>0</v>
          </cell>
          <cell r="X6291">
            <v>0</v>
          </cell>
          <cell r="Y6291">
            <v>0</v>
          </cell>
          <cell r="Z6291">
            <v>0</v>
          </cell>
        </row>
        <row r="6292">
          <cell r="D6292">
            <v>304908</v>
          </cell>
          <cell r="E6292" t="str">
            <v>San Miguel National High School</v>
          </cell>
          <cell r="F6292">
            <v>0</v>
          </cell>
          <cell r="G6292">
            <v>0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>
            <v>0</v>
          </cell>
          <cell r="M6292">
            <v>0</v>
          </cell>
          <cell r="N6292">
            <v>0</v>
          </cell>
          <cell r="O6292">
            <v>0</v>
          </cell>
          <cell r="P6292">
            <v>0</v>
          </cell>
          <cell r="Q6292">
            <v>0</v>
          </cell>
          <cell r="R6292">
            <v>0</v>
          </cell>
          <cell r="S6292">
            <v>0</v>
          </cell>
          <cell r="T6292">
            <v>0</v>
          </cell>
          <cell r="U6292">
            <v>0</v>
          </cell>
          <cell r="V6292">
            <v>0</v>
          </cell>
          <cell r="W6292">
            <v>0</v>
          </cell>
          <cell r="X6292">
            <v>0</v>
          </cell>
          <cell r="Y6292">
            <v>0</v>
          </cell>
          <cell r="Z6292">
            <v>0</v>
          </cell>
        </row>
        <row r="6293">
          <cell r="D6293">
            <v>304878</v>
          </cell>
          <cell r="E6293" t="str">
            <v>Doña Carmen National High School</v>
          </cell>
          <cell r="F6293">
            <v>0</v>
          </cell>
          <cell r="G6293">
            <v>2</v>
          </cell>
          <cell r="H6293">
            <v>2</v>
          </cell>
          <cell r="I6293">
            <v>0</v>
          </cell>
          <cell r="J6293">
            <v>2</v>
          </cell>
          <cell r="K6293">
            <v>2</v>
          </cell>
          <cell r="L6293">
            <v>0</v>
          </cell>
          <cell r="M6293">
            <v>0</v>
          </cell>
          <cell r="N6293">
            <v>0</v>
          </cell>
          <cell r="O6293">
            <v>0</v>
          </cell>
          <cell r="P6293">
            <v>0</v>
          </cell>
          <cell r="Q6293">
            <v>0</v>
          </cell>
          <cell r="R6293">
            <v>0</v>
          </cell>
          <cell r="S6293">
            <v>0</v>
          </cell>
          <cell r="T6293">
            <v>0</v>
          </cell>
          <cell r="U6293">
            <v>0</v>
          </cell>
          <cell r="V6293">
            <v>0</v>
          </cell>
          <cell r="W6293">
            <v>0</v>
          </cell>
          <cell r="X6293">
            <v>0</v>
          </cell>
          <cell r="Y6293">
            <v>0</v>
          </cell>
          <cell r="Z6293">
            <v>0</v>
          </cell>
        </row>
        <row r="6294">
          <cell r="D6294">
            <v>304896</v>
          </cell>
          <cell r="E6294" t="str">
            <v>M.K.Yusingco National High School</v>
          </cell>
          <cell r="F6294">
            <v>40</v>
          </cell>
          <cell r="G6294">
            <v>40</v>
          </cell>
          <cell r="H6294">
            <v>80</v>
          </cell>
          <cell r="I6294">
            <v>21</v>
          </cell>
          <cell r="J6294">
            <v>18</v>
          </cell>
          <cell r="K6294">
            <v>39</v>
          </cell>
          <cell r="L6294">
            <v>21</v>
          </cell>
          <cell r="M6294">
            <v>18</v>
          </cell>
          <cell r="N6294">
            <v>39</v>
          </cell>
          <cell r="O6294">
            <v>0</v>
          </cell>
          <cell r="P6294">
            <v>0</v>
          </cell>
          <cell r="Q6294">
            <v>0</v>
          </cell>
          <cell r="R6294">
            <v>0</v>
          </cell>
          <cell r="S6294">
            <v>0</v>
          </cell>
          <cell r="T6294">
            <v>0</v>
          </cell>
          <cell r="U6294">
            <v>0</v>
          </cell>
          <cell r="V6294">
            <v>0</v>
          </cell>
          <cell r="W6294">
            <v>0</v>
          </cell>
          <cell r="X6294">
            <v>0</v>
          </cell>
          <cell r="Y6294">
            <v>0</v>
          </cell>
          <cell r="Z6294">
            <v>0</v>
          </cell>
        </row>
        <row r="6295">
          <cell r="D6295">
            <v>500323</v>
          </cell>
          <cell r="E6295" t="str">
            <v>Bitaugan Elementary School</v>
          </cell>
          <cell r="F6295">
            <v>0</v>
          </cell>
          <cell r="G6295">
            <v>0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>
            <v>0</v>
          </cell>
          <cell r="M6295">
            <v>0</v>
          </cell>
          <cell r="N6295">
            <v>0</v>
          </cell>
          <cell r="O6295">
            <v>0</v>
          </cell>
          <cell r="P6295">
            <v>0</v>
          </cell>
          <cell r="Q6295">
            <v>0</v>
          </cell>
          <cell r="R6295">
            <v>0</v>
          </cell>
          <cell r="S6295">
            <v>0</v>
          </cell>
          <cell r="T6295">
            <v>0</v>
          </cell>
          <cell r="U6295">
            <v>0</v>
          </cell>
          <cell r="V6295">
            <v>0</v>
          </cell>
          <cell r="W6295">
            <v>0</v>
          </cell>
          <cell r="X6295">
            <v>0</v>
          </cell>
          <cell r="Y6295">
            <v>0</v>
          </cell>
          <cell r="Z6295">
            <v>0</v>
          </cell>
        </row>
        <row r="6296">
          <cell r="D6296">
            <v>304906</v>
          </cell>
          <cell r="E6296" t="str">
            <v>Bolhoon National High School</v>
          </cell>
          <cell r="F6296">
            <v>0</v>
          </cell>
          <cell r="G6296">
            <v>0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L6296">
            <v>0</v>
          </cell>
          <cell r="M6296">
            <v>0</v>
          </cell>
          <cell r="N6296">
            <v>0</v>
          </cell>
          <cell r="O6296">
            <v>0</v>
          </cell>
          <cell r="P6296">
            <v>0</v>
          </cell>
          <cell r="Q6296">
            <v>0</v>
          </cell>
          <cell r="R6296">
            <v>0</v>
          </cell>
          <cell r="S6296">
            <v>0</v>
          </cell>
          <cell r="T6296">
            <v>0</v>
          </cell>
          <cell r="U6296">
            <v>0</v>
          </cell>
          <cell r="V6296">
            <v>0</v>
          </cell>
          <cell r="W6296">
            <v>0</v>
          </cell>
          <cell r="X6296">
            <v>0</v>
          </cell>
          <cell r="Y6296">
            <v>0</v>
          </cell>
          <cell r="Z6296">
            <v>0</v>
          </cell>
        </row>
        <row r="6297">
          <cell r="D6297">
            <v>500579</v>
          </cell>
          <cell r="E6297" t="str">
            <v>Tarusan Elementary School</v>
          </cell>
          <cell r="F6297">
            <v>0</v>
          </cell>
          <cell r="G6297">
            <v>0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>
            <v>0</v>
          </cell>
          <cell r="M6297">
            <v>0</v>
          </cell>
          <cell r="N6297">
            <v>0</v>
          </cell>
          <cell r="O6297">
            <v>0</v>
          </cell>
          <cell r="P6297">
            <v>0</v>
          </cell>
          <cell r="Q6297">
            <v>0</v>
          </cell>
          <cell r="R6297">
            <v>0</v>
          </cell>
          <cell r="S6297">
            <v>0</v>
          </cell>
          <cell r="T6297">
            <v>0</v>
          </cell>
          <cell r="U6297">
            <v>0</v>
          </cell>
          <cell r="V6297">
            <v>0</v>
          </cell>
          <cell r="W6297">
            <v>0</v>
          </cell>
          <cell r="X6297">
            <v>0</v>
          </cell>
          <cell r="Y6297">
            <v>0</v>
          </cell>
          <cell r="Z6297">
            <v>0</v>
          </cell>
        </row>
        <row r="6298">
          <cell r="D6298">
            <v>304889</v>
          </cell>
          <cell r="E6298" t="str">
            <v>Gamut National High School (Tago)</v>
          </cell>
          <cell r="F6298">
            <v>0</v>
          </cell>
          <cell r="G6298">
            <v>0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0</v>
          </cell>
          <cell r="M6298">
            <v>0</v>
          </cell>
          <cell r="N6298">
            <v>0</v>
          </cell>
          <cell r="O6298">
            <v>0</v>
          </cell>
          <cell r="P6298">
            <v>0</v>
          </cell>
          <cell r="Q6298">
            <v>0</v>
          </cell>
          <cell r="R6298">
            <v>0</v>
          </cell>
          <cell r="S6298">
            <v>0</v>
          </cell>
          <cell r="T6298">
            <v>0</v>
          </cell>
          <cell r="U6298">
            <v>0</v>
          </cell>
          <cell r="V6298">
            <v>0</v>
          </cell>
          <cell r="W6298">
            <v>0</v>
          </cell>
          <cell r="X6298">
            <v>0</v>
          </cell>
          <cell r="Y6298">
            <v>0</v>
          </cell>
          <cell r="Z6298">
            <v>0</v>
          </cell>
        </row>
        <row r="6299">
          <cell r="D6299">
            <v>317939</v>
          </cell>
          <cell r="E6299" t="str">
            <v>Hinatuan National Comprehensive High School - Roxas National High School  Annex</v>
          </cell>
          <cell r="F6299">
            <v>22</v>
          </cell>
          <cell r="G6299">
            <v>12</v>
          </cell>
          <cell r="H6299">
            <v>34</v>
          </cell>
          <cell r="I6299">
            <v>0</v>
          </cell>
          <cell r="J6299">
            <v>0</v>
          </cell>
          <cell r="K6299">
            <v>0</v>
          </cell>
          <cell r="L6299">
            <v>0</v>
          </cell>
          <cell r="M6299">
            <v>0</v>
          </cell>
          <cell r="N6299">
            <v>0</v>
          </cell>
          <cell r="O6299">
            <v>0</v>
          </cell>
          <cell r="P6299">
            <v>0</v>
          </cell>
          <cell r="Q6299">
            <v>0</v>
          </cell>
          <cell r="R6299">
            <v>0</v>
          </cell>
          <cell r="S6299">
            <v>0</v>
          </cell>
          <cell r="T6299">
            <v>0</v>
          </cell>
          <cell r="U6299">
            <v>0</v>
          </cell>
          <cell r="V6299">
            <v>0</v>
          </cell>
          <cell r="W6299">
            <v>0</v>
          </cell>
          <cell r="X6299">
            <v>0</v>
          </cell>
          <cell r="Y6299">
            <v>0</v>
          </cell>
          <cell r="Z6299">
            <v>0</v>
          </cell>
        </row>
        <row r="6300">
          <cell r="D6300">
            <v>317913</v>
          </cell>
          <cell r="E6300" t="str">
            <v>San Roque National High School</v>
          </cell>
          <cell r="F6300">
            <v>0</v>
          </cell>
          <cell r="G6300">
            <v>0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>
            <v>0</v>
          </cell>
          <cell r="M6300">
            <v>0</v>
          </cell>
          <cell r="N6300">
            <v>0</v>
          </cell>
          <cell r="O6300">
            <v>0</v>
          </cell>
          <cell r="P6300">
            <v>0</v>
          </cell>
          <cell r="Q6300">
            <v>0</v>
          </cell>
          <cell r="R6300">
            <v>0</v>
          </cell>
          <cell r="S6300">
            <v>0</v>
          </cell>
          <cell r="T6300">
            <v>0</v>
          </cell>
          <cell r="U6300">
            <v>0</v>
          </cell>
          <cell r="V6300">
            <v>0</v>
          </cell>
          <cell r="W6300">
            <v>0</v>
          </cell>
          <cell r="X6300">
            <v>0</v>
          </cell>
          <cell r="Y6300">
            <v>0</v>
          </cell>
          <cell r="Z6300">
            <v>0</v>
          </cell>
        </row>
        <row r="6301">
          <cell r="D6301">
            <v>317903</v>
          </cell>
          <cell r="E6301" t="str">
            <v>Badong National High School</v>
          </cell>
          <cell r="F6301">
            <v>0</v>
          </cell>
          <cell r="G6301">
            <v>0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>
            <v>0</v>
          </cell>
          <cell r="M6301">
            <v>0</v>
          </cell>
          <cell r="N6301">
            <v>0</v>
          </cell>
          <cell r="O6301">
            <v>0</v>
          </cell>
          <cell r="P6301">
            <v>0</v>
          </cell>
          <cell r="Q6301">
            <v>0</v>
          </cell>
          <cell r="R6301">
            <v>0</v>
          </cell>
          <cell r="S6301">
            <v>0</v>
          </cell>
          <cell r="T6301">
            <v>0</v>
          </cell>
          <cell r="U6301">
            <v>0</v>
          </cell>
          <cell r="V6301">
            <v>0</v>
          </cell>
          <cell r="W6301">
            <v>0</v>
          </cell>
          <cell r="X6301">
            <v>0</v>
          </cell>
          <cell r="Y6301">
            <v>0</v>
          </cell>
          <cell r="Z6301">
            <v>0</v>
          </cell>
        </row>
        <row r="6302">
          <cell r="D6302">
            <v>500050</v>
          </cell>
          <cell r="E6302" t="str">
            <v>Esperanza Elementary School</v>
          </cell>
          <cell r="F6302">
            <v>20</v>
          </cell>
          <cell r="G6302">
            <v>13</v>
          </cell>
          <cell r="H6302">
            <v>33</v>
          </cell>
          <cell r="I6302">
            <v>2</v>
          </cell>
          <cell r="J6302">
            <v>1</v>
          </cell>
          <cell r="K6302">
            <v>3</v>
          </cell>
          <cell r="L6302">
            <v>0</v>
          </cell>
          <cell r="M6302">
            <v>0</v>
          </cell>
          <cell r="N6302">
            <v>0</v>
          </cell>
          <cell r="O6302">
            <v>0</v>
          </cell>
          <cell r="P6302">
            <v>0</v>
          </cell>
          <cell r="Q6302">
            <v>0</v>
          </cell>
          <cell r="R6302">
            <v>0</v>
          </cell>
          <cell r="S6302">
            <v>0</v>
          </cell>
          <cell r="T6302">
            <v>0</v>
          </cell>
          <cell r="U6302">
            <v>0</v>
          </cell>
          <cell r="V6302">
            <v>0</v>
          </cell>
          <cell r="W6302">
            <v>0</v>
          </cell>
          <cell r="X6302">
            <v>0</v>
          </cell>
          <cell r="Y6302">
            <v>0</v>
          </cell>
          <cell r="Z6302">
            <v>0</v>
          </cell>
        </row>
        <row r="6303">
          <cell r="D6303">
            <v>304858</v>
          </cell>
          <cell r="E6303" t="str">
            <v>Anibongan National High School</v>
          </cell>
          <cell r="F6303">
            <v>30</v>
          </cell>
          <cell r="G6303">
            <v>34</v>
          </cell>
          <cell r="H6303">
            <v>64</v>
          </cell>
          <cell r="I6303">
            <v>5</v>
          </cell>
          <cell r="J6303">
            <v>5</v>
          </cell>
          <cell r="K6303">
            <v>10</v>
          </cell>
          <cell r="L6303">
            <v>5</v>
          </cell>
          <cell r="M6303">
            <v>6</v>
          </cell>
          <cell r="N6303">
            <v>11</v>
          </cell>
          <cell r="O6303">
            <v>0</v>
          </cell>
          <cell r="P6303">
            <v>0</v>
          </cell>
          <cell r="Q6303">
            <v>0</v>
          </cell>
          <cell r="R6303">
            <v>0</v>
          </cell>
          <cell r="S6303">
            <v>0</v>
          </cell>
          <cell r="T6303">
            <v>0</v>
          </cell>
          <cell r="U6303">
            <v>0</v>
          </cell>
          <cell r="V6303">
            <v>0</v>
          </cell>
          <cell r="W6303">
            <v>0</v>
          </cell>
          <cell r="X6303">
            <v>0</v>
          </cell>
          <cell r="Y6303">
            <v>0</v>
          </cell>
          <cell r="Z6303">
            <v>0</v>
          </cell>
        </row>
        <row r="6304">
          <cell r="D6304">
            <v>304864</v>
          </cell>
          <cell r="E6304" t="str">
            <v>Tambis National High School</v>
          </cell>
          <cell r="F6304">
            <v>7</v>
          </cell>
          <cell r="G6304">
            <v>8</v>
          </cell>
          <cell r="H6304">
            <v>15</v>
          </cell>
          <cell r="I6304">
            <v>5</v>
          </cell>
          <cell r="J6304">
            <v>8</v>
          </cell>
          <cell r="K6304">
            <v>13</v>
          </cell>
          <cell r="L6304">
            <v>7</v>
          </cell>
          <cell r="M6304">
            <v>10</v>
          </cell>
          <cell r="N6304">
            <v>17</v>
          </cell>
          <cell r="O6304">
            <v>0</v>
          </cell>
          <cell r="P6304">
            <v>0</v>
          </cell>
          <cell r="Q6304">
            <v>0</v>
          </cell>
          <cell r="R6304">
            <v>0</v>
          </cell>
          <cell r="S6304">
            <v>0</v>
          </cell>
          <cell r="T6304">
            <v>0</v>
          </cell>
          <cell r="U6304">
            <v>0</v>
          </cell>
          <cell r="V6304">
            <v>0</v>
          </cell>
          <cell r="W6304">
            <v>0</v>
          </cell>
          <cell r="X6304">
            <v>0</v>
          </cell>
          <cell r="Y6304">
            <v>0</v>
          </cell>
          <cell r="Z6304">
            <v>0</v>
          </cell>
        </row>
        <row r="6305">
          <cell r="D6305">
            <v>304916</v>
          </cell>
          <cell r="E6305" t="str">
            <v>Sto. Niño National High School</v>
          </cell>
          <cell r="F6305">
            <v>0</v>
          </cell>
          <cell r="G6305">
            <v>0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  <cell r="L6305">
            <v>0</v>
          </cell>
          <cell r="M6305">
            <v>0</v>
          </cell>
          <cell r="N6305">
            <v>0</v>
          </cell>
          <cell r="O6305">
            <v>0</v>
          </cell>
          <cell r="P6305">
            <v>0</v>
          </cell>
          <cell r="Q6305">
            <v>0</v>
          </cell>
          <cell r="R6305">
            <v>0</v>
          </cell>
          <cell r="S6305">
            <v>0</v>
          </cell>
          <cell r="T6305">
            <v>0</v>
          </cell>
          <cell r="U6305">
            <v>0</v>
          </cell>
          <cell r="V6305">
            <v>0</v>
          </cell>
          <cell r="W6305">
            <v>0</v>
          </cell>
          <cell r="X6305">
            <v>0</v>
          </cell>
          <cell r="Y6305">
            <v>0</v>
          </cell>
          <cell r="Z6305">
            <v>0</v>
          </cell>
        </row>
        <row r="6306">
          <cell r="D6306">
            <v>500583</v>
          </cell>
          <cell r="E6306" t="str">
            <v>Quezon Integrated Secondary School</v>
          </cell>
          <cell r="F6306">
            <v>0</v>
          </cell>
          <cell r="G6306">
            <v>0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  <cell r="L6306">
            <v>0</v>
          </cell>
          <cell r="M6306">
            <v>0</v>
          </cell>
          <cell r="N6306">
            <v>0</v>
          </cell>
          <cell r="O6306">
            <v>0</v>
          </cell>
          <cell r="P6306">
            <v>0</v>
          </cell>
          <cell r="Q6306">
            <v>0</v>
          </cell>
          <cell r="R6306">
            <v>0</v>
          </cell>
          <cell r="S6306">
            <v>0</v>
          </cell>
          <cell r="T6306">
            <v>0</v>
          </cell>
          <cell r="U6306">
            <v>0</v>
          </cell>
          <cell r="V6306">
            <v>0</v>
          </cell>
          <cell r="W6306">
            <v>0</v>
          </cell>
          <cell r="X6306">
            <v>0</v>
          </cell>
          <cell r="Y6306">
            <v>0</v>
          </cell>
          <cell r="Z6306">
            <v>0</v>
          </cell>
        </row>
        <row r="6307">
          <cell r="D6307">
            <v>304924</v>
          </cell>
          <cell r="E6307" t="str">
            <v>Unidad National High School</v>
          </cell>
          <cell r="F6307">
            <v>17</v>
          </cell>
          <cell r="G6307">
            <v>4</v>
          </cell>
          <cell r="H6307">
            <v>21</v>
          </cell>
          <cell r="I6307">
            <v>13</v>
          </cell>
          <cell r="J6307">
            <v>2</v>
          </cell>
          <cell r="K6307">
            <v>15</v>
          </cell>
          <cell r="L6307">
            <v>44</v>
          </cell>
          <cell r="M6307">
            <v>9</v>
          </cell>
          <cell r="N6307">
            <v>53</v>
          </cell>
          <cell r="O6307">
            <v>0</v>
          </cell>
          <cell r="P6307">
            <v>0</v>
          </cell>
          <cell r="Q6307">
            <v>0</v>
          </cell>
          <cell r="R6307">
            <v>0</v>
          </cell>
          <cell r="S6307">
            <v>0</v>
          </cell>
          <cell r="T6307">
            <v>0</v>
          </cell>
          <cell r="U6307">
            <v>0</v>
          </cell>
          <cell r="V6307">
            <v>0</v>
          </cell>
          <cell r="W6307">
            <v>0</v>
          </cell>
          <cell r="X6307">
            <v>0</v>
          </cell>
          <cell r="Y6307">
            <v>0</v>
          </cell>
          <cell r="Z6307">
            <v>0</v>
          </cell>
        </row>
        <row r="6308">
          <cell r="D6308">
            <v>500325</v>
          </cell>
          <cell r="E6308" t="str">
            <v>Quary 1 Integrated Secondary School</v>
          </cell>
          <cell r="F6308">
            <v>0</v>
          </cell>
          <cell r="G6308">
            <v>0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>
            <v>0</v>
          </cell>
          <cell r="M6308">
            <v>0</v>
          </cell>
          <cell r="N6308">
            <v>0</v>
          </cell>
          <cell r="O6308">
            <v>0</v>
          </cell>
          <cell r="P6308">
            <v>0</v>
          </cell>
          <cell r="Q6308">
            <v>0</v>
          </cell>
          <cell r="R6308">
            <v>0</v>
          </cell>
          <cell r="S6308">
            <v>0</v>
          </cell>
          <cell r="T6308">
            <v>0</v>
          </cell>
          <cell r="U6308">
            <v>0</v>
          </cell>
          <cell r="V6308">
            <v>0</v>
          </cell>
          <cell r="W6308">
            <v>0</v>
          </cell>
          <cell r="X6308">
            <v>0</v>
          </cell>
          <cell r="Y6308">
            <v>0</v>
          </cell>
          <cell r="Z6308">
            <v>0</v>
          </cell>
        </row>
        <row r="6309">
          <cell r="D6309">
            <v>500321</v>
          </cell>
          <cell r="E6309" t="str">
            <v>Matho Elementary School</v>
          </cell>
          <cell r="F6309">
            <v>2</v>
          </cell>
          <cell r="G6309">
            <v>0</v>
          </cell>
          <cell r="H6309">
            <v>2</v>
          </cell>
          <cell r="I6309">
            <v>0</v>
          </cell>
          <cell r="J6309">
            <v>0</v>
          </cell>
          <cell r="K6309">
            <v>0</v>
          </cell>
          <cell r="L6309">
            <v>0</v>
          </cell>
          <cell r="M6309">
            <v>0</v>
          </cell>
          <cell r="N6309">
            <v>0</v>
          </cell>
          <cell r="O6309">
            <v>0</v>
          </cell>
          <cell r="P6309">
            <v>0</v>
          </cell>
          <cell r="Q6309">
            <v>0</v>
          </cell>
          <cell r="R6309">
            <v>0</v>
          </cell>
          <cell r="S6309">
            <v>0</v>
          </cell>
          <cell r="T6309">
            <v>0</v>
          </cell>
          <cell r="U6309">
            <v>0</v>
          </cell>
          <cell r="V6309">
            <v>0</v>
          </cell>
          <cell r="W6309">
            <v>0</v>
          </cell>
          <cell r="X6309">
            <v>0</v>
          </cell>
          <cell r="Y6309">
            <v>0</v>
          </cell>
          <cell r="Z6309">
            <v>0</v>
          </cell>
        </row>
        <row r="6310">
          <cell r="D6310">
            <v>304920</v>
          </cell>
          <cell r="E6310" t="str">
            <v>Tagasaka National High School</v>
          </cell>
          <cell r="F6310">
            <v>57</v>
          </cell>
          <cell r="G6310">
            <v>42</v>
          </cell>
          <cell r="H6310">
            <v>99</v>
          </cell>
          <cell r="I6310">
            <v>9</v>
          </cell>
          <cell r="J6310">
            <v>4</v>
          </cell>
          <cell r="K6310">
            <v>13</v>
          </cell>
          <cell r="L6310">
            <v>9</v>
          </cell>
          <cell r="M6310">
            <v>4</v>
          </cell>
          <cell r="N6310">
            <v>13</v>
          </cell>
          <cell r="O6310">
            <v>0</v>
          </cell>
          <cell r="P6310">
            <v>0</v>
          </cell>
          <cell r="Q6310">
            <v>0</v>
          </cell>
          <cell r="R6310">
            <v>0</v>
          </cell>
          <cell r="S6310">
            <v>0</v>
          </cell>
          <cell r="T6310">
            <v>0</v>
          </cell>
          <cell r="U6310">
            <v>0</v>
          </cell>
          <cell r="V6310">
            <v>0</v>
          </cell>
          <cell r="W6310">
            <v>0</v>
          </cell>
          <cell r="X6310">
            <v>0</v>
          </cell>
          <cell r="Y6310">
            <v>0</v>
          </cell>
          <cell r="Z6310">
            <v>0</v>
          </cell>
        </row>
        <row r="6311">
          <cell r="D6311">
            <v>317941</v>
          </cell>
          <cell r="E6311" t="str">
            <v>Rizal National High School</v>
          </cell>
          <cell r="F6311">
            <v>0</v>
          </cell>
          <cell r="G6311">
            <v>0</v>
          </cell>
          <cell r="H6311">
            <v>0</v>
          </cell>
          <cell r="I6311">
            <v>10</v>
          </cell>
          <cell r="J6311">
            <v>5</v>
          </cell>
          <cell r="K6311">
            <v>15</v>
          </cell>
          <cell r="L6311">
            <v>15</v>
          </cell>
          <cell r="M6311">
            <v>6</v>
          </cell>
          <cell r="N6311">
            <v>21</v>
          </cell>
          <cell r="O6311">
            <v>0</v>
          </cell>
          <cell r="P6311">
            <v>0</v>
          </cell>
          <cell r="Q6311">
            <v>0</v>
          </cell>
          <cell r="R6311">
            <v>0</v>
          </cell>
          <cell r="S6311">
            <v>0</v>
          </cell>
          <cell r="T6311">
            <v>0</v>
          </cell>
          <cell r="U6311">
            <v>0</v>
          </cell>
          <cell r="V6311">
            <v>0</v>
          </cell>
          <cell r="W6311">
            <v>0</v>
          </cell>
          <cell r="X6311">
            <v>0</v>
          </cell>
          <cell r="Y6311">
            <v>0</v>
          </cell>
          <cell r="Z6311">
            <v>0</v>
          </cell>
        </row>
        <row r="6312">
          <cell r="D6312">
            <v>500582</v>
          </cell>
          <cell r="E6312" t="str">
            <v>Malixi Integrated School</v>
          </cell>
          <cell r="F6312">
            <v>0</v>
          </cell>
          <cell r="G6312">
            <v>0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>
            <v>0</v>
          </cell>
          <cell r="M6312">
            <v>0</v>
          </cell>
          <cell r="N6312">
            <v>0</v>
          </cell>
          <cell r="O6312">
            <v>0</v>
          </cell>
          <cell r="P6312">
            <v>0</v>
          </cell>
          <cell r="Q6312">
            <v>0</v>
          </cell>
          <cell r="R6312">
            <v>0</v>
          </cell>
          <cell r="S6312">
            <v>0</v>
          </cell>
          <cell r="T6312">
            <v>0</v>
          </cell>
          <cell r="U6312">
            <v>0</v>
          </cell>
          <cell r="V6312">
            <v>0</v>
          </cell>
          <cell r="W6312">
            <v>0</v>
          </cell>
          <cell r="X6312">
            <v>0</v>
          </cell>
          <cell r="Y6312">
            <v>0</v>
          </cell>
          <cell r="Z6312">
            <v>0</v>
          </cell>
        </row>
        <row r="6313">
          <cell r="D6313">
            <v>304877</v>
          </cell>
          <cell r="E6313" t="str">
            <v>Carrascal National High School</v>
          </cell>
          <cell r="F6313">
            <v>0</v>
          </cell>
          <cell r="G6313">
            <v>0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  <cell r="L6313">
            <v>0</v>
          </cell>
          <cell r="M6313">
            <v>0</v>
          </cell>
          <cell r="N6313">
            <v>0</v>
          </cell>
          <cell r="O6313">
            <v>0</v>
          </cell>
          <cell r="P6313">
            <v>0</v>
          </cell>
          <cell r="Q6313">
            <v>0</v>
          </cell>
          <cell r="R6313">
            <v>0</v>
          </cell>
          <cell r="S6313">
            <v>0</v>
          </cell>
          <cell r="T6313">
            <v>0</v>
          </cell>
          <cell r="U6313">
            <v>0</v>
          </cell>
          <cell r="V6313">
            <v>0</v>
          </cell>
          <cell r="W6313">
            <v>0</v>
          </cell>
          <cell r="X6313">
            <v>0</v>
          </cell>
          <cell r="Y6313">
            <v>0</v>
          </cell>
          <cell r="Z6313">
            <v>0</v>
          </cell>
        </row>
        <row r="6314">
          <cell r="D6314">
            <v>317921</v>
          </cell>
          <cell r="E6314" t="str">
            <v>Wakat National High School</v>
          </cell>
          <cell r="F6314">
            <v>0</v>
          </cell>
          <cell r="G6314">
            <v>0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0</v>
          </cell>
          <cell r="M6314">
            <v>0</v>
          </cell>
          <cell r="N6314">
            <v>0</v>
          </cell>
          <cell r="O6314">
            <v>0</v>
          </cell>
          <cell r="P6314">
            <v>0</v>
          </cell>
          <cell r="Q6314">
            <v>0</v>
          </cell>
          <cell r="R6314">
            <v>0</v>
          </cell>
          <cell r="S6314">
            <v>0</v>
          </cell>
          <cell r="T6314">
            <v>0</v>
          </cell>
          <cell r="U6314">
            <v>0</v>
          </cell>
          <cell r="V6314">
            <v>0</v>
          </cell>
          <cell r="W6314">
            <v>0</v>
          </cell>
          <cell r="X6314">
            <v>0</v>
          </cell>
          <cell r="Y6314">
            <v>0</v>
          </cell>
          <cell r="Z6314">
            <v>0</v>
          </cell>
        </row>
        <row r="6315">
          <cell r="D6315">
            <v>500322</v>
          </cell>
          <cell r="E6315" t="str">
            <v>Bangsud Integrated Secondary School</v>
          </cell>
          <cell r="F6315">
            <v>0</v>
          </cell>
          <cell r="G6315">
            <v>0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>
            <v>0</v>
          </cell>
          <cell r="M6315">
            <v>0</v>
          </cell>
          <cell r="N6315">
            <v>0</v>
          </cell>
          <cell r="O6315">
            <v>0</v>
          </cell>
          <cell r="P6315">
            <v>0</v>
          </cell>
          <cell r="Q6315">
            <v>0</v>
          </cell>
          <cell r="R6315">
            <v>0</v>
          </cell>
          <cell r="S6315">
            <v>0</v>
          </cell>
          <cell r="T6315">
            <v>0</v>
          </cell>
          <cell r="U6315">
            <v>0</v>
          </cell>
          <cell r="V6315">
            <v>0</v>
          </cell>
          <cell r="W6315">
            <v>0</v>
          </cell>
          <cell r="X6315">
            <v>0</v>
          </cell>
          <cell r="Y6315">
            <v>0</v>
          </cell>
          <cell r="Z6315">
            <v>0</v>
          </cell>
        </row>
        <row r="6316">
          <cell r="D6316">
            <v>500571</v>
          </cell>
          <cell r="E6316" t="str">
            <v>Pakwan Elementary School</v>
          </cell>
          <cell r="F6316">
            <v>0</v>
          </cell>
          <cell r="G6316">
            <v>0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>
            <v>0</v>
          </cell>
          <cell r="M6316">
            <v>0</v>
          </cell>
          <cell r="N6316">
            <v>0</v>
          </cell>
          <cell r="O6316">
            <v>0</v>
          </cell>
          <cell r="P6316">
            <v>0</v>
          </cell>
          <cell r="Q6316">
            <v>0</v>
          </cell>
          <cell r="R6316">
            <v>0</v>
          </cell>
          <cell r="S6316">
            <v>0</v>
          </cell>
          <cell r="T6316">
            <v>0</v>
          </cell>
          <cell r="U6316">
            <v>0</v>
          </cell>
          <cell r="V6316">
            <v>0</v>
          </cell>
          <cell r="W6316">
            <v>0</v>
          </cell>
          <cell r="X6316">
            <v>0</v>
          </cell>
          <cell r="Y6316">
            <v>0</v>
          </cell>
          <cell r="Z6316">
            <v>0</v>
          </cell>
        </row>
        <row r="6317">
          <cell r="D6317">
            <v>304872</v>
          </cell>
          <cell r="E6317" t="str">
            <v>Burgos National High School</v>
          </cell>
          <cell r="F6317">
            <v>0</v>
          </cell>
          <cell r="G6317">
            <v>0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>
            <v>0</v>
          </cell>
          <cell r="M6317">
            <v>0</v>
          </cell>
          <cell r="N6317">
            <v>0</v>
          </cell>
          <cell r="O6317">
            <v>0</v>
          </cell>
          <cell r="P6317">
            <v>0</v>
          </cell>
          <cell r="Q6317">
            <v>0</v>
          </cell>
          <cell r="R6317">
            <v>0</v>
          </cell>
          <cell r="S6317">
            <v>0</v>
          </cell>
          <cell r="T6317">
            <v>0</v>
          </cell>
          <cell r="U6317">
            <v>0</v>
          </cell>
          <cell r="V6317">
            <v>0</v>
          </cell>
          <cell r="W6317">
            <v>0</v>
          </cell>
          <cell r="X6317">
            <v>0</v>
          </cell>
          <cell r="Y6317">
            <v>0</v>
          </cell>
          <cell r="Z6317">
            <v>0</v>
          </cell>
        </row>
        <row r="6318">
          <cell r="D6318">
            <v>500320</v>
          </cell>
          <cell r="E6318" t="str">
            <v>Nurcia Elementary School</v>
          </cell>
          <cell r="F6318">
            <v>0</v>
          </cell>
          <cell r="G6318">
            <v>0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>
            <v>0</v>
          </cell>
          <cell r="M6318">
            <v>0</v>
          </cell>
          <cell r="N6318">
            <v>0</v>
          </cell>
          <cell r="O6318">
            <v>0</v>
          </cell>
          <cell r="P6318">
            <v>0</v>
          </cell>
          <cell r="Q6318">
            <v>0</v>
          </cell>
          <cell r="R6318">
            <v>0</v>
          </cell>
          <cell r="S6318">
            <v>0</v>
          </cell>
          <cell r="T6318">
            <v>0</v>
          </cell>
          <cell r="U6318">
            <v>0</v>
          </cell>
          <cell r="V6318">
            <v>0</v>
          </cell>
          <cell r="W6318">
            <v>0</v>
          </cell>
          <cell r="X6318">
            <v>0</v>
          </cell>
          <cell r="Y6318">
            <v>0</v>
          </cell>
          <cell r="Z6318">
            <v>0</v>
          </cell>
        </row>
        <row r="6319">
          <cell r="D6319">
            <v>304887</v>
          </cell>
          <cell r="E6319" t="str">
            <v>Tigao National High School</v>
          </cell>
          <cell r="F6319">
            <v>0</v>
          </cell>
          <cell r="G6319">
            <v>0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0</v>
          </cell>
          <cell r="M6319">
            <v>0</v>
          </cell>
          <cell r="N6319">
            <v>0</v>
          </cell>
          <cell r="O6319">
            <v>0</v>
          </cell>
          <cell r="P6319">
            <v>0</v>
          </cell>
          <cell r="Q6319">
            <v>0</v>
          </cell>
          <cell r="R6319">
            <v>0</v>
          </cell>
          <cell r="S6319">
            <v>0</v>
          </cell>
          <cell r="T6319">
            <v>0</v>
          </cell>
          <cell r="U6319">
            <v>0</v>
          </cell>
          <cell r="V6319">
            <v>0</v>
          </cell>
          <cell r="W6319">
            <v>0</v>
          </cell>
          <cell r="X6319">
            <v>0</v>
          </cell>
          <cell r="Y6319">
            <v>0</v>
          </cell>
          <cell r="Z6319">
            <v>0</v>
          </cell>
        </row>
        <row r="6320">
          <cell r="D6320">
            <v>500580</v>
          </cell>
          <cell r="E6320" t="str">
            <v>Osmeña Integrated School</v>
          </cell>
          <cell r="F6320">
            <v>0</v>
          </cell>
          <cell r="G6320">
            <v>0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0</v>
          </cell>
          <cell r="M6320">
            <v>0</v>
          </cell>
          <cell r="N6320">
            <v>0</v>
          </cell>
          <cell r="O6320">
            <v>0</v>
          </cell>
          <cell r="P6320">
            <v>0</v>
          </cell>
          <cell r="Q6320">
            <v>0</v>
          </cell>
          <cell r="R6320">
            <v>0</v>
          </cell>
          <cell r="S6320">
            <v>0</v>
          </cell>
          <cell r="T6320">
            <v>0</v>
          </cell>
          <cell r="U6320">
            <v>0</v>
          </cell>
          <cell r="V6320">
            <v>0</v>
          </cell>
          <cell r="W6320">
            <v>0</v>
          </cell>
          <cell r="X6320">
            <v>0</v>
          </cell>
          <cell r="Y6320">
            <v>0</v>
          </cell>
          <cell r="Z6320">
            <v>0</v>
          </cell>
        </row>
        <row r="6321">
          <cell r="D6321">
            <v>304859</v>
          </cell>
          <cell r="E6321" t="str">
            <v>Lianga National Comprehensive National High School</v>
          </cell>
          <cell r="F6321">
            <v>0</v>
          </cell>
          <cell r="G6321">
            <v>0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0</v>
          </cell>
          <cell r="M6321">
            <v>0</v>
          </cell>
          <cell r="N6321">
            <v>0</v>
          </cell>
          <cell r="O6321">
            <v>0</v>
          </cell>
          <cell r="P6321">
            <v>0</v>
          </cell>
          <cell r="Q6321">
            <v>0</v>
          </cell>
          <cell r="R6321">
            <v>0</v>
          </cell>
          <cell r="S6321">
            <v>0</v>
          </cell>
          <cell r="T6321">
            <v>0</v>
          </cell>
          <cell r="U6321">
            <v>0</v>
          </cell>
          <cell r="V6321">
            <v>0</v>
          </cell>
          <cell r="W6321">
            <v>0</v>
          </cell>
          <cell r="X6321">
            <v>0</v>
          </cell>
          <cell r="Y6321">
            <v>0</v>
          </cell>
          <cell r="Z6321">
            <v>0</v>
          </cell>
        </row>
        <row r="6322">
          <cell r="D6322">
            <v>304895</v>
          </cell>
          <cell r="E6322" t="str">
            <v>Lingig National High School</v>
          </cell>
          <cell r="F6322">
            <v>12</v>
          </cell>
          <cell r="G6322">
            <v>5</v>
          </cell>
          <cell r="H6322">
            <v>17</v>
          </cell>
          <cell r="I6322">
            <v>9</v>
          </cell>
          <cell r="J6322">
            <v>4</v>
          </cell>
          <cell r="K6322">
            <v>13</v>
          </cell>
          <cell r="L6322">
            <v>30</v>
          </cell>
          <cell r="M6322">
            <v>21</v>
          </cell>
          <cell r="N6322">
            <v>51</v>
          </cell>
          <cell r="O6322">
            <v>0</v>
          </cell>
          <cell r="P6322">
            <v>0</v>
          </cell>
          <cell r="Q6322">
            <v>0</v>
          </cell>
          <cell r="R6322">
            <v>0</v>
          </cell>
          <cell r="S6322">
            <v>0</v>
          </cell>
          <cell r="T6322">
            <v>0</v>
          </cell>
          <cell r="U6322">
            <v>0</v>
          </cell>
          <cell r="V6322">
            <v>0</v>
          </cell>
          <cell r="W6322">
            <v>0</v>
          </cell>
          <cell r="X6322">
            <v>0</v>
          </cell>
          <cell r="Y6322">
            <v>0</v>
          </cell>
          <cell r="Z6322">
            <v>0</v>
          </cell>
        </row>
        <row r="6323">
          <cell r="D6323">
            <v>304861</v>
          </cell>
          <cell r="E6323" t="str">
            <v>Barobo National High School</v>
          </cell>
          <cell r="F6323">
            <v>360</v>
          </cell>
          <cell r="G6323">
            <v>339</v>
          </cell>
          <cell r="H6323">
            <v>699</v>
          </cell>
          <cell r="I6323">
            <v>357</v>
          </cell>
          <cell r="J6323">
            <v>330</v>
          </cell>
          <cell r="K6323">
            <v>687</v>
          </cell>
          <cell r="L6323">
            <v>0</v>
          </cell>
          <cell r="M6323">
            <v>0</v>
          </cell>
          <cell r="N6323">
            <v>0</v>
          </cell>
          <cell r="O6323">
            <v>0</v>
          </cell>
          <cell r="P6323">
            <v>0</v>
          </cell>
          <cell r="Q6323">
            <v>0</v>
          </cell>
          <cell r="R6323">
            <v>0</v>
          </cell>
          <cell r="S6323">
            <v>0</v>
          </cell>
          <cell r="T6323">
            <v>0</v>
          </cell>
          <cell r="U6323">
            <v>3</v>
          </cell>
          <cell r="V6323">
            <v>2</v>
          </cell>
          <cell r="W6323">
            <v>5</v>
          </cell>
          <cell r="X6323">
            <v>23</v>
          </cell>
          <cell r="Y6323">
            <v>37</v>
          </cell>
          <cell r="Z6323">
            <v>60</v>
          </cell>
        </row>
        <row r="6324">
          <cell r="D6324">
            <v>500572</v>
          </cell>
          <cell r="E6324" t="str">
            <v>Bingcongan Elementary School</v>
          </cell>
          <cell r="F6324">
            <v>0</v>
          </cell>
          <cell r="G6324">
            <v>0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>
            <v>0</v>
          </cell>
          <cell r="M6324">
            <v>0</v>
          </cell>
          <cell r="N6324">
            <v>0</v>
          </cell>
          <cell r="O6324">
            <v>0</v>
          </cell>
          <cell r="P6324">
            <v>0</v>
          </cell>
          <cell r="Q6324">
            <v>0</v>
          </cell>
          <cell r="R6324">
            <v>0</v>
          </cell>
          <cell r="S6324">
            <v>0</v>
          </cell>
          <cell r="T6324">
            <v>0</v>
          </cell>
          <cell r="U6324">
            <v>0</v>
          </cell>
          <cell r="V6324">
            <v>0</v>
          </cell>
          <cell r="W6324">
            <v>0</v>
          </cell>
          <cell r="X6324">
            <v>0</v>
          </cell>
          <cell r="Y6324">
            <v>0</v>
          </cell>
          <cell r="Z6324">
            <v>0</v>
          </cell>
        </row>
        <row r="6325">
          <cell r="D6325">
            <v>317940</v>
          </cell>
          <cell r="E6325" t="str">
            <v>Cambatong National High School</v>
          </cell>
          <cell r="F6325">
            <v>0</v>
          </cell>
          <cell r="G6325">
            <v>0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>
            <v>0</v>
          </cell>
          <cell r="M6325">
            <v>0</v>
          </cell>
          <cell r="N6325">
            <v>0</v>
          </cell>
          <cell r="O6325">
            <v>0</v>
          </cell>
          <cell r="P6325">
            <v>0</v>
          </cell>
          <cell r="Q6325">
            <v>0</v>
          </cell>
          <cell r="R6325">
            <v>0</v>
          </cell>
          <cell r="S6325">
            <v>0</v>
          </cell>
          <cell r="T6325">
            <v>0</v>
          </cell>
          <cell r="U6325">
            <v>0</v>
          </cell>
          <cell r="V6325">
            <v>0</v>
          </cell>
          <cell r="W6325">
            <v>0</v>
          </cell>
          <cell r="X6325">
            <v>0</v>
          </cell>
          <cell r="Y6325">
            <v>0</v>
          </cell>
          <cell r="Z6325">
            <v>0</v>
          </cell>
        </row>
        <row r="6326">
          <cell r="D6326">
            <v>304890</v>
          </cell>
          <cell r="E6326" t="str">
            <v>Hinatuan National Comprehensive High School</v>
          </cell>
          <cell r="F6326">
            <v>98</v>
          </cell>
          <cell r="G6326">
            <v>101</v>
          </cell>
          <cell r="H6326">
            <v>199</v>
          </cell>
          <cell r="I6326">
            <v>13</v>
          </cell>
          <cell r="J6326">
            <v>5</v>
          </cell>
          <cell r="K6326">
            <v>18</v>
          </cell>
          <cell r="L6326">
            <v>0</v>
          </cell>
          <cell r="M6326">
            <v>0</v>
          </cell>
          <cell r="N6326">
            <v>0</v>
          </cell>
          <cell r="O6326">
            <v>0</v>
          </cell>
          <cell r="P6326">
            <v>0</v>
          </cell>
          <cell r="Q6326">
            <v>0</v>
          </cell>
          <cell r="R6326">
            <v>0</v>
          </cell>
          <cell r="S6326">
            <v>0</v>
          </cell>
          <cell r="T6326">
            <v>0</v>
          </cell>
          <cell r="U6326">
            <v>0</v>
          </cell>
          <cell r="V6326">
            <v>0</v>
          </cell>
          <cell r="W6326">
            <v>0</v>
          </cell>
          <cell r="X6326">
            <v>0</v>
          </cell>
          <cell r="Y6326">
            <v>0</v>
          </cell>
          <cell r="Z6326">
            <v>0</v>
          </cell>
        </row>
        <row r="6327">
          <cell r="D6327">
            <v>500577</v>
          </cell>
          <cell r="E6327" t="str">
            <v>Baculin Elementary School</v>
          </cell>
          <cell r="F6327">
            <v>0</v>
          </cell>
          <cell r="G6327">
            <v>0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0</v>
          </cell>
          <cell r="M6327">
            <v>0</v>
          </cell>
          <cell r="N6327">
            <v>0</v>
          </cell>
          <cell r="O6327">
            <v>0</v>
          </cell>
          <cell r="P6327">
            <v>0</v>
          </cell>
          <cell r="Q6327">
            <v>0</v>
          </cell>
          <cell r="R6327">
            <v>0</v>
          </cell>
          <cell r="S6327">
            <v>0</v>
          </cell>
          <cell r="T6327">
            <v>0</v>
          </cell>
          <cell r="U6327">
            <v>0</v>
          </cell>
          <cell r="V6327">
            <v>0</v>
          </cell>
          <cell r="W6327">
            <v>0</v>
          </cell>
          <cell r="X6327">
            <v>0</v>
          </cell>
          <cell r="Y6327">
            <v>0</v>
          </cell>
          <cell r="Z6327">
            <v>0</v>
          </cell>
        </row>
        <row r="6328">
          <cell r="D6328">
            <v>304900</v>
          </cell>
          <cell r="E6328" t="str">
            <v>Panikian National High School</v>
          </cell>
          <cell r="F6328">
            <v>0</v>
          </cell>
          <cell r="G6328">
            <v>0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>
            <v>0</v>
          </cell>
          <cell r="M6328">
            <v>0</v>
          </cell>
          <cell r="N6328">
            <v>0</v>
          </cell>
          <cell r="O6328">
            <v>0</v>
          </cell>
          <cell r="P6328">
            <v>0</v>
          </cell>
          <cell r="Q6328">
            <v>0</v>
          </cell>
          <cell r="R6328">
            <v>0</v>
          </cell>
          <cell r="S6328">
            <v>0</v>
          </cell>
          <cell r="T6328">
            <v>0</v>
          </cell>
          <cell r="U6328">
            <v>0</v>
          </cell>
          <cell r="V6328">
            <v>0</v>
          </cell>
          <cell r="W6328">
            <v>0</v>
          </cell>
          <cell r="X6328">
            <v>0</v>
          </cell>
          <cell r="Y6328">
            <v>0</v>
          </cell>
          <cell r="Z6328">
            <v>0</v>
          </cell>
        </row>
        <row r="6329">
          <cell r="D6329">
            <v>304901</v>
          </cell>
          <cell r="E6329" t="str">
            <v>Parang National High School</v>
          </cell>
          <cell r="F6329">
            <v>66</v>
          </cell>
          <cell r="G6329">
            <v>36</v>
          </cell>
          <cell r="H6329">
            <v>102</v>
          </cell>
          <cell r="I6329">
            <v>45</v>
          </cell>
          <cell r="J6329">
            <v>23</v>
          </cell>
          <cell r="K6329">
            <v>68</v>
          </cell>
          <cell r="L6329">
            <v>193</v>
          </cell>
          <cell r="M6329">
            <v>112</v>
          </cell>
          <cell r="N6329">
            <v>305</v>
          </cell>
          <cell r="O6329">
            <v>0</v>
          </cell>
          <cell r="P6329">
            <v>0</v>
          </cell>
          <cell r="Q6329">
            <v>0</v>
          </cell>
          <cell r="R6329">
            <v>0</v>
          </cell>
          <cell r="S6329">
            <v>0</v>
          </cell>
          <cell r="T6329">
            <v>0</v>
          </cell>
          <cell r="U6329">
            <v>0</v>
          </cell>
          <cell r="V6329">
            <v>0</v>
          </cell>
          <cell r="W6329">
            <v>0</v>
          </cell>
          <cell r="X6329">
            <v>0</v>
          </cell>
          <cell r="Y6329">
            <v>0</v>
          </cell>
          <cell r="Z6329">
            <v>0</v>
          </cell>
        </row>
        <row r="6330">
          <cell r="D6330">
            <v>304903</v>
          </cell>
          <cell r="E6330" t="str">
            <v>Purisima National High School</v>
          </cell>
          <cell r="F6330">
            <v>0</v>
          </cell>
          <cell r="G6330">
            <v>0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0</v>
          </cell>
          <cell r="M6330">
            <v>0</v>
          </cell>
          <cell r="N6330">
            <v>0</v>
          </cell>
          <cell r="O6330">
            <v>0</v>
          </cell>
          <cell r="P6330">
            <v>0</v>
          </cell>
          <cell r="Q6330">
            <v>0</v>
          </cell>
          <cell r="R6330">
            <v>0</v>
          </cell>
          <cell r="S6330">
            <v>0</v>
          </cell>
          <cell r="T6330">
            <v>0</v>
          </cell>
          <cell r="U6330">
            <v>0</v>
          </cell>
          <cell r="V6330">
            <v>0</v>
          </cell>
          <cell r="W6330">
            <v>0</v>
          </cell>
          <cell r="X6330">
            <v>0</v>
          </cell>
          <cell r="Y6330">
            <v>0</v>
          </cell>
          <cell r="Z6330">
            <v>0</v>
          </cell>
        </row>
        <row r="6331">
          <cell r="D6331">
            <v>304907</v>
          </cell>
          <cell r="E6331" t="str">
            <v>Sagbayan National High School</v>
          </cell>
          <cell r="F6331">
            <v>3</v>
          </cell>
          <cell r="G6331">
            <v>0</v>
          </cell>
          <cell r="H6331">
            <v>3</v>
          </cell>
          <cell r="I6331">
            <v>0</v>
          </cell>
          <cell r="J6331">
            <v>0</v>
          </cell>
          <cell r="K6331">
            <v>0</v>
          </cell>
          <cell r="L6331">
            <v>0</v>
          </cell>
          <cell r="M6331">
            <v>0</v>
          </cell>
          <cell r="N6331">
            <v>0</v>
          </cell>
          <cell r="O6331">
            <v>0</v>
          </cell>
          <cell r="P6331">
            <v>0</v>
          </cell>
          <cell r="Q6331">
            <v>0</v>
          </cell>
          <cell r="R6331">
            <v>0</v>
          </cell>
          <cell r="S6331">
            <v>0</v>
          </cell>
          <cell r="T6331">
            <v>0</v>
          </cell>
          <cell r="U6331">
            <v>0</v>
          </cell>
          <cell r="V6331">
            <v>0</v>
          </cell>
          <cell r="W6331">
            <v>0</v>
          </cell>
          <cell r="X6331">
            <v>0</v>
          </cell>
          <cell r="Y6331">
            <v>0</v>
          </cell>
          <cell r="Z6331">
            <v>0</v>
          </cell>
        </row>
        <row r="6332">
          <cell r="D6332">
            <v>304863</v>
          </cell>
          <cell r="E6332" t="str">
            <v>Javier National High School</v>
          </cell>
          <cell r="F6332">
            <v>0</v>
          </cell>
          <cell r="G6332">
            <v>0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0</v>
          </cell>
          <cell r="M6332">
            <v>0</v>
          </cell>
          <cell r="N6332">
            <v>0</v>
          </cell>
          <cell r="O6332">
            <v>0</v>
          </cell>
          <cell r="P6332">
            <v>0</v>
          </cell>
          <cell r="Q6332">
            <v>0</v>
          </cell>
          <cell r="R6332">
            <v>0</v>
          </cell>
          <cell r="S6332">
            <v>0</v>
          </cell>
          <cell r="T6332">
            <v>0</v>
          </cell>
          <cell r="U6332">
            <v>0</v>
          </cell>
          <cell r="V6332">
            <v>0</v>
          </cell>
          <cell r="W6332">
            <v>0</v>
          </cell>
          <cell r="X6332">
            <v>0</v>
          </cell>
          <cell r="Y6332">
            <v>0</v>
          </cell>
          <cell r="Z6332">
            <v>0</v>
          </cell>
        </row>
        <row r="6333">
          <cell r="D6333">
            <v>500574</v>
          </cell>
          <cell r="E6333" t="str">
            <v>Cabangahan Integrated Secondary School</v>
          </cell>
          <cell r="F6333">
            <v>0</v>
          </cell>
          <cell r="G6333">
            <v>0</v>
          </cell>
          <cell r="H6333">
            <v>0</v>
          </cell>
          <cell r="I6333">
            <v>0</v>
          </cell>
          <cell r="J6333">
            <v>0</v>
          </cell>
          <cell r="K6333">
            <v>0</v>
          </cell>
          <cell r="L6333">
            <v>0</v>
          </cell>
          <cell r="M6333">
            <v>0</v>
          </cell>
          <cell r="N6333">
            <v>0</v>
          </cell>
          <cell r="O6333">
            <v>0</v>
          </cell>
          <cell r="P6333">
            <v>0</v>
          </cell>
          <cell r="Q6333">
            <v>0</v>
          </cell>
          <cell r="R6333">
            <v>0</v>
          </cell>
          <cell r="S6333">
            <v>0</v>
          </cell>
          <cell r="T6333">
            <v>0</v>
          </cell>
          <cell r="U6333">
            <v>0</v>
          </cell>
          <cell r="V6333">
            <v>0</v>
          </cell>
          <cell r="W6333">
            <v>0</v>
          </cell>
          <cell r="X6333">
            <v>0</v>
          </cell>
          <cell r="Y6333">
            <v>0</v>
          </cell>
          <cell r="Z6333">
            <v>0</v>
          </cell>
        </row>
        <row r="6334">
          <cell r="D6334">
            <v>304899</v>
          </cell>
          <cell r="E6334" t="str">
            <v>Antipolo National High School</v>
          </cell>
          <cell r="F6334">
            <v>0</v>
          </cell>
          <cell r="G6334">
            <v>0</v>
          </cell>
          <cell r="H6334">
            <v>0</v>
          </cell>
          <cell r="I6334">
            <v>0</v>
          </cell>
          <cell r="J6334">
            <v>0</v>
          </cell>
          <cell r="K6334">
            <v>0</v>
          </cell>
          <cell r="L6334">
            <v>0</v>
          </cell>
          <cell r="M6334">
            <v>0</v>
          </cell>
          <cell r="N6334">
            <v>0</v>
          </cell>
          <cell r="O6334">
            <v>0</v>
          </cell>
          <cell r="P6334">
            <v>0</v>
          </cell>
          <cell r="Q6334">
            <v>0</v>
          </cell>
          <cell r="R6334">
            <v>0</v>
          </cell>
          <cell r="S6334">
            <v>0</v>
          </cell>
          <cell r="T6334">
            <v>0</v>
          </cell>
          <cell r="U6334">
            <v>0</v>
          </cell>
          <cell r="V6334">
            <v>0</v>
          </cell>
          <cell r="W6334">
            <v>0</v>
          </cell>
          <cell r="X6334">
            <v>0</v>
          </cell>
          <cell r="Y6334">
            <v>0</v>
          </cell>
          <cell r="Z6334">
            <v>0</v>
          </cell>
        </row>
        <row r="6335">
          <cell r="D6335">
            <v>304897</v>
          </cell>
          <cell r="E6335" t="str">
            <v>Madrid National High School</v>
          </cell>
          <cell r="F6335">
            <v>0</v>
          </cell>
          <cell r="G6335">
            <v>0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>
            <v>0</v>
          </cell>
          <cell r="M6335">
            <v>0</v>
          </cell>
          <cell r="N6335">
            <v>0</v>
          </cell>
          <cell r="O6335">
            <v>0</v>
          </cell>
          <cell r="P6335">
            <v>0</v>
          </cell>
          <cell r="Q6335">
            <v>0</v>
          </cell>
          <cell r="R6335">
            <v>0</v>
          </cell>
          <cell r="S6335">
            <v>0</v>
          </cell>
          <cell r="T6335">
            <v>0</v>
          </cell>
          <cell r="U6335">
            <v>0</v>
          </cell>
          <cell r="V6335">
            <v>0</v>
          </cell>
          <cell r="W6335">
            <v>0</v>
          </cell>
          <cell r="X6335">
            <v>0</v>
          </cell>
          <cell r="Y6335">
            <v>0</v>
          </cell>
          <cell r="Z6335">
            <v>0</v>
          </cell>
        </row>
        <row r="6336">
          <cell r="D6336">
            <v>500581</v>
          </cell>
          <cell r="E6336" t="str">
            <v>Anibongan Elementary School</v>
          </cell>
          <cell r="F6336">
            <v>9</v>
          </cell>
          <cell r="G6336">
            <v>7</v>
          </cell>
          <cell r="H6336">
            <v>16</v>
          </cell>
          <cell r="I6336">
            <v>2</v>
          </cell>
          <cell r="J6336">
            <v>3</v>
          </cell>
          <cell r="K6336">
            <v>5</v>
          </cell>
          <cell r="L6336">
            <v>2</v>
          </cell>
          <cell r="M6336">
            <v>4</v>
          </cell>
          <cell r="N6336">
            <v>6</v>
          </cell>
          <cell r="O6336">
            <v>0</v>
          </cell>
          <cell r="P6336">
            <v>0</v>
          </cell>
          <cell r="Q6336">
            <v>0</v>
          </cell>
          <cell r="R6336">
            <v>0</v>
          </cell>
          <cell r="S6336">
            <v>0</v>
          </cell>
          <cell r="T6336">
            <v>0</v>
          </cell>
          <cell r="U6336">
            <v>0</v>
          </cell>
          <cell r="V6336">
            <v>0</v>
          </cell>
          <cell r="W6336">
            <v>0</v>
          </cell>
          <cell r="X6336">
            <v>0</v>
          </cell>
          <cell r="Y6336">
            <v>0</v>
          </cell>
          <cell r="Z6336">
            <v>0</v>
          </cell>
        </row>
        <row r="6337">
          <cell r="D6337">
            <v>304862</v>
          </cell>
          <cell r="E6337" t="str">
            <v>Cabacungan National High School</v>
          </cell>
          <cell r="F6337">
            <v>0</v>
          </cell>
          <cell r="G6337">
            <v>0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>
            <v>0</v>
          </cell>
          <cell r="M6337">
            <v>0</v>
          </cell>
          <cell r="N6337">
            <v>0</v>
          </cell>
          <cell r="O6337">
            <v>0</v>
          </cell>
          <cell r="P6337">
            <v>0</v>
          </cell>
          <cell r="Q6337">
            <v>0</v>
          </cell>
          <cell r="R6337">
            <v>0</v>
          </cell>
          <cell r="S6337">
            <v>0</v>
          </cell>
          <cell r="T6337">
            <v>0</v>
          </cell>
          <cell r="U6337">
            <v>0</v>
          </cell>
          <cell r="V6337">
            <v>0</v>
          </cell>
          <cell r="W6337">
            <v>0</v>
          </cell>
          <cell r="X6337">
            <v>0</v>
          </cell>
          <cell r="Y6337">
            <v>0</v>
          </cell>
          <cell r="Z6337">
            <v>0</v>
          </cell>
        </row>
        <row r="6338">
          <cell r="D6338">
            <v>500586</v>
          </cell>
          <cell r="E6338" t="str">
            <v>Jobar Elementary School</v>
          </cell>
          <cell r="F6338">
            <v>19</v>
          </cell>
          <cell r="G6338">
            <v>9</v>
          </cell>
          <cell r="H6338">
            <v>28</v>
          </cell>
          <cell r="I6338">
            <v>1</v>
          </cell>
          <cell r="J6338">
            <v>2</v>
          </cell>
          <cell r="K6338">
            <v>3</v>
          </cell>
          <cell r="L6338">
            <v>1</v>
          </cell>
          <cell r="M6338">
            <v>2</v>
          </cell>
          <cell r="N6338">
            <v>3</v>
          </cell>
          <cell r="O6338">
            <v>0</v>
          </cell>
          <cell r="P6338">
            <v>0</v>
          </cell>
          <cell r="Q6338">
            <v>0</v>
          </cell>
          <cell r="R6338">
            <v>0</v>
          </cell>
          <cell r="S6338">
            <v>0</v>
          </cell>
          <cell r="T6338">
            <v>0</v>
          </cell>
          <cell r="U6338">
            <v>0</v>
          </cell>
          <cell r="V6338">
            <v>0</v>
          </cell>
          <cell r="W6338">
            <v>0</v>
          </cell>
          <cell r="X6338">
            <v>0</v>
          </cell>
          <cell r="Y6338">
            <v>0</v>
          </cell>
          <cell r="Z6338">
            <v>0</v>
          </cell>
        </row>
        <row r="6339">
          <cell r="D6339">
            <v>304923</v>
          </cell>
          <cell r="E6339" t="str">
            <v>Tidman National High School</v>
          </cell>
          <cell r="F6339">
            <v>0</v>
          </cell>
          <cell r="G6339">
            <v>0</v>
          </cell>
          <cell r="H6339">
            <v>0</v>
          </cell>
          <cell r="I6339">
            <v>0</v>
          </cell>
          <cell r="J6339">
            <v>0</v>
          </cell>
          <cell r="K6339">
            <v>0</v>
          </cell>
          <cell r="L6339">
            <v>0</v>
          </cell>
          <cell r="M6339">
            <v>0</v>
          </cell>
          <cell r="N6339">
            <v>0</v>
          </cell>
          <cell r="O6339">
            <v>0</v>
          </cell>
          <cell r="P6339">
            <v>0</v>
          </cell>
          <cell r="Q6339">
            <v>0</v>
          </cell>
          <cell r="R6339">
            <v>0</v>
          </cell>
          <cell r="S6339">
            <v>0</v>
          </cell>
          <cell r="T6339">
            <v>0</v>
          </cell>
          <cell r="U6339">
            <v>0</v>
          </cell>
          <cell r="V6339">
            <v>0</v>
          </cell>
          <cell r="W6339">
            <v>0</v>
          </cell>
          <cell r="X6339">
            <v>0</v>
          </cell>
          <cell r="Y6339">
            <v>0</v>
          </cell>
          <cell r="Z6339">
            <v>0</v>
          </cell>
        </row>
        <row r="6340">
          <cell r="D6340">
            <v>304921</v>
          </cell>
          <cell r="E6340" t="str">
            <v>Bigaan National High School</v>
          </cell>
          <cell r="F6340">
            <v>0</v>
          </cell>
          <cell r="G6340">
            <v>0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0</v>
          </cell>
          <cell r="M6340">
            <v>0</v>
          </cell>
          <cell r="N6340">
            <v>0</v>
          </cell>
          <cell r="O6340">
            <v>0</v>
          </cell>
          <cell r="P6340">
            <v>0</v>
          </cell>
          <cell r="Q6340">
            <v>0</v>
          </cell>
          <cell r="R6340">
            <v>0</v>
          </cell>
          <cell r="S6340">
            <v>0</v>
          </cell>
          <cell r="T6340">
            <v>0</v>
          </cell>
          <cell r="U6340">
            <v>0</v>
          </cell>
          <cell r="V6340">
            <v>0</v>
          </cell>
          <cell r="W6340">
            <v>0</v>
          </cell>
          <cell r="X6340">
            <v>0</v>
          </cell>
          <cell r="Y6340">
            <v>0</v>
          </cell>
          <cell r="Z6340">
            <v>0</v>
          </cell>
        </row>
        <row r="6341">
          <cell r="D6341">
            <v>304886</v>
          </cell>
          <cell r="E6341" t="str">
            <v>Felisberto Verano National High School</v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0</v>
          </cell>
          <cell r="M6341">
            <v>0</v>
          </cell>
          <cell r="N6341">
            <v>0</v>
          </cell>
          <cell r="O6341">
            <v>0</v>
          </cell>
          <cell r="P6341">
            <v>0</v>
          </cell>
          <cell r="Q6341">
            <v>0</v>
          </cell>
          <cell r="R6341">
            <v>0</v>
          </cell>
          <cell r="S6341">
            <v>0</v>
          </cell>
          <cell r="T6341">
            <v>0</v>
          </cell>
          <cell r="U6341">
            <v>0</v>
          </cell>
          <cell r="V6341">
            <v>0</v>
          </cell>
          <cell r="W6341">
            <v>0</v>
          </cell>
          <cell r="X6341">
            <v>0</v>
          </cell>
          <cell r="Y6341">
            <v>0</v>
          </cell>
          <cell r="Z6341">
            <v>0</v>
          </cell>
        </row>
        <row r="6342">
          <cell r="D6342">
            <v>500327</v>
          </cell>
          <cell r="E6342" t="str">
            <v>Rajah Cabungsuan Integrated School</v>
          </cell>
          <cell r="F6342">
            <v>0</v>
          </cell>
          <cell r="G6342">
            <v>0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>
            <v>0</v>
          </cell>
          <cell r="M6342">
            <v>0</v>
          </cell>
          <cell r="N6342">
            <v>0</v>
          </cell>
          <cell r="O6342">
            <v>0</v>
          </cell>
          <cell r="P6342">
            <v>0</v>
          </cell>
          <cell r="Q6342">
            <v>0</v>
          </cell>
          <cell r="R6342">
            <v>0</v>
          </cell>
          <cell r="S6342">
            <v>0</v>
          </cell>
          <cell r="T6342">
            <v>0</v>
          </cell>
          <cell r="U6342">
            <v>0</v>
          </cell>
          <cell r="V6342">
            <v>0</v>
          </cell>
          <cell r="W6342">
            <v>0</v>
          </cell>
          <cell r="X6342">
            <v>0</v>
          </cell>
          <cell r="Y6342">
            <v>0</v>
          </cell>
          <cell r="Z6342">
            <v>0</v>
          </cell>
        </row>
        <row r="6343">
          <cell r="D6343">
            <v>304883</v>
          </cell>
          <cell r="E6343" t="str">
            <v>Sta. Juana National High School</v>
          </cell>
          <cell r="F6343">
            <v>0</v>
          </cell>
          <cell r="G6343">
            <v>0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>
            <v>0</v>
          </cell>
          <cell r="M6343">
            <v>0</v>
          </cell>
          <cell r="N6343">
            <v>0</v>
          </cell>
          <cell r="O6343">
            <v>0</v>
          </cell>
          <cell r="P6343">
            <v>0</v>
          </cell>
          <cell r="Q6343">
            <v>0</v>
          </cell>
          <cell r="R6343">
            <v>0</v>
          </cell>
          <cell r="S6343">
            <v>0</v>
          </cell>
          <cell r="T6343">
            <v>0</v>
          </cell>
          <cell r="U6343">
            <v>0</v>
          </cell>
          <cell r="V6343">
            <v>0</v>
          </cell>
          <cell r="W6343">
            <v>0</v>
          </cell>
          <cell r="X6343">
            <v>0</v>
          </cell>
          <cell r="Y6343">
            <v>0</v>
          </cell>
          <cell r="Z6343">
            <v>0</v>
          </cell>
        </row>
        <row r="6344">
          <cell r="D6344">
            <v>304860</v>
          </cell>
          <cell r="E6344" t="str">
            <v>Barcelona National High School</v>
          </cell>
          <cell r="F6344">
            <v>0</v>
          </cell>
          <cell r="G6344">
            <v>0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>
            <v>0</v>
          </cell>
          <cell r="M6344">
            <v>0</v>
          </cell>
          <cell r="N6344">
            <v>0</v>
          </cell>
          <cell r="O6344">
            <v>0</v>
          </cell>
          <cell r="P6344">
            <v>0</v>
          </cell>
          <cell r="Q6344">
            <v>0</v>
          </cell>
          <cell r="R6344">
            <v>0</v>
          </cell>
          <cell r="S6344">
            <v>0</v>
          </cell>
          <cell r="T6344">
            <v>0</v>
          </cell>
          <cell r="U6344">
            <v>0</v>
          </cell>
          <cell r="V6344">
            <v>0</v>
          </cell>
          <cell r="W6344">
            <v>0</v>
          </cell>
          <cell r="X6344">
            <v>0</v>
          </cell>
          <cell r="Y6344">
            <v>0</v>
          </cell>
          <cell r="Z6344">
            <v>0</v>
          </cell>
        </row>
        <row r="6345">
          <cell r="D6345">
            <v>317928</v>
          </cell>
          <cell r="E6345" t="str">
            <v>Canico P. Iriberri National High School</v>
          </cell>
          <cell r="F6345">
            <v>0</v>
          </cell>
          <cell r="G6345">
            <v>0</v>
          </cell>
          <cell r="H6345">
            <v>0</v>
          </cell>
          <cell r="I6345">
            <v>0</v>
          </cell>
          <cell r="J6345">
            <v>0</v>
          </cell>
          <cell r="K6345">
            <v>0</v>
          </cell>
          <cell r="L6345">
            <v>0</v>
          </cell>
          <cell r="M6345">
            <v>0</v>
          </cell>
          <cell r="N6345">
            <v>0</v>
          </cell>
          <cell r="O6345">
            <v>0</v>
          </cell>
          <cell r="P6345">
            <v>0</v>
          </cell>
          <cell r="Q6345">
            <v>0</v>
          </cell>
          <cell r="R6345">
            <v>0</v>
          </cell>
          <cell r="S6345">
            <v>0</v>
          </cell>
          <cell r="T6345">
            <v>0</v>
          </cell>
          <cell r="U6345">
            <v>0</v>
          </cell>
          <cell r="V6345">
            <v>0</v>
          </cell>
          <cell r="W6345">
            <v>0</v>
          </cell>
          <cell r="X6345">
            <v>0</v>
          </cell>
          <cell r="Y6345">
            <v>0</v>
          </cell>
          <cell r="Z6345">
            <v>0</v>
          </cell>
        </row>
        <row r="6346">
          <cell r="D6346">
            <v>304909</v>
          </cell>
          <cell r="E6346" t="str">
            <v>Solomon P. Lozada National High School</v>
          </cell>
          <cell r="F6346">
            <v>11</v>
          </cell>
          <cell r="G6346">
            <v>4</v>
          </cell>
          <cell r="H6346">
            <v>15</v>
          </cell>
          <cell r="I6346">
            <v>0</v>
          </cell>
          <cell r="J6346">
            <v>0</v>
          </cell>
          <cell r="K6346">
            <v>0</v>
          </cell>
          <cell r="L6346">
            <v>0</v>
          </cell>
          <cell r="M6346">
            <v>0</v>
          </cell>
          <cell r="N6346">
            <v>0</v>
          </cell>
          <cell r="O6346">
            <v>0</v>
          </cell>
          <cell r="P6346">
            <v>0</v>
          </cell>
          <cell r="Q6346">
            <v>0</v>
          </cell>
          <cell r="R6346">
            <v>0</v>
          </cell>
          <cell r="S6346">
            <v>0</v>
          </cell>
          <cell r="T6346">
            <v>0</v>
          </cell>
          <cell r="U6346">
            <v>0</v>
          </cell>
          <cell r="V6346">
            <v>0</v>
          </cell>
          <cell r="W6346">
            <v>0</v>
          </cell>
          <cell r="X6346">
            <v>0</v>
          </cell>
          <cell r="Y6346">
            <v>0</v>
          </cell>
          <cell r="Z6346">
            <v>0</v>
          </cell>
        </row>
        <row r="6347">
          <cell r="D6347">
            <v>304879</v>
          </cell>
          <cell r="E6347" t="str">
            <v>Dante Luib Osano Maputi National High School</v>
          </cell>
          <cell r="F6347">
            <v>0</v>
          </cell>
          <cell r="G6347">
            <v>0</v>
          </cell>
          <cell r="H6347">
            <v>0</v>
          </cell>
          <cell r="I6347">
            <v>0</v>
          </cell>
          <cell r="J6347">
            <v>0</v>
          </cell>
          <cell r="K6347">
            <v>0</v>
          </cell>
          <cell r="L6347">
            <v>0</v>
          </cell>
          <cell r="M6347">
            <v>0</v>
          </cell>
          <cell r="N6347">
            <v>0</v>
          </cell>
          <cell r="O6347">
            <v>0</v>
          </cell>
          <cell r="P6347">
            <v>0</v>
          </cell>
          <cell r="Q6347">
            <v>0</v>
          </cell>
          <cell r="R6347">
            <v>0</v>
          </cell>
          <cell r="S6347">
            <v>0</v>
          </cell>
          <cell r="T6347">
            <v>0</v>
          </cell>
          <cell r="U6347">
            <v>0</v>
          </cell>
          <cell r="V6347">
            <v>0</v>
          </cell>
          <cell r="W6347">
            <v>0</v>
          </cell>
          <cell r="X6347">
            <v>0</v>
          </cell>
          <cell r="Y6347">
            <v>0</v>
          </cell>
          <cell r="Z6347">
            <v>0</v>
          </cell>
        </row>
        <row r="6348">
          <cell r="D6348">
            <v>317906</v>
          </cell>
          <cell r="E6348" t="str">
            <v>Cresencio S. Lago National High School</v>
          </cell>
          <cell r="F6348">
            <v>12</v>
          </cell>
          <cell r="G6348">
            <v>7</v>
          </cell>
          <cell r="H6348">
            <v>19</v>
          </cell>
          <cell r="I6348">
            <v>5</v>
          </cell>
          <cell r="J6348">
            <v>2</v>
          </cell>
          <cell r="K6348">
            <v>7</v>
          </cell>
          <cell r="L6348">
            <v>5</v>
          </cell>
          <cell r="M6348">
            <v>2</v>
          </cell>
          <cell r="N6348">
            <v>7</v>
          </cell>
          <cell r="O6348">
            <v>0</v>
          </cell>
          <cell r="P6348">
            <v>0</v>
          </cell>
          <cell r="Q6348">
            <v>0</v>
          </cell>
          <cell r="R6348">
            <v>0</v>
          </cell>
          <cell r="S6348">
            <v>0</v>
          </cell>
          <cell r="T6348">
            <v>0</v>
          </cell>
          <cell r="U6348">
            <v>0</v>
          </cell>
          <cell r="V6348">
            <v>0</v>
          </cell>
          <cell r="W6348">
            <v>0</v>
          </cell>
          <cell r="X6348">
            <v>0</v>
          </cell>
          <cell r="Y6348">
            <v>0</v>
          </cell>
          <cell r="Z6348">
            <v>0</v>
          </cell>
        </row>
        <row r="6349">
          <cell r="D6349">
            <v>304873</v>
          </cell>
          <cell r="E6349" t="str">
            <v>Cantilan National High School</v>
          </cell>
          <cell r="F6349">
            <v>0</v>
          </cell>
          <cell r="G6349">
            <v>0</v>
          </cell>
          <cell r="H6349">
            <v>0</v>
          </cell>
          <cell r="I6349">
            <v>0</v>
          </cell>
          <cell r="J6349">
            <v>0</v>
          </cell>
          <cell r="K6349">
            <v>0</v>
          </cell>
          <cell r="L6349">
            <v>0</v>
          </cell>
          <cell r="M6349">
            <v>0</v>
          </cell>
          <cell r="N6349">
            <v>0</v>
          </cell>
          <cell r="O6349">
            <v>0</v>
          </cell>
          <cell r="P6349">
            <v>0</v>
          </cell>
          <cell r="Q6349">
            <v>0</v>
          </cell>
          <cell r="R6349">
            <v>0</v>
          </cell>
          <cell r="S6349">
            <v>0</v>
          </cell>
          <cell r="T6349">
            <v>0</v>
          </cell>
          <cell r="U6349">
            <v>0</v>
          </cell>
          <cell r="V6349">
            <v>0</v>
          </cell>
          <cell r="W6349">
            <v>0</v>
          </cell>
          <cell r="X6349">
            <v>0</v>
          </cell>
          <cell r="Y6349">
            <v>0</v>
          </cell>
          <cell r="Z6349">
            <v>0</v>
          </cell>
        </row>
        <row r="6350">
          <cell r="D6350">
            <v>500326</v>
          </cell>
          <cell r="E6350" t="str">
            <v>Carpenito  Elementary  School</v>
          </cell>
          <cell r="F6350">
            <v>0</v>
          </cell>
          <cell r="G6350">
            <v>0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>
            <v>0</v>
          </cell>
          <cell r="M6350">
            <v>0</v>
          </cell>
          <cell r="N6350">
            <v>0</v>
          </cell>
          <cell r="O6350">
            <v>0</v>
          </cell>
          <cell r="P6350">
            <v>0</v>
          </cell>
          <cell r="Q6350">
            <v>0</v>
          </cell>
          <cell r="R6350">
            <v>0</v>
          </cell>
          <cell r="S6350">
            <v>0</v>
          </cell>
          <cell r="T6350">
            <v>0</v>
          </cell>
          <cell r="U6350">
            <v>0</v>
          </cell>
          <cell r="V6350">
            <v>0</v>
          </cell>
          <cell r="W6350">
            <v>0</v>
          </cell>
          <cell r="X6350">
            <v>0</v>
          </cell>
          <cell r="Y6350">
            <v>0</v>
          </cell>
          <cell r="Z6350">
            <v>0</v>
          </cell>
        </row>
        <row r="6351">
          <cell r="D6351">
            <v>304902</v>
          </cell>
          <cell r="E6351" t="str">
            <v>Portlamon Pastor Uy National High School</v>
          </cell>
          <cell r="F6351">
            <v>0</v>
          </cell>
          <cell r="G6351">
            <v>0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>
            <v>0</v>
          </cell>
          <cell r="M6351">
            <v>0</v>
          </cell>
          <cell r="N6351">
            <v>0</v>
          </cell>
          <cell r="O6351">
            <v>0</v>
          </cell>
          <cell r="P6351">
            <v>0</v>
          </cell>
          <cell r="Q6351">
            <v>0</v>
          </cell>
          <cell r="R6351">
            <v>0</v>
          </cell>
          <cell r="S6351">
            <v>0</v>
          </cell>
          <cell r="T6351">
            <v>0</v>
          </cell>
          <cell r="U6351">
            <v>0</v>
          </cell>
          <cell r="V6351">
            <v>0</v>
          </cell>
          <cell r="W6351">
            <v>0</v>
          </cell>
          <cell r="X6351">
            <v>0</v>
          </cell>
          <cell r="Y6351">
            <v>0</v>
          </cell>
          <cell r="Z6351">
            <v>0</v>
          </cell>
        </row>
        <row r="6352">
          <cell r="D6352">
            <v>304857</v>
          </cell>
          <cell r="E6352" t="str">
            <v>Adlay National High School</v>
          </cell>
          <cell r="F6352">
            <v>0</v>
          </cell>
          <cell r="G6352">
            <v>0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>
            <v>0</v>
          </cell>
          <cell r="M6352">
            <v>0</v>
          </cell>
          <cell r="N6352">
            <v>0</v>
          </cell>
          <cell r="O6352">
            <v>0</v>
          </cell>
          <cell r="P6352">
            <v>0</v>
          </cell>
          <cell r="Q6352">
            <v>0</v>
          </cell>
          <cell r="R6352">
            <v>0</v>
          </cell>
          <cell r="S6352">
            <v>0</v>
          </cell>
          <cell r="T6352">
            <v>0</v>
          </cell>
          <cell r="U6352">
            <v>0</v>
          </cell>
          <cell r="V6352">
            <v>0</v>
          </cell>
          <cell r="W6352">
            <v>0</v>
          </cell>
          <cell r="X6352">
            <v>0</v>
          </cell>
          <cell r="Y6352">
            <v>0</v>
          </cell>
          <cell r="Z6352">
            <v>0</v>
          </cell>
        </row>
        <row r="6353">
          <cell r="D6353">
            <v>304866</v>
          </cell>
          <cell r="E6353" t="str">
            <v>Maharlika NHS</v>
          </cell>
          <cell r="F6353">
            <v>0</v>
          </cell>
          <cell r="G6353">
            <v>0</v>
          </cell>
          <cell r="H6353">
            <v>0</v>
          </cell>
          <cell r="I6353">
            <v>0</v>
          </cell>
          <cell r="J6353">
            <v>0</v>
          </cell>
          <cell r="K6353">
            <v>0</v>
          </cell>
          <cell r="L6353">
            <v>0</v>
          </cell>
          <cell r="M6353">
            <v>0</v>
          </cell>
          <cell r="N6353">
            <v>0</v>
          </cell>
          <cell r="O6353">
            <v>0</v>
          </cell>
          <cell r="P6353">
            <v>0</v>
          </cell>
          <cell r="Q6353">
            <v>0</v>
          </cell>
          <cell r="R6353">
            <v>0</v>
          </cell>
          <cell r="S6353">
            <v>0</v>
          </cell>
          <cell r="T6353">
            <v>0</v>
          </cell>
          <cell r="U6353">
            <v>0</v>
          </cell>
          <cell r="V6353">
            <v>0</v>
          </cell>
          <cell r="W6353">
            <v>0</v>
          </cell>
          <cell r="X6353">
            <v>0</v>
          </cell>
          <cell r="Y6353">
            <v>0</v>
          </cell>
          <cell r="Z6353">
            <v>0</v>
          </cell>
        </row>
        <row r="6354">
          <cell r="D6354">
            <v>322501</v>
          </cell>
          <cell r="E6354" t="str">
            <v>San Jose NHS</v>
          </cell>
          <cell r="F6354">
            <v>0</v>
          </cell>
          <cell r="G6354">
            <v>0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>
            <v>0</v>
          </cell>
          <cell r="M6354">
            <v>0</v>
          </cell>
          <cell r="N6354">
            <v>0</v>
          </cell>
          <cell r="O6354">
            <v>0</v>
          </cell>
          <cell r="P6354">
            <v>0</v>
          </cell>
          <cell r="Q6354">
            <v>0</v>
          </cell>
          <cell r="R6354">
            <v>0</v>
          </cell>
          <cell r="S6354">
            <v>0</v>
          </cell>
          <cell r="T6354">
            <v>0</v>
          </cell>
          <cell r="U6354">
            <v>0</v>
          </cell>
          <cell r="V6354">
            <v>0</v>
          </cell>
          <cell r="W6354">
            <v>0</v>
          </cell>
          <cell r="X6354">
            <v>0</v>
          </cell>
          <cell r="Y6354">
            <v>0</v>
          </cell>
          <cell r="Z6354">
            <v>0</v>
          </cell>
        </row>
        <row r="6355">
          <cell r="D6355">
            <v>322505</v>
          </cell>
          <cell r="E6355" t="str">
            <v>Mabog National High School</v>
          </cell>
          <cell r="F6355">
            <v>0</v>
          </cell>
          <cell r="G6355">
            <v>0</v>
          </cell>
          <cell r="H6355">
            <v>0</v>
          </cell>
          <cell r="I6355">
            <v>0</v>
          </cell>
          <cell r="J6355">
            <v>0</v>
          </cell>
          <cell r="K6355">
            <v>0</v>
          </cell>
          <cell r="L6355">
            <v>0</v>
          </cell>
          <cell r="M6355">
            <v>0</v>
          </cell>
          <cell r="N6355">
            <v>0</v>
          </cell>
          <cell r="O6355">
            <v>0</v>
          </cell>
          <cell r="P6355">
            <v>0</v>
          </cell>
          <cell r="Q6355">
            <v>0</v>
          </cell>
          <cell r="R6355">
            <v>0</v>
          </cell>
          <cell r="S6355">
            <v>0</v>
          </cell>
          <cell r="T6355">
            <v>0</v>
          </cell>
          <cell r="U6355">
            <v>0</v>
          </cell>
          <cell r="V6355">
            <v>0</v>
          </cell>
          <cell r="W6355">
            <v>0</v>
          </cell>
          <cell r="X6355">
            <v>0</v>
          </cell>
          <cell r="Y6355">
            <v>0</v>
          </cell>
          <cell r="Z6355">
            <v>0</v>
          </cell>
        </row>
        <row r="6356">
          <cell r="D6356">
            <v>304917</v>
          </cell>
          <cell r="E6356" t="str">
            <v>Tabon M. Estrella National High School</v>
          </cell>
          <cell r="F6356">
            <v>0</v>
          </cell>
          <cell r="G6356">
            <v>0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>
            <v>0</v>
          </cell>
          <cell r="M6356">
            <v>0</v>
          </cell>
          <cell r="N6356">
            <v>0</v>
          </cell>
          <cell r="O6356">
            <v>0</v>
          </cell>
          <cell r="P6356">
            <v>0</v>
          </cell>
          <cell r="Q6356">
            <v>0</v>
          </cell>
          <cell r="R6356">
            <v>0</v>
          </cell>
          <cell r="S6356">
            <v>0</v>
          </cell>
          <cell r="T6356">
            <v>0</v>
          </cell>
          <cell r="U6356">
            <v>0</v>
          </cell>
          <cell r="V6356">
            <v>0</v>
          </cell>
          <cell r="W6356">
            <v>0</v>
          </cell>
          <cell r="X6356">
            <v>0</v>
          </cell>
          <cell r="Y6356">
            <v>0</v>
          </cell>
          <cell r="Z6356">
            <v>0</v>
          </cell>
        </row>
        <row r="6357">
          <cell r="D6357">
            <v>304919</v>
          </cell>
          <cell r="E6357" t="str">
            <v>Mangagoy NHS</v>
          </cell>
          <cell r="F6357">
            <v>0</v>
          </cell>
          <cell r="G6357">
            <v>0</v>
          </cell>
          <cell r="H6357">
            <v>0</v>
          </cell>
          <cell r="I6357">
            <v>0</v>
          </cell>
          <cell r="J6357">
            <v>0</v>
          </cell>
          <cell r="K6357">
            <v>0</v>
          </cell>
          <cell r="L6357">
            <v>0</v>
          </cell>
          <cell r="M6357">
            <v>0</v>
          </cell>
          <cell r="N6357">
            <v>0</v>
          </cell>
          <cell r="O6357">
            <v>0</v>
          </cell>
          <cell r="P6357">
            <v>0</v>
          </cell>
          <cell r="Q6357">
            <v>0</v>
          </cell>
          <cell r="R6357">
            <v>0</v>
          </cell>
          <cell r="S6357">
            <v>0</v>
          </cell>
          <cell r="T6357">
            <v>0</v>
          </cell>
          <cell r="U6357">
            <v>0</v>
          </cell>
          <cell r="V6357">
            <v>0</v>
          </cell>
          <cell r="W6357">
            <v>0</v>
          </cell>
          <cell r="X6357">
            <v>0</v>
          </cell>
          <cell r="Y6357">
            <v>0</v>
          </cell>
          <cell r="Z6357">
            <v>0</v>
          </cell>
        </row>
        <row r="6358">
          <cell r="D6358">
            <v>304894</v>
          </cell>
          <cell r="E6358" t="str">
            <v>Lawigan NHS</v>
          </cell>
          <cell r="F6358">
            <v>0</v>
          </cell>
          <cell r="G6358">
            <v>0</v>
          </cell>
          <cell r="H6358">
            <v>0</v>
          </cell>
          <cell r="I6358">
            <v>0</v>
          </cell>
          <cell r="J6358">
            <v>0</v>
          </cell>
          <cell r="K6358">
            <v>0</v>
          </cell>
          <cell r="L6358">
            <v>0</v>
          </cell>
          <cell r="M6358">
            <v>0</v>
          </cell>
          <cell r="N6358">
            <v>0</v>
          </cell>
          <cell r="O6358">
            <v>0</v>
          </cell>
          <cell r="P6358">
            <v>0</v>
          </cell>
          <cell r="Q6358">
            <v>0</v>
          </cell>
          <cell r="R6358">
            <v>0</v>
          </cell>
          <cell r="S6358">
            <v>0</v>
          </cell>
          <cell r="T6358">
            <v>0</v>
          </cell>
          <cell r="U6358">
            <v>0</v>
          </cell>
          <cell r="V6358">
            <v>0</v>
          </cell>
          <cell r="W6358">
            <v>0</v>
          </cell>
          <cell r="X6358">
            <v>0</v>
          </cell>
          <cell r="Y6358">
            <v>0</v>
          </cell>
          <cell r="Z6358">
            <v>0</v>
          </cell>
        </row>
        <row r="6359">
          <cell r="D6359">
            <v>322503</v>
          </cell>
          <cell r="E6359" t="str">
            <v>Bucto NHS</v>
          </cell>
          <cell r="F6359">
            <v>0</v>
          </cell>
          <cell r="G6359">
            <v>80</v>
          </cell>
          <cell r="H6359">
            <v>80</v>
          </cell>
          <cell r="I6359">
            <v>8</v>
          </cell>
          <cell r="J6359">
            <v>12</v>
          </cell>
          <cell r="K6359">
            <v>20</v>
          </cell>
          <cell r="L6359">
            <v>3</v>
          </cell>
          <cell r="M6359">
            <v>7</v>
          </cell>
          <cell r="N6359">
            <v>10</v>
          </cell>
          <cell r="O6359">
            <v>5</v>
          </cell>
          <cell r="P6359">
            <v>4</v>
          </cell>
          <cell r="Q6359">
            <v>9</v>
          </cell>
          <cell r="R6359">
            <v>3</v>
          </cell>
          <cell r="S6359">
            <v>5</v>
          </cell>
          <cell r="T6359">
            <v>8</v>
          </cell>
          <cell r="U6359">
            <v>2</v>
          </cell>
          <cell r="V6359">
            <v>5</v>
          </cell>
          <cell r="W6359">
            <v>7</v>
          </cell>
          <cell r="X6359">
            <v>2</v>
          </cell>
          <cell r="Y6359">
            <v>2</v>
          </cell>
          <cell r="Z6359">
            <v>4</v>
          </cell>
        </row>
        <row r="6360">
          <cell r="D6360">
            <v>304868</v>
          </cell>
          <cell r="E6360" t="str">
            <v>San Vicente NHS</v>
          </cell>
          <cell r="F6360">
            <v>0</v>
          </cell>
          <cell r="G6360">
            <v>0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>
            <v>0</v>
          </cell>
          <cell r="M6360">
            <v>0</v>
          </cell>
          <cell r="N6360">
            <v>0</v>
          </cell>
          <cell r="O6360">
            <v>0</v>
          </cell>
          <cell r="P6360">
            <v>0</v>
          </cell>
          <cell r="Q6360">
            <v>0</v>
          </cell>
          <cell r="R6360">
            <v>0</v>
          </cell>
          <cell r="S6360">
            <v>0</v>
          </cell>
          <cell r="T6360">
            <v>0</v>
          </cell>
          <cell r="U6360">
            <v>0</v>
          </cell>
          <cell r="V6360">
            <v>0</v>
          </cell>
          <cell r="W6360">
            <v>0</v>
          </cell>
          <cell r="X6360">
            <v>0</v>
          </cell>
          <cell r="Y6360">
            <v>0</v>
          </cell>
          <cell r="Z6360">
            <v>0</v>
          </cell>
        </row>
        <row r="6361">
          <cell r="D6361">
            <v>340306</v>
          </cell>
          <cell r="E6361" t="str">
            <v>Stand Alone SHS</v>
          </cell>
          <cell r="F6361">
            <v>126</v>
          </cell>
          <cell r="G6361">
            <v>98</v>
          </cell>
          <cell r="H6361">
            <v>224</v>
          </cell>
          <cell r="I6361">
            <v>56</v>
          </cell>
          <cell r="J6361">
            <v>32</v>
          </cell>
          <cell r="K6361">
            <v>88</v>
          </cell>
          <cell r="L6361">
            <v>61</v>
          </cell>
          <cell r="M6361">
            <v>45</v>
          </cell>
          <cell r="N6361">
            <v>106</v>
          </cell>
          <cell r="O6361">
            <v>0</v>
          </cell>
          <cell r="P6361">
            <v>0</v>
          </cell>
          <cell r="Q6361">
            <v>0</v>
          </cell>
          <cell r="R6361">
            <v>0</v>
          </cell>
          <cell r="S6361">
            <v>0</v>
          </cell>
          <cell r="T6361">
            <v>0</v>
          </cell>
          <cell r="U6361">
            <v>0</v>
          </cell>
          <cell r="V6361">
            <v>0</v>
          </cell>
          <cell r="W6361">
            <v>0</v>
          </cell>
          <cell r="X6361">
            <v>0</v>
          </cell>
          <cell r="Y6361">
            <v>0</v>
          </cell>
          <cell r="Z6361">
            <v>0</v>
          </cell>
        </row>
        <row r="6362">
          <cell r="D6362">
            <v>304869</v>
          </cell>
          <cell r="E6362" t="str">
            <v>Sikahoy NHS</v>
          </cell>
          <cell r="F6362">
            <v>0</v>
          </cell>
          <cell r="G6362">
            <v>0</v>
          </cell>
          <cell r="H6362">
            <v>0</v>
          </cell>
          <cell r="I6362">
            <v>0</v>
          </cell>
          <cell r="J6362">
            <v>0</v>
          </cell>
          <cell r="K6362">
            <v>0</v>
          </cell>
          <cell r="L6362">
            <v>0</v>
          </cell>
          <cell r="M6362">
            <v>0</v>
          </cell>
          <cell r="N6362">
            <v>0</v>
          </cell>
          <cell r="O6362">
            <v>0</v>
          </cell>
          <cell r="P6362">
            <v>0</v>
          </cell>
          <cell r="Q6362">
            <v>0</v>
          </cell>
          <cell r="R6362">
            <v>0</v>
          </cell>
          <cell r="S6362">
            <v>0</v>
          </cell>
          <cell r="T6362">
            <v>0</v>
          </cell>
          <cell r="U6362">
            <v>0</v>
          </cell>
          <cell r="V6362">
            <v>0</v>
          </cell>
          <cell r="W6362">
            <v>0</v>
          </cell>
          <cell r="X6362">
            <v>0</v>
          </cell>
          <cell r="Y6362">
            <v>0</v>
          </cell>
          <cell r="Z6362">
            <v>0</v>
          </cell>
        </row>
        <row r="6363">
          <cell r="D6363">
            <v>304865</v>
          </cell>
          <cell r="E6363" t="str">
            <v>Bislig City NHS</v>
          </cell>
          <cell r="F6363">
            <v>0</v>
          </cell>
          <cell r="G6363">
            <v>0</v>
          </cell>
          <cell r="H6363">
            <v>0</v>
          </cell>
          <cell r="I6363">
            <v>0</v>
          </cell>
          <cell r="J6363">
            <v>0</v>
          </cell>
          <cell r="K6363">
            <v>0</v>
          </cell>
          <cell r="L6363">
            <v>0</v>
          </cell>
          <cell r="M6363">
            <v>0</v>
          </cell>
          <cell r="N6363">
            <v>0</v>
          </cell>
          <cell r="O6363">
            <v>0</v>
          </cell>
          <cell r="P6363">
            <v>0</v>
          </cell>
          <cell r="Q6363">
            <v>0</v>
          </cell>
          <cell r="R6363">
            <v>0</v>
          </cell>
          <cell r="S6363">
            <v>0</v>
          </cell>
          <cell r="T6363">
            <v>0</v>
          </cell>
          <cell r="U6363">
            <v>0</v>
          </cell>
          <cell r="V6363">
            <v>0</v>
          </cell>
          <cell r="W6363">
            <v>0</v>
          </cell>
          <cell r="X6363">
            <v>0</v>
          </cell>
          <cell r="Y6363">
            <v>0</v>
          </cell>
          <cell r="Z6363">
            <v>0</v>
          </cell>
        </row>
        <row r="6364">
          <cell r="D6364">
            <v>304827</v>
          </cell>
          <cell r="E6364" t="str">
            <v>Liberty National High School</v>
          </cell>
          <cell r="F6364">
            <v>0</v>
          </cell>
          <cell r="G6364">
            <v>0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>
            <v>0</v>
          </cell>
          <cell r="M6364">
            <v>0</v>
          </cell>
          <cell r="N6364">
            <v>0</v>
          </cell>
          <cell r="O6364">
            <v>0</v>
          </cell>
          <cell r="P6364">
            <v>0</v>
          </cell>
          <cell r="Q6364">
            <v>0</v>
          </cell>
          <cell r="R6364">
            <v>0</v>
          </cell>
          <cell r="S6364">
            <v>0</v>
          </cell>
          <cell r="T6364">
            <v>0</v>
          </cell>
          <cell r="U6364">
            <v>0</v>
          </cell>
          <cell r="V6364">
            <v>0</v>
          </cell>
          <cell r="W6364">
            <v>0</v>
          </cell>
          <cell r="X6364">
            <v>0</v>
          </cell>
          <cell r="Y6364">
            <v>0</v>
          </cell>
          <cell r="Z6364">
            <v>0</v>
          </cell>
        </row>
        <row r="6365">
          <cell r="D6365">
            <v>317805</v>
          </cell>
          <cell r="E6365" t="str">
            <v>Trinidad Mapa-Gupana NHS</v>
          </cell>
          <cell r="F6365">
            <v>0</v>
          </cell>
          <cell r="G6365">
            <v>0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>
            <v>0</v>
          </cell>
          <cell r="M6365">
            <v>0</v>
          </cell>
          <cell r="N6365">
            <v>0</v>
          </cell>
          <cell r="O6365">
            <v>0</v>
          </cell>
          <cell r="P6365">
            <v>0</v>
          </cell>
          <cell r="Q6365">
            <v>0</v>
          </cell>
          <cell r="R6365">
            <v>0</v>
          </cell>
          <cell r="S6365">
            <v>0</v>
          </cell>
          <cell r="T6365">
            <v>0</v>
          </cell>
          <cell r="U6365">
            <v>0</v>
          </cell>
          <cell r="V6365">
            <v>0</v>
          </cell>
          <cell r="W6365">
            <v>0</v>
          </cell>
          <cell r="X6365">
            <v>0</v>
          </cell>
          <cell r="Y6365">
            <v>0</v>
          </cell>
          <cell r="Z6365">
            <v>0</v>
          </cell>
        </row>
        <row r="6366">
          <cell r="D6366">
            <v>304825</v>
          </cell>
          <cell r="E6366" t="str">
            <v>Cuarenta National High School</v>
          </cell>
          <cell r="F6366">
            <v>0</v>
          </cell>
          <cell r="G6366">
            <v>0</v>
          </cell>
          <cell r="H6366">
            <v>0</v>
          </cell>
          <cell r="I6366">
            <v>2</v>
          </cell>
          <cell r="J6366">
            <v>3</v>
          </cell>
          <cell r="K6366">
            <v>5</v>
          </cell>
          <cell r="L6366">
            <v>0</v>
          </cell>
          <cell r="M6366">
            <v>0</v>
          </cell>
          <cell r="N6366">
            <v>0</v>
          </cell>
          <cell r="O6366">
            <v>0</v>
          </cell>
          <cell r="P6366">
            <v>0</v>
          </cell>
          <cell r="Q6366">
            <v>0</v>
          </cell>
          <cell r="R6366">
            <v>0</v>
          </cell>
          <cell r="S6366">
            <v>0</v>
          </cell>
          <cell r="T6366">
            <v>0</v>
          </cell>
          <cell r="U6366">
            <v>0</v>
          </cell>
          <cell r="V6366">
            <v>0</v>
          </cell>
          <cell r="W6366">
            <v>0</v>
          </cell>
          <cell r="X6366">
            <v>0</v>
          </cell>
          <cell r="Y6366">
            <v>0</v>
          </cell>
          <cell r="Z6366">
            <v>0</v>
          </cell>
        </row>
        <row r="6367">
          <cell r="D6367">
            <v>324406</v>
          </cell>
          <cell r="E6367" t="str">
            <v>Primitivo J. Ebol Memorial National High School</v>
          </cell>
          <cell r="F6367">
            <v>0</v>
          </cell>
          <cell r="G6367">
            <v>0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>
            <v>0</v>
          </cell>
          <cell r="M6367">
            <v>0</v>
          </cell>
          <cell r="N6367">
            <v>0</v>
          </cell>
          <cell r="O6367">
            <v>0</v>
          </cell>
          <cell r="P6367">
            <v>0</v>
          </cell>
          <cell r="Q6367">
            <v>0</v>
          </cell>
          <cell r="R6367">
            <v>0</v>
          </cell>
          <cell r="S6367">
            <v>0</v>
          </cell>
          <cell r="T6367">
            <v>0</v>
          </cell>
          <cell r="U6367">
            <v>0</v>
          </cell>
          <cell r="V6367">
            <v>0</v>
          </cell>
          <cell r="W6367">
            <v>0</v>
          </cell>
          <cell r="X6367">
            <v>0</v>
          </cell>
          <cell r="Y6367">
            <v>0</v>
          </cell>
          <cell r="Z6367">
            <v>0</v>
          </cell>
        </row>
        <row r="6368">
          <cell r="D6368">
            <v>304840</v>
          </cell>
          <cell r="E6368" t="str">
            <v>R. E. Ecleo Sr. National High School</v>
          </cell>
          <cell r="F6368">
            <v>0</v>
          </cell>
          <cell r="G6368">
            <v>0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>
            <v>0</v>
          </cell>
          <cell r="M6368">
            <v>0</v>
          </cell>
          <cell r="N6368">
            <v>0</v>
          </cell>
          <cell r="O6368">
            <v>0</v>
          </cell>
          <cell r="P6368">
            <v>0</v>
          </cell>
          <cell r="Q6368">
            <v>0</v>
          </cell>
          <cell r="R6368">
            <v>0</v>
          </cell>
          <cell r="S6368">
            <v>0</v>
          </cell>
          <cell r="T6368">
            <v>0</v>
          </cell>
          <cell r="U6368">
            <v>0</v>
          </cell>
          <cell r="V6368">
            <v>0</v>
          </cell>
          <cell r="W6368">
            <v>0</v>
          </cell>
          <cell r="X6368">
            <v>0</v>
          </cell>
          <cell r="Y6368">
            <v>0</v>
          </cell>
          <cell r="Z6368">
            <v>0</v>
          </cell>
        </row>
        <row r="6369">
          <cell r="D6369">
            <v>304854</v>
          </cell>
          <cell r="E6369" t="str">
            <v>Tubajon National High School</v>
          </cell>
          <cell r="F6369">
            <v>0</v>
          </cell>
          <cell r="G6369">
            <v>0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>
            <v>0</v>
          </cell>
          <cell r="M6369">
            <v>0</v>
          </cell>
          <cell r="N6369">
            <v>0</v>
          </cell>
          <cell r="O6369">
            <v>0</v>
          </cell>
          <cell r="P6369">
            <v>0</v>
          </cell>
          <cell r="Q6369">
            <v>0</v>
          </cell>
          <cell r="R6369">
            <v>0</v>
          </cell>
          <cell r="S6369">
            <v>0</v>
          </cell>
          <cell r="T6369">
            <v>0</v>
          </cell>
          <cell r="U6369">
            <v>0</v>
          </cell>
          <cell r="V6369">
            <v>0</v>
          </cell>
          <cell r="W6369">
            <v>0</v>
          </cell>
          <cell r="X6369">
            <v>0</v>
          </cell>
          <cell r="Y6369">
            <v>0</v>
          </cell>
          <cell r="Z6369">
            <v>0</v>
          </cell>
        </row>
        <row r="6370">
          <cell r="D6370">
            <v>324402</v>
          </cell>
          <cell r="E6370" t="str">
            <v>Jade B. Ecleo- Aurelio National High School</v>
          </cell>
          <cell r="F6370">
            <v>0</v>
          </cell>
          <cell r="G6370">
            <v>0</v>
          </cell>
          <cell r="H6370">
            <v>0</v>
          </cell>
          <cell r="I6370">
            <v>0</v>
          </cell>
          <cell r="J6370">
            <v>0</v>
          </cell>
          <cell r="K6370">
            <v>0</v>
          </cell>
          <cell r="L6370">
            <v>0</v>
          </cell>
          <cell r="M6370">
            <v>0</v>
          </cell>
          <cell r="N6370">
            <v>0</v>
          </cell>
          <cell r="O6370">
            <v>0</v>
          </cell>
          <cell r="P6370">
            <v>0</v>
          </cell>
          <cell r="Q6370">
            <v>0</v>
          </cell>
          <cell r="R6370">
            <v>0</v>
          </cell>
          <cell r="S6370">
            <v>0</v>
          </cell>
          <cell r="T6370">
            <v>0</v>
          </cell>
          <cell r="U6370">
            <v>0</v>
          </cell>
          <cell r="V6370">
            <v>0</v>
          </cell>
          <cell r="W6370">
            <v>0</v>
          </cell>
          <cell r="X6370">
            <v>0</v>
          </cell>
          <cell r="Y6370">
            <v>0</v>
          </cell>
          <cell r="Z6370">
            <v>0</v>
          </cell>
        </row>
        <row r="6371">
          <cell r="D6371">
            <v>304808</v>
          </cell>
          <cell r="E6371" t="str">
            <v>Albor National High School</v>
          </cell>
          <cell r="F6371">
            <v>0</v>
          </cell>
          <cell r="G6371">
            <v>0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>
            <v>0</v>
          </cell>
          <cell r="M6371">
            <v>0</v>
          </cell>
          <cell r="N6371">
            <v>0</v>
          </cell>
          <cell r="O6371">
            <v>0</v>
          </cell>
          <cell r="P6371">
            <v>0</v>
          </cell>
          <cell r="Q6371">
            <v>0</v>
          </cell>
          <cell r="R6371">
            <v>0</v>
          </cell>
          <cell r="S6371">
            <v>0</v>
          </cell>
          <cell r="T6371">
            <v>0</v>
          </cell>
          <cell r="U6371">
            <v>0</v>
          </cell>
          <cell r="V6371">
            <v>0</v>
          </cell>
          <cell r="W6371">
            <v>0</v>
          </cell>
          <cell r="X6371">
            <v>0</v>
          </cell>
          <cell r="Y6371">
            <v>0</v>
          </cell>
          <cell r="Z6371">
            <v>0</v>
          </cell>
        </row>
        <row r="6372">
          <cell r="D6372">
            <v>324407</v>
          </cell>
          <cell r="E6372" t="str">
            <v>Malinao National High School</v>
          </cell>
          <cell r="F6372">
            <v>0</v>
          </cell>
          <cell r="G6372">
            <v>0</v>
          </cell>
          <cell r="H6372">
            <v>0</v>
          </cell>
          <cell r="I6372">
            <v>0</v>
          </cell>
          <cell r="J6372">
            <v>0</v>
          </cell>
          <cell r="K6372">
            <v>0</v>
          </cell>
          <cell r="L6372">
            <v>0</v>
          </cell>
          <cell r="M6372">
            <v>0</v>
          </cell>
          <cell r="N6372">
            <v>0</v>
          </cell>
          <cell r="O6372">
            <v>0</v>
          </cell>
          <cell r="P6372">
            <v>0</v>
          </cell>
          <cell r="Q6372">
            <v>0</v>
          </cell>
          <cell r="R6372">
            <v>0</v>
          </cell>
          <cell r="S6372">
            <v>0</v>
          </cell>
          <cell r="T6372">
            <v>0</v>
          </cell>
          <cell r="U6372">
            <v>0</v>
          </cell>
          <cell r="V6372">
            <v>0</v>
          </cell>
          <cell r="W6372">
            <v>0</v>
          </cell>
          <cell r="X6372">
            <v>0</v>
          </cell>
          <cell r="Y6372">
            <v>0</v>
          </cell>
          <cell r="Z6372">
            <v>0</v>
          </cell>
        </row>
        <row r="6373">
          <cell r="D6373">
            <v>304816</v>
          </cell>
          <cell r="E6373" t="str">
            <v>Del Pilar National High School</v>
          </cell>
          <cell r="F6373">
            <v>0</v>
          </cell>
          <cell r="G6373">
            <v>0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>
            <v>0</v>
          </cell>
          <cell r="M6373">
            <v>0</v>
          </cell>
          <cell r="N6373">
            <v>0</v>
          </cell>
          <cell r="O6373">
            <v>0</v>
          </cell>
          <cell r="P6373">
            <v>0</v>
          </cell>
          <cell r="Q6373">
            <v>0</v>
          </cell>
          <cell r="R6373">
            <v>0</v>
          </cell>
          <cell r="S6373">
            <v>0</v>
          </cell>
          <cell r="T6373">
            <v>0</v>
          </cell>
          <cell r="U6373">
            <v>0</v>
          </cell>
          <cell r="V6373">
            <v>0</v>
          </cell>
          <cell r="W6373">
            <v>0</v>
          </cell>
          <cell r="X6373">
            <v>0</v>
          </cell>
          <cell r="Y6373">
            <v>0</v>
          </cell>
          <cell r="Z6373">
            <v>0</v>
          </cell>
        </row>
        <row r="6374">
          <cell r="D6374">
            <v>304852</v>
          </cell>
          <cell r="E6374" t="str">
            <v>Rita-Glenda National High School</v>
          </cell>
          <cell r="F6374">
            <v>0</v>
          </cell>
          <cell r="G6374">
            <v>0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>
            <v>0</v>
          </cell>
          <cell r="M6374">
            <v>0</v>
          </cell>
          <cell r="N6374">
            <v>0</v>
          </cell>
          <cell r="O6374">
            <v>0</v>
          </cell>
          <cell r="P6374">
            <v>0</v>
          </cell>
          <cell r="Q6374">
            <v>0</v>
          </cell>
          <cell r="R6374">
            <v>0</v>
          </cell>
          <cell r="S6374">
            <v>0</v>
          </cell>
          <cell r="T6374">
            <v>0</v>
          </cell>
          <cell r="U6374">
            <v>0</v>
          </cell>
          <cell r="V6374">
            <v>0</v>
          </cell>
          <cell r="W6374">
            <v>0</v>
          </cell>
          <cell r="X6374">
            <v>0</v>
          </cell>
          <cell r="Y6374">
            <v>0</v>
          </cell>
          <cell r="Z6374">
            <v>0</v>
          </cell>
        </row>
        <row r="6375">
          <cell r="D6375">
            <v>304824</v>
          </cell>
          <cell r="E6375" t="str">
            <v>Don Ruben E. Ecleo Sr. MNHS</v>
          </cell>
          <cell r="F6375">
            <v>0</v>
          </cell>
          <cell r="G6375">
            <v>0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>
            <v>0</v>
          </cell>
          <cell r="M6375">
            <v>0</v>
          </cell>
          <cell r="N6375">
            <v>0</v>
          </cell>
          <cell r="O6375">
            <v>0</v>
          </cell>
          <cell r="P6375">
            <v>0</v>
          </cell>
          <cell r="Q6375">
            <v>0</v>
          </cell>
          <cell r="R6375">
            <v>0</v>
          </cell>
          <cell r="S6375">
            <v>0</v>
          </cell>
          <cell r="T6375">
            <v>0</v>
          </cell>
          <cell r="U6375">
            <v>0</v>
          </cell>
          <cell r="V6375">
            <v>0</v>
          </cell>
          <cell r="W6375">
            <v>0</v>
          </cell>
          <cell r="X6375">
            <v>0</v>
          </cell>
          <cell r="Y6375">
            <v>0</v>
          </cell>
          <cell r="Z6375">
            <v>0</v>
          </cell>
        </row>
        <row r="6376">
          <cell r="D6376">
            <v>304836</v>
          </cell>
          <cell r="E6376" t="str">
            <v>Melgar National High School</v>
          </cell>
          <cell r="F6376">
            <v>0</v>
          </cell>
          <cell r="G6376">
            <v>0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>
            <v>0</v>
          </cell>
          <cell r="M6376">
            <v>0</v>
          </cell>
          <cell r="N6376">
            <v>0</v>
          </cell>
          <cell r="O6376">
            <v>0</v>
          </cell>
          <cell r="P6376">
            <v>0</v>
          </cell>
          <cell r="Q6376">
            <v>0</v>
          </cell>
          <cell r="R6376">
            <v>0</v>
          </cell>
          <cell r="S6376">
            <v>0</v>
          </cell>
          <cell r="T6376">
            <v>0</v>
          </cell>
          <cell r="U6376">
            <v>0</v>
          </cell>
          <cell r="V6376">
            <v>0</v>
          </cell>
          <cell r="W6376">
            <v>0</v>
          </cell>
          <cell r="X6376">
            <v>0</v>
          </cell>
          <cell r="Y6376">
            <v>0</v>
          </cell>
          <cell r="Z6376">
            <v>0</v>
          </cell>
        </row>
        <row r="6377">
          <cell r="D6377">
            <v>304844</v>
          </cell>
          <cell r="E6377" t="str">
            <v>Sering National High School</v>
          </cell>
          <cell r="F6377">
            <v>0</v>
          </cell>
          <cell r="G6377">
            <v>0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>
            <v>0</v>
          </cell>
          <cell r="M6377">
            <v>0</v>
          </cell>
          <cell r="N6377">
            <v>0</v>
          </cell>
          <cell r="O6377">
            <v>0</v>
          </cell>
          <cell r="P6377">
            <v>0</v>
          </cell>
          <cell r="Q6377">
            <v>0</v>
          </cell>
          <cell r="R6377">
            <v>0</v>
          </cell>
          <cell r="S6377">
            <v>0</v>
          </cell>
          <cell r="T6377">
            <v>0</v>
          </cell>
          <cell r="U6377">
            <v>0</v>
          </cell>
          <cell r="V6377">
            <v>0</v>
          </cell>
          <cell r="W6377">
            <v>0</v>
          </cell>
          <cell r="X6377">
            <v>0</v>
          </cell>
          <cell r="Y6377">
            <v>0</v>
          </cell>
          <cell r="Z6377">
            <v>0</v>
          </cell>
        </row>
        <row r="6378">
          <cell r="D6378">
            <v>304815</v>
          </cell>
          <cell r="E6378" t="str">
            <v>Cagdianao National High School</v>
          </cell>
          <cell r="F6378">
            <v>0</v>
          </cell>
          <cell r="G6378">
            <v>0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>
            <v>0</v>
          </cell>
          <cell r="M6378">
            <v>0</v>
          </cell>
          <cell r="N6378">
            <v>0</v>
          </cell>
          <cell r="O6378">
            <v>0</v>
          </cell>
          <cell r="P6378">
            <v>0</v>
          </cell>
          <cell r="Q6378">
            <v>0</v>
          </cell>
          <cell r="R6378">
            <v>0</v>
          </cell>
          <cell r="S6378">
            <v>0</v>
          </cell>
          <cell r="T6378">
            <v>0</v>
          </cell>
          <cell r="U6378">
            <v>0</v>
          </cell>
          <cell r="V6378">
            <v>0</v>
          </cell>
          <cell r="W6378">
            <v>0</v>
          </cell>
          <cell r="X6378">
            <v>0</v>
          </cell>
          <cell r="Y6378">
            <v>0</v>
          </cell>
          <cell r="Z6378">
            <v>0</v>
          </cell>
        </row>
        <row r="6379">
          <cell r="D6379">
            <v>324404</v>
          </cell>
          <cell r="E6379" t="str">
            <v>New Nazareth National High School</v>
          </cell>
          <cell r="F6379">
            <v>0</v>
          </cell>
          <cell r="G6379">
            <v>0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>
            <v>0</v>
          </cell>
          <cell r="M6379">
            <v>0</v>
          </cell>
          <cell r="N6379">
            <v>0</v>
          </cell>
          <cell r="O6379">
            <v>0</v>
          </cell>
          <cell r="P6379">
            <v>0</v>
          </cell>
          <cell r="Q6379">
            <v>0</v>
          </cell>
          <cell r="R6379">
            <v>0</v>
          </cell>
          <cell r="S6379">
            <v>0</v>
          </cell>
          <cell r="T6379">
            <v>0</v>
          </cell>
          <cell r="U6379">
            <v>0</v>
          </cell>
          <cell r="V6379">
            <v>0</v>
          </cell>
          <cell r="W6379">
            <v>0</v>
          </cell>
          <cell r="X6379">
            <v>0</v>
          </cell>
          <cell r="Y6379">
            <v>0</v>
          </cell>
          <cell r="Z6379">
            <v>0</v>
          </cell>
        </row>
        <row r="6380">
          <cell r="D6380">
            <v>304851</v>
          </cell>
          <cell r="E6380" t="str">
            <v>Tag-abaca National High School</v>
          </cell>
          <cell r="F6380">
            <v>0</v>
          </cell>
          <cell r="G6380">
            <v>0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>
            <v>0</v>
          </cell>
          <cell r="M6380">
            <v>0</v>
          </cell>
          <cell r="N6380">
            <v>0</v>
          </cell>
          <cell r="O6380">
            <v>0</v>
          </cell>
          <cell r="P6380">
            <v>0</v>
          </cell>
          <cell r="Q6380">
            <v>0</v>
          </cell>
          <cell r="R6380">
            <v>0</v>
          </cell>
          <cell r="S6380">
            <v>0</v>
          </cell>
          <cell r="T6380">
            <v>0</v>
          </cell>
          <cell r="U6380">
            <v>0</v>
          </cell>
          <cell r="V6380">
            <v>0</v>
          </cell>
          <cell r="W6380">
            <v>0</v>
          </cell>
          <cell r="X6380">
            <v>0</v>
          </cell>
          <cell r="Y6380">
            <v>0</v>
          </cell>
          <cell r="Z6380">
            <v>0</v>
          </cell>
        </row>
        <row r="6381">
          <cell r="D6381">
            <v>304822</v>
          </cell>
          <cell r="E6381" t="str">
            <v>Dinagat School of Fisheries</v>
          </cell>
          <cell r="F6381">
            <v>0</v>
          </cell>
          <cell r="G6381">
            <v>0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>
            <v>0</v>
          </cell>
          <cell r="M6381">
            <v>0</v>
          </cell>
          <cell r="N6381">
            <v>0</v>
          </cell>
          <cell r="O6381">
            <v>0</v>
          </cell>
          <cell r="P6381">
            <v>0</v>
          </cell>
          <cell r="Q6381">
            <v>0</v>
          </cell>
          <cell r="R6381">
            <v>0</v>
          </cell>
          <cell r="S6381">
            <v>0</v>
          </cell>
          <cell r="T6381">
            <v>0</v>
          </cell>
          <cell r="U6381">
            <v>0</v>
          </cell>
          <cell r="V6381">
            <v>0</v>
          </cell>
          <cell r="W6381">
            <v>0</v>
          </cell>
          <cell r="X6381">
            <v>0</v>
          </cell>
          <cell r="Y6381">
            <v>0</v>
          </cell>
          <cell r="Z6381">
            <v>0</v>
          </cell>
        </row>
        <row r="6382">
          <cell r="D6382">
            <v>304842</v>
          </cell>
          <cell r="E6382" t="str">
            <v>Puerto Princesa National High School</v>
          </cell>
          <cell r="F6382">
            <v>0</v>
          </cell>
          <cell r="G6382">
            <v>0</v>
          </cell>
          <cell r="H6382">
            <v>0</v>
          </cell>
          <cell r="I6382">
            <v>0</v>
          </cell>
          <cell r="J6382">
            <v>0</v>
          </cell>
          <cell r="K6382">
            <v>0</v>
          </cell>
          <cell r="L6382">
            <v>0</v>
          </cell>
          <cell r="M6382">
            <v>0</v>
          </cell>
          <cell r="N6382">
            <v>0</v>
          </cell>
          <cell r="O6382">
            <v>0</v>
          </cell>
          <cell r="P6382">
            <v>0</v>
          </cell>
          <cell r="Q6382">
            <v>0</v>
          </cell>
          <cell r="R6382">
            <v>0</v>
          </cell>
          <cell r="S6382">
            <v>0</v>
          </cell>
          <cell r="T6382">
            <v>0</v>
          </cell>
          <cell r="U6382">
            <v>0</v>
          </cell>
          <cell r="V6382">
            <v>0</v>
          </cell>
          <cell r="W6382">
            <v>0</v>
          </cell>
          <cell r="X6382">
            <v>0</v>
          </cell>
          <cell r="Y6382">
            <v>0</v>
          </cell>
          <cell r="Z6382">
            <v>0</v>
          </cell>
        </row>
        <row r="6383">
          <cell r="D6383">
            <v>304810</v>
          </cell>
          <cell r="E6383" t="str">
            <v>San Jose National High School</v>
          </cell>
          <cell r="F6383">
            <v>0</v>
          </cell>
          <cell r="G6383">
            <v>0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0</v>
          </cell>
          <cell r="M6383">
            <v>0</v>
          </cell>
          <cell r="N6383">
            <v>0</v>
          </cell>
          <cell r="O6383">
            <v>0</v>
          </cell>
          <cell r="P6383">
            <v>0</v>
          </cell>
          <cell r="Q6383">
            <v>0</v>
          </cell>
          <cell r="R6383">
            <v>0</v>
          </cell>
          <cell r="S6383">
            <v>0</v>
          </cell>
          <cell r="T6383">
            <v>0</v>
          </cell>
          <cell r="U6383">
            <v>0</v>
          </cell>
          <cell r="V6383">
            <v>0</v>
          </cell>
          <cell r="W6383">
            <v>0</v>
          </cell>
          <cell r="X6383">
            <v>0</v>
          </cell>
          <cell r="Y6383">
            <v>0</v>
          </cell>
          <cell r="Z6383">
            <v>0</v>
          </cell>
        </row>
        <row r="6384">
          <cell r="D6384">
            <v>324403</v>
          </cell>
          <cell r="E6384" t="str">
            <v>Edera NHS</v>
          </cell>
          <cell r="F6384">
            <v>0</v>
          </cell>
          <cell r="G6384">
            <v>0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>
            <v>0</v>
          </cell>
          <cell r="M6384">
            <v>0</v>
          </cell>
          <cell r="N6384">
            <v>0</v>
          </cell>
          <cell r="O6384">
            <v>0</v>
          </cell>
          <cell r="P6384">
            <v>0</v>
          </cell>
          <cell r="Q6384">
            <v>0</v>
          </cell>
          <cell r="R6384">
            <v>0</v>
          </cell>
          <cell r="S6384">
            <v>0</v>
          </cell>
          <cell r="T6384">
            <v>0</v>
          </cell>
          <cell r="U6384">
            <v>0</v>
          </cell>
          <cell r="V6384">
            <v>0</v>
          </cell>
          <cell r="W6384">
            <v>0</v>
          </cell>
          <cell r="X6384">
            <v>0</v>
          </cell>
          <cell r="Y6384">
            <v>0</v>
          </cell>
          <cell r="Z6384">
            <v>0</v>
          </cell>
        </row>
        <row r="6385">
          <cell r="D6385">
            <v>317801</v>
          </cell>
          <cell r="E6385" t="str">
            <v>Rosita National High School</v>
          </cell>
          <cell r="F6385">
            <v>0</v>
          </cell>
          <cell r="G6385">
            <v>0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>
            <v>0</v>
          </cell>
          <cell r="M6385">
            <v>0</v>
          </cell>
          <cell r="N6385">
            <v>0</v>
          </cell>
          <cell r="O6385">
            <v>0</v>
          </cell>
          <cell r="P6385">
            <v>0</v>
          </cell>
          <cell r="Q6385">
            <v>0</v>
          </cell>
          <cell r="R6385">
            <v>0</v>
          </cell>
          <cell r="S6385">
            <v>0</v>
          </cell>
          <cell r="T6385">
            <v>0</v>
          </cell>
          <cell r="U6385">
            <v>0</v>
          </cell>
          <cell r="V6385">
            <v>0</v>
          </cell>
          <cell r="W6385">
            <v>0</v>
          </cell>
          <cell r="X6385">
            <v>0</v>
          </cell>
          <cell r="Y6385">
            <v>0</v>
          </cell>
          <cell r="Z6385">
            <v>0</v>
          </cell>
        </row>
        <row r="6386">
          <cell r="D6386">
            <v>304839</v>
          </cell>
          <cell r="E6386" t="str">
            <v>Plaridel National High School</v>
          </cell>
          <cell r="F6386">
            <v>0</v>
          </cell>
          <cell r="G6386">
            <v>0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>
            <v>0</v>
          </cell>
          <cell r="M6386">
            <v>0</v>
          </cell>
          <cell r="N6386">
            <v>0</v>
          </cell>
          <cell r="O6386">
            <v>0</v>
          </cell>
          <cell r="P6386">
            <v>0</v>
          </cell>
          <cell r="Q6386">
            <v>0</v>
          </cell>
          <cell r="R6386">
            <v>0</v>
          </cell>
          <cell r="S6386">
            <v>0</v>
          </cell>
          <cell r="T6386">
            <v>0</v>
          </cell>
          <cell r="U6386">
            <v>0</v>
          </cell>
          <cell r="V6386">
            <v>0</v>
          </cell>
          <cell r="W6386">
            <v>0</v>
          </cell>
          <cell r="X6386">
            <v>0</v>
          </cell>
          <cell r="Y6386">
            <v>0</v>
          </cell>
          <cell r="Z6386">
            <v>0</v>
          </cell>
        </row>
        <row r="6387">
          <cell r="D6387">
            <v>324401</v>
          </cell>
          <cell r="E6387" t="str">
            <v>Llamera National High School</v>
          </cell>
          <cell r="F6387">
            <v>0</v>
          </cell>
          <cell r="G6387">
            <v>0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>
            <v>0</v>
          </cell>
          <cell r="M6387">
            <v>0</v>
          </cell>
          <cell r="N6387">
            <v>0</v>
          </cell>
          <cell r="O6387">
            <v>0</v>
          </cell>
          <cell r="P6387">
            <v>0</v>
          </cell>
          <cell r="Q6387">
            <v>0</v>
          </cell>
          <cell r="R6387">
            <v>0</v>
          </cell>
          <cell r="S6387">
            <v>0</v>
          </cell>
          <cell r="T6387">
            <v>0</v>
          </cell>
          <cell r="U6387">
            <v>0</v>
          </cell>
          <cell r="V6387">
            <v>0</v>
          </cell>
          <cell r="W6387">
            <v>0</v>
          </cell>
          <cell r="X6387">
            <v>0</v>
          </cell>
          <cell r="Y6387">
            <v>0</v>
          </cell>
          <cell r="Z6387">
            <v>0</v>
          </cell>
        </row>
        <row r="6388">
          <cell r="D6388">
            <v>340528</v>
          </cell>
          <cell r="E6388" t="str">
            <v>Loreto  National High School</v>
          </cell>
          <cell r="F6388">
            <v>0</v>
          </cell>
          <cell r="G6388">
            <v>0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>
            <v>0</v>
          </cell>
          <cell r="M6388">
            <v>0</v>
          </cell>
          <cell r="N6388">
            <v>0</v>
          </cell>
          <cell r="O6388">
            <v>0</v>
          </cell>
          <cell r="P6388">
            <v>0</v>
          </cell>
          <cell r="Q6388">
            <v>0</v>
          </cell>
          <cell r="R6388">
            <v>0</v>
          </cell>
          <cell r="S6388">
            <v>0</v>
          </cell>
          <cell r="T6388">
            <v>0</v>
          </cell>
          <cell r="U6388">
            <v>0</v>
          </cell>
          <cell r="V6388">
            <v>0</v>
          </cell>
          <cell r="W6388">
            <v>0</v>
          </cell>
          <cell r="X6388">
            <v>0</v>
          </cell>
          <cell r="Y6388">
            <v>0</v>
          </cell>
          <cell r="Z6388">
            <v>0</v>
          </cell>
        </row>
        <row r="6389">
          <cell r="D6389">
            <v>317802</v>
          </cell>
          <cell r="E6389" t="str">
            <v>Valencia National High School</v>
          </cell>
          <cell r="F6389">
            <v>0</v>
          </cell>
          <cell r="G6389">
            <v>0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>
            <v>0</v>
          </cell>
          <cell r="M6389">
            <v>0</v>
          </cell>
          <cell r="N6389">
            <v>0</v>
          </cell>
          <cell r="O6389">
            <v>0</v>
          </cell>
          <cell r="P6389">
            <v>0</v>
          </cell>
          <cell r="Q6389">
            <v>0</v>
          </cell>
          <cell r="R6389">
            <v>0</v>
          </cell>
          <cell r="S6389">
            <v>0</v>
          </cell>
          <cell r="T6389">
            <v>0</v>
          </cell>
          <cell r="U6389">
            <v>0</v>
          </cell>
          <cell r="V6389">
            <v>0</v>
          </cell>
          <cell r="W6389">
            <v>0</v>
          </cell>
          <cell r="X6389">
            <v>0</v>
          </cell>
          <cell r="Y6389">
            <v>0</v>
          </cell>
          <cell r="Z6389">
            <v>0</v>
          </cell>
        </row>
        <row r="6390">
          <cell r="D6390">
            <v>304809</v>
          </cell>
          <cell r="E6390" t="str">
            <v>Osmeña-Sto. Niño National High School</v>
          </cell>
          <cell r="F6390">
            <v>0</v>
          </cell>
          <cell r="G6390">
            <v>0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0</v>
          </cell>
          <cell r="M6390">
            <v>0</v>
          </cell>
          <cell r="N6390">
            <v>0</v>
          </cell>
          <cell r="O6390">
            <v>0</v>
          </cell>
          <cell r="P6390">
            <v>0</v>
          </cell>
          <cell r="Q6390">
            <v>0</v>
          </cell>
          <cell r="R6390">
            <v>0</v>
          </cell>
          <cell r="S6390">
            <v>0</v>
          </cell>
          <cell r="T6390">
            <v>0</v>
          </cell>
          <cell r="U6390">
            <v>0</v>
          </cell>
          <cell r="V6390">
            <v>0</v>
          </cell>
          <cell r="W6390">
            <v>0</v>
          </cell>
          <cell r="X6390">
            <v>0</v>
          </cell>
          <cell r="Y6390">
            <v>0</v>
          </cell>
          <cell r="Z6390">
            <v>0</v>
          </cell>
        </row>
        <row r="6391">
          <cell r="D6391">
            <v>304707</v>
          </cell>
          <cell r="E6391" t="str">
            <v>Bayugan NCHS</v>
          </cell>
          <cell r="F6391">
            <v>182</v>
          </cell>
          <cell r="G6391">
            <v>193</v>
          </cell>
          <cell r="H6391">
            <v>375</v>
          </cell>
          <cell r="I6391">
            <v>98</v>
          </cell>
          <cell r="J6391">
            <v>106</v>
          </cell>
          <cell r="K6391">
            <v>204</v>
          </cell>
          <cell r="L6391">
            <v>98</v>
          </cell>
          <cell r="M6391">
            <v>106</v>
          </cell>
          <cell r="N6391">
            <v>204</v>
          </cell>
          <cell r="O6391">
            <v>42</v>
          </cell>
          <cell r="P6391">
            <v>51</v>
          </cell>
          <cell r="Q6391">
            <v>93</v>
          </cell>
          <cell r="R6391">
            <v>42</v>
          </cell>
          <cell r="S6391">
            <v>51</v>
          </cell>
          <cell r="T6391">
            <v>93</v>
          </cell>
          <cell r="U6391">
            <v>23</v>
          </cell>
          <cell r="V6391">
            <v>26</v>
          </cell>
          <cell r="W6391">
            <v>49</v>
          </cell>
          <cell r="X6391">
            <v>0</v>
          </cell>
          <cell r="Y6391">
            <v>0</v>
          </cell>
          <cell r="Z6391">
            <v>0</v>
          </cell>
        </row>
        <row r="6392">
          <cell r="D6392">
            <v>304723</v>
          </cell>
          <cell r="E6392" t="str">
            <v>Marcelina NHS</v>
          </cell>
          <cell r="F6392">
            <v>6</v>
          </cell>
          <cell r="G6392">
            <v>7</v>
          </cell>
          <cell r="H6392">
            <v>13</v>
          </cell>
          <cell r="I6392">
            <v>6</v>
          </cell>
          <cell r="J6392">
            <v>7</v>
          </cell>
          <cell r="K6392">
            <v>13</v>
          </cell>
          <cell r="L6392">
            <v>0</v>
          </cell>
          <cell r="M6392">
            <v>0</v>
          </cell>
          <cell r="N6392">
            <v>0</v>
          </cell>
          <cell r="O6392">
            <v>0</v>
          </cell>
          <cell r="P6392">
            <v>0</v>
          </cell>
          <cell r="Q6392">
            <v>0</v>
          </cell>
          <cell r="R6392">
            <v>0</v>
          </cell>
          <cell r="S6392">
            <v>0</v>
          </cell>
          <cell r="T6392">
            <v>0</v>
          </cell>
          <cell r="U6392">
            <v>0</v>
          </cell>
          <cell r="V6392">
            <v>0</v>
          </cell>
          <cell r="W6392">
            <v>0</v>
          </cell>
          <cell r="X6392">
            <v>0</v>
          </cell>
          <cell r="Y6392">
            <v>0</v>
          </cell>
          <cell r="Z6392">
            <v>0</v>
          </cell>
        </row>
        <row r="6393">
          <cell r="D6393">
            <v>304724</v>
          </cell>
          <cell r="E6393" t="str">
            <v>Mt. Olive National High School</v>
          </cell>
          <cell r="F6393">
            <v>0</v>
          </cell>
          <cell r="G6393">
            <v>0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>
            <v>0</v>
          </cell>
          <cell r="M6393">
            <v>0</v>
          </cell>
          <cell r="N6393">
            <v>0</v>
          </cell>
          <cell r="O6393">
            <v>0</v>
          </cell>
          <cell r="P6393">
            <v>0</v>
          </cell>
          <cell r="Q6393">
            <v>0</v>
          </cell>
          <cell r="R6393">
            <v>0</v>
          </cell>
          <cell r="S6393">
            <v>0</v>
          </cell>
          <cell r="T6393">
            <v>0</v>
          </cell>
          <cell r="U6393">
            <v>0</v>
          </cell>
          <cell r="V6393">
            <v>0</v>
          </cell>
          <cell r="W6393">
            <v>0</v>
          </cell>
          <cell r="X6393">
            <v>0</v>
          </cell>
          <cell r="Y6393">
            <v>0</v>
          </cell>
          <cell r="Z6393">
            <v>0</v>
          </cell>
        </row>
        <row r="6394">
          <cell r="D6394">
            <v>304728</v>
          </cell>
          <cell r="E6394" t="str">
            <v>Noli National High School</v>
          </cell>
          <cell r="F6394">
            <v>0</v>
          </cell>
          <cell r="G6394">
            <v>0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0</v>
          </cell>
          <cell r="M6394">
            <v>0</v>
          </cell>
          <cell r="N6394">
            <v>0</v>
          </cell>
          <cell r="O6394">
            <v>0</v>
          </cell>
          <cell r="P6394">
            <v>0</v>
          </cell>
          <cell r="Q6394">
            <v>0</v>
          </cell>
          <cell r="R6394">
            <v>0</v>
          </cell>
          <cell r="S6394">
            <v>0</v>
          </cell>
          <cell r="T6394">
            <v>0</v>
          </cell>
          <cell r="U6394">
            <v>0</v>
          </cell>
          <cell r="V6394">
            <v>0</v>
          </cell>
          <cell r="W6394">
            <v>0</v>
          </cell>
          <cell r="X6394">
            <v>0</v>
          </cell>
          <cell r="Y6394">
            <v>0</v>
          </cell>
          <cell r="Z6394">
            <v>0</v>
          </cell>
        </row>
        <row r="6395">
          <cell r="D6395">
            <v>304729</v>
          </cell>
          <cell r="E6395" t="str">
            <v>Calaitan NHS</v>
          </cell>
          <cell r="F6395">
            <v>0</v>
          </cell>
          <cell r="G6395">
            <v>0</v>
          </cell>
          <cell r="H6395">
            <v>0</v>
          </cell>
          <cell r="I6395">
            <v>0</v>
          </cell>
          <cell r="J6395">
            <v>0</v>
          </cell>
          <cell r="K6395">
            <v>0</v>
          </cell>
          <cell r="L6395">
            <v>0</v>
          </cell>
          <cell r="M6395">
            <v>0</v>
          </cell>
          <cell r="N6395">
            <v>0</v>
          </cell>
          <cell r="O6395">
            <v>0</v>
          </cell>
          <cell r="P6395">
            <v>0</v>
          </cell>
          <cell r="Q6395">
            <v>0</v>
          </cell>
          <cell r="R6395">
            <v>0</v>
          </cell>
          <cell r="S6395">
            <v>0</v>
          </cell>
          <cell r="T6395">
            <v>0</v>
          </cell>
          <cell r="U6395">
            <v>0</v>
          </cell>
          <cell r="V6395">
            <v>0</v>
          </cell>
          <cell r="W6395">
            <v>0</v>
          </cell>
          <cell r="X6395">
            <v>0</v>
          </cell>
          <cell r="Y6395">
            <v>0</v>
          </cell>
          <cell r="Z6395">
            <v>0</v>
          </cell>
        </row>
        <row r="6396">
          <cell r="D6396">
            <v>304735</v>
          </cell>
          <cell r="E6396" t="str">
            <v>SAN JUAN NATIONAL HIGH SCHOOL</v>
          </cell>
          <cell r="F6396">
            <v>5</v>
          </cell>
          <cell r="G6396">
            <v>2</v>
          </cell>
          <cell r="H6396">
            <v>7</v>
          </cell>
          <cell r="I6396">
            <v>0</v>
          </cell>
          <cell r="J6396">
            <v>0</v>
          </cell>
          <cell r="K6396">
            <v>0</v>
          </cell>
          <cell r="L6396">
            <v>0</v>
          </cell>
          <cell r="M6396">
            <v>0</v>
          </cell>
          <cell r="N6396">
            <v>0</v>
          </cell>
          <cell r="O6396">
            <v>0</v>
          </cell>
          <cell r="P6396">
            <v>0</v>
          </cell>
          <cell r="Q6396">
            <v>0</v>
          </cell>
          <cell r="R6396">
            <v>0</v>
          </cell>
          <cell r="S6396">
            <v>0</v>
          </cell>
          <cell r="T6396">
            <v>0</v>
          </cell>
          <cell r="U6396">
            <v>0</v>
          </cell>
          <cell r="V6396">
            <v>0</v>
          </cell>
          <cell r="W6396">
            <v>0</v>
          </cell>
          <cell r="X6396">
            <v>0</v>
          </cell>
          <cell r="Y6396">
            <v>0</v>
          </cell>
          <cell r="Z6396">
            <v>0</v>
          </cell>
        </row>
        <row r="6397">
          <cell r="D6397">
            <v>304732</v>
          </cell>
          <cell r="E6397" t="str">
            <v>Salvacion National High School</v>
          </cell>
          <cell r="F6397">
            <v>0</v>
          </cell>
          <cell r="G6397">
            <v>0</v>
          </cell>
          <cell r="H6397">
            <v>0</v>
          </cell>
          <cell r="I6397">
            <v>0</v>
          </cell>
          <cell r="J6397">
            <v>0</v>
          </cell>
          <cell r="K6397">
            <v>0</v>
          </cell>
          <cell r="L6397">
            <v>0</v>
          </cell>
          <cell r="M6397">
            <v>0</v>
          </cell>
          <cell r="N6397">
            <v>0</v>
          </cell>
          <cell r="O6397">
            <v>0</v>
          </cell>
          <cell r="P6397">
            <v>0</v>
          </cell>
          <cell r="Q6397">
            <v>0</v>
          </cell>
          <cell r="R6397">
            <v>0</v>
          </cell>
          <cell r="S6397">
            <v>0</v>
          </cell>
          <cell r="T6397">
            <v>0</v>
          </cell>
          <cell r="U6397">
            <v>0</v>
          </cell>
          <cell r="V6397">
            <v>0</v>
          </cell>
          <cell r="W6397">
            <v>0</v>
          </cell>
          <cell r="X6397">
            <v>0</v>
          </cell>
          <cell r="Y6397">
            <v>0</v>
          </cell>
          <cell r="Z6397">
            <v>0</v>
          </cell>
        </row>
        <row r="6398">
          <cell r="D6398">
            <v>340297</v>
          </cell>
          <cell r="E6398" t="str">
            <v>STAND ALONE SHS</v>
          </cell>
          <cell r="F6398">
            <v>0</v>
          </cell>
          <cell r="G6398">
            <v>0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>
            <v>0</v>
          </cell>
          <cell r="M6398">
            <v>0</v>
          </cell>
          <cell r="N6398">
            <v>0</v>
          </cell>
          <cell r="O6398">
            <v>0</v>
          </cell>
          <cell r="P6398">
            <v>0</v>
          </cell>
          <cell r="Q6398">
            <v>0</v>
          </cell>
          <cell r="R6398">
            <v>0</v>
          </cell>
          <cell r="S6398">
            <v>0</v>
          </cell>
          <cell r="T6398">
            <v>0</v>
          </cell>
          <cell r="U6398">
            <v>0</v>
          </cell>
          <cell r="V6398">
            <v>0</v>
          </cell>
          <cell r="W6398">
            <v>0</v>
          </cell>
          <cell r="X6398">
            <v>0</v>
          </cell>
          <cell r="Y6398">
            <v>0</v>
          </cell>
          <cell r="Z6398">
            <v>0</v>
          </cell>
        </row>
        <row r="6399">
          <cell r="D6399">
            <v>304699</v>
          </cell>
          <cell r="E6399" t="str">
            <v>Cabadbaran City National High School</v>
          </cell>
          <cell r="F6399">
            <v>0</v>
          </cell>
          <cell r="G6399">
            <v>0</v>
          </cell>
          <cell r="H6399">
            <v>0</v>
          </cell>
          <cell r="I6399">
            <v>0</v>
          </cell>
          <cell r="J6399">
            <v>0</v>
          </cell>
          <cell r="K6399">
            <v>0</v>
          </cell>
          <cell r="L6399">
            <v>0</v>
          </cell>
          <cell r="M6399">
            <v>0</v>
          </cell>
          <cell r="N6399">
            <v>0</v>
          </cell>
          <cell r="O6399">
            <v>0</v>
          </cell>
          <cell r="P6399">
            <v>0</v>
          </cell>
          <cell r="Q6399">
            <v>0</v>
          </cell>
          <cell r="R6399">
            <v>0</v>
          </cell>
          <cell r="S6399">
            <v>0</v>
          </cell>
          <cell r="T6399">
            <v>0</v>
          </cell>
          <cell r="U6399">
            <v>0</v>
          </cell>
          <cell r="V6399">
            <v>0</v>
          </cell>
          <cell r="W6399">
            <v>0</v>
          </cell>
          <cell r="X6399">
            <v>0</v>
          </cell>
          <cell r="Y6399">
            <v>0</v>
          </cell>
          <cell r="Z6399">
            <v>0</v>
          </cell>
        </row>
        <row r="6400">
          <cell r="D6400">
            <v>317307</v>
          </cell>
          <cell r="E6400" t="str">
            <v>Del Pilar NHS</v>
          </cell>
          <cell r="F6400">
            <v>0</v>
          </cell>
          <cell r="G6400">
            <v>0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0</v>
          </cell>
          <cell r="M6400">
            <v>0</v>
          </cell>
          <cell r="N6400">
            <v>0</v>
          </cell>
          <cell r="O6400">
            <v>0</v>
          </cell>
          <cell r="P6400">
            <v>0</v>
          </cell>
          <cell r="Q6400">
            <v>0</v>
          </cell>
          <cell r="R6400">
            <v>0</v>
          </cell>
          <cell r="S6400">
            <v>0</v>
          </cell>
          <cell r="T6400">
            <v>0</v>
          </cell>
          <cell r="U6400">
            <v>0</v>
          </cell>
          <cell r="V6400">
            <v>0</v>
          </cell>
          <cell r="W6400">
            <v>0</v>
          </cell>
          <cell r="X6400">
            <v>0</v>
          </cell>
          <cell r="Y6400">
            <v>0</v>
          </cell>
          <cell r="Z6400">
            <v>0</v>
          </cell>
        </row>
        <row r="6401">
          <cell r="D6401">
            <v>330101</v>
          </cell>
          <cell r="E6401" t="str">
            <v>Puting Bato National High School</v>
          </cell>
          <cell r="F6401">
            <v>25</v>
          </cell>
          <cell r="G6401">
            <v>14</v>
          </cell>
          <cell r="H6401">
            <v>39</v>
          </cell>
          <cell r="I6401">
            <v>2</v>
          </cell>
          <cell r="J6401">
            <v>2</v>
          </cell>
          <cell r="K6401">
            <v>4</v>
          </cell>
          <cell r="L6401">
            <v>5</v>
          </cell>
          <cell r="M6401">
            <v>3</v>
          </cell>
          <cell r="N6401">
            <v>8</v>
          </cell>
          <cell r="O6401">
            <v>0</v>
          </cell>
          <cell r="P6401">
            <v>0</v>
          </cell>
          <cell r="Q6401">
            <v>0</v>
          </cell>
          <cell r="R6401">
            <v>0</v>
          </cell>
          <cell r="S6401">
            <v>0</v>
          </cell>
          <cell r="T6401">
            <v>0</v>
          </cell>
          <cell r="U6401">
            <v>0</v>
          </cell>
          <cell r="V6401">
            <v>0</v>
          </cell>
          <cell r="W6401">
            <v>0</v>
          </cell>
          <cell r="X6401">
            <v>0</v>
          </cell>
          <cell r="Y6401">
            <v>0</v>
          </cell>
          <cell r="Z6401">
            <v>0</v>
          </cell>
        </row>
        <row r="6402">
          <cell r="D6402">
            <v>304676</v>
          </cell>
          <cell r="E6402" t="str">
            <v>Calamba NHS</v>
          </cell>
          <cell r="F6402">
            <v>0</v>
          </cell>
          <cell r="G6402">
            <v>0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0</v>
          </cell>
          <cell r="M6402">
            <v>0</v>
          </cell>
          <cell r="N6402">
            <v>0</v>
          </cell>
          <cell r="O6402">
            <v>0</v>
          </cell>
          <cell r="P6402">
            <v>0</v>
          </cell>
          <cell r="Q6402">
            <v>0</v>
          </cell>
          <cell r="R6402">
            <v>0</v>
          </cell>
          <cell r="S6402">
            <v>0</v>
          </cell>
          <cell r="T6402">
            <v>0</v>
          </cell>
          <cell r="U6402">
            <v>0</v>
          </cell>
          <cell r="V6402">
            <v>0</v>
          </cell>
          <cell r="W6402">
            <v>0</v>
          </cell>
          <cell r="X6402">
            <v>0</v>
          </cell>
          <cell r="Y6402">
            <v>0</v>
          </cell>
          <cell r="Z6402">
            <v>0</v>
          </cell>
        </row>
        <row r="6403">
          <cell r="D6403">
            <v>340341</v>
          </cell>
          <cell r="E6403" t="str">
            <v>La Union SHS (Stand Alone)</v>
          </cell>
          <cell r="F6403">
            <v>0</v>
          </cell>
          <cell r="G6403">
            <v>0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0</v>
          </cell>
          <cell r="M6403">
            <v>0</v>
          </cell>
          <cell r="N6403">
            <v>0</v>
          </cell>
          <cell r="O6403">
            <v>0</v>
          </cell>
          <cell r="P6403">
            <v>0</v>
          </cell>
          <cell r="Q6403">
            <v>0</v>
          </cell>
          <cell r="R6403">
            <v>0</v>
          </cell>
          <cell r="S6403">
            <v>0</v>
          </cell>
          <cell r="T6403">
            <v>0</v>
          </cell>
          <cell r="U6403">
            <v>0</v>
          </cell>
          <cell r="V6403">
            <v>0</v>
          </cell>
          <cell r="W6403">
            <v>0</v>
          </cell>
          <cell r="X6403">
            <v>0</v>
          </cell>
          <cell r="Y6403">
            <v>0</v>
          </cell>
          <cell r="Z6403">
            <v>0</v>
          </cell>
        </row>
        <row r="6404">
          <cell r="D6404">
            <v>304871</v>
          </cell>
          <cell r="E6404" t="str">
            <v>Buenavista National High School</v>
          </cell>
          <cell r="F6404">
            <v>4</v>
          </cell>
          <cell r="G6404">
            <v>6</v>
          </cell>
          <cell r="H6404">
            <v>10</v>
          </cell>
          <cell r="I6404">
            <v>1</v>
          </cell>
          <cell r="J6404">
            <v>3</v>
          </cell>
          <cell r="K6404">
            <v>4</v>
          </cell>
          <cell r="L6404">
            <v>1</v>
          </cell>
          <cell r="M6404">
            <v>3</v>
          </cell>
          <cell r="N6404">
            <v>4</v>
          </cell>
          <cell r="O6404">
            <v>0</v>
          </cell>
          <cell r="P6404">
            <v>0</v>
          </cell>
          <cell r="Q6404">
            <v>0</v>
          </cell>
          <cell r="R6404">
            <v>0</v>
          </cell>
          <cell r="S6404">
            <v>0</v>
          </cell>
          <cell r="T6404">
            <v>0</v>
          </cell>
          <cell r="U6404">
            <v>0</v>
          </cell>
          <cell r="V6404">
            <v>0</v>
          </cell>
          <cell r="W6404">
            <v>0</v>
          </cell>
          <cell r="X6404">
            <v>0</v>
          </cell>
          <cell r="Y6404">
            <v>0</v>
          </cell>
          <cell r="Z6404">
            <v>0</v>
          </cell>
        </row>
        <row r="6405">
          <cell r="D6405">
            <v>500587</v>
          </cell>
          <cell r="E6405" t="str">
            <v>Carmen Integrated School</v>
          </cell>
          <cell r="F6405">
            <v>0</v>
          </cell>
          <cell r="G6405">
            <v>0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0</v>
          </cell>
          <cell r="M6405">
            <v>0</v>
          </cell>
          <cell r="N6405">
            <v>0</v>
          </cell>
          <cell r="O6405">
            <v>0</v>
          </cell>
          <cell r="P6405">
            <v>0</v>
          </cell>
          <cell r="Q6405">
            <v>0</v>
          </cell>
          <cell r="R6405">
            <v>0</v>
          </cell>
          <cell r="S6405">
            <v>0</v>
          </cell>
          <cell r="T6405">
            <v>0</v>
          </cell>
          <cell r="U6405">
            <v>0</v>
          </cell>
          <cell r="V6405">
            <v>0</v>
          </cell>
          <cell r="W6405">
            <v>0</v>
          </cell>
          <cell r="X6405">
            <v>0</v>
          </cell>
          <cell r="Y6405">
            <v>0</v>
          </cell>
          <cell r="Z6405">
            <v>0</v>
          </cell>
        </row>
        <row r="6406">
          <cell r="D6406">
            <v>304922</v>
          </cell>
          <cell r="E6406" t="str">
            <v>Tandag National Science High School</v>
          </cell>
          <cell r="F6406">
            <v>0</v>
          </cell>
          <cell r="G6406">
            <v>0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0</v>
          </cell>
          <cell r="M6406">
            <v>0</v>
          </cell>
          <cell r="N6406">
            <v>0</v>
          </cell>
          <cell r="O6406">
            <v>0</v>
          </cell>
          <cell r="P6406">
            <v>0</v>
          </cell>
          <cell r="Q6406">
            <v>0</v>
          </cell>
          <cell r="R6406">
            <v>0</v>
          </cell>
          <cell r="S6406">
            <v>0</v>
          </cell>
          <cell r="T6406">
            <v>0</v>
          </cell>
          <cell r="U6406">
            <v>0</v>
          </cell>
          <cell r="V6406">
            <v>0</v>
          </cell>
          <cell r="W6406">
            <v>0</v>
          </cell>
          <cell r="X6406">
            <v>0</v>
          </cell>
          <cell r="Y6406">
            <v>0</v>
          </cell>
          <cell r="Z6406">
            <v>0</v>
          </cell>
        </row>
        <row r="6407">
          <cell r="D6407">
            <v>324301</v>
          </cell>
          <cell r="E6407" t="str">
            <v>Upi Agricultural School</v>
          </cell>
          <cell r="F6407">
            <v>0</v>
          </cell>
          <cell r="G6407">
            <v>0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0</v>
          </cell>
          <cell r="M6407">
            <v>0</v>
          </cell>
          <cell r="N6407">
            <v>0</v>
          </cell>
          <cell r="O6407">
            <v>0</v>
          </cell>
          <cell r="P6407">
            <v>0</v>
          </cell>
          <cell r="Q6407">
            <v>0</v>
          </cell>
          <cell r="R6407">
            <v>0</v>
          </cell>
          <cell r="S6407">
            <v>0</v>
          </cell>
          <cell r="T6407">
            <v>0</v>
          </cell>
          <cell r="U6407">
            <v>0</v>
          </cell>
          <cell r="V6407">
            <v>0</v>
          </cell>
          <cell r="W6407">
            <v>0</v>
          </cell>
          <cell r="X6407">
            <v>0</v>
          </cell>
          <cell r="Y6407">
            <v>0</v>
          </cell>
          <cell r="Z6407">
            <v>0</v>
          </cell>
        </row>
        <row r="6408">
          <cell r="D6408">
            <v>305003</v>
          </cell>
          <cell r="E6408" t="str">
            <v>Camp Siongco NHS</v>
          </cell>
          <cell r="F6408">
            <v>103</v>
          </cell>
          <cell r="G6408">
            <v>75</v>
          </cell>
          <cell r="H6408">
            <v>178</v>
          </cell>
          <cell r="I6408">
            <v>5</v>
          </cell>
          <cell r="J6408">
            <v>6</v>
          </cell>
          <cell r="K6408">
            <v>11</v>
          </cell>
          <cell r="L6408">
            <v>5</v>
          </cell>
          <cell r="M6408">
            <v>6</v>
          </cell>
          <cell r="N6408">
            <v>11</v>
          </cell>
          <cell r="O6408">
            <v>3</v>
          </cell>
          <cell r="P6408">
            <v>2</v>
          </cell>
          <cell r="Q6408">
            <v>5</v>
          </cell>
          <cell r="R6408">
            <v>3</v>
          </cell>
          <cell r="S6408">
            <v>2</v>
          </cell>
          <cell r="T6408">
            <v>5</v>
          </cell>
          <cell r="U6408">
            <v>0</v>
          </cell>
          <cell r="V6408">
            <v>0</v>
          </cell>
          <cell r="W6408">
            <v>0</v>
          </cell>
          <cell r="X6408">
            <v>0</v>
          </cell>
          <cell r="Y6408">
            <v>0</v>
          </cell>
          <cell r="Z6408">
            <v>0</v>
          </cell>
        </row>
        <row r="6409">
          <cell r="D6409">
            <v>318309</v>
          </cell>
          <cell r="E6409" t="str">
            <v>Datu Arnel Datukon NHS</v>
          </cell>
          <cell r="F6409">
            <v>0</v>
          </cell>
          <cell r="G6409">
            <v>0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0</v>
          </cell>
          <cell r="M6409">
            <v>0</v>
          </cell>
          <cell r="N6409">
            <v>0</v>
          </cell>
          <cell r="O6409">
            <v>0</v>
          </cell>
          <cell r="P6409">
            <v>0</v>
          </cell>
          <cell r="Q6409">
            <v>0</v>
          </cell>
          <cell r="R6409">
            <v>0</v>
          </cell>
          <cell r="S6409">
            <v>0</v>
          </cell>
          <cell r="T6409">
            <v>0</v>
          </cell>
          <cell r="U6409">
            <v>0</v>
          </cell>
          <cell r="V6409">
            <v>0</v>
          </cell>
          <cell r="W6409">
            <v>0</v>
          </cell>
          <cell r="X6409">
            <v>0</v>
          </cell>
          <cell r="Y6409">
            <v>0</v>
          </cell>
          <cell r="Z6409">
            <v>0</v>
          </cell>
        </row>
        <row r="6410">
          <cell r="D6410">
            <v>324303</v>
          </cell>
          <cell r="E6410" t="str">
            <v>Bai Hanina S. Sinsuat NHS</v>
          </cell>
          <cell r="F6410">
            <v>0</v>
          </cell>
          <cell r="G6410">
            <v>0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>
            <v>0</v>
          </cell>
          <cell r="M6410">
            <v>0</v>
          </cell>
          <cell r="N6410">
            <v>0</v>
          </cell>
          <cell r="O6410">
            <v>0</v>
          </cell>
          <cell r="P6410">
            <v>0</v>
          </cell>
          <cell r="Q6410">
            <v>0</v>
          </cell>
          <cell r="R6410">
            <v>0</v>
          </cell>
          <cell r="S6410">
            <v>0</v>
          </cell>
          <cell r="T6410">
            <v>0</v>
          </cell>
          <cell r="U6410">
            <v>0</v>
          </cell>
          <cell r="V6410">
            <v>0</v>
          </cell>
          <cell r="W6410">
            <v>0</v>
          </cell>
          <cell r="X6410">
            <v>0</v>
          </cell>
          <cell r="Y6410">
            <v>0</v>
          </cell>
          <cell r="Z6410">
            <v>0</v>
          </cell>
        </row>
        <row r="6411">
          <cell r="D6411">
            <v>318326</v>
          </cell>
          <cell r="E6411" t="str">
            <v>Nuling National High School</v>
          </cell>
          <cell r="F6411">
            <v>0</v>
          </cell>
          <cell r="G6411">
            <v>0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  <cell r="L6411">
            <v>0</v>
          </cell>
          <cell r="M6411">
            <v>0</v>
          </cell>
          <cell r="N6411">
            <v>0</v>
          </cell>
          <cell r="O6411">
            <v>0</v>
          </cell>
          <cell r="P6411">
            <v>0</v>
          </cell>
          <cell r="Q6411">
            <v>0</v>
          </cell>
          <cell r="R6411">
            <v>0</v>
          </cell>
          <cell r="S6411">
            <v>0</v>
          </cell>
          <cell r="T6411">
            <v>0</v>
          </cell>
          <cell r="U6411">
            <v>0</v>
          </cell>
          <cell r="V6411">
            <v>0</v>
          </cell>
          <cell r="W6411">
            <v>0</v>
          </cell>
          <cell r="X6411">
            <v>0</v>
          </cell>
          <cell r="Y6411">
            <v>0</v>
          </cell>
          <cell r="Z6411">
            <v>0</v>
          </cell>
        </row>
        <row r="6412">
          <cell r="D6412">
            <v>305007</v>
          </cell>
          <cell r="E6412" t="str">
            <v>Dinganen-Buldon NHS</v>
          </cell>
          <cell r="F6412">
            <v>0</v>
          </cell>
          <cell r="G6412">
            <v>0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0</v>
          </cell>
          <cell r="M6412">
            <v>0</v>
          </cell>
          <cell r="N6412">
            <v>0</v>
          </cell>
          <cell r="O6412">
            <v>0</v>
          </cell>
          <cell r="P6412">
            <v>0</v>
          </cell>
          <cell r="Q6412">
            <v>0</v>
          </cell>
          <cell r="R6412">
            <v>0</v>
          </cell>
          <cell r="S6412">
            <v>0</v>
          </cell>
          <cell r="T6412">
            <v>0</v>
          </cell>
          <cell r="U6412">
            <v>0</v>
          </cell>
          <cell r="V6412">
            <v>0</v>
          </cell>
          <cell r="W6412">
            <v>0</v>
          </cell>
          <cell r="X6412">
            <v>0</v>
          </cell>
          <cell r="Y6412">
            <v>0</v>
          </cell>
          <cell r="Z6412">
            <v>0</v>
          </cell>
        </row>
        <row r="6413">
          <cell r="D6413">
            <v>305016</v>
          </cell>
          <cell r="E6413" t="str">
            <v>Matanog NHS</v>
          </cell>
          <cell r="F6413">
            <v>0</v>
          </cell>
          <cell r="G6413">
            <v>0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0</v>
          </cell>
          <cell r="M6413">
            <v>0</v>
          </cell>
          <cell r="N6413">
            <v>0</v>
          </cell>
          <cell r="O6413">
            <v>0</v>
          </cell>
          <cell r="P6413">
            <v>0</v>
          </cell>
          <cell r="Q6413">
            <v>0</v>
          </cell>
          <cell r="R6413">
            <v>0</v>
          </cell>
          <cell r="S6413">
            <v>0</v>
          </cell>
          <cell r="T6413">
            <v>0</v>
          </cell>
          <cell r="U6413">
            <v>0</v>
          </cell>
          <cell r="V6413">
            <v>0</v>
          </cell>
          <cell r="W6413">
            <v>0</v>
          </cell>
          <cell r="X6413">
            <v>0</v>
          </cell>
          <cell r="Y6413">
            <v>0</v>
          </cell>
          <cell r="Z6413">
            <v>0</v>
          </cell>
        </row>
        <row r="6414">
          <cell r="D6414">
            <v>305013</v>
          </cell>
          <cell r="E6414" t="str">
            <v>Litayen National High School</v>
          </cell>
          <cell r="F6414">
            <v>0</v>
          </cell>
          <cell r="G6414">
            <v>0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>
            <v>0</v>
          </cell>
          <cell r="M6414">
            <v>0</v>
          </cell>
          <cell r="N6414">
            <v>0</v>
          </cell>
          <cell r="O6414">
            <v>0</v>
          </cell>
          <cell r="P6414">
            <v>0</v>
          </cell>
          <cell r="Q6414">
            <v>0</v>
          </cell>
          <cell r="R6414">
            <v>0</v>
          </cell>
          <cell r="S6414">
            <v>0</v>
          </cell>
          <cell r="T6414">
            <v>0</v>
          </cell>
          <cell r="U6414">
            <v>0</v>
          </cell>
          <cell r="V6414">
            <v>0</v>
          </cell>
          <cell r="W6414">
            <v>0</v>
          </cell>
          <cell r="X6414">
            <v>0</v>
          </cell>
          <cell r="Y6414">
            <v>0</v>
          </cell>
          <cell r="Z6414">
            <v>0</v>
          </cell>
        </row>
        <row r="6415">
          <cell r="D6415">
            <v>305011</v>
          </cell>
          <cell r="E6415" t="str">
            <v>Kabuntalan NHS</v>
          </cell>
          <cell r="F6415">
            <v>0</v>
          </cell>
          <cell r="G6415">
            <v>0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>
            <v>0</v>
          </cell>
          <cell r="M6415">
            <v>0</v>
          </cell>
          <cell r="N6415">
            <v>0</v>
          </cell>
          <cell r="O6415">
            <v>0</v>
          </cell>
          <cell r="P6415">
            <v>0</v>
          </cell>
          <cell r="Q6415">
            <v>0</v>
          </cell>
          <cell r="R6415">
            <v>0</v>
          </cell>
          <cell r="S6415">
            <v>0</v>
          </cell>
          <cell r="T6415">
            <v>0</v>
          </cell>
          <cell r="U6415">
            <v>0</v>
          </cell>
          <cell r="V6415">
            <v>0</v>
          </cell>
          <cell r="W6415">
            <v>0</v>
          </cell>
          <cell r="X6415">
            <v>0</v>
          </cell>
          <cell r="Y6415">
            <v>0</v>
          </cell>
          <cell r="Z6415">
            <v>0</v>
          </cell>
        </row>
        <row r="6416">
          <cell r="D6416">
            <v>305024</v>
          </cell>
          <cell r="E6416" t="str">
            <v>Sultan Kudarat NHS</v>
          </cell>
          <cell r="F6416">
            <v>0</v>
          </cell>
          <cell r="G6416">
            <v>0</v>
          </cell>
          <cell r="H6416">
            <v>0</v>
          </cell>
          <cell r="I6416">
            <v>0</v>
          </cell>
          <cell r="J6416">
            <v>0</v>
          </cell>
          <cell r="K6416">
            <v>0</v>
          </cell>
          <cell r="L6416">
            <v>0</v>
          </cell>
          <cell r="M6416">
            <v>0</v>
          </cell>
          <cell r="N6416">
            <v>0</v>
          </cell>
          <cell r="O6416">
            <v>0</v>
          </cell>
          <cell r="P6416">
            <v>0</v>
          </cell>
          <cell r="Q6416">
            <v>0</v>
          </cell>
          <cell r="R6416">
            <v>0</v>
          </cell>
          <cell r="S6416">
            <v>0</v>
          </cell>
          <cell r="T6416">
            <v>0</v>
          </cell>
          <cell r="U6416">
            <v>8</v>
          </cell>
          <cell r="V6416">
            <v>6</v>
          </cell>
          <cell r="W6416">
            <v>14</v>
          </cell>
          <cell r="X6416">
            <v>0</v>
          </cell>
          <cell r="Y6416">
            <v>0</v>
          </cell>
          <cell r="Z6416">
            <v>0</v>
          </cell>
        </row>
        <row r="6417">
          <cell r="D6417">
            <v>305017</v>
          </cell>
          <cell r="E6417" t="str">
            <v>Amir Bara Lidasan NHS</v>
          </cell>
          <cell r="F6417">
            <v>0</v>
          </cell>
          <cell r="G6417">
            <v>0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>
            <v>0</v>
          </cell>
          <cell r="M6417">
            <v>0</v>
          </cell>
          <cell r="N6417">
            <v>0</v>
          </cell>
          <cell r="O6417">
            <v>0</v>
          </cell>
          <cell r="P6417">
            <v>0</v>
          </cell>
          <cell r="Q6417">
            <v>0</v>
          </cell>
          <cell r="R6417">
            <v>0</v>
          </cell>
          <cell r="S6417">
            <v>0</v>
          </cell>
          <cell r="T6417">
            <v>0</v>
          </cell>
          <cell r="U6417">
            <v>0</v>
          </cell>
          <cell r="V6417">
            <v>0</v>
          </cell>
          <cell r="W6417">
            <v>0</v>
          </cell>
          <cell r="X6417">
            <v>0</v>
          </cell>
          <cell r="Y6417">
            <v>0</v>
          </cell>
          <cell r="Z6417">
            <v>0</v>
          </cell>
        </row>
        <row r="6418">
          <cell r="D6418">
            <v>324302</v>
          </cell>
          <cell r="E6418" t="str">
            <v>Datu Malambut NHS</v>
          </cell>
          <cell r="F6418">
            <v>0</v>
          </cell>
          <cell r="G6418">
            <v>0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>
            <v>0</v>
          </cell>
          <cell r="M6418">
            <v>0</v>
          </cell>
          <cell r="N6418">
            <v>0</v>
          </cell>
          <cell r="O6418">
            <v>0</v>
          </cell>
          <cell r="P6418">
            <v>0</v>
          </cell>
          <cell r="Q6418">
            <v>0</v>
          </cell>
          <cell r="R6418">
            <v>0</v>
          </cell>
          <cell r="S6418">
            <v>0</v>
          </cell>
          <cell r="T6418">
            <v>0</v>
          </cell>
          <cell r="U6418">
            <v>0</v>
          </cell>
          <cell r="V6418">
            <v>0</v>
          </cell>
          <cell r="W6418">
            <v>0</v>
          </cell>
          <cell r="X6418">
            <v>0</v>
          </cell>
          <cell r="Y6418">
            <v>0</v>
          </cell>
          <cell r="Z6418">
            <v>0</v>
          </cell>
        </row>
        <row r="6419">
          <cell r="D6419">
            <v>318313</v>
          </cell>
          <cell r="E6419" t="str">
            <v>Ruth Manion Babao Mem. NHS</v>
          </cell>
          <cell r="F6419">
            <v>0</v>
          </cell>
          <cell r="G6419">
            <v>0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0</v>
          </cell>
          <cell r="M6419">
            <v>0</v>
          </cell>
          <cell r="N6419">
            <v>0</v>
          </cell>
          <cell r="O6419">
            <v>0</v>
          </cell>
          <cell r="P6419">
            <v>0</v>
          </cell>
          <cell r="Q6419">
            <v>0</v>
          </cell>
          <cell r="R6419">
            <v>0</v>
          </cell>
          <cell r="S6419">
            <v>0</v>
          </cell>
          <cell r="T6419">
            <v>0</v>
          </cell>
          <cell r="U6419">
            <v>0</v>
          </cell>
          <cell r="V6419">
            <v>0</v>
          </cell>
          <cell r="W6419">
            <v>0</v>
          </cell>
          <cell r="X6419">
            <v>0</v>
          </cell>
          <cell r="Y6419">
            <v>0</v>
          </cell>
          <cell r="Z6419">
            <v>0</v>
          </cell>
        </row>
        <row r="6420">
          <cell r="D6420">
            <v>305023</v>
          </cell>
          <cell r="E6420" t="str">
            <v>Sultan Barira NHS</v>
          </cell>
          <cell r="F6420">
            <v>0</v>
          </cell>
          <cell r="G6420">
            <v>0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>
            <v>0</v>
          </cell>
          <cell r="M6420">
            <v>0</v>
          </cell>
          <cell r="N6420">
            <v>0</v>
          </cell>
          <cell r="O6420">
            <v>0</v>
          </cell>
          <cell r="P6420">
            <v>0</v>
          </cell>
          <cell r="Q6420">
            <v>0</v>
          </cell>
          <cell r="R6420">
            <v>0</v>
          </cell>
          <cell r="S6420">
            <v>0</v>
          </cell>
          <cell r="T6420">
            <v>0</v>
          </cell>
          <cell r="U6420">
            <v>0</v>
          </cell>
          <cell r="V6420">
            <v>0</v>
          </cell>
          <cell r="W6420">
            <v>0</v>
          </cell>
          <cell r="X6420">
            <v>0</v>
          </cell>
          <cell r="Y6420">
            <v>0</v>
          </cell>
          <cell r="Z6420">
            <v>0</v>
          </cell>
        </row>
        <row r="6421">
          <cell r="D6421">
            <v>305021</v>
          </cell>
          <cell r="E6421" t="str">
            <v>Sarilikha HS</v>
          </cell>
          <cell r="F6421">
            <v>0</v>
          </cell>
          <cell r="G6421">
            <v>0</v>
          </cell>
          <cell r="H6421">
            <v>0</v>
          </cell>
          <cell r="I6421">
            <v>0</v>
          </cell>
          <cell r="J6421">
            <v>0</v>
          </cell>
          <cell r="K6421">
            <v>0</v>
          </cell>
          <cell r="L6421">
            <v>0</v>
          </cell>
          <cell r="M6421">
            <v>0</v>
          </cell>
          <cell r="N6421">
            <v>0</v>
          </cell>
          <cell r="O6421">
            <v>0</v>
          </cell>
          <cell r="P6421">
            <v>0</v>
          </cell>
          <cell r="Q6421">
            <v>0</v>
          </cell>
          <cell r="R6421">
            <v>0</v>
          </cell>
          <cell r="S6421">
            <v>0</v>
          </cell>
          <cell r="T6421">
            <v>0</v>
          </cell>
          <cell r="U6421">
            <v>0</v>
          </cell>
          <cell r="V6421">
            <v>0</v>
          </cell>
          <cell r="W6421">
            <v>0</v>
          </cell>
          <cell r="X6421">
            <v>0</v>
          </cell>
          <cell r="Y6421">
            <v>0</v>
          </cell>
          <cell r="Z6421">
            <v>0</v>
          </cell>
        </row>
        <row r="6422">
          <cell r="D6422">
            <v>305018</v>
          </cell>
          <cell r="E6422" t="str">
            <v>Parang National High School</v>
          </cell>
          <cell r="F6422">
            <v>347</v>
          </cell>
          <cell r="G6422">
            <v>366</v>
          </cell>
          <cell r="H6422">
            <v>713</v>
          </cell>
          <cell r="I6422">
            <v>137</v>
          </cell>
          <cell r="J6422">
            <v>157</v>
          </cell>
          <cell r="K6422">
            <v>294</v>
          </cell>
          <cell r="L6422">
            <v>137</v>
          </cell>
          <cell r="M6422">
            <v>157</v>
          </cell>
          <cell r="N6422">
            <v>294</v>
          </cell>
          <cell r="O6422">
            <v>0</v>
          </cell>
          <cell r="P6422">
            <v>0</v>
          </cell>
          <cell r="Q6422">
            <v>0</v>
          </cell>
          <cell r="R6422">
            <v>0</v>
          </cell>
          <cell r="S6422">
            <v>0</v>
          </cell>
          <cell r="T6422">
            <v>0</v>
          </cell>
          <cell r="U6422">
            <v>0</v>
          </cell>
          <cell r="V6422">
            <v>0</v>
          </cell>
          <cell r="W6422">
            <v>0</v>
          </cell>
          <cell r="X6422">
            <v>0</v>
          </cell>
          <cell r="Y6422">
            <v>0</v>
          </cell>
          <cell r="Z6422">
            <v>0</v>
          </cell>
        </row>
        <row r="6423">
          <cell r="D6423">
            <v>305015</v>
          </cell>
          <cell r="E6423" t="str">
            <v>ARMM Regional Science High School</v>
          </cell>
          <cell r="F6423">
            <v>0</v>
          </cell>
          <cell r="G6423">
            <v>0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L6423">
            <v>0</v>
          </cell>
          <cell r="M6423">
            <v>0</v>
          </cell>
          <cell r="N6423">
            <v>0</v>
          </cell>
          <cell r="O6423">
            <v>0</v>
          </cell>
          <cell r="P6423">
            <v>0</v>
          </cell>
          <cell r="Q6423">
            <v>0</v>
          </cell>
          <cell r="R6423">
            <v>0</v>
          </cell>
          <cell r="S6423">
            <v>0</v>
          </cell>
          <cell r="T6423">
            <v>0</v>
          </cell>
          <cell r="U6423">
            <v>0</v>
          </cell>
          <cell r="V6423">
            <v>0</v>
          </cell>
          <cell r="W6423">
            <v>0</v>
          </cell>
          <cell r="X6423">
            <v>0</v>
          </cell>
          <cell r="Y6423">
            <v>0</v>
          </cell>
          <cell r="Z6423">
            <v>0</v>
          </cell>
        </row>
        <row r="6424">
          <cell r="D6424">
            <v>326503</v>
          </cell>
          <cell r="E6424" t="str">
            <v>Datu Mantato National High School</v>
          </cell>
          <cell r="F6424">
            <v>0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0</v>
          </cell>
          <cell r="M6424">
            <v>0</v>
          </cell>
          <cell r="N6424">
            <v>0</v>
          </cell>
          <cell r="O6424">
            <v>0</v>
          </cell>
          <cell r="P6424">
            <v>0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>
            <v>0</v>
          </cell>
          <cell r="V6424">
            <v>0</v>
          </cell>
          <cell r="W6424">
            <v>0</v>
          </cell>
          <cell r="X6424">
            <v>0</v>
          </cell>
          <cell r="Y6424">
            <v>0</v>
          </cell>
          <cell r="Z6424">
            <v>0</v>
          </cell>
        </row>
        <row r="6425">
          <cell r="D6425">
            <v>326001</v>
          </cell>
          <cell r="E6425" t="str">
            <v>Making Integrated Vocational &amp; Technology High School</v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0</v>
          </cell>
          <cell r="M6425">
            <v>0</v>
          </cell>
          <cell r="N6425">
            <v>0</v>
          </cell>
          <cell r="O6425">
            <v>0</v>
          </cell>
          <cell r="P6425">
            <v>0</v>
          </cell>
          <cell r="Q6425">
            <v>0</v>
          </cell>
          <cell r="R6425">
            <v>0</v>
          </cell>
          <cell r="S6425">
            <v>0</v>
          </cell>
          <cell r="T6425">
            <v>0</v>
          </cell>
          <cell r="U6425">
            <v>0</v>
          </cell>
          <cell r="V6425">
            <v>0</v>
          </cell>
          <cell r="W6425">
            <v>0</v>
          </cell>
          <cell r="X6425">
            <v>0</v>
          </cell>
          <cell r="Y6425">
            <v>0</v>
          </cell>
          <cell r="Z6425">
            <v>0</v>
          </cell>
        </row>
        <row r="6426">
          <cell r="D6426">
            <v>318301</v>
          </cell>
          <cell r="E6426" t="str">
            <v>Datu Usngan S. Mastura NHS</v>
          </cell>
          <cell r="F6426">
            <v>0</v>
          </cell>
          <cell r="G6426">
            <v>0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0</v>
          </cell>
          <cell r="M6426">
            <v>0</v>
          </cell>
          <cell r="N6426">
            <v>0</v>
          </cell>
          <cell r="O6426">
            <v>0</v>
          </cell>
          <cell r="P6426">
            <v>0</v>
          </cell>
          <cell r="Q6426">
            <v>0</v>
          </cell>
          <cell r="R6426">
            <v>0</v>
          </cell>
          <cell r="S6426">
            <v>0</v>
          </cell>
          <cell r="T6426">
            <v>0</v>
          </cell>
          <cell r="U6426">
            <v>0</v>
          </cell>
          <cell r="V6426">
            <v>0</v>
          </cell>
          <cell r="W6426">
            <v>0</v>
          </cell>
          <cell r="X6426">
            <v>0</v>
          </cell>
          <cell r="Y6426">
            <v>0</v>
          </cell>
          <cell r="Z6426">
            <v>0</v>
          </cell>
        </row>
        <row r="6427">
          <cell r="D6427">
            <v>305008</v>
          </cell>
          <cell r="E6427" t="str">
            <v>Gayonga National High School</v>
          </cell>
          <cell r="F6427">
            <v>0</v>
          </cell>
          <cell r="G6427">
            <v>0</v>
          </cell>
          <cell r="H6427">
            <v>0</v>
          </cell>
          <cell r="I6427">
            <v>0</v>
          </cell>
          <cell r="J6427">
            <v>0</v>
          </cell>
          <cell r="K6427">
            <v>0</v>
          </cell>
          <cell r="L6427">
            <v>0</v>
          </cell>
          <cell r="M6427">
            <v>0</v>
          </cell>
          <cell r="N6427">
            <v>0</v>
          </cell>
          <cell r="O6427">
            <v>0</v>
          </cell>
          <cell r="P6427">
            <v>0</v>
          </cell>
          <cell r="Q6427">
            <v>0</v>
          </cell>
          <cell r="R6427">
            <v>0</v>
          </cell>
          <cell r="S6427">
            <v>0</v>
          </cell>
          <cell r="T6427">
            <v>0</v>
          </cell>
          <cell r="U6427">
            <v>0</v>
          </cell>
          <cell r="V6427">
            <v>0</v>
          </cell>
          <cell r="W6427">
            <v>0</v>
          </cell>
          <cell r="X6427">
            <v>0</v>
          </cell>
          <cell r="Y6427">
            <v>0</v>
          </cell>
          <cell r="Z6427">
            <v>0</v>
          </cell>
        </row>
        <row r="6428">
          <cell r="D6428">
            <v>326501</v>
          </cell>
          <cell r="E6428" t="str">
            <v>Sulon National High School</v>
          </cell>
          <cell r="F6428">
            <v>0</v>
          </cell>
          <cell r="G6428">
            <v>0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>
            <v>0</v>
          </cell>
          <cell r="M6428">
            <v>0</v>
          </cell>
          <cell r="N6428">
            <v>0</v>
          </cell>
          <cell r="O6428">
            <v>0</v>
          </cell>
          <cell r="P6428">
            <v>0</v>
          </cell>
          <cell r="Q6428">
            <v>0</v>
          </cell>
          <cell r="R6428">
            <v>0</v>
          </cell>
          <cell r="S6428">
            <v>0</v>
          </cell>
          <cell r="T6428">
            <v>0</v>
          </cell>
          <cell r="U6428">
            <v>0</v>
          </cell>
          <cell r="V6428">
            <v>0</v>
          </cell>
          <cell r="W6428">
            <v>0</v>
          </cell>
          <cell r="X6428">
            <v>0</v>
          </cell>
          <cell r="Y6428">
            <v>0</v>
          </cell>
          <cell r="Z6428">
            <v>0</v>
          </cell>
        </row>
        <row r="6429">
          <cell r="D6429">
            <v>304953</v>
          </cell>
          <cell r="E6429" t="str">
            <v>Sumisip NHS-Tumahubong Annex</v>
          </cell>
          <cell r="F6429">
            <v>0</v>
          </cell>
          <cell r="G6429">
            <v>0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0</v>
          </cell>
          <cell r="M6429">
            <v>0</v>
          </cell>
          <cell r="N6429">
            <v>0</v>
          </cell>
          <cell r="O6429">
            <v>0</v>
          </cell>
          <cell r="P6429">
            <v>0</v>
          </cell>
          <cell r="Q6429">
            <v>0</v>
          </cell>
          <cell r="R6429">
            <v>0</v>
          </cell>
          <cell r="S6429">
            <v>0</v>
          </cell>
          <cell r="T6429">
            <v>0</v>
          </cell>
          <cell r="U6429">
            <v>0</v>
          </cell>
          <cell r="V6429">
            <v>0</v>
          </cell>
          <cell r="W6429">
            <v>0</v>
          </cell>
          <cell r="X6429">
            <v>0</v>
          </cell>
          <cell r="Y6429">
            <v>0</v>
          </cell>
          <cell r="Z6429">
            <v>0</v>
          </cell>
        </row>
        <row r="6430">
          <cell r="D6430">
            <v>304949</v>
          </cell>
          <cell r="E6430" t="str">
            <v>Sinulatan NHS-Tuburan Annex</v>
          </cell>
          <cell r="F6430">
            <v>0</v>
          </cell>
          <cell r="G6430">
            <v>0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>
            <v>0</v>
          </cell>
          <cell r="M6430">
            <v>0</v>
          </cell>
          <cell r="N6430">
            <v>0</v>
          </cell>
          <cell r="O6430">
            <v>0</v>
          </cell>
          <cell r="P6430">
            <v>0</v>
          </cell>
          <cell r="Q6430">
            <v>0</v>
          </cell>
          <cell r="R6430">
            <v>0</v>
          </cell>
          <cell r="S6430">
            <v>0</v>
          </cell>
          <cell r="T6430">
            <v>0</v>
          </cell>
          <cell r="U6430">
            <v>0</v>
          </cell>
          <cell r="V6430">
            <v>0</v>
          </cell>
          <cell r="W6430">
            <v>0</v>
          </cell>
          <cell r="X6430">
            <v>0</v>
          </cell>
          <cell r="Y6430">
            <v>0</v>
          </cell>
          <cell r="Z6430">
            <v>0</v>
          </cell>
        </row>
        <row r="6431">
          <cell r="D6431">
            <v>304927</v>
          </cell>
          <cell r="E6431" t="str">
            <v>Atong-Atong NHS - Tairan Annex</v>
          </cell>
          <cell r="F6431">
            <v>0</v>
          </cell>
          <cell r="G6431">
            <v>0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0</v>
          </cell>
          <cell r="M6431">
            <v>0</v>
          </cell>
          <cell r="N6431">
            <v>0</v>
          </cell>
          <cell r="O6431">
            <v>0</v>
          </cell>
          <cell r="P6431">
            <v>0</v>
          </cell>
          <cell r="Q6431">
            <v>0</v>
          </cell>
          <cell r="R6431">
            <v>0</v>
          </cell>
          <cell r="S6431">
            <v>0</v>
          </cell>
          <cell r="T6431">
            <v>0</v>
          </cell>
          <cell r="U6431">
            <v>0</v>
          </cell>
          <cell r="V6431">
            <v>0</v>
          </cell>
          <cell r="W6431">
            <v>0</v>
          </cell>
          <cell r="X6431">
            <v>0</v>
          </cell>
          <cell r="Y6431">
            <v>0</v>
          </cell>
          <cell r="Z6431">
            <v>0</v>
          </cell>
        </row>
        <row r="6432">
          <cell r="D6432">
            <v>304936</v>
          </cell>
          <cell r="E6432" t="str">
            <v>Concepcion NHS</v>
          </cell>
          <cell r="F6432">
            <v>0</v>
          </cell>
          <cell r="G6432">
            <v>0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>
            <v>0</v>
          </cell>
          <cell r="M6432">
            <v>0</v>
          </cell>
          <cell r="N6432">
            <v>0</v>
          </cell>
          <cell r="O6432">
            <v>0</v>
          </cell>
          <cell r="P6432">
            <v>0</v>
          </cell>
          <cell r="Q6432">
            <v>0</v>
          </cell>
          <cell r="R6432">
            <v>0</v>
          </cell>
          <cell r="S6432">
            <v>0</v>
          </cell>
          <cell r="T6432">
            <v>0</v>
          </cell>
          <cell r="U6432">
            <v>0</v>
          </cell>
          <cell r="V6432">
            <v>0</v>
          </cell>
          <cell r="W6432">
            <v>0</v>
          </cell>
          <cell r="X6432">
            <v>0</v>
          </cell>
          <cell r="Y6432">
            <v>0</v>
          </cell>
          <cell r="Z6432">
            <v>0</v>
          </cell>
        </row>
        <row r="6433">
          <cell r="D6433">
            <v>304950</v>
          </cell>
          <cell r="E6433" t="str">
            <v>Sumisip Agro-Fisheries School</v>
          </cell>
          <cell r="F6433">
            <v>0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0</v>
          </cell>
          <cell r="M6433">
            <v>0</v>
          </cell>
          <cell r="N6433">
            <v>0</v>
          </cell>
          <cell r="O6433">
            <v>0</v>
          </cell>
          <cell r="P6433">
            <v>0</v>
          </cell>
          <cell r="Q6433">
            <v>0</v>
          </cell>
          <cell r="R6433">
            <v>0</v>
          </cell>
          <cell r="S6433">
            <v>0</v>
          </cell>
          <cell r="T6433">
            <v>0</v>
          </cell>
          <cell r="U6433">
            <v>0</v>
          </cell>
          <cell r="V6433">
            <v>0</v>
          </cell>
          <cell r="W6433">
            <v>0</v>
          </cell>
          <cell r="X6433">
            <v>0</v>
          </cell>
          <cell r="Y6433">
            <v>0</v>
          </cell>
          <cell r="Z6433">
            <v>0</v>
          </cell>
        </row>
        <row r="6434">
          <cell r="D6434">
            <v>304937</v>
          </cell>
          <cell r="E6434" t="str">
            <v>Jacinto Cuevas NHS</v>
          </cell>
          <cell r="F6434">
            <v>0</v>
          </cell>
          <cell r="G6434">
            <v>0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>
            <v>0</v>
          </cell>
          <cell r="M6434">
            <v>0</v>
          </cell>
          <cell r="N6434">
            <v>0</v>
          </cell>
          <cell r="O6434">
            <v>0</v>
          </cell>
          <cell r="P6434">
            <v>0</v>
          </cell>
          <cell r="Q6434">
            <v>0</v>
          </cell>
          <cell r="R6434">
            <v>0</v>
          </cell>
          <cell r="S6434">
            <v>0</v>
          </cell>
          <cell r="T6434">
            <v>0</v>
          </cell>
          <cell r="U6434">
            <v>0</v>
          </cell>
          <cell r="V6434">
            <v>0</v>
          </cell>
          <cell r="W6434">
            <v>0</v>
          </cell>
          <cell r="X6434">
            <v>0</v>
          </cell>
          <cell r="Y6434">
            <v>0</v>
          </cell>
          <cell r="Z6434">
            <v>0</v>
          </cell>
        </row>
        <row r="6435">
          <cell r="D6435">
            <v>304947</v>
          </cell>
          <cell r="E6435" t="str">
            <v>Sinangkapan NHS</v>
          </cell>
          <cell r="F6435">
            <v>0</v>
          </cell>
          <cell r="G6435">
            <v>0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>
            <v>0</v>
          </cell>
          <cell r="M6435">
            <v>0</v>
          </cell>
          <cell r="N6435">
            <v>0</v>
          </cell>
          <cell r="O6435">
            <v>0</v>
          </cell>
          <cell r="P6435">
            <v>0</v>
          </cell>
          <cell r="Q6435">
            <v>0</v>
          </cell>
          <cell r="R6435">
            <v>0</v>
          </cell>
          <cell r="S6435">
            <v>0</v>
          </cell>
          <cell r="T6435">
            <v>0</v>
          </cell>
          <cell r="U6435">
            <v>0</v>
          </cell>
          <cell r="V6435">
            <v>0</v>
          </cell>
          <cell r="W6435">
            <v>0</v>
          </cell>
          <cell r="X6435">
            <v>0</v>
          </cell>
          <cell r="Y6435">
            <v>0</v>
          </cell>
          <cell r="Z6435">
            <v>0</v>
          </cell>
        </row>
        <row r="6436">
          <cell r="D6436">
            <v>304941</v>
          </cell>
          <cell r="E6436" t="str">
            <v>Lubukan NHS</v>
          </cell>
          <cell r="F6436">
            <v>0</v>
          </cell>
          <cell r="G6436">
            <v>0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0</v>
          </cell>
          <cell r="M6436">
            <v>0</v>
          </cell>
          <cell r="N6436">
            <v>0</v>
          </cell>
          <cell r="O6436">
            <v>0</v>
          </cell>
          <cell r="P6436">
            <v>0</v>
          </cell>
          <cell r="Q6436">
            <v>0</v>
          </cell>
          <cell r="R6436">
            <v>0</v>
          </cell>
          <cell r="S6436">
            <v>0</v>
          </cell>
          <cell r="T6436">
            <v>0</v>
          </cell>
          <cell r="U6436">
            <v>0</v>
          </cell>
          <cell r="V6436">
            <v>0</v>
          </cell>
          <cell r="W6436">
            <v>0</v>
          </cell>
          <cell r="X6436">
            <v>0</v>
          </cell>
          <cell r="Y6436">
            <v>0</v>
          </cell>
          <cell r="Z6436">
            <v>0</v>
          </cell>
        </row>
        <row r="6437">
          <cell r="D6437">
            <v>318004</v>
          </cell>
          <cell r="E6437" t="str">
            <v>Upper Bato-Bato National High School</v>
          </cell>
          <cell r="F6437">
            <v>0</v>
          </cell>
          <cell r="G6437">
            <v>0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>
            <v>0</v>
          </cell>
          <cell r="M6437">
            <v>0</v>
          </cell>
          <cell r="N6437">
            <v>0</v>
          </cell>
          <cell r="O6437">
            <v>0</v>
          </cell>
          <cell r="P6437">
            <v>0</v>
          </cell>
          <cell r="Q6437">
            <v>0</v>
          </cell>
          <cell r="R6437">
            <v>0</v>
          </cell>
          <cell r="S6437">
            <v>0</v>
          </cell>
          <cell r="T6437">
            <v>0</v>
          </cell>
          <cell r="U6437">
            <v>0</v>
          </cell>
          <cell r="V6437">
            <v>0</v>
          </cell>
          <cell r="W6437">
            <v>0</v>
          </cell>
          <cell r="X6437">
            <v>0</v>
          </cell>
          <cell r="Y6437">
            <v>0</v>
          </cell>
          <cell r="Z6437">
            <v>0</v>
          </cell>
        </row>
        <row r="6438">
          <cell r="D6438">
            <v>304934</v>
          </cell>
          <cell r="E6438" t="str">
            <v>Bubuan NHS-Saluping Annex</v>
          </cell>
          <cell r="F6438">
            <v>0</v>
          </cell>
          <cell r="G6438">
            <v>0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>
            <v>0</v>
          </cell>
          <cell r="M6438">
            <v>0</v>
          </cell>
          <cell r="N6438">
            <v>0</v>
          </cell>
          <cell r="O6438">
            <v>0</v>
          </cell>
          <cell r="P6438">
            <v>0</v>
          </cell>
          <cell r="Q6438">
            <v>0</v>
          </cell>
          <cell r="R6438">
            <v>0</v>
          </cell>
          <cell r="S6438">
            <v>0</v>
          </cell>
          <cell r="T6438">
            <v>0</v>
          </cell>
          <cell r="U6438">
            <v>0</v>
          </cell>
          <cell r="V6438">
            <v>0</v>
          </cell>
          <cell r="W6438">
            <v>0</v>
          </cell>
          <cell r="X6438">
            <v>0</v>
          </cell>
          <cell r="Y6438">
            <v>0</v>
          </cell>
          <cell r="Z6438">
            <v>0</v>
          </cell>
        </row>
        <row r="6439">
          <cell r="D6439">
            <v>304948</v>
          </cell>
          <cell r="E6439" t="str">
            <v>Sinulatan NHS</v>
          </cell>
          <cell r="F6439">
            <v>0</v>
          </cell>
          <cell r="G6439">
            <v>0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>
            <v>0</v>
          </cell>
          <cell r="M6439">
            <v>0</v>
          </cell>
          <cell r="N6439">
            <v>0</v>
          </cell>
          <cell r="O6439">
            <v>0</v>
          </cell>
          <cell r="P6439">
            <v>0</v>
          </cell>
          <cell r="Q6439">
            <v>0</v>
          </cell>
          <cell r="R6439">
            <v>0</v>
          </cell>
          <cell r="S6439">
            <v>0</v>
          </cell>
          <cell r="T6439">
            <v>0</v>
          </cell>
          <cell r="U6439">
            <v>0</v>
          </cell>
          <cell r="V6439">
            <v>0</v>
          </cell>
          <cell r="W6439">
            <v>0</v>
          </cell>
          <cell r="X6439">
            <v>0</v>
          </cell>
          <cell r="Y6439">
            <v>0</v>
          </cell>
          <cell r="Z6439">
            <v>0</v>
          </cell>
        </row>
        <row r="6440">
          <cell r="D6440">
            <v>304954</v>
          </cell>
          <cell r="E6440" t="str">
            <v>Tipo-Tipo NHS</v>
          </cell>
          <cell r="F6440">
            <v>0</v>
          </cell>
          <cell r="G6440">
            <v>0</v>
          </cell>
          <cell r="H6440">
            <v>0</v>
          </cell>
          <cell r="I6440">
            <v>0</v>
          </cell>
          <cell r="J6440">
            <v>0</v>
          </cell>
          <cell r="K6440">
            <v>0</v>
          </cell>
          <cell r="L6440">
            <v>0</v>
          </cell>
          <cell r="M6440">
            <v>0</v>
          </cell>
          <cell r="N6440">
            <v>0</v>
          </cell>
          <cell r="O6440">
            <v>0</v>
          </cell>
          <cell r="P6440">
            <v>0</v>
          </cell>
          <cell r="Q6440">
            <v>0</v>
          </cell>
          <cell r="R6440">
            <v>0</v>
          </cell>
          <cell r="S6440">
            <v>0</v>
          </cell>
          <cell r="T6440">
            <v>0</v>
          </cell>
          <cell r="U6440">
            <v>0</v>
          </cell>
          <cell r="V6440">
            <v>0</v>
          </cell>
          <cell r="W6440">
            <v>0</v>
          </cell>
          <cell r="X6440">
            <v>0</v>
          </cell>
          <cell r="Y6440">
            <v>0</v>
          </cell>
          <cell r="Z6440">
            <v>0</v>
          </cell>
        </row>
        <row r="6441">
          <cell r="D6441">
            <v>318003</v>
          </cell>
          <cell r="E6441" t="str">
            <v>Buton NHS</v>
          </cell>
          <cell r="F6441">
            <v>0</v>
          </cell>
          <cell r="G6441">
            <v>0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>
            <v>0</v>
          </cell>
          <cell r="M6441">
            <v>0</v>
          </cell>
          <cell r="N6441">
            <v>0</v>
          </cell>
          <cell r="O6441">
            <v>0</v>
          </cell>
          <cell r="P6441">
            <v>0</v>
          </cell>
          <cell r="Q6441">
            <v>0</v>
          </cell>
          <cell r="R6441">
            <v>0</v>
          </cell>
          <cell r="S6441">
            <v>0</v>
          </cell>
          <cell r="T6441">
            <v>0</v>
          </cell>
          <cell r="U6441">
            <v>0</v>
          </cell>
          <cell r="V6441">
            <v>0</v>
          </cell>
          <cell r="W6441">
            <v>0</v>
          </cell>
          <cell r="X6441">
            <v>0</v>
          </cell>
          <cell r="Y6441">
            <v>0</v>
          </cell>
          <cell r="Z6441">
            <v>0</v>
          </cell>
        </row>
        <row r="6442">
          <cell r="D6442">
            <v>304926</v>
          </cell>
          <cell r="E6442" t="str">
            <v>Atong-Atong NHS</v>
          </cell>
          <cell r="F6442">
            <v>0</v>
          </cell>
          <cell r="G6442">
            <v>0</v>
          </cell>
          <cell r="H6442">
            <v>0</v>
          </cell>
          <cell r="I6442">
            <v>0</v>
          </cell>
          <cell r="J6442">
            <v>0</v>
          </cell>
          <cell r="K6442">
            <v>0</v>
          </cell>
          <cell r="L6442">
            <v>0</v>
          </cell>
          <cell r="M6442">
            <v>0</v>
          </cell>
          <cell r="N6442">
            <v>0</v>
          </cell>
          <cell r="O6442">
            <v>0</v>
          </cell>
          <cell r="P6442">
            <v>0</v>
          </cell>
          <cell r="Q6442">
            <v>0</v>
          </cell>
          <cell r="R6442">
            <v>0</v>
          </cell>
          <cell r="S6442">
            <v>0</v>
          </cell>
          <cell r="T6442">
            <v>0</v>
          </cell>
          <cell r="U6442">
            <v>0</v>
          </cell>
          <cell r="V6442">
            <v>0</v>
          </cell>
          <cell r="W6442">
            <v>0</v>
          </cell>
          <cell r="X6442">
            <v>0</v>
          </cell>
          <cell r="Y6442">
            <v>0</v>
          </cell>
          <cell r="Z6442">
            <v>0</v>
          </cell>
        </row>
        <row r="6443">
          <cell r="D6443">
            <v>304943</v>
          </cell>
          <cell r="E6443" t="str">
            <v>Maluso NHS</v>
          </cell>
          <cell r="F6443">
            <v>0</v>
          </cell>
          <cell r="G6443">
            <v>0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>
            <v>0</v>
          </cell>
          <cell r="M6443">
            <v>0</v>
          </cell>
          <cell r="N6443">
            <v>0</v>
          </cell>
          <cell r="O6443">
            <v>0</v>
          </cell>
          <cell r="P6443">
            <v>0</v>
          </cell>
          <cell r="Q6443">
            <v>0</v>
          </cell>
          <cell r="R6443">
            <v>0</v>
          </cell>
          <cell r="S6443">
            <v>0</v>
          </cell>
          <cell r="T6443">
            <v>0</v>
          </cell>
          <cell r="U6443">
            <v>0</v>
          </cell>
          <cell r="V6443">
            <v>0</v>
          </cell>
          <cell r="W6443">
            <v>0</v>
          </cell>
          <cell r="X6443">
            <v>0</v>
          </cell>
          <cell r="Y6443">
            <v>0</v>
          </cell>
          <cell r="Z6443">
            <v>0</v>
          </cell>
        </row>
        <row r="6444">
          <cell r="D6444">
            <v>304952</v>
          </cell>
          <cell r="E6444" t="str">
            <v>Sumisip NHS-Manggal Annex</v>
          </cell>
          <cell r="F6444">
            <v>0</v>
          </cell>
          <cell r="G6444">
            <v>0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>
            <v>0</v>
          </cell>
          <cell r="M6444">
            <v>0</v>
          </cell>
          <cell r="N6444">
            <v>0</v>
          </cell>
          <cell r="O6444">
            <v>0</v>
          </cell>
          <cell r="P6444">
            <v>0</v>
          </cell>
          <cell r="Q6444">
            <v>0</v>
          </cell>
          <cell r="R6444">
            <v>0</v>
          </cell>
          <cell r="S6444">
            <v>0</v>
          </cell>
          <cell r="T6444">
            <v>0</v>
          </cell>
          <cell r="U6444">
            <v>0</v>
          </cell>
          <cell r="V6444">
            <v>0</v>
          </cell>
          <cell r="W6444">
            <v>0</v>
          </cell>
          <cell r="X6444">
            <v>0</v>
          </cell>
          <cell r="Y6444">
            <v>0</v>
          </cell>
          <cell r="Z6444">
            <v>0</v>
          </cell>
        </row>
        <row r="6445">
          <cell r="D6445">
            <v>304976</v>
          </cell>
          <cell r="E6445" t="str">
            <v>Sampal MNHS</v>
          </cell>
          <cell r="F6445">
            <v>70</v>
          </cell>
          <cell r="G6445">
            <v>0</v>
          </cell>
          <cell r="H6445">
            <v>70</v>
          </cell>
          <cell r="I6445">
            <v>24</v>
          </cell>
          <cell r="J6445">
            <v>0</v>
          </cell>
          <cell r="K6445">
            <v>24</v>
          </cell>
          <cell r="L6445">
            <v>30</v>
          </cell>
          <cell r="M6445">
            <v>0</v>
          </cell>
          <cell r="N6445">
            <v>30</v>
          </cell>
          <cell r="O6445">
            <v>30</v>
          </cell>
          <cell r="P6445">
            <v>0</v>
          </cell>
          <cell r="Q6445">
            <v>30</v>
          </cell>
          <cell r="R6445">
            <v>30</v>
          </cell>
          <cell r="S6445">
            <v>0</v>
          </cell>
          <cell r="T6445">
            <v>30</v>
          </cell>
          <cell r="U6445">
            <v>20</v>
          </cell>
          <cell r="V6445">
            <v>0</v>
          </cell>
          <cell r="W6445">
            <v>20</v>
          </cell>
          <cell r="X6445">
            <v>15</v>
          </cell>
          <cell r="Y6445">
            <v>0</v>
          </cell>
          <cell r="Z6445">
            <v>15</v>
          </cell>
        </row>
        <row r="6446">
          <cell r="D6446">
            <v>304955</v>
          </cell>
          <cell r="E6446" t="str">
            <v>Acoon Memorial National High School</v>
          </cell>
          <cell r="F6446">
            <v>0</v>
          </cell>
          <cell r="G6446">
            <v>0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0</v>
          </cell>
          <cell r="M6446">
            <v>0</v>
          </cell>
          <cell r="N6446">
            <v>0</v>
          </cell>
          <cell r="O6446">
            <v>0</v>
          </cell>
          <cell r="P6446">
            <v>0</v>
          </cell>
          <cell r="Q6446">
            <v>0</v>
          </cell>
          <cell r="R6446">
            <v>0</v>
          </cell>
          <cell r="S6446">
            <v>0</v>
          </cell>
          <cell r="T6446">
            <v>0</v>
          </cell>
          <cell r="U6446">
            <v>0</v>
          </cell>
          <cell r="V6446">
            <v>0</v>
          </cell>
          <cell r="W6446">
            <v>0</v>
          </cell>
          <cell r="X6446">
            <v>0</v>
          </cell>
          <cell r="Y6446">
            <v>0</v>
          </cell>
          <cell r="Z6446">
            <v>0</v>
          </cell>
        </row>
        <row r="6447">
          <cell r="D6447">
            <v>304962</v>
          </cell>
          <cell r="E6447" t="str">
            <v>Amai Manabilang Memorial NHS</v>
          </cell>
          <cell r="F6447">
            <v>0</v>
          </cell>
          <cell r="G6447">
            <v>0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0</v>
          </cell>
          <cell r="M6447">
            <v>0</v>
          </cell>
          <cell r="N6447">
            <v>0</v>
          </cell>
          <cell r="O6447">
            <v>0</v>
          </cell>
          <cell r="P6447">
            <v>0</v>
          </cell>
          <cell r="Q6447">
            <v>0</v>
          </cell>
          <cell r="R6447">
            <v>0</v>
          </cell>
          <cell r="S6447">
            <v>0</v>
          </cell>
          <cell r="T6447">
            <v>0</v>
          </cell>
          <cell r="U6447">
            <v>0</v>
          </cell>
          <cell r="V6447">
            <v>0</v>
          </cell>
          <cell r="W6447">
            <v>0</v>
          </cell>
          <cell r="X6447">
            <v>0</v>
          </cell>
          <cell r="Y6447">
            <v>0</v>
          </cell>
          <cell r="Z6447">
            <v>0</v>
          </cell>
        </row>
        <row r="6448">
          <cell r="D6448">
            <v>318104</v>
          </cell>
          <cell r="E6448" t="str">
            <v>Sultan Alimoddin MNHS</v>
          </cell>
          <cell r="F6448">
            <v>0</v>
          </cell>
          <cell r="G6448">
            <v>0</v>
          </cell>
          <cell r="H6448">
            <v>0</v>
          </cell>
          <cell r="I6448">
            <v>0</v>
          </cell>
          <cell r="J6448">
            <v>0</v>
          </cell>
          <cell r="K6448">
            <v>0</v>
          </cell>
          <cell r="L6448">
            <v>0</v>
          </cell>
          <cell r="M6448">
            <v>0</v>
          </cell>
          <cell r="N6448">
            <v>0</v>
          </cell>
          <cell r="O6448">
            <v>0</v>
          </cell>
          <cell r="P6448">
            <v>0</v>
          </cell>
          <cell r="Q6448">
            <v>0</v>
          </cell>
          <cell r="R6448">
            <v>0</v>
          </cell>
          <cell r="S6448">
            <v>0</v>
          </cell>
          <cell r="T6448">
            <v>0</v>
          </cell>
          <cell r="U6448">
            <v>0</v>
          </cell>
          <cell r="V6448">
            <v>0</v>
          </cell>
          <cell r="W6448">
            <v>0</v>
          </cell>
          <cell r="X6448">
            <v>0</v>
          </cell>
          <cell r="Y6448">
            <v>0</v>
          </cell>
          <cell r="Z6448">
            <v>0</v>
          </cell>
        </row>
        <row r="6449">
          <cell r="D6449">
            <v>304963</v>
          </cell>
          <cell r="E6449" t="str">
            <v>Datu Calaca MNCHS</v>
          </cell>
          <cell r="F6449">
            <v>0</v>
          </cell>
          <cell r="G6449">
            <v>0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0</v>
          </cell>
          <cell r="M6449">
            <v>0</v>
          </cell>
          <cell r="N6449">
            <v>0</v>
          </cell>
          <cell r="O6449">
            <v>0</v>
          </cell>
          <cell r="P6449">
            <v>0</v>
          </cell>
          <cell r="Q6449">
            <v>0</v>
          </cell>
          <cell r="R6449">
            <v>0</v>
          </cell>
          <cell r="S6449">
            <v>0</v>
          </cell>
          <cell r="T6449">
            <v>0</v>
          </cell>
          <cell r="U6449">
            <v>0</v>
          </cell>
          <cell r="V6449">
            <v>0</v>
          </cell>
          <cell r="W6449">
            <v>0</v>
          </cell>
          <cell r="X6449">
            <v>0</v>
          </cell>
          <cell r="Y6449">
            <v>0</v>
          </cell>
          <cell r="Z6449">
            <v>0</v>
          </cell>
        </row>
        <row r="6450">
          <cell r="D6450">
            <v>304973</v>
          </cell>
          <cell r="E6450" t="str">
            <v>Piagapo NHS</v>
          </cell>
          <cell r="F6450">
            <v>22</v>
          </cell>
          <cell r="G6450">
            <v>35</v>
          </cell>
          <cell r="H6450">
            <v>57</v>
          </cell>
          <cell r="I6450">
            <v>5</v>
          </cell>
          <cell r="J6450">
            <v>3</v>
          </cell>
          <cell r="K6450">
            <v>8</v>
          </cell>
          <cell r="L6450">
            <v>0</v>
          </cell>
          <cell r="M6450">
            <v>0</v>
          </cell>
          <cell r="N6450">
            <v>0</v>
          </cell>
          <cell r="O6450">
            <v>0</v>
          </cell>
          <cell r="P6450">
            <v>0</v>
          </cell>
          <cell r="Q6450">
            <v>0</v>
          </cell>
          <cell r="R6450">
            <v>0</v>
          </cell>
          <cell r="S6450">
            <v>0</v>
          </cell>
          <cell r="T6450">
            <v>0</v>
          </cell>
          <cell r="U6450">
            <v>2</v>
          </cell>
          <cell r="V6450">
            <v>4</v>
          </cell>
          <cell r="W6450">
            <v>6</v>
          </cell>
          <cell r="X6450">
            <v>0</v>
          </cell>
          <cell r="Y6450">
            <v>0</v>
          </cell>
          <cell r="Z6450">
            <v>0</v>
          </cell>
        </row>
        <row r="6451">
          <cell r="D6451">
            <v>304965</v>
          </cell>
          <cell r="E6451" t="str">
            <v>Datu Palawan Disomimba MNHS</v>
          </cell>
          <cell r="F6451">
            <v>298</v>
          </cell>
          <cell r="G6451">
            <v>432</v>
          </cell>
          <cell r="H6451">
            <v>730</v>
          </cell>
          <cell r="I6451">
            <v>89</v>
          </cell>
          <cell r="J6451">
            <v>130</v>
          </cell>
          <cell r="K6451">
            <v>219</v>
          </cell>
          <cell r="L6451">
            <v>89</v>
          </cell>
          <cell r="M6451">
            <v>130</v>
          </cell>
          <cell r="N6451">
            <v>219</v>
          </cell>
          <cell r="O6451">
            <v>0</v>
          </cell>
          <cell r="P6451">
            <v>0</v>
          </cell>
          <cell r="Q6451">
            <v>0</v>
          </cell>
          <cell r="R6451">
            <v>0</v>
          </cell>
          <cell r="S6451">
            <v>0</v>
          </cell>
          <cell r="T6451">
            <v>0</v>
          </cell>
          <cell r="U6451">
            <v>0</v>
          </cell>
          <cell r="V6451">
            <v>0</v>
          </cell>
          <cell r="W6451">
            <v>0</v>
          </cell>
          <cell r="X6451">
            <v>0</v>
          </cell>
          <cell r="Y6451">
            <v>0</v>
          </cell>
          <cell r="Z6451">
            <v>0</v>
          </cell>
        </row>
        <row r="6452">
          <cell r="D6452">
            <v>318130</v>
          </cell>
          <cell r="E6452" t="str">
            <v>Panang NHS</v>
          </cell>
          <cell r="F6452">
            <v>24</v>
          </cell>
          <cell r="G6452">
            <v>16</v>
          </cell>
          <cell r="H6452">
            <v>40</v>
          </cell>
          <cell r="I6452">
            <v>15</v>
          </cell>
          <cell r="J6452">
            <v>8</v>
          </cell>
          <cell r="K6452">
            <v>23</v>
          </cell>
          <cell r="L6452">
            <v>28</v>
          </cell>
          <cell r="M6452">
            <v>18</v>
          </cell>
          <cell r="N6452">
            <v>46</v>
          </cell>
          <cell r="O6452">
            <v>4</v>
          </cell>
          <cell r="P6452">
            <v>4</v>
          </cell>
          <cell r="Q6452">
            <v>8</v>
          </cell>
          <cell r="R6452">
            <v>15</v>
          </cell>
          <cell r="S6452">
            <v>16</v>
          </cell>
          <cell r="T6452">
            <v>31</v>
          </cell>
          <cell r="U6452">
            <v>0</v>
          </cell>
          <cell r="V6452">
            <v>0</v>
          </cell>
          <cell r="W6452">
            <v>0</v>
          </cell>
          <cell r="X6452">
            <v>0</v>
          </cell>
          <cell r="Y6452">
            <v>0</v>
          </cell>
          <cell r="Z6452">
            <v>0</v>
          </cell>
        </row>
        <row r="6453">
          <cell r="D6453">
            <v>318108</v>
          </cell>
          <cell r="E6453" t="str">
            <v>Sitty Amanie Moh. Kiram NHS</v>
          </cell>
          <cell r="F6453">
            <v>0</v>
          </cell>
          <cell r="G6453">
            <v>0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0</v>
          </cell>
          <cell r="M6453">
            <v>0</v>
          </cell>
          <cell r="N6453">
            <v>0</v>
          </cell>
          <cell r="O6453">
            <v>0</v>
          </cell>
          <cell r="P6453">
            <v>0</v>
          </cell>
          <cell r="Q6453">
            <v>0</v>
          </cell>
          <cell r="R6453">
            <v>0</v>
          </cell>
          <cell r="S6453">
            <v>0</v>
          </cell>
          <cell r="T6453">
            <v>0</v>
          </cell>
          <cell r="U6453">
            <v>0</v>
          </cell>
          <cell r="V6453">
            <v>0</v>
          </cell>
          <cell r="W6453">
            <v>0</v>
          </cell>
          <cell r="X6453">
            <v>0</v>
          </cell>
          <cell r="Y6453">
            <v>0</v>
          </cell>
          <cell r="Z6453">
            <v>0</v>
          </cell>
        </row>
        <row r="6454">
          <cell r="D6454">
            <v>318109</v>
          </cell>
          <cell r="E6454" t="str">
            <v>Ansano Memorial NHS</v>
          </cell>
          <cell r="F6454">
            <v>0</v>
          </cell>
          <cell r="G6454">
            <v>0</v>
          </cell>
          <cell r="H6454">
            <v>0</v>
          </cell>
          <cell r="I6454">
            <v>0</v>
          </cell>
          <cell r="J6454">
            <v>0</v>
          </cell>
          <cell r="K6454">
            <v>0</v>
          </cell>
          <cell r="L6454">
            <v>0</v>
          </cell>
          <cell r="M6454">
            <v>0</v>
          </cell>
          <cell r="N6454">
            <v>0</v>
          </cell>
          <cell r="O6454">
            <v>0</v>
          </cell>
          <cell r="P6454">
            <v>0</v>
          </cell>
          <cell r="Q6454">
            <v>0</v>
          </cell>
          <cell r="R6454">
            <v>0</v>
          </cell>
          <cell r="S6454">
            <v>0</v>
          </cell>
          <cell r="T6454">
            <v>0</v>
          </cell>
          <cell r="U6454">
            <v>0</v>
          </cell>
          <cell r="V6454">
            <v>0</v>
          </cell>
          <cell r="W6454">
            <v>0</v>
          </cell>
          <cell r="X6454">
            <v>0</v>
          </cell>
          <cell r="Y6454">
            <v>0</v>
          </cell>
          <cell r="Z6454">
            <v>0</v>
          </cell>
        </row>
        <row r="6455">
          <cell r="D6455">
            <v>318113</v>
          </cell>
          <cell r="E6455" t="str">
            <v>Macatanong Memorial NHS</v>
          </cell>
          <cell r="F6455">
            <v>0</v>
          </cell>
          <cell r="G6455">
            <v>0</v>
          </cell>
          <cell r="H6455">
            <v>0</v>
          </cell>
          <cell r="I6455">
            <v>0</v>
          </cell>
          <cell r="J6455">
            <v>0</v>
          </cell>
          <cell r="K6455">
            <v>0</v>
          </cell>
          <cell r="L6455">
            <v>0</v>
          </cell>
          <cell r="M6455">
            <v>0</v>
          </cell>
          <cell r="N6455">
            <v>0</v>
          </cell>
          <cell r="O6455">
            <v>0</v>
          </cell>
          <cell r="P6455">
            <v>0</v>
          </cell>
          <cell r="Q6455">
            <v>0</v>
          </cell>
          <cell r="R6455">
            <v>0</v>
          </cell>
          <cell r="S6455">
            <v>0</v>
          </cell>
          <cell r="T6455">
            <v>0</v>
          </cell>
          <cell r="U6455">
            <v>0</v>
          </cell>
          <cell r="V6455">
            <v>0</v>
          </cell>
          <cell r="W6455">
            <v>0</v>
          </cell>
          <cell r="X6455">
            <v>0</v>
          </cell>
          <cell r="Y6455">
            <v>0</v>
          </cell>
          <cell r="Z6455">
            <v>0</v>
          </cell>
        </row>
        <row r="6456">
          <cell r="D6456">
            <v>324601</v>
          </cell>
          <cell r="E6456" t="str">
            <v>Datu Mamintal Adiong Sr. Mem. NHS</v>
          </cell>
          <cell r="F6456">
            <v>0</v>
          </cell>
          <cell r="G6456">
            <v>0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>
            <v>0</v>
          </cell>
          <cell r="M6456">
            <v>0</v>
          </cell>
          <cell r="N6456">
            <v>0</v>
          </cell>
          <cell r="O6456">
            <v>0</v>
          </cell>
          <cell r="P6456">
            <v>0</v>
          </cell>
          <cell r="Q6456">
            <v>0</v>
          </cell>
          <cell r="R6456">
            <v>0</v>
          </cell>
          <cell r="S6456">
            <v>0</v>
          </cell>
          <cell r="T6456">
            <v>0</v>
          </cell>
          <cell r="U6456">
            <v>0</v>
          </cell>
          <cell r="V6456">
            <v>0</v>
          </cell>
          <cell r="W6456">
            <v>0</v>
          </cell>
          <cell r="X6456">
            <v>0</v>
          </cell>
          <cell r="Y6456">
            <v>0</v>
          </cell>
          <cell r="Z6456">
            <v>0</v>
          </cell>
        </row>
        <row r="6457">
          <cell r="D6457">
            <v>304970</v>
          </cell>
          <cell r="E6457" t="str">
            <v>Kakai Dayagun Dagalangit NHS</v>
          </cell>
          <cell r="F6457">
            <v>0</v>
          </cell>
          <cell r="G6457">
            <v>0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>
            <v>0</v>
          </cell>
          <cell r="M6457">
            <v>0</v>
          </cell>
          <cell r="N6457">
            <v>0</v>
          </cell>
          <cell r="O6457">
            <v>0</v>
          </cell>
          <cell r="P6457">
            <v>0</v>
          </cell>
          <cell r="Q6457">
            <v>0</v>
          </cell>
          <cell r="R6457">
            <v>0</v>
          </cell>
          <cell r="S6457">
            <v>0</v>
          </cell>
          <cell r="T6457">
            <v>0</v>
          </cell>
          <cell r="U6457">
            <v>0</v>
          </cell>
          <cell r="V6457">
            <v>0</v>
          </cell>
          <cell r="W6457">
            <v>0</v>
          </cell>
          <cell r="X6457">
            <v>0</v>
          </cell>
          <cell r="Y6457">
            <v>0</v>
          </cell>
          <cell r="Z6457">
            <v>0</v>
          </cell>
        </row>
        <row r="6458">
          <cell r="D6458">
            <v>304972</v>
          </cell>
          <cell r="E6458" t="str">
            <v>Pagalongan NHS</v>
          </cell>
          <cell r="F6458">
            <v>0</v>
          </cell>
          <cell r="G6458">
            <v>0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>
            <v>0</v>
          </cell>
          <cell r="M6458">
            <v>0</v>
          </cell>
          <cell r="N6458">
            <v>0</v>
          </cell>
          <cell r="O6458">
            <v>0</v>
          </cell>
          <cell r="P6458">
            <v>0</v>
          </cell>
          <cell r="Q6458">
            <v>0</v>
          </cell>
          <cell r="R6458">
            <v>0</v>
          </cell>
          <cell r="S6458">
            <v>0</v>
          </cell>
          <cell r="T6458">
            <v>0</v>
          </cell>
          <cell r="U6458">
            <v>0</v>
          </cell>
          <cell r="V6458">
            <v>0</v>
          </cell>
          <cell r="W6458">
            <v>0</v>
          </cell>
          <cell r="X6458">
            <v>0</v>
          </cell>
          <cell r="Y6458">
            <v>0</v>
          </cell>
          <cell r="Z6458">
            <v>0</v>
          </cell>
        </row>
        <row r="6459">
          <cell r="D6459">
            <v>318132</v>
          </cell>
          <cell r="E6459" t="str">
            <v>Milaya Saripada NHS</v>
          </cell>
          <cell r="F6459">
            <v>0</v>
          </cell>
          <cell r="G6459">
            <v>0</v>
          </cell>
          <cell r="H6459">
            <v>0</v>
          </cell>
          <cell r="I6459">
            <v>0</v>
          </cell>
          <cell r="J6459">
            <v>0</v>
          </cell>
          <cell r="K6459">
            <v>0</v>
          </cell>
          <cell r="L6459">
            <v>0</v>
          </cell>
          <cell r="M6459">
            <v>0</v>
          </cell>
          <cell r="N6459">
            <v>0</v>
          </cell>
          <cell r="O6459">
            <v>0</v>
          </cell>
          <cell r="P6459">
            <v>0</v>
          </cell>
          <cell r="Q6459">
            <v>0</v>
          </cell>
          <cell r="R6459">
            <v>0</v>
          </cell>
          <cell r="S6459">
            <v>0</v>
          </cell>
          <cell r="T6459">
            <v>0</v>
          </cell>
          <cell r="U6459">
            <v>0</v>
          </cell>
          <cell r="V6459">
            <v>0</v>
          </cell>
          <cell r="W6459">
            <v>0</v>
          </cell>
          <cell r="X6459">
            <v>0</v>
          </cell>
          <cell r="Y6459">
            <v>0</v>
          </cell>
          <cell r="Z6459">
            <v>0</v>
          </cell>
        </row>
        <row r="6460">
          <cell r="D6460">
            <v>318107</v>
          </cell>
          <cell r="E6460" t="str">
            <v>Masiricampo Abantas Memorial NHS</v>
          </cell>
          <cell r="F6460">
            <v>0</v>
          </cell>
          <cell r="G6460">
            <v>0</v>
          </cell>
          <cell r="H6460">
            <v>0</v>
          </cell>
          <cell r="I6460">
            <v>0</v>
          </cell>
          <cell r="J6460">
            <v>0</v>
          </cell>
          <cell r="K6460">
            <v>0</v>
          </cell>
          <cell r="L6460">
            <v>0</v>
          </cell>
          <cell r="M6460">
            <v>0</v>
          </cell>
          <cell r="N6460">
            <v>0</v>
          </cell>
          <cell r="O6460">
            <v>0</v>
          </cell>
          <cell r="P6460">
            <v>0</v>
          </cell>
          <cell r="Q6460">
            <v>0</v>
          </cell>
          <cell r="R6460">
            <v>0</v>
          </cell>
          <cell r="S6460">
            <v>0</v>
          </cell>
          <cell r="T6460">
            <v>0</v>
          </cell>
          <cell r="U6460">
            <v>0</v>
          </cell>
          <cell r="V6460">
            <v>0</v>
          </cell>
          <cell r="W6460">
            <v>0</v>
          </cell>
          <cell r="X6460">
            <v>0</v>
          </cell>
          <cell r="Y6460">
            <v>0</v>
          </cell>
          <cell r="Z6460">
            <v>0</v>
          </cell>
        </row>
        <row r="6461">
          <cell r="D6461">
            <v>304974</v>
          </cell>
          <cell r="E6461" t="str">
            <v>Pooni-Lomabao MNHS</v>
          </cell>
          <cell r="F6461">
            <v>115</v>
          </cell>
          <cell r="G6461">
            <v>75</v>
          </cell>
          <cell r="H6461">
            <v>190</v>
          </cell>
          <cell r="I6461">
            <v>2</v>
          </cell>
          <cell r="J6461">
            <v>5</v>
          </cell>
          <cell r="K6461">
            <v>7</v>
          </cell>
          <cell r="L6461">
            <v>3</v>
          </cell>
          <cell r="M6461">
            <v>4</v>
          </cell>
          <cell r="N6461">
            <v>7</v>
          </cell>
          <cell r="O6461">
            <v>0</v>
          </cell>
          <cell r="P6461">
            <v>0</v>
          </cell>
          <cell r="Q6461">
            <v>0</v>
          </cell>
          <cell r="R6461">
            <v>0</v>
          </cell>
          <cell r="S6461">
            <v>0</v>
          </cell>
          <cell r="T6461">
            <v>0</v>
          </cell>
          <cell r="U6461">
            <v>0</v>
          </cell>
          <cell r="V6461">
            <v>0</v>
          </cell>
          <cell r="W6461">
            <v>0</v>
          </cell>
          <cell r="X6461">
            <v>0</v>
          </cell>
          <cell r="Y6461">
            <v>0</v>
          </cell>
          <cell r="Z6461">
            <v>0</v>
          </cell>
        </row>
        <row r="6462">
          <cell r="D6462">
            <v>304968</v>
          </cell>
          <cell r="E6462" t="str">
            <v>Mangurun Memorial NHS</v>
          </cell>
          <cell r="F6462">
            <v>0</v>
          </cell>
          <cell r="G6462">
            <v>0</v>
          </cell>
          <cell r="H6462">
            <v>0</v>
          </cell>
          <cell r="I6462">
            <v>0</v>
          </cell>
          <cell r="J6462">
            <v>0</v>
          </cell>
          <cell r="K6462">
            <v>0</v>
          </cell>
          <cell r="L6462">
            <v>0</v>
          </cell>
          <cell r="M6462">
            <v>0</v>
          </cell>
          <cell r="N6462">
            <v>0</v>
          </cell>
          <cell r="O6462">
            <v>0</v>
          </cell>
          <cell r="P6462">
            <v>0</v>
          </cell>
          <cell r="Q6462">
            <v>0</v>
          </cell>
          <cell r="R6462">
            <v>0</v>
          </cell>
          <cell r="S6462">
            <v>0</v>
          </cell>
          <cell r="T6462">
            <v>0</v>
          </cell>
          <cell r="U6462">
            <v>0</v>
          </cell>
          <cell r="V6462">
            <v>0</v>
          </cell>
          <cell r="W6462">
            <v>0</v>
          </cell>
          <cell r="X6462">
            <v>0</v>
          </cell>
          <cell r="Y6462">
            <v>0</v>
          </cell>
          <cell r="Z6462">
            <v>0</v>
          </cell>
        </row>
        <row r="6463">
          <cell r="D6463">
            <v>304966</v>
          </cell>
          <cell r="E6463" t="str">
            <v>Kili-Kili NHS</v>
          </cell>
          <cell r="F6463">
            <v>37</v>
          </cell>
          <cell r="G6463">
            <v>39</v>
          </cell>
          <cell r="H6463">
            <v>76</v>
          </cell>
          <cell r="I6463">
            <v>11</v>
          </cell>
          <cell r="J6463">
            <v>12</v>
          </cell>
          <cell r="K6463">
            <v>23</v>
          </cell>
          <cell r="L6463">
            <v>0</v>
          </cell>
          <cell r="M6463">
            <v>0</v>
          </cell>
          <cell r="N6463">
            <v>0</v>
          </cell>
          <cell r="O6463">
            <v>0</v>
          </cell>
          <cell r="P6463">
            <v>0</v>
          </cell>
          <cell r="Q6463">
            <v>0</v>
          </cell>
          <cell r="R6463">
            <v>0</v>
          </cell>
          <cell r="S6463">
            <v>0</v>
          </cell>
          <cell r="T6463">
            <v>0</v>
          </cell>
          <cell r="U6463">
            <v>0</v>
          </cell>
          <cell r="V6463">
            <v>0</v>
          </cell>
          <cell r="W6463">
            <v>0</v>
          </cell>
          <cell r="X6463">
            <v>0</v>
          </cell>
          <cell r="Y6463">
            <v>0</v>
          </cell>
          <cell r="Z6463">
            <v>0</v>
          </cell>
        </row>
        <row r="6464">
          <cell r="D6464">
            <v>318114</v>
          </cell>
          <cell r="E6464" t="str">
            <v>Sultan Guro Memorial NHS</v>
          </cell>
          <cell r="F6464">
            <v>0</v>
          </cell>
          <cell r="G6464">
            <v>0</v>
          </cell>
          <cell r="H6464">
            <v>0</v>
          </cell>
          <cell r="I6464">
            <v>0</v>
          </cell>
          <cell r="J6464">
            <v>0</v>
          </cell>
          <cell r="K6464">
            <v>0</v>
          </cell>
          <cell r="L6464">
            <v>0</v>
          </cell>
          <cell r="M6464">
            <v>0</v>
          </cell>
          <cell r="N6464">
            <v>0</v>
          </cell>
          <cell r="O6464">
            <v>0</v>
          </cell>
          <cell r="P6464">
            <v>0</v>
          </cell>
          <cell r="Q6464">
            <v>0</v>
          </cell>
          <cell r="R6464">
            <v>0</v>
          </cell>
          <cell r="S6464">
            <v>0</v>
          </cell>
          <cell r="T6464">
            <v>0</v>
          </cell>
          <cell r="U6464">
            <v>0</v>
          </cell>
          <cell r="V6464">
            <v>0</v>
          </cell>
          <cell r="W6464">
            <v>0</v>
          </cell>
          <cell r="X6464">
            <v>0</v>
          </cell>
          <cell r="Y6464">
            <v>0</v>
          </cell>
          <cell r="Z6464">
            <v>0</v>
          </cell>
        </row>
        <row r="6465">
          <cell r="D6465">
            <v>318111</v>
          </cell>
          <cell r="E6465" t="str">
            <v>Ragayan National HS</v>
          </cell>
          <cell r="F6465">
            <v>180</v>
          </cell>
          <cell r="G6465">
            <v>316</v>
          </cell>
          <cell r="H6465">
            <v>496</v>
          </cell>
          <cell r="I6465">
            <v>0</v>
          </cell>
          <cell r="J6465">
            <v>0</v>
          </cell>
          <cell r="K6465">
            <v>0</v>
          </cell>
          <cell r="L6465">
            <v>0</v>
          </cell>
          <cell r="M6465">
            <v>0</v>
          </cell>
          <cell r="N6465">
            <v>0</v>
          </cell>
          <cell r="O6465">
            <v>0</v>
          </cell>
          <cell r="P6465">
            <v>0</v>
          </cell>
          <cell r="Q6465">
            <v>0</v>
          </cell>
          <cell r="R6465">
            <v>0</v>
          </cell>
          <cell r="S6465">
            <v>0</v>
          </cell>
          <cell r="T6465">
            <v>0</v>
          </cell>
          <cell r="U6465">
            <v>0</v>
          </cell>
          <cell r="V6465">
            <v>0</v>
          </cell>
          <cell r="W6465">
            <v>0</v>
          </cell>
          <cell r="X6465">
            <v>0</v>
          </cell>
          <cell r="Y6465">
            <v>0</v>
          </cell>
          <cell r="Z6465">
            <v>0</v>
          </cell>
        </row>
        <row r="6466">
          <cell r="D6466">
            <v>304967</v>
          </cell>
          <cell r="E6466" t="str">
            <v>Sultan Labay Moriatao-Bae Technical-Vocational School</v>
          </cell>
          <cell r="F6466">
            <v>0</v>
          </cell>
          <cell r="G6466">
            <v>0</v>
          </cell>
          <cell r="H6466">
            <v>0</v>
          </cell>
          <cell r="I6466">
            <v>0</v>
          </cell>
          <cell r="J6466">
            <v>0</v>
          </cell>
          <cell r="K6466">
            <v>0</v>
          </cell>
          <cell r="L6466">
            <v>0</v>
          </cell>
          <cell r="M6466">
            <v>0</v>
          </cell>
          <cell r="N6466">
            <v>0</v>
          </cell>
          <cell r="O6466">
            <v>0</v>
          </cell>
          <cell r="P6466">
            <v>0</v>
          </cell>
          <cell r="Q6466">
            <v>0</v>
          </cell>
          <cell r="R6466">
            <v>0</v>
          </cell>
          <cell r="S6466">
            <v>0</v>
          </cell>
          <cell r="T6466">
            <v>0</v>
          </cell>
          <cell r="U6466">
            <v>0</v>
          </cell>
          <cell r="V6466">
            <v>0</v>
          </cell>
          <cell r="W6466">
            <v>0</v>
          </cell>
          <cell r="X6466">
            <v>0</v>
          </cell>
          <cell r="Y6466">
            <v>0</v>
          </cell>
          <cell r="Z6466">
            <v>0</v>
          </cell>
        </row>
        <row r="6467">
          <cell r="D6467">
            <v>318124</v>
          </cell>
          <cell r="E6467" t="str">
            <v>M &amp; S Maito Basak NHS</v>
          </cell>
          <cell r="F6467">
            <v>0</v>
          </cell>
          <cell r="G6467">
            <v>0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>
            <v>0</v>
          </cell>
          <cell r="M6467">
            <v>0</v>
          </cell>
          <cell r="N6467">
            <v>0</v>
          </cell>
          <cell r="O6467">
            <v>0</v>
          </cell>
          <cell r="P6467">
            <v>0</v>
          </cell>
          <cell r="Q6467">
            <v>0</v>
          </cell>
          <cell r="R6467">
            <v>0</v>
          </cell>
          <cell r="S6467">
            <v>0</v>
          </cell>
          <cell r="T6467">
            <v>0</v>
          </cell>
          <cell r="U6467">
            <v>0</v>
          </cell>
          <cell r="V6467">
            <v>0</v>
          </cell>
          <cell r="W6467">
            <v>0</v>
          </cell>
          <cell r="X6467">
            <v>0</v>
          </cell>
          <cell r="Y6467">
            <v>0</v>
          </cell>
          <cell r="Z6467">
            <v>0</v>
          </cell>
        </row>
        <row r="6468">
          <cell r="D6468">
            <v>304958</v>
          </cell>
          <cell r="E6468" t="str">
            <v>Balindong NHS</v>
          </cell>
          <cell r="F6468">
            <v>0</v>
          </cell>
          <cell r="G6468">
            <v>0</v>
          </cell>
          <cell r="H6468">
            <v>0</v>
          </cell>
          <cell r="I6468">
            <v>0</v>
          </cell>
          <cell r="J6468">
            <v>0</v>
          </cell>
          <cell r="K6468">
            <v>0</v>
          </cell>
          <cell r="L6468">
            <v>0</v>
          </cell>
          <cell r="M6468">
            <v>0</v>
          </cell>
          <cell r="N6468">
            <v>0</v>
          </cell>
          <cell r="O6468">
            <v>0</v>
          </cell>
          <cell r="P6468">
            <v>0</v>
          </cell>
          <cell r="Q6468">
            <v>0</v>
          </cell>
          <cell r="R6468">
            <v>0</v>
          </cell>
          <cell r="S6468">
            <v>0</v>
          </cell>
          <cell r="T6468">
            <v>0</v>
          </cell>
          <cell r="U6468">
            <v>0</v>
          </cell>
          <cell r="V6468">
            <v>0</v>
          </cell>
          <cell r="W6468">
            <v>0</v>
          </cell>
          <cell r="X6468">
            <v>0</v>
          </cell>
          <cell r="Y6468">
            <v>0</v>
          </cell>
          <cell r="Z6468">
            <v>0</v>
          </cell>
        </row>
        <row r="6469">
          <cell r="D6469">
            <v>304957</v>
          </cell>
          <cell r="E6469" t="str">
            <v>Ambor MNHS</v>
          </cell>
          <cell r="F6469">
            <v>0</v>
          </cell>
          <cell r="G6469">
            <v>0</v>
          </cell>
          <cell r="H6469">
            <v>0</v>
          </cell>
          <cell r="I6469">
            <v>0</v>
          </cell>
          <cell r="J6469">
            <v>0</v>
          </cell>
          <cell r="K6469">
            <v>0</v>
          </cell>
          <cell r="L6469">
            <v>0</v>
          </cell>
          <cell r="M6469">
            <v>0</v>
          </cell>
          <cell r="N6469">
            <v>0</v>
          </cell>
          <cell r="O6469">
            <v>0</v>
          </cell>
          <cell r="P6469">
            <v>0</v>
          </cell>
          <cell r="Q6469">
            <v>0</v>
          </cell>
          <cell r="R6469">
            <v>0</v>
          </cell>
          <cell r="S6469">
            <v>0</v>
          </cell>
          <cell r="T6469">
            <v>0</v>
          </cell>
          <cell r="U6469">
            <v>0</v>
          </cell>
          <cell r="V6469">
            <v>0</v>
          </cell>
          <cell r="W6469">
            <v>0</v>
          </cell>
          <cell r="X6469">
            <v>0</v>
          </cell>
          <cell r="Y6469">
            <v>0</v>
          </cell>
          <cell r="Z6469">
            <v>0</v>
          </cell>
        </row>
        <row r="6470">
          <cell r="D6470">
            <v>318118</v>
          </cell>
          <cell r="E6470" t="str">
            <v>Johayver Maulana NHS</v>
          </cell>
          <cell r="F6470">
            <v>0</v>
          </cell>
          <cell r="G6470">
            <v>0</v>
          </cell>
          <cell r="H6470">
            <v>0</v>
          </cell>
          <cell r="I6470">
            <v>0</v>
          </cell>
          <cell r="J6470">
            <v>0</v>
          </cell>
          <cell r="K6470">
            <v>0</v>
          </cell>
          <cell r="L6470">
            <v>0</v>
          </cell>
          <cell r="M6470">
            <v>0</v>
          </cell>
          <cell r="N6470">
            <v>0</v>
          </cell>
          <cell r="O6470">
            <v>0</v>
          </cell>
          <cell r="P6470">
            <v>0</v>
          </cell>
          <cell r="Q6470">
            <v>0</v>
          </cell>
          <cell r="R6470">
            <v>0</v>
          </cell>
          <cell r="S6470">
            <v>0</v>
          </cell>
          <cell r="T6470">
            <v>0</v>
          </cell>
          <cell r="U6470">
            <v>0</v>
          </cell>
          <cell r="V6470">
            <v>0</v>
          </cell>
          <cell r="W6470">
            <v>0</v>
          </cell>
          <cell r="X6470">
            <v>0</v>
          </cell>
          <cell r="Y6470">
            <v>0</v>
          </cell>
          <cell r="Z6470">
            <v>0</v>
          </cell>
        </row>
        <row r="6471">
          <cell r="D6471">
            <v>304960</v>
          </cell>
          <cell r="E6471" t="str">
            <v>Buadiposo-Buntong NHS</v>
          </cell>
          <cell r="F6471">
            <v>0</v>
          </cell>
          <cell r="G6471">
            <v>0</v>
          </cell>
          <cell r="H6471">
            <v>0</v>
          </cell>
          <cell r="I6471">
            <v>0</v>
          </cell>
          <cell r="J6471">
            <v>0</v>
          </cell>
          <cell r="K6471">
            <v>0</v>
          </cell>
          <cell r="L6471">
            <v>0</v>
          </cell>
          <cell r="M6471">
            <v>0</v>
          </cell>
          <cell r="N6471">
            <v>0</v>
          </cell>
          <cell r="O6471">
            <v>0</v>
          </cell>
          <cell r="P6471">
            <v>0</v>
          </cell>
          <cell r="Q6471">
            <v>0</v>
          </cell>
          <cell r="R6471">
            <v>0</v>
          </cell>
          <cell r="S6471">
            <v>0</v>
          </cell>
          <cell r="T6471">
            <v>0</v>
          </cell>
          <cell r="U6471">
            <v>0</v>
          </cell>
          <cell r="V6471">
            <v>0</v>
          </cell>
          <cell r="W6471">
            <v>0</v>
          </cell>
          <cell r="X6471">
            <v>0</v>
          </cell>
          <cell r="Y6471">
            <v>0</v>
          </cell>
          <cell r="Z6471">
            <v>0</v>
          </cell>
        </row>
        <row r="6472">
          <cell r="D6472">
            <v>304971</v>
          </cell>
          <cell r="E6472" t="str">
            <v>Mulondo NHS</v>
          </cell>
          <cell r="F6472">
            <v>0</v>
          </cell>
          <cell r="G6472">
            <v>0</v>
          </cell>
          <cell r="H6472">
            <v>0</v>
          </cell>
          <cell r="I6472">
            <v>0</v>
          </cell>
          <cell r="J6472">
            <v>0</v>
          </cell>
          <cell r="K6472">
            <v>0</v>
          </cell>
          <cell r="L6472">
            <v>0</v>
          </cell>
          <cell r="M6472">
            <v>0</v>
          </cell>
          <cell r="N6472">
            <v>0</v>
          </cell>
          <cell r="O6472">
            <v>0</v>
          </cell>
          <cell r="P6472">
            <v>0</v>
          </cell>
          <cell r="Q6472">
            <v>0</v>
          </cell>
          <cell r="R6472">
            <v>0</v>
          </cell>
          <cell r="S6472">
            <v>0</v>
          </cell>
          <cell r="T6472">
            <v>0</v>
          </cell>
          <cell r="U6472">
            <v>0</v>
          </cell>
          <cell r="V6472">
            <v>0</v>
          </cell>
          <cell r="W6472">
            <v>0</v>
          </cell>
          <cell r="X6472">
            <v>0</v>
          </cell>
          <cell r="Y6472">
            <v>0</v>
          </cell>
          <cell r="Z6472">
            <v>0</v>
          </cell>
        </row>
        <row r="6473">
          <cell r="D6473">
            <v>318116</v>
          </cell>
          <cell r="E6473" t="str">
            <v>East Bayabao Integrated NHS of Vocational  Technology</v>
          </cell>
          <cell r="F6473">
            <v>0</v>
          </cell>
          <cell r="G6473">
            <v>0</v>
          </cell>
          <cell r="H6473">
            <v>0</v>
          </cell>
          <cell r="I6473">
            <v>0</v>
          </cell>
          <cell r="J6473">
            <v>0</v>
          </cell>
          <cell r="K6473">
            <v>0</v>
          </cell>
          <cell r="L6473">
            <v>0</v>
          </cell>
          <cell r="M6473">
            <v>0</v>
          </cell>
          <cell r="N6473">
            <v>0</v>
          </cell>
          <cell r="O6473">
            <v>0</v>
          </cell>
          <cell r="P6473">
            <v>0</v>
          </cell>
          <cell r="Q6473">
            <v>0</v>
          </cell>
          <cell r="R6473">
            <v>0</v>
          </cell>
          <cell r="S6473">
            <v>0</v>
          </cell>
          <cell r="T6473">
            <v>0</v>
          </cell>
          <cell r="U6473">
            <v>0</v>
          </cell>
          <cell r="V6473">
            <v>0</v>
          </cell>
          <cell r="W6473">
            <v>0</v>
          </cell>
          <cell r="X6473">
            <v>0</v>
          </cell>
          <cell r="Y6473">
            <v>0</v>
          </cell>
          <cell r="Z6473">
            <v>0</v>
          </cell>
        </row>
        <row r="6474">
          <cell r="D6474">
            <v>318112</v>
          </cell>
          <cell r="E6474" t="str">
            <v>Bubonga Marantao NHS</v>
          </cell>
          <cell r="F6474">
            <v>0</v>
          </cell>
          <cell r="G6474">
            <v>0</v>
          </cell>
          <cell r="H6474">
            <v>0</v>
          </cell>
          <cell r="I6474">
            <v>0</v>
          </cell>
          <cell r="J6474">
            <v>0</v>
          </cell>
          <cell r="K6474">
            <v>0</v>
          </cell>
          <cell r="L6474">
            <v>0</v>
          </cell>
          <cell r="M6474">
            <v>0</v>
          </cell>
          <cell r="N6474">
            <v>0</v>
          </cell>
          <cell r="O6474">
            <v>0</v>
          </cell>
          <cell r="P6474">
            <v>0</v>
          </cell>
          <cell r="Q6474">
            <v>0</v>
          </cell>
          <cell r="R6474">
            <v>0</v>
          </cell>
          <cell r="S6474">
            <v>0</v>
          </cell>
          <cell r="T6474">
            <v>0</v>
          </cell>
          <cell r="U6474">
            <v>0</v>
          </cell>
          <cell r="V6474">
            <v>0</v>
          </cell>
          <cell r="W6474">
            <v>0</v>
          </cell>
          <cell r="X6474">
            <v>0</v>
          </cell>
          <cell r="Y6474">
            <v>0</v>
          </cell>
          <cell r="Z6474">
            <v>0</v>
          </cell>
        </row>
        <row r="6475">
          <cell r="D6475">
            <v>304975</v>
          </cell>
          <cell r="E6475" t="str">
            <v>Sultan Angin Mem. NHS(Formerly Saguiaran NHS)</v>
          </cell>
          <cell r="F6475">
            <v>24</v>
          </cell>
          <cell r="G6475">
            <v>18</v>
          </cell>
          <cell r="H6475">
            <v>42</v>
          </cell>
          <cell r="I6475">
            <v>2</v>
          </cell>
          <cell r="J6475">
            <v>5</v>
          </cell>
          <cell r="K6475">
            <v>7</v>
          </cell>
          <cell r="L6475">
            <v>22</v>
          </cell>
          <cell r="M6475">
            <v>13</v>
          </cell>
          <cell r="N6475">
            <v>35</v>
          </cell>
          <cell r="O6475">
            <v>1</v>
          </cell>
          <cell r="P6475">
            <v>2</v>
          </cell>
          <cell r="Q6475">
            <v>3</v>
          </cell>
          <cell r="R6475">
            <v>23</v>
          </cell>
          <cell r="S6475">
            <v>16</v>
          </cell>
          <cell r="T6475">
            <v>39</v>
          </cell>
          <cell r="U6475">
            <v>0</v>
          </cell>
          <cell r="V6475">
            <v>0</v>
          </cell>
          <cell r="W6475">
            <v>0</v>
          </cell>
          <cell r="X6475">
            <v>0</v>
          </cell>
          <cell r="Y6475">
            <v>0</v>
          </cell>
          <cell r="Z6475">
            <v>0</v>
          </cell>
        </row>
        <row r="6476">
          <cell r="D6476">
            <v>304977</v>
          </cell>
          <cell r="E6476" t="str">
            <v>Sarip MNHS</v>
          </cell>
          <cell r="F6476">
            <v>0</v>
          </cell>
          <cell r="G6476">
            <v>0</v>
          </cell>
          <cell r="H6476">
            <v>0</v>
          </cell>
          <cell r="I6476">
            <v>0</v>
          </cell>
          <cell r="J6476">
            <v>0</v>
          </cell>
          <cell r="K6476">
            <v>0</v>
          </cell>
          <cell r="L6476">
            <v>0</v>
          </cell>
          <cell r="M6476">
            <v>0</v>
          </cell>
          <cell r="N6476">
            <v>0</v>
          </cell>
          <cell r="O6476">
            <v>0</v>
          </cell>
          <cell r="P6476">
            <v>0</v>
          </cell>
          <cell r="Q6476">
            <v>0</v>
          </cell>
          <cell r="R6476">
            <v>0</v>
          </cell>
          <cell r="S6476">
            <v>0</v>
          </cell>
          <cell r="T6476">
            <v>0</v>
          </cell>
          <cell r="U6476">
            <v>0</v>
          </cell>
          <cell r="V6476">
            <v>0</v>
          </cell>
          <cell r="W6476">
            <v>0</v>
          </cell>
          <cell r="X6476">
            <v>0</v>
          </cell>
          <cell r="Y6476">
            <v>0</v>
          </cell>
          <cell r="Z6476">
            <v>0</v>
          </cell>
        </row>
        <row r="6477">
          <cell r="D6477">
            <v>318215</v>
          </cell>
          <cell r="E6477" t="str">
            <v>Al Hamlan NHS</v>
          </cell>
          <cell r="F6477">
            <v>0</v>
          </cell>
          <cell r="G6477">
            <v>0</v>
          </cell>
          <cell r="H6477">
            <v>0</v>
          </cell>
          <cell r="I6477">
            <v>0</v>
          </cell>
          <cell r="J6477">
            <v>0</v>
          </cell>
          <cell r="K6477">
            <v>0</v>
          </cell>
          <cell r="L6477">
            <v>0</v>
          </cell>
          <cell r="M6477">
            <v>0</v>
          </cell>
          <cell r="N6477">
            <v>0</v>
          </cell>
          <cell r="O6477">
            <v>0</v>
          </cell>
          <cell r="P6477">
            <v>0</v>
          </cell>
          <cell r="Q6477">
            <v>0</v>
          </cell>
          <cell r="R6477">
            <v>0</v>
          </cell>
          <cell r="S6477">
            <v>0</v>
          </cell>
          <cell r="T6477">
            <v>0</v>
          </cell>
          <cell r="U6477">
            <v>0</v>
          </cell>
          <cell r="V6477">
            <v>0</v>
          </cell>
          <cell r="W6477">
            <v>0</v>
          </cell>
          <cell r="X6477">
            <v>0</v>
          </cell>
          <cell r="Y6477">
            <v>0</v>
          </cell>
          <cell r="Z6477">
            <v>0</v>
          </cell>
        </row>
        <row r="6478">
          <cell r="D6478">
            <v>318208</v>
          </cell>
          <cell r="E6478" t="str">
            <v>Pagayawan National High School</v>
          </cell>
          <cell r="F6478">
            <v>0</v>
          </cell>
          <cell r="G6478">
            <v>0</v>
          </cell>
          <cell r="H6478">
            <v>0</v>
          </cell>
          <cell r="I6478">
            <v>0</v>
          </cell>
          <cell r="J6478">
            <v>0</v>
          </cell>
          <cell r="K6478">
            <v>0</v>
          </cell>
          <cell r="L6478">
            <v>0</v>
          </cell>
          <cell r="M6478">
            <v>0</v>
          </cell>
          <cell r="N6478">
            <v>0</v>
          </cell>
          <cell r="O6478">
            <v>0</v>
          </cell>
          <cell r="P6478">
            <v>0</v>
          </cell>
          <cell r="Q6478">
            <v>0</v>
          </cell>
          <cell r="R6478">
            <v>0</v>
          </cell>
          <cell r="S6478">
            <v>0</v>
          </cell>
          <cell r="T6478">
            <v>0</v>
          </cell>
          <cell r="U6478">
            <v>0</v>
          </cell>
          <cell r="V6478">
            <v>0</v>
          </cell>
          <cell r="W6478">
            <v>0</v>
          </cell>
          <cell r="X6478">
            <v>0</v>
          </cell>
          <cell r="Y6478">
            <v>0</v>
          </cell>
          <cell r="Z6478">
            <v>0</v>
          </cell>
        </row>
        <row r="6479">
          <cell r="D6479">
            <v>304979</v>
          </cell>
          <cell r="E6479" t="str">
            <v>Andong National High School</v>
          </cell>
          <cell r="F6479">
            <v>0</v>
          </cell>
          <cell r="G6479">
            <v>0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>
            <v>0</v>
          </cell>
          <cell r="M6479">
            <v>0</v>
          </cell>
          <cell r="N6479">
            <v>0</v>
          </cell>
          <cell r="O6479">
            <v>0</v>
          </cell>
          <cell r="P6479">
            <v>0</v>
          </cell>
          <cell r="Q6479">
            <v>0</v>
          </cell>
          <cell r="R6479">
            <v>0</v>
          </cell>
          <cell r="S6479">
            <v>0</v>
          </cell>
          <cell r="T6479">
            <v>0</v>
          </cell>
          <cell r="U6479">
            <v>0</v>
          </cell>
          <cell r="V6479">
            <v>0</v>
          </cell>
          <cell r="W6479">
            <v>0</v>
          </cell>
          <cell r="X6479">
            <v>0</v>
          </cell>
          <cell r="Y6479">
            <v>0</v>
          </cell>
          <cell r="Z6479">
            <v>0</v>
          </cell>
        </row>
        <row r="6480">
          <cell r="D6480">
            <v>318232</v>
          </cell>
          <cell r="E6480" t="str">
            <v>Bakikis NHS</v>
          </cell>
          <cell r="F6480">
            <v>0</v>
          </cell>
          <cell r="G6480">
            <v>0</v>
          </cell>
          <cell r="H6480">
            <v>0</v>
          </cell>
          <cell r="I6480">
            <v>0</v>
          </cell>
          <cell r="J6480">
            <v>0</v>
          </cell>
          <cell r="K6480">
            <v>0</v>
          </cell>
          <cell r="L6480">
            <v>0</v>
          </cell>
          <cell r="M6480">
            <v>0</v>
          </cell>
          <cell r="N6480">
            <v>0</v>
          </cell>
          <cell r="O6480">
            <v>0</v>
          </cell>
          <cell r="P6480">
            <v>0</v>
          </cell>
          <cell r="Q6480">
            <v>0</v>
          </cell>
          <cell r="R6480">
            <v>0</v>
          </cell>
          <cell r="S6480">
            <v>0</v>
          </cell>
          <cell r="T6480">
            <v>0</v>
          </cell>
          <cell r="U6480">
            <v>0</v>
          </cell>
          <cell r="V6480">
            <v>0</v>
          </cell>
          <cell r="W6480">
            <v>0</v>
          </cell>
          <cell r="X6480">
            <v>0</v>
          </cell>
          <cell r="Y6480">
            <v>0</v>
          </cell>
          <cell r="Z6480">
            <v>0</v>
          </cell>
        </row>
        <row r="6481">
          <cell r="D6481">
            <v>324713</v>
          </cell>
          <cell r="E6481" t="str">
            <v>Aguam-Benito National High School</v>
          </cell>
          <cell r="F6481">
            <v>0</v>
          </cell>
          <cell r="G6481">
            <v>0</v>
          </cell>
          <cell r="H6481">
            <v>0</v>
          </cell>
          <cell r="I6481">
            <v>0</v>
          </cell>
          <cell r="J6481">
            <v>0</v>
          </cell>
          <cell r="K6481">
            <v>0</v>
          </cell>
          <cell r="L6481">
            <v>0</v>
          </cell>
          <cell r="M6481">
            <v>0</v>
          </cell>
          <cell r="N6481">
            <v>0</v>
          </cell>
          <cell r="O6481">
            <v>0</v>
          </cell>
          <cell r="P6481">
            <v>0</v>
          </cell>
          <cell r="Q6481">
            <v>0</v>
          </cell>
          <cell r="R6481">
            <v>0</v>
          </cell>
          <cell r="S6481">
            <v>0</v>
          </cell>
          <cell r="T6481">
            <v>0</v>
          </cell>
          <cell r="U6481">
            <v>0</v>
          </cell>
          <cell r="V6481">
            <v>0</v>
          </cell>
          <cell r="W6481">
            <v>0</v>
          </cell>
          <cell r="X6481">
            <v>0</v>
          </cell>
          <cell r="Y6481">
            <v>0</v>
          </cell>
          <cell r="Z6481">
            <v>0</v>
          </cell>
        </row>
        <row r="6482">
          <cell r="D6482">
            <v>318240</v>
          </cell>
          <cell r="E6482" t="str">
            <v>Malabang National High School</v>
          </cell>
          <cell r="F6482">
            <v>172</v>
          </cell>
          <cell r="G6482">
            <v>115</v>
          </cell>
          <cell r="H6482">
            <v>287</v>
          </cell>
          <cell r="I6482">
            <v>32</v>
          </cell>
          <cell r="J6482">
            <v>30</v>
          </cell>
          <cell r="K6482">
            <v>62</v>
          </cell>
          <cell r="L6482">
            <v>36</v>
          </cell>
          <cell r="M6482">
            <v>37</v>
          </cell>
          <cell r="N6482">
            <v>73</v>
          </cell>
          <cell r="O6482">
            <v>0</v>
          </cell>
          <cell r="P6482">
            <v>0</v>
          </cell>
          <cell r="Q6482">
            <v>0</v>
          </cell>
          <cell r="R6482">
            <v>0</v>
          </cell>
          <cell r="S6482">
            <v>0</v>
          </cell>
          <cell r="T6482">
            <v>0</v>
          </cell>
          <cell r="U6482">
            <v>0</v>
          </cell>
          <cell r="V6482">
            <v>0</v>
          </cell>
          <cell r="W6482">
            <v>0</v>
          </cell>
          <cell r="X6482">
            <v>28</v>
          </cell>
          <cell r="Y6482">
            <v>35</v>
          </cell>
          <cell r="Z6482">
            <v>63</v>
          </cell>
        </row>
        <row r="6483">
          <cell r="D6483">
            <v>304997</v>
          </cell>
          <cell r="E6483" t="str">
            <v>Tubaran NHS</v>
          </cell>
          <cell r="F6483">
            <v>494</v>
          </cell>
          <cell r="G6483">
            <v>501</v>
          </cell>
          <cell r="H6483">
            <v>995</v>
          </cell>
          <cell r="I6483">
            <v>0</v>
          </cell>
          <cell r="J6483">
            <v>0</v>
          </cell>
          <cell r="K6483">
            <v>0</v>
          </cell>
          <cell r="L6483">
            <v>0</v>
          </cell>
          <cell r="M6483">
            <v>0</v>
          </cell>
          <cell r="N6483">
            <v>0</v>
          </cell>
          <cell r="O6483">
            <v>0</v>
          </cell>
          <cell r="P6483">
            <v>0</v>
          </cell>
          <cell r="Q6483">
            <v>0</v>
          </cell>
          <cell r="R6483">
            <v>0</v>
          </cell>
          <cell r="S6483">
            <v>0</v>
          </cell>
          <cell r="T6483">
            <v>0</v>
          </cell>
          <cell r="U6483">
            <v>0</v>
          </cell>
          <cell r="V6483">
            <v>0</v>
          </cell>
          <cell r="W6483">
            <v>0</v>
          </cell>
          <cell r="X6483">
            <v>0</v>
          </cell>
          <cell r="Y6483">
            <v>0</v>
          </cell>
          <cell r="Z6483">
            <v>0</v>
          </cell>
        </row>
        <row r="6484">
          <cell r="D6484">
            <v>318218</v>
          </cell>
          <cell r="E6484" t="str">
            <v>Madamba National High School</v>
          </cell>
          <cell r="F6484">
            <v>0</v>
          </cell>
          <cell r="G6484">
            <v>0</v>
          </cell>
          <cell r="H6484">
            <v>0</v>
          </cell>
          <cell r="I6484">
            <v>0</v>
          </cell>
          <cell r="J6484">
            <v>0</v>
          </cell>
          <cell r="K6484">
            <v>0</v>
          </cell>
          <cell r="L6484">
            <v>0</v>
          </cell>
          <cell r="M6484">
            <v>0</v>
          </cell>
          <cell r="N6484">
            <v>0</v>
          </cell>
          <cell r="O6484">
            <v>0</v>
          </cell>
          <cell r="P6484">
            <v>0</v>
          </cell>
          <cell r="Q6484">
            <v>0</v>
          </cell>
          <cell r="R6484">
            <v>0</v>
          </cell>
          <cell r="S6484">
            <v>0</v>
          </cell>
          <cell r="T6484">
            <v>0</v>
          </cell>
          <cell r="U6484">
            <v>0</v>
          </cell>
          <cell r="V6484">
            <v>0</v>
          </cell>
          <cell r="W6484">
            <v>0</v>
          </cell>
          <cell r="X6484">
            <v>0</v>
          </cell>
          <cell r="Y6484">
            <v>0</v>
          </cell>
          <cell r="Z6484">
            <v>0</v>
          </cell>
        </row>
        <row r="6485">
          <cell r="D6485">
            <v>324706</v>
          </cell>
          <cell r="E6485" t="str">
            <v>Kapatagan National High School</v>
          </cell>
          <cell r="F6485">
            <v>0</v>
          </cell>
          <cell r="G6485">
            <v>0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>
            <v>0</v>
          </cell>
          <cell r="M6485">
            <v>0</v>
          </cell>
          <cell r="N6485">
            <v>0</v>
          </cell>
          <cell r="O6485">
            <v>0</v>
          </cell>
          <cell r="P6485">
            <v>0</v>
          </cell>
          <cell r="Q6485">
            <v>0</v>
          </cell>
          <cell r="R6485">
            <v>0</v>
          </cell>
          <cell r="S6485">
            <v>0</v>
          </cell>
          <cell r="T6485">
            <v>0</v>
          </cell>
          <cell r="U6485">
            <v>0</v>
          </cell>
          <cell r="V6485">
            <v>0</v>
          </cell>
          <cell r="W6485">
            <v>0</v>
          </cell>
          <cell r="X6485">
            <v>0</v>
          </cell>
          <cell r="Y6485">
            <v>0</v>
          </cell>
          <cell r="Z6485">
            <v>0</v>
          </cell>
        </row>
        <row r="6486">
          <cell r="D6486">
            <v>304989</v>
          </cell>
          <cell r="E6486" t="str">
            <v>Mananayo NHS</v>
          </cell>
          <cell r="F6486">
            <v>0</v>
          </cell>
          <cell r="G6486">
            <v>0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>
            <v>0</v>
          </cell>
          <cell r="M6486">
            <v>0</v>
          </cell>
          <cell r="N6486">
            <v>0</v>
          </cell>
          <cell r="O6486">
            <v>0</v>
          </cell>
          <cell r="P6486">
            <v>0</v>
          </cell>
          <cell r="Q6486">
            <v>0</v>
          </cell>
          <cell r="R6486">
            <v>0</v>
          </cell>
          <cell r="S6486">
            <v>0</v>
          </cell>
          <cell r="T6486">
            <v>0</v>
          </cell>
          <cell r="U6486">
            <v>0</v>
          </cell>
          <cell r="V6486">
            <v>0</v>
          </cell>
          <cell r="W6486">
            <v>0</v>
          </cell>
          <cell r="X6486">
            <v>0</v>
          </cell>
          <cell r="Y6486">
            <v>0</v>
          </cell>
          <cell r="Z6486">
            <v>0</v>
          </cell>
        </row>
        <row r="6487">
          <cell r="D6487">
            <v>304992</v>
          </cell>
          <cell r="E6487" t="str">
            <v>Nanagun National High School</v>
          </cell>
          <cell r="F6487">
            <v>0</v>
          </cell>
          <cell r="G6487">
            <v>0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>
            <v>0</v>
          </cell>
          <cell r="M6487">
            <v>0</v>
          </cell>
          <cell r="N6487">
            <v>0</v>
          </cell>
          <cell r="O6487">
            <v>0</v>
          </cell>
          <cell r="P6487">
            <v>0</v>
          </cell>
          <cell r="Q6487">
            <v>0</v>
          </cell>
          <cell r="R6487">
            <v>0</v>
          </cell>
          <cell r="S6487">
            <v>0</v>
          </cell>
          <cell r="T6487">
            <v>0</v>
          </cell>
          <cell r="U6487">
            <v>0</v>
          </cell>
          <cell r="V6487">
            <v>0</v>
          </cell>
          <cell r="W6487">
            <v>0</v>
          </cell>
          <cell r="X6487">
            <v>0</v>
          </cell>
          <cell r="Y6487">
            <v>0</v>
          </cell>
          <cell r="Z6487">
            <v>0</v>
          </cell>
        </row>
        <row r="6488">
          <cell r="D6488">
            <v>324716</v>
          </cell>
          <cell r="E6488" t="str">
            <v>Datu Aleem Balindong MNHS</v>
          </cell>
          <cell r="F6488">
            <v>0</v>
          </cell>
          <cell r="G6488">
            <v>0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>
            <v>0</v>
          </cell>
          <cell r="M6488">
            <v>0</v>
          </cell>
          <cell r="N6488">
            <v>0</v>
          </cell>
          <cell r="O6488">
            <v>0</v>
          </cell>
          <cell r="P6488">
            <v>0</v>
          </cell>
          <cell r="Q6488">
            <v>0</v>
          </cell>
          <cell r="R6488">
            <v>0</v>
          </cell>
          <cell r="S6488">
            <v>0</v>
          </cell>
          <cell r="T6488">
            <v>0</v>
          </cell>
          <cell r="U6488">
            <v>0</v>
          </cell>
          <cell r="V6488">
            <v>0</v>
          </cell>
          <cell r="W6488">
            <v>0</v>
          </cell>
          <cell r="X6488">
            <v>0</v>
          </cell>
          <cell r="Y6488">
            <v>0</v>
          </cell>
          <cell r="Z6488">
            <v>0</v>
          </cell>
        </row>
        <row r="6489">
          <cell r="D6489">
            <v>304985</v>
          </cell>
          <cell r="E6489" t="str">
            <v>Danugan NHS</v>
          </cell>
          <cell r="F6489">
            <v>0</v>
          </cell>
          <cell r="G6489">
            <v>0</v>
          </cell>
          <cell r="H6489">
            <v>0</v>
          </cell>
          <cell r="I6489">
            <v>0</v>
          </cell>
          <cell r="J6489">
            <v>0</v>
          </cell>
          <cell r="K6489">
            <v>0</v>
          </cell>
          <cell r="L6489">
            <v>0</v>
          </cell>
          <cell r="M6489">
            <v>0</v>
          </cell>
          <cell r="N6489">
            <v>0</v>
          </cell>
          <cell r="O6489">
            <v>0</v>
          </cell>
          <cell r="P6489">
            <v>0</v>
          </cell>
          <cell r="Q6489">
            <v>0</v>
          </cell>
          <cell r="R6489">
            <v>0</v>
          </cell>
          <cell r="S6489">
            <v>0</v>
          </cell>
          <cell r="T6489">
            <v>0</v>
          </cell>
          <cell r="U6489">
            <v>0</v>
          </cell>
          <cell r="V6489">
            <v>0</v>
          </cell>
          <cell r="W6489">
            <v>0</v>
          </cell>
          <cell r="X6489">
            <v>0</v>
          </cell>
          <cell r="Y6489">
            <v>0</v>
          </cell>
          <cell r="Z6489">
            <v>0</v>
          </cell>
        </row>
        <row r="6490">
          <cell r="D6490">
            <v>318233</v>
          </cell>
          <cell r="E6490" t="str">
            <v>Balindong Pacalna National High School</v>
          </cell>
          <cell r="F6490">
            <v>0</v>
          </cell>
          <cell r="G6490">
            <v>0</v>
          </cell>
          <cell r="H6490">
            <v>0</v>
          </cell>
          <cell r="I6490">
            <v>0</v>
          </cell>
          <cell r="J6490">
            <v>0</v>
          </cell>
          <cell r="K6490">
            <v>0</v>
          </cell>
          <cell r="L6490">
            <v>0</v>
          </cell>
          <cell r="M6490">
            <v>0</v>
          </cell>
          <cell r="N6490">
            <v>0</v>
          </cell>
          <cell r="O6490">
            <v>0</v>
          </cell>
          <cell r="P6490">
            <v>0</v>
          </cell>
          <cell r="Q6490">
            <v>0</v>
          </cell>
          <cell r="R6490">
            <v>0</v>
          </cell>
          <cell r="S6490">
            <v>0</v>
          </cell>
          <cell r="T6490">
            <v>0</v>
          </cell>
          <cell r="U6490">
            <v>0</v>
          </cell>
          <cell r="V6490">
            <v>0</v>
          </cell>
          <cell r="W6490">
            <v>0</v>
          </cell>
          <cell r="X6490">
            <v>0</v>
          </cell>
          <cell r="Y6490">
            <v>0</v>
          </cell>
          <cell r="Z6490">
            <v>0</v>
          </cell>
        </row>
        <row r="6491">
          <cell r="D6491">
            <v>304991</v>
          </cell>
          <cell r="E6491" t="str">
            <v>SULTAN ABDULMADID MARUHOM MEMORIAL NHS</v>
          </cell>
          <cell r="F6491">
            <v>0</v>
          </cell>
          <cell r="G6491">
            <v>0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>
            <v>0</v>
          </cell>
          <cell r="M6491">
            <v>0</v>
          </cell>
          <cell r="N6491">
            <v>0</v>
          </cell>
          <cell r="O6491">
            <v>0</v>
          </cell>
          <cell r="P6491">
            <v>0</v>
          </cell>
          <cell r="Q6491">
            <v>0</v>
          </cell>
          <cell r="R6491">
            <v>0</v>
          </cell>
          <cell r="S6491">
            <v>0</v>
          </cell>
          <cell r="T6491">
            <v>0</v>
          </cell>
          <cell r="U6491">
            <v>0</v>
          </cell>
          <cell r="V6491">
            <v>0</v>
          </cell>
          <cell r="W6491">
            <v>0</v>
          </cell>
          <cell r="X6491">
            <v>0</v>
          </cell>
          <cell r="Y6491">
            <v>0</v>
          </cell>
          <cell r="Z6491">
            <v>0</v>
          </cell>
        </row>
        <row r="6492">
          <cell r="D6492">
            <v>318221</v>
          </cell>
          <cell r="E6492" t="str">
            <v>Bacayawan National High School</v>
          </cell>
          <cell r="F6492">
            <v>0</v>
          </cell>
          <cell r="G6492">
            <v>0</v>
          </cell>
          <cell r="H6492">
            <v>0</v>
          </cell>
          <cell r="I6492">
            <v>0</v>
          </cell>
          <cell r="J6492">
            <v>0</v>
          </cell>
          <cell r="K6492">
            <v>0</v>
          </cell>
          <cell r="L6492">
            <v>0</v>
          </cell>
          <cell r="M6492">
            <v>0</v>
          </cell>
          <cell r="N6492">
            <v>0</v>
          </cell>
          <cell r="O6492">
            <v>0</v>
          </cell>
          <cell r="P6492">
            <v>0</v>
          </cell>
          <cell r="Q6492">
            <v>0</v>
          </cell>
          <cell r="R6492">
            <v>0</v>
          </cell>
          <cell r="S6492">
            <v>0</v>
          </cell>
          <cell r="T6492">
            <v>0</v>
          </cell>
          <cell r="U6492">
            <v>0</v>
          </cell>
          <cell r="V6492">
            <v>0</v>
          </cell>
          <cell r="W6492">
            <v>0</v>
          </cell>
          <cell r="X6492">
            <v>0</v>
          </cell>
          <cell r="Y6492">
            <v>0</v>
          </cell>
          <cell r="Z6492">
            <v>0</v>
          </cell>
        </row>
        <row r="6493">
          <cell r="D6493">
            <v>318205</v>
          </cell>
          <cell r="E6493" t="str">
            <v>Sittie Ayeesha NHS</v>
          </cell>
          <cell r="F6493">
            <v>0</v>
          </cell>
          <cell r="G6493">
            <v>0</v>
          </cell>
          <cell r="H6493">
            <v>0</v>
          </cell>
          <cell r="I6493">
            <v>0</v>
          </cell>
          <cell r="J6493">
            <v>0</v>
          </cell>
          <cell r="K6493">
            <v>0</v>
          </cell>
          <cell r="L6493">
            <v>0</v>
          </cell>
          <cell r="M6493">
            <v>0</v>
          </cell>
          <cell r="N6493">
            <v>0</v>
          </cell>
          <cell r="O6493">
            <v>0</v>
          </cell>
          <cell r="P6493">
            <v>0</v>
          </cell>
          <cell r="Q6493">
            <v>0</v>
          </cell>
          <cell r="R6493">
            <v>0</v>
          </cell>
          <cell r="S6493">
            <v>0</v>
          </cell>
          <cell r="T6493">
            <v>0</v>
          </cell>
          <cell r="U6493">
            <v>0</v>
          </cell>
          <cell r="V6493">
            <v>0</v>
          </cell>
          <cell r="W6493">
            <v>0</v>
          </cell>
          <cell r="X6493">
            <v>0</v>
          </cell>
          <cell r="Y6493">
            <v>0</v>
          </cell>
          <cell r="Z6493">
            <v>0</v>
          </cell>
        </row>
        <row r="6494">
          <cell r="D6494">
            <v>304983</v>
          </cell>
          <cell r="E6494" t="str">
            <v>Butig National High School</v>
          </cell>
          <cell r="F6494">
            <v>0</v>
          </cell>
          <cell r="G6494">
            <v>0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>
            <v>0</v>
          </cell>
          <cell r="M6494">
            <v>0</v>
          </cell>
          <cell r="N6494">
            <v>0</v>
          </cell>
          <cell r="O6494">
            <v>0</v>
          </cell>
          <cell r="P6494">
            <v>0</v>
          </cell>
          <cell r="Q6494">
            <v>0</v>
          </cell>
          <cell r="R6494">
            <v>0</v>
          </cell>
          <cell r="S6494">
            <v>0</v>
          </cell>
          <cell r="T6494">
            <v>0</v>
          </cell>
          <cell r="U6494">
            <v>0</v>
          </cell>
          <cell r="V6494">
            <v>0</v>
          </cell>
          <cell r="W6494">
            <v>0</v>
          </cell>
          <cell r="X6494">
            <v>0</v>
          </cell>
          <cell r="Y6494">
            <v>0</v>
          </cell>
          <cell r="Z6494">
            <v>0</v>
          </cell>
        </row>
        <row r="6495">
          <cell r="D6495">
            <v>324708</v>
          </cell>
          <cell r="E6495" t="str">
            <v>Sultan Mangalampa Daing NHS</v>
          </cell>
          <cell r="F6495">
            <v>0</v>
          </cell>
          <cell r="G6495">
            <v>0</v>
          </cell>
          <cell r="H6495">
            <v>0</v>
          </cell>
          <cell r="I6495">
            <v>0</v>
          </cell>
          <cell r="J6495">
            <v>0</v>
          </cell>
          <cell r="K6495">
            <v>0</v>
          </cell>
          <cell r="L6495">
            <v>0</v>
          </cell>
          <cell r="M6495">
            <v>0</v>
          </cell>
          <cell r="N6495">
            <v>0</v>
          </cell>
          <cell r="O6495">
            <v>0</v>
          </cell>
          <cell r="P6495">
            <v>0</v>
          </cell>
          <cell r="Q6495">
            <v>0</v>
          </cell>
          <cell r="R6495">
            <v>0</v>
          </cell>
          <cell r="S6495">
            <v>0</v>
          </cell>
          <cell r="T6495">
            <v>0</v>
          </cell>
          <cell r="U6495">
            <v>0</v>
          </cell>
          <cell r="V6495">
            <v>0</v>
          </cell>
          <cell r="W6495">
            <v>0</v>
          </cell>
          <cell r="X6495">
            <v>0</v>
          </cell>
          <cell r="Y6495">
            <v>0</v>
          </cell>
          <cell r="Z6495">
            <v>0</v>
          </cell>
        </row>
        <row r="6496">
          <cell r="D6496">
            <v>304982</v>
          </cell>
          <cell r="E6496" t="str">
            <v>Bayang NHS</v>
          </cell>
          <cell r="F6496">
            <v>0</v>
          </cell>
          <cell r="G6496">
            <v>0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>
            <v>0</v>
          </cell>
          <cell r="M6496">
            <v>0</v>
          </cell>
          <cell r="N6496">
            <v>0</v>
          </cell>
          <cell r="O6496">
            <v>0</v>
          </cell>
          <cell r="P6496">
            <v>0</v>
          </cell>
          <cell r="Q6496">
            <v>0</v>
          </cell>
          <cell r="R6496">
            <v>0</v>
          </cell>
          <cell r="S6496">
            <v>0</v>
          </cell>
          <cell r="T6496">
            <v>0</v>
          </cell>
          <cell r="U6496">
            <v>0</v>
          </cell>
          <cell r="V6496">
            <v>0</v>
          </cell>
          <cell r="W6496">
            <v>0</v>
          </cell>
          <cell r="X6496">
            <v>0</v>
          </cell>
          <cell r="Y6496">
            <v>0</v>
          </cell>
          <cell r="Z6496">
            <v>0</v>
          </cell>
        </row>
        <row r="6497">
          <cell r="D6497">
            <v>304988</v>
          </cell>
          <cell r="E6497" t="str">
            <v>Lakitan National High School</v>
          </cell>
          <cell r="F6497">
            <v>0</v>
          </cell>
          <cell r="G6497">
            <v>0</v>
          </cell>
          <cell r="H6497">
            <v>0</v>
          </cell>
          <cell r="I6497">
            <v>0</v>
          </cell>
          <cell r="J6497">
            <v>0</v>
          </cell>
          <cell r="K6497">
            <v>0</v>
          </cell>
          <cell r="L6497">
            <v>0</v>
          </cell>
          <cell r="M6497">
            <v>0</v>
          </cell>
          <cell r="N6497">
            <v>0</v>
          </cell>
          <cell r="O6497">
            <v>0</v>
          </cell>
          <cell r="P6497">
            <v>0</v>
          </cell>
          <cell r="Q6497">
            <v>0</v>
          </cell>
          <cell r="R6497">
            <v>0</v>
          </cell>
          <cell r="S6497">
            <v>0</v>
          </cell>
          <cell r="T6497">
            <v>0</v>
          </cell>
          <cell r="U6497">
            <v>0</v>
          </cell>
          <cell r="V6497">
            <v>0</v>
          </cell>
          <cell r="W6497">
            <v>0</v>
          </cell>
          <cell r="X6497">
            <v>0</v>
          </cell>
          <cell r="Y6497">
            <v>0</v>
          </cell>
          <cell r="Z6497">
            <v>0</v>
          </cell>
        </row>
        <row r="6498">
          <cell r="D6498">
            <v>304998</v>
          </cell>
          <cell r="E6498" t="str">
            <v>Tugaya National High School</v>
          </cell>
          <cell r="F6498">
            <v>0</v>
          </cell>
          <cell r="G6498">
            <v>0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>
            <v>0</v>
          </cell>
          <cell r="M6498">
            <v>0</v>
          </cell>
          <cell r="N6498">
            <v>0</v>
          </cell>
          <cell r="O6498">
            <v>0</v>
          </cell>
          <cell r="P6498">
            <v>0</v>
          </cell>
          <cell r="Q6498">
            <v>0</v>
          </cell>
          <cell r="R6498">
            <v>0</v>
          </cell>
          <cell r="S6498">
            <v>0</v>
          </cell>
          <cell r="T6498">
            <v>0</v>
          </cell>
          <cell r="U6498">
            <v>0</v>
          </cell>
          <cell r="V6498">
            <v>0</v>
          </cell>
          <cell r="W6498">
            <v>0</v>
          </cell>
          <cell r="X6498">
            <v>0</v>
          </cell>
          <cell r="Y6498">
            <v>0</v>
          </cell>
          <cell r="Z6498">
            <v>0</v>
          </cell>
        </row>
        <row r="6499">
          <cell r="D6499">
            <v>318201</v>
          </cell>
          <cell r="E6499" t="str">
            <v>Mauyag C. Papandayan SHS</v>
          </cell>
          <cell r="F6499">
            <v>0</v>
          </cell>
          <cell r="G6499">
            <v>0</v>
          </cell>
          <cell r="H6499">
            <v>0</v>
          </cell>
          <cell r="I6499">
            <v>0</v>
          </cell>
          <cell r="J6499">
            <v>0</v>
          </cell>
          <cell r="K6499">
            <v>0</v>
          </cell>
          <cell r="L6499">
            <v>0</v>
          </cell>
          <cell r="M6499">
            <v>0</v>
          </cell>
          <cell r="N6499">
            <v>0</v>
          </cell>
          <cell r="O6499">
            <v>0</v>
          </cell>
          <cell r="P6499">
            <v>0</v>
          </cell>
          <cell r="Q6499">
            <v>0</v>
          </cell>
          <cell r="R6499">
            <v>0</v>
          </cell>
          <cell r="S6499">
            <v>0</v>
          </cell>
          <cell r="T6499">
            <v>0</v>
          </cell>
          <cell r="U6499">
            <v>0</v>
          </cell>
          <cell r="V6499">
            <v>0</v>
          </cell>
          <cell r="W6499">
            <v>0</v>
          </cell>
          <cell r="X6499">
            <v>0</v>
          </cell>
          <cell r="Y6499">
            <v>0</v>
          </cell>
          <cell r="Z6499">
            <v>0</v>
          </cell>
        </row>
        <row r="6500">
          <cell r="D6500">
            <v>304994</v>
          </cell>
          <cell r="E6500" t="str">
            <v>Pualas National High School</v>
          </cell>
          <cell r="F6500">
            <v>0</v>
          </cell>
          <cell r="G6500">
            <v>0</v>
          </cell>
          <cell r="H6500">
            <v>0</v>
          </cell>
          <cell r="I6500">
            <v>0</v>
          </cell>
          <cell r="J6500">
            <v>0</v>
          </cell>
          <cell r="K6500">
            <v>0</v>
          </cell>
          <cell r="L6500">
            <v>0</v>
          </cell>
          <cell r="M6500">
            <v>0</v>
          </cell>
          <cell r="N6500">
            <v>0</v>
          </cell>
          <cell r="O6500">
            <v>0</v>
          </cell>
          <cell r="P6500">
            <v>0</v>
          </cell>
          <cell r="Q6500">
            <v>0</v>
          </cell>
          <cell r="R6500">
            <v>0</v>
          </cell>
          <cell r="S6500">
            <v>0</v>
          </cell>
          <cell r="T6500">
            <v>0</v>
          </cell>
          <cell r="U6500">
            <v>0</v>
          </cell>
          <cell r="V6500">
            <v>0</v>
          </cell>
          <cell r="W6500">
            <v>0</v>
          </cell>
          <cell r="X6500">
            <v>0</v>
          </cell>
          <cell r="Y6500">
            <v>0</v>
          </cell>
          <cell r="Z6500">
            <v>0</v>
          </cell>
        </row>
        <row r="6501">
          <cell r="D6501">
            <v>318220</v>
          </cell>
          <cell r="E6501" t="str">
            <v>Dilausan National High School</v>
          </cell>
          <cell r="F6501">
            <v>0</v>
          </cell>
          <cell r="G6501">
            <v>0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>
            <v>0</v>
          </cell>
          <cell r="M6501">
            <v>0</v>
          </cell>
          <cell r="N6501">
            <v>0</v>
          </cell>
          <cell r="O6501">
            <v>0</v>
          </cell>
          <cell r="P6501">
            <v>0</v>
          </cell>
          <cell r="Q6501">
            <v>0</v>
          </cell>
          <cell r="R6501">
            <v>0</v>
          </cell>
          <cell r="S6501">
            <v>0</v>
          </cell>
          <cell r="T6501">
            <v>0</v>
          </cell>
          <cell r="U6501">
            <v>0</v>
          </cell>
          <cell r="V6501">
            <v>0</v>
          </cell>
          <cell r="W6501">
            <v>0</v>
          </cell>
          <cell r="X6501">
            <v>0</v>
          </cell>
          <cell r="Y6501">
            <v>0</v>
          </cell>
          <cell r="Z6501">
            <v>0</v>
          </cell>
        </row>
        <row r="6502">
          <cell r="D6502">
            <v>304980</v>
          </cell>
          <cell r="E6502" t="str">
            <v>Bacolod-Kalawi National High School</v>
          </cell>
          <cell r="F6502">
            <v>0</v>
          </cell>
          <cell r="G6502">
            <v>0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0</v>
          </cell>
          <cell r="M6502">
            <v>0</v>
          </cell>
          <cell r="N6502">
            <v>0</v>
          </cell>
          <cell r="O6502">
            <v>0</v>
          </cell>
          <cell r="P6502">
            <v>0</v>
          </cell>
          <cell r="Q6502">
            <v>0</v>
          </cell>
          <cell r="R6502">
            <v>0</v>
          </cell>
          <cell r="S6502">
            <v>0</v>
          </cell>
          <cell r="T6502">
            <v>0</v>
          </cell>
          <cell r="U6502">
            <v>0</v>
          </cell>
          <cell r="V6502">
            <v>0</v>
          </cell>
          <cell r="W6502">
            <v>0</v>
          </cell>
          <cell r="X6502">
            <v>0</v>
          </cell>
          <cell r="Y6502">
            <v>0</v>
          </cell>
          <cell r="Z6502">
            <v>0</v>
          </cell>
        </row>
        <row r="6503">
          <cell r="D6503">
            <v>324710</v>
          </cell>
          <cell r="E6503" t="str">
            <v>Madalum NHS</v>
          </cell>
          <cell r="F6503">
            <v>0</v>
          </cell>
          <cell r="G6503">
            <v>0</v>
          </cell>
          <cell r="H6503">
            <v>0</v>
          </cell>
          <cell r="I6503">
            <v>0</v>
          </cell>
          <cell r="J6503">
            <v>0</v>
          </cell>
          <cell r="K6503">
            <v>0</v>
          </cell>
          <cell r="L6503">
            <v>0</v>
          </cell>
          <cell r="M6503">
            <v>0</v>
          </cell>
          <cell r="N6503">
            <v>0</v>
          </cell>
          <cell r="O6503">
            <v>0</v>
          </cell>
          <cell r="P6503">
            <v>0</v>
          </cell>
          <cell r="Q6503">
            <v>0</v>
          </cell>
          <cell r="R6503">
            <v>0</v>
          </cell>
          <cell r="S6503">
            <v>0</v>
          </cell>
          <cell r="T6503">
            <v>0</v>
          </cell>
          <cell r="U6503">
            <v>0</v>
          </cell>
          <cell r="V6503">
            <v>0</v>
          </cell>
          <cell r="W6503">
            <v>0</v>
          </cell>
          <cell r="X6503">
            <v>0</v>
          </cell>
          <cell r="Y6503">
            <v>0</v>
          </cell>
          <cell r="Z6503">
            <v>0</v>
          </cell>
        </row>
        <row r="6504">
          <cell r="D6504">
            <v>324704</v>
          </cell>
          <cell r="E6504" t="str">
            <v>Mamenting Memorial National High School</v>
          </cell>
          <cell r="F6504">
            <v>0</v>
          </cell>
          <cell r="G6504">
            <v>0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>
            <v>0</v>
          </cell>
          <cell r="M6504">
            <v>0</v>
          </cell>
          <cell r="N6504">
            <v>0</v>
          </cell>
          <cell r="O6504">
            <v>0</v>
          </cell>
          <cell r="P6504">
            <v>0</v>
          </cell>
          <cell r="Q6504">
            <v>0</v>
          </cell>
          <cell r="R6504">
            <v>0</v>
          </cell>
          <cell r="S6504">
            <v>0</v>
          </cell>
          <cell r="T6504">
            <v>0</v>
          </cell>
          <cell r="U6504">
            <v>0</v>
          </cell>
          <cell r="V6504">
            <v>0</v>
          </cell>
          <cell r="W6504">
            <v>0</v>
          </cell>
          <cell r="X6504">
            <v>0</v>
          </cell>
          <cell r="Y6504">
            <v>0</v>
          </cell>
          <cell r="Z6504">
            <v>0</v>
          </cell>
        </row>
        <row r="6505">
          <cell r="D6505">
            <v>324712</v>
          </cell>
          <cell r="E6505" t="str">
            <v>Datu Raquib Zainodin National Highschool</v>
          </cell>
          <cell r="F6505">
            <v>0</v>
          </cell>
          <cell r="G6505">
            <v>0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>
            <v>0</v>
          </cell>
          <cell r="M6505">
            <v>0</v>
          </cell>
          <cell r="N6505">
            <v>0</v>
          </cell>
          <cell r="O6505">
            <v>0</v>
          </cell>
          <cell r="P6505">
            <v>0</v>
          </cell>
          <cell r="Q6505">
            <v>0</v>
          </cell>
          <cell r="R6505">
            <v>0</v>
          </cell>
          <cell r="S6505">
            <v>0</v>
          </cell>
          <cell r="T6505">
            <v>0</v>
          </cell>
          <cell r="U6505">
            <v>0</v>
          </cell>
          <cell r="V6505">
            <v>0</v>
          </cell>
          <cell r="W6505">
            <v>0</v>
          </cell>
          <cell r="X6505">
            <v>0</v>
          </cell>
          <cell r="Y6505">
            <v>0</v>
          </cell>
          <cell r="Z6505">
            <v>0</v>
          </cell>
        </row>
        <row r="6506">
          <cell r="D6506">
            <v>324709</v>
          </cell>
          <cell r="E6506" t="str">
            <v>Ganassi NHS</v>
          </cell>
          <cell r="F6506">
            <v>0</v>
          </cell>
          <cell r="G6506">
            <v>0</v>
          </cell>
          <cell r="H6506">
            <v>0</v>
          </cell>
          <cell r="I6506">
            <v>0</v>
          </cell>
          <cell r="J6506">
            <v>0</v>
          </cell>
          <cell r="K6506">
            <v>0</v>
          </cell>
          <cell r="L6506">
            <v>0</v>
          </cell>
          <cell r="M6506">
            <v>0</v>
          </cell>
          <cell r="N6506">
            <v>0</v>
          </cell>
          <cell r="O6506">
            <v>0</v>
          </cell>
          <cell r="P6506">
            <v>0</v>
          </cell>
          <cell r="Q6506">
            <v>0</v>
          </cell>
          <cell r="R6506">
            <v>0</v>
          </cell>
          <cell r="S6506">
            <v>0</v>
          </cell>
          <cell r="T6506">
            <v>0</v>
          </cell>
          <cell r="U6506">
            <v>0</v>
          </cell>
          <cell r="V6506">
            <v>0</v>
          </cell>
          <cell r="W6506">
            <v>0</v>
          </cell>
          <cell r="X6506">
            <v>0</v>
          </cell>
          <cell r="Y6506">
            <v>0</v>
          </cell>
          <cell r="Z6506">
            <v>0</v>
          </cell>
        </row>
        <row r="6507">
          <cell r="D6507">
            <v>305014</v>
          </cell>
          <cell r="E6507" t="str">
            <v>Maguindanao NHS</v>
          </cell>
          <cell r="F6507">
            <v>0</v>
          </cell>
          <cell r="G6507">
            <v>0</v>
          </cell>
          <cell r="H6507">
            <v>0</v>
          </cell>
          <cell r="I6507">
            <v>0</v>
          </cell>
          <cell r="J6507">
            <v>0</v>
          </cell>
          <cell r="K6507">
            <v>0</v>
          </cell>
          <cell r="L6507">
            <v>0</v>
          </cell>
          <cell r="M6507">
            <v>0</v>
          </cell>
          <cell r="N6507">
            <v>0</v>
          </cell>
          <cell r="O6507">
            <v>0</v>
          </cell>
          <cell r="P6507">
            <v>0</v>
          </cell>
          <cell r="Q6507">
            <v>0</v>
          </cell>
          <cell r="R6507">
            <v>0</v>
          </cell>
          <cell r="S6507">
            <v>0</v>
          </cell>
          <cell r="T6507">
            <v>0</v>
          </cell>
          <cell r="U6507">
            <v>0</v>
          </cell>
          <cell r="V6507">
            <v>0</v>
          </cell>
          <cell r="W6507">
            <v>0</v>
          </cell>
          <cell r="X6507">
            <v>0</v>
          </cell>
          <cell r="Y6507">
            <v>0</v>
          </cell>
          <cell r="Z6507">
            <v>0</v>
          </cell>
        </row>
        <row r="6508">
          <cell r="D6508">
            <v>305001</v>
          </cell>
          <cell r="E6508" t="str">
            <v>Balungis NHS</v>
          </cell>
          <cell r="F6508">
            <v>0</v>
          </cell>
          <cell r="G6508">
            <v>0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>
            <v>0</v>
          </cell>
          <cell r="M6508">
            <v>0</v>
          </cell>
          <cell r="N6508">
            <v>0</v>
          </cell>
          <cell r="O6508">
            <v>0</v>
          </cell>
          <cell r="P6508">
            <v>0</v>
          </cell>
          <cell r="Q6508">
            <v>0</v>
          </cell>
          <cell r="R6508">
            <v>0</v>
          </cell>
          <cell r="S6508">
            <v>0</v>
          </cell>
          <cell r="T6508">
            <v>0</v>
          </cell>
          <cell r="U6508">
            <v>0</v>
          </cell>
          <cell r="V6508">
            <v>0</v>
          </cell>
          <cell r="W6508">
            <v>0</v>
          </cell>
          <cell r="X6508">
            <v>0</v>
          </cell>
          <cell r="Y6508">
            <v>0</v>
          </cell>
          <cell r="Z6508">
            <v>0</v>
          </cell>
        </row>
        <row r="6509">
          <cell r="D6509">
            <v>305006</v>
          </cell>
          <cell r="E6509" t="str">
            <v>Datu Udtog Matalam Sr. MNHS</v>
          </cell>
          <cell r="F6509">
            <v>0</v>
          </cell>
          <cell r="G6509">
            <v>0</v>
          </cell>
          <cell r="H6509">
            <v>0</v>
          </cell>
          <cell r="I6509">
            <v>0</v>
          </cell>
          <cell r="J6509">
            <v>0</v>
          </cell>
          <cell r="K6509">
            <v>0</v>
          </cell>
          <cell r="L6509">
            <v>0</v>
          </cell>
          <cell r="M6509">
            <v>0</v>
          </cell>
          <cell r="N6509">
            <v>0</v>
          </cell>
          <cell r="O6509">
            <v>0</v>
          </cell>
          <cell r="P6509">
            <v>0</v>
          </cell>
          <cell r="Q6509">
            <v>0</v>
          </cell>
          <cell r="R6509">
            <v>0</v>
          </cell>
          <cell r="S6509">
            <v>0</v>
          </cell>
          <cell r="T6509">
            <v>0</v>
          </cell>
          <cell r="U6509">
            <v>0</v>
          </cell>
          <cell r="V6509">
            <v>0</v>
          </cell>
          <cell r="W6509">
            <v>0</v>
          </cell>
          <cell r="X6509">
            <v>0</v>
          </cell>
          <cell r="Y6509">
            <v>0</v>
          </cell>
          <cell r="Z6509">
            <v>0</v>
          </cell>
        </row>
        <row r="6510">
          <cell r="D6510">
            <v>318336</v>
          </cell>
          <cell r="E6510" t="str">
            <v>Pandag NHS</v>
          </cell>
          <cell r="F6510">
            <v>0</v>
          </cell>
          <cell r="G6510">
            <v>0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>
            <v>0</v>
          </cell>
          <cell r="M6510">
            <v>0</v>
          </cell>
          <cell r="N6510">
            <v>0</v>
          </cell>
          <cell r="O6510">
            <v>0</v>
          </cell>
          <cell r="P6510">
            <v>0</v>
          </cell>
          <cell r="Q6510">
            <v>0</v>
          </cell>
          <cell r="R6510">
            <v>0</v>
          </cell>
          <cell r="S6510">
            <v>0</v>
          </cell>
          <cell r="T6510">
            <v>0</v>
          </cell>
          <cell r="U6510">
            <v>0</v>
          </cell>
          <cell r="V6510">
            <v>0</v>
          </cell>
          <cell r="W6510">
            <v>0</v>
          </cell>
          <cell r="X6510">
            <v>0</v>
          </cell>
          <cell r="Y6510">
            <v>0</v>
          </cell>
          <cell r="Z6510">
            <v>0</v>
          </cell>
        </row>
        <row r="6511">
          <cell r="D6511">
            <v>305027</v>
          </cell>
          <cell r="E6511" t="str">
            <v>Talayan NHS</v>
          </cell>
          <cell r="F6511">
            <v>149</v>
          </cell>
          <cell r="G6511">
            <v>79</v>
          </cell>
          <cell r="H6511">
            <v>228</v>
          </cell>
          <cell r="I6511">
            <v>10</v>
          </cell>
          <cell r="J6511">
            <v>12</v>
          </cell>
          <cell r="K6511">
            <v>22</v>
          </cell>
          <cell r="L6511">
            <v>0</v>
          </cell>
          <cell r="M6511">
            <v>0</v>
          </cell>
          <cell r="N6511">
            <v>0</v>
          </cell>
          <cell r="O6511">
            <v>4</v>
          </cell>
          <cell r="P6511">
            <v>5</v>
          </cell>
          <cell r="Q6511">
            <v>9</v>
          </cell>
          <cell r="R6511">
            <v>0</v>
          </cell>
          <cell r="S6511">
            <v>0</v>
          </cell>
          <cell r="T6511">
            <v>0</v>
          </cell>
          <cell r="U6511">
            <v>0</v>
          </cell>
          <cell r="V6511">
            <v>0</v>
          </cell>
          <cell r="W6511">
            <v>0</v>
          </cell>
          <cell r="X6511">
            <v>0</v>
          </cell>
          <cell r="Y6511">
            <v>0</v>
          </cell>
          <cell r="Z6511">
            <v>0</v>
          </cell>
        </row>
        <row r="6512">
          <cell r="D6512">
            <v>305005</v>
          </cell>
          <cell r="E6512" t="str">
            <v>Datu Piang NHS</v>
          </cell>
          <cell r="F6512">
            <v>20</v>
          </cell>
          <cell r="G6512">
            <v>31</v>
          </cell>
          <cell r="H6512">
            <v>51</v>
          </cell>
          <cell r="I6512">
            <v>1</v>
          </cell>
          <cell r="J6512">
            <v>2</v>
          </cell>
          <cell r="K6512">
            <v>3</v>
          </cell>
          <cell r="L6512">
            <v>1</v>
          </cell>
          <cell r="M6512">
            <v>0</v>
          </cell>
          <cell r="N6512">
            <v>1</v>
          </cell>
          <cell r="O6512">
            <v>1</v>
          </cell>
          <cell r="P6512">
            <v>3</v>
          </cell>
          <cell r="Q6512">
            <v>4</v>
          </cell>
          <cell r="R6512">
            <v>0</v>
          </cell>
          <cell r="S6512">
            <v>1</v>
          </cell>
          <cell r="T6512">
            <v>1</v>
          </cell>
          <cell r="U6512">
            <v>0</v>
          </cell>
          <cell r="V6512">
            <v>0</v>
          </cell>
          <cell r="W6512">
            <v>0</v>
          </cell>
          <cell r="X6512">
            <v>0</v>
          </cell>
          <cell r="Y6512">
            <v>0</v>
          </cell>
          <cell r="Z6512">
            <v>0</v>
          </cell>
        </row>
        <row r="6513">
          <cell r="D6513">
            <v>318333</v>
          </cell>
          <cell r="E6513" t="str">
            <v>Katong Madidis NHS</v>
          </cell>
          <cell r="F6513">
            <v>0</v>
          </cell>
          <cell r="G6513">
            <v>0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>
            <v>0</v>
          </cell>
          <cell r="M6513">
            <v>0</v>
          </cell>
          <cell r="N6513">
            <v>0</v>
          </cell>
          <cell r="O6513">
            <v>0</v>
          </cell>
          <cell r="P6513">
            <v>0</v>
          </cell>
          <cell r="Q6513">
            <v>0</v>
          </cell>
          <cell r="R6513">
            <v>0</v>
          </cell>
          <cell r="S6513">
            <v>0</v>
          </cell>
          <cell r="T6513">
            <v>0</v>
          </cell>
          <cell r="U6513">
            <v>0</v>
          </cell>
          <cell r="V6513">
            <v>0</v>
          </cell>
          <cell r="W6513">
            <v>0</v>
          </cell>
          <cell r="X6513">
            <v>0</v>
          </cell>
          <cell r="Y6513">
            <v>0</v>
          </cell>
          <cell r="Z6513">
            <v>0</v>
          </cell>
        </row>
        <row r="6514">
          <cell r="D6514">
            <v>305012</v>
          </cell>
          <cell r="E6514" t="str">
            <v>Kauran NHS</v>
          </cell>
          <cell r="F6514">
            <v>0</v>
          </cell>
          <cell r="G6514">
            <v>0</v>
          </cell>
          <cell r="H6514">
            <v>0</v>
          </cell>
          <cell r="I6514">
            <v>0</v>
          </cell>
          <cell r="J6514">
            <v>0</v>
          </cell>
          <cell r="K6514">
            <v>0</v>
          </cell>
          <cell r="L6514">
            <v>0</v>
          </cell>
          <cell r="M6514">
            <v>0</v>
          </cell>
          <cell r="N6514">
            <v>0</v>
          </cell>
          <cell r="O6514">
            <v>0</v>
          </cell>
          <cell r="P6514">
            <v>0</v>
          </cell>
          <cell r="Q6514">
            <v>0</v>
          </cell>
          <cell r="R6514">
            <v>0</v>
          </cell>
          <cell r="S6514">
            <v>0</v>
          </cell>
          <cell r="T6514">
            <v>0</v>
          </cell>
          <cell r="U6514">
            <v>0</v>
          </cell>
          <cell r="V6514">
            <v>0</v>
          </cell>
          <cell r="W6514">
            <v>0</v>
          </cell>
          <cell r="X6514">
            <v>0</v>
          </cell>
          <cell r="Y6514">
            <v>0</v>
          </cell>
          <cell r="Z6514">
            <v>0</v>
          </cell>
        </row>
        <row r="6515">
          <cell r="D6515">
            <v>318307</v>
          </cell>
          <cell r="E6515" t="str">
            <v>Buluan NHS</v>
          </cell>
          <cell r="F6515">
            <v>0</v>
          </cell>
          <cell r="G6515">
            <v>3</v>
          </cell>
          <cell r="H6515">
            <v>3</v>
          </cell>
          <cell r="I6515">
            <v>0</v>
          </cell>
          <cell r="J6515">
            <v>0</v>
          </cell>
          <cell r="K6515">
            <v>0</v>
          </cell>
          <cell r="L6515">
            <v>0</v>
          </cell>
          <cell r="M6515">
            <v>0</v>
          </cell>
          <cell r="N6515">
            <v>0</v>
          </cell>
          <cell r="O6515">
            <v>0</v>
          </cell>
          <cell r="P6515">
            <v>0</v>
          </cell>
          <cell r="Q6515">
            <v>0</v>
          </cell>
          <cell r="R6515">
            <v>0</v>
          </cell>
          <cell r="S6515">
            <v>0</v>
          </cell>
          <cell r="T6515">
            <v>0</v>
          </cell>
          <cell r="U6515">
            <v>0</v>
          </cell>
          <cell r="V6515">
            <v>0</v>
          </cell>
          <cell r="W6515">
            <v>0</v>
          </cell>
          <cell r="X6515">
            <v>0</v>
          </cell>
          <cell r="Y6515">
            <v>0</v>
          </cell>
          <cell r="Z6515">
            <v>0</v>
          </cell>
        </row>
        <row r="6516">
          <cell r="D6516">
            <v>305009</v>
          </cell>
          <cell r="E6516" t="str">
            <v>Gen. Salipada K. Pendatun NHS</v>
          </cell>
          <cell r="F6516">
            <v>0</v>
          </cell>
          <cell r="G6516">
            <v>0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>
            <v>0</v>
          </cell>
          <cell r="M6516">
            <v>0</v>
          </cell>
          <cell r="N6516">
            <v>0</v>
          </cell>
          <cell r="O6516">
            <v>0</v>
          </cell>
          <cell r="P6516">
            <v>0</v>
          </cell>
          <cell r="Q6516">
            <v>0</v>
          </cell>
          <cell r="R6516">
            <v>0</v>
          </cell>
          <cell r="S6516">
            <v>0</v>
          </cell>
          <cell r="T6516">
            <v>0</v>
          </cell>
          <cell r="U6516">
            <v>0</v>
          </cell>
          <cell r="V6516">
            <v>0</v>
          </cell>
          <cell r="W6516">
            <v>0</v>
          </cell>
          <cell r="X6516">
            <v>0</v>
          </cell>
          <cell r="Y6516">
            <v>0</v>
          </cell>
          <cell r="Z6516">
            <v>0</v>
          </cell>
        </row>
        <row r="6517">
          <cell r="D6517">
            <v>305028</v>
          </cell>
          <cell r="E6517" t="str">
            <v>Tunggol NHS</v>
          </cell>
          <cell r="F6517">
            <v>0</v>
          </cell>
          <cell r="G6517">
            <v>0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>
            <v>0</v>
          </cell>
          <cell r="M6517">
            <v>0</v>
          </cell>
          <cell r="N6517">
            <v>0</v>
          </cell>
          <cell r="O6517">
            <v>0</v>
          </cell>
          <cell r="P6517">
            <v>0</v>
          </cell>
          <cell r="Q6517">
            <v>0</v>
          </cell>
          <cell r="R6517">
            <v>0</v>
          </cell>
          <cell r="S6517">
            <v>0</v>
          </cell>
          <cell r="T6517">
            <v>0</v>
          </cell>
          <cell r="U6517">
            <v>0</v>
          </cell>
          <cell r="V6517">
            <v>0</v>
          </cell>
          <cell r="W6517">
            <v>0</v>
          </cell>
          <cell r="X6517">
            <v>0</v>
          </cell>
          <cell r="Y6517">
            <v>0</v>
          </cell>
          <cell r="Z6517">
            <v>0</v>
          </cell>
        </row>
        <row r="6518">
          <cell r="D6518">
            <v>318304</v>
          </cell>
          <cell r="E6518" t="str">
            <v>Bulod NHS</v>
          </cell>
          <cell r="F6518">
            <v>0</v>
          </cell>
          <cell r="G6518">
            <v>0</v>
          </cell>
          <cell r="H6518">
            <v>0</v>
          </cell>
          <cell r="I6518">
            <v>0</v>
          </cell>
          <cell r="J6518">
            <v>0</v>
          </cell>
          <cell r="K6518">
            <v>0</v>
          </cell>
          <cell r="L6518">
            <v>0</v>
          </cell>
          <cell r="M6518">
            <v>0</v>
          </cell>
          <cell r="N6518">
            <v>0</v>
          </cell>
          <cell r="O6518">
            <v>0</v>
          </cell>
          <cell r="P6518">
            <v>0</v>
          </cell>
          <cell r="Q6518">
            <v>0</v>
          </cell>
          <cell r="R6518">
            <v>0</v>
          </cell>
          <cell r="S6518">
            <v>0</v>
          </cell>
          <cell r="T6518">
            <v>0</v>
          </cell>
          <cell r="U6518">
            <v>0</v>
          </cell>
          <cell r="V6518">
            <v>0</v>
          </cell>
          <cell r="W6518">
            <v>0</v>
          </cell>
          <cell r="X6518">
            <v>0</v>
          </cell>
          <cell r="Y6518">
            <v>0</v>
          </cell>
          <cell r="Z6518">
            <v>0</v>
          </cell>
        </row>
        <row r="6519">
          <cell r="D6519">
            <v>305026</v>
          </cell>
          <cell r="E6519" t="str">
            <v>Mamasapano NHS</v>
          </cell>
          <cell r="F6519">
            <v>60</v>
          </cell>
          <cell r="G6519">
            <v>42</v>
          </cell>
          <cell r="H6519">
            <v>102</v>
          </cell>
          <cell r="I6519">
            <v>10</v>
          </cell>
          <cell r="J6519">
            <v>2</v>
          </cell>
          <cell r="K6519">
            <v>12</v>
          </cell>
          <cell r="L6519">
            <v>12</v>
          </cell>
          <cell r="M6519">
            <v>2</v>
          </cell>
          <cell r="N6519">
            <v>14</v>
          </cell>
          <cell r="O6519">
            <v>0</v>
          </cell>
          <cell r="P6519">
            <v>0</v>
          </cell>
          <cell r="Q6519">
            <v>0</v>
          </cell>
          <cell r="R6519">
            <v>60</v>
          </cell>
          <cell r="S6519">
            <v>0</v>
          </cell>
          <cell r="T6519">
            <v>60</v>
          </cell>
          <cell r="U6519">
            <v>0</v>
          </cell>
          <cell r="V6519">
            <v>0</v>
          </cell>
          <cell r="W6519">
            <v>0</v>
          </cell>
          <cell r="X6519">
            <v>0</v>
          </cell>
          <cell r="Y6519">
            <v>0</v>
          </cell>
          <cell r="Z6519">
            <v>0</v>
          </cell>
        </row>
        <row r="6520">
          <cell r="D6520">
            <v>318308</v>
          </cell>
          <cell r="E6520" t="str">
            <v>Kilangan NHS</v>
          </cell>
          <cell r="F6520">
            <v>0</v>
          </cell>
          <cell r="G6520">
            <v>0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>
            <v>0</v>
          </cell>
          <cell r="M6520">
            <v>0</v>
          </cell>
          <cell r="N6520">
            <v>0</v>
          </cell>
          <cell r="O6520">
            <v>0</v>
          </cell>
          <cell r="P6520">
            <v>0</v>
          </cell>
          <cell r="Q6520">
            <v>0</v>
          </cell>
          <cell r="R6520">
            <v>0</v>
          </cell>
          <cell r="S6520">
            <v>0</v>
          </cell>
          <cell r="T6520">
            <v>0</v>
          </cell>
          <cell r="U6520">
            <v>0</v>
          </cell>
          <cell r="V6520">
            <v>0</v>
          </cell>
          <cell r="W6520">
            <v>0</v>
          </cell>
          <cell r="X6520">
            <v>0</v>
          </cell>
          <cell r="Y6520">
            <v>0</v>
          </cell>
          <cell r="Z6520">
            <v>0</v>
          </cell>
        </row>
        <row r="6521">
          <cell r="D6521">
            <v>318312</v>
          </cell>
          <cell r="E6521" t="str">
            <v>Datu Tahir Ampatuan NHS</v>
          </cell>
          <cell r="F6521">
            <v>0</v>
          </cell>
          <cell r="G6521">
            <v>0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>
            <v>0</v>
          </cell>
          <cell r="M6521">
            <v>0</v>
          </cell>
          <cell r="N6521">
            <v>0</v>
          </cell>
          <cell r="O6521">
            <v>0</v>
          </cell>
          <cell r="P6521">
            <v>0</v>
          </cell>
          <cell r="Q6521">
            <v>0</v>
          </cell>
          <cell r="R6521">
            <v>0</v>
          </cell>
          <cell r="S6521">
            <v>0</v>
          </cell>
          <cell r="T6521">
            <v>0</v>
          </cell>
          <cell r="U6521">
            <v>0</v>
          </cell>
          <cell r="V6521">
            <v>0</v>
          </cell>
          <cell r="W6521">
            <v>0</v>
          </cell>
          <cell r="X6521">
            <v>0</v>
          </cell>
          <cell r="Y6521">
            <v>0</v>
          </cell>
          <cell r="Z6521">
            <v>0</v>
          </cell>
        </row>
        <row r="6522">
          <cell r="D6522">
            <v>318341</v>
          </cell>
          <cell r="E6522" t="str">
            <v>Hadji Salik Kalaing NHS</v>
          </cell>
          <cell r="F6522">
            <v>0</v>
          </cell>
          <cell r="G6522">
            <v>0</v>
          </cell>
          <cell r="H6522">
            <v>0</v>
          </cell>
          <cell r="I6522">
            <v>0</v>
          </cell>
          <cell r="J6522">
            <v>0</v>
          </cell>
          <cell r="K6522">
            <v>0</v>
          </cell>
          <cell r="L6522">
            <v>0</v>
          </cell>
          <cell r="M6522">
            <v>0</v>
          </cell>
          <cell r="N6522">
            <v>0</v>
          </cell>
          <cell r="O6522">
            <v>0</v>
          </cell>
          <cell r="P6522">
            <v>0</v>
          </cell>
          <cell r="Q6522">
            <v>0</v>
          </cell>
          <cell r="R6522">
            <v>0</v>
          </cell>
          <cell r="S6522">
            <v>0</v>
          </cell>
          <cell r="T6522">
            <v>0</v>
          </cell>
          <cell r="U6522">
            <v>0</v>
          </cell>
          <cell r="V6522">
            <v>0</v>
          </cell>
          <cell r="W6522">
            <v>0</v>
          </cell>
          <cell r="X6522">
            <v>0</v>
          </cell>
          <cell r="Y6522">
            <v>0</v>
          </cell>
          <cell r="Z6522">
            <v>0</v>
          </cell>
        </row>
        <row r="6523">
          <cell r="D6523">
            <v>318314</v>
          </cell>
          <cell r="E6523" t="str">
            <v>Datu Sailila NHS</v>
          </cell>
          <cell r="F6523">
            <v>0</v>
          </cell>
          <cell r="G6523">
            <v>0</v>
          </cell>
          <cell r="H6523">
            <v>0</v>
          </cell>
          <cell r="I6523">
            <v>0</v>
          </cell>
          <cell r="J6523">
            <v>0</v>
          </cell>
          <cell r="K6523">
            <v>0</v>
          </cell>
          <cell r="L6523">
            <v>0</v>
          </cell>
          <cell r="M6523">
            <v>0</v>
          </cell>
          <cell r="N6523">
            <v>0</v>
          </cell>
          <cell r="O6523">
            <v>0</v>
          </cell>
          <cell r="P6523">
            <v>0</v>
          </cell>
          <cell r="Q6523">
            <v>0</v>
          </cell>
          <cell r="R6523">
            <v>0</v>
          </cell>
          <cell r="S6523">
            <v>0</v>
          </cell>
          <cell r="T6523">
            <v>0</v>
          </cell>
          <cell r="U6523">
            <v>0</v>
          </cell>
          <cell r="V6523">
            <v>0</v>
          </cell>
          <cell r="W6523">
            <v>0</v>
          </cell>
          <cell r="X6523">
            <v>0</v>
          </cell>
          <cell r="Y6523">
            <v>0</v>
          </cell>
          <cell r="Z6523">
            <v>0</v>
          </cell>
        </row>
        <row r="6524">
          <cell r="D6524">
            <v>318322</v>
          </cell>
          <cell r="E6524" t="str">
            <v>Datu Abdula M. Camino MNHS</v>
          </cell>
          <cell r="F6524">
            <v>0</v>
          </cell>
          <cell r="G6524">
            <v>0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>
            <v>0</v>
          </cell>
          <cell r="M6524">
            <v>0</v>
          </cell>
          <cell r="N6524">
            <v>0</v>
          </cell>
          <cell r="O6524">
            <v>0</v>
          </cell>
          <cell r="P6524">
            <v>0</v>
          </cell>
          <cell r="Q6524">
            <v>0</v>
          </cell>
          <cell r="R6524">
            <v>0</v>
          </cell>
          <cell r="S6524">
            <v>0</v>
          </cell>
          <cell r="T6524">
            <v>0</v>
          </cell>
          <cell r="U6524">
            <v>0</v>
          </cell>
          <cell r="V6524">
            <v>0</v>
          </cell>
          <cell r="W6524">
            <v>0</v>
          </cell>
          <cell r="X6524">
            <v>0</v>
          </cell>
          <cell r="Y6524">
            <v>0</v>
          </cell>
          <cell r="Z6524">
            <v>0</v>
          </cell>
        </row>
        <row r="6525">
          <cell r="D6525">
            <v>304999</v>
          </cell>
          <cell r="E6525" t="str">
            <v>Ampatuan NHS</v>
          </cell>
          <cell r="F6525">
            <v>0</v>
          </cell>
          <cell r="G6525">
            <v>0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>
            <v>0</v>
          </cell>
          <cell r="M6525">
            <v>0</v>
          </cell>
          <cell r="N6525">
            <v>0</v>
          </cell>
          <cell r="O6525">
            <v>0</v>
          </cell>
          <cell r="P6525">
            <v>0</v>
          </cell>
          <cell r="Q6525">
            <v>0</v>
          </cell>
          <cell r="R6525">
            <v>0</v>
          </cell>
          <cell r="S6525">
            <v>0</v>
          </cell>
          <cell r="T6525">
            <v>0</v>
          </cell>
          <cell r="U6525">
            <v>0</v>
          </cell>
          <cell r="V6525">
            <v>0</v>
          </cell>
          <cell r="W6525">
            <v>0</v>
          </cell>
          <cell r="X6525">
            <v>0</v>
          </cell>
          <cell r="Y6525">
            <v>0</v>
          </cell>
          <cell r="Z6525">
            <v>0</v>
          </cell>
        </row>
        <row r="6526">
          <cell r="D6526">
            <v>318305</v>
          </cell>
          <cell r="E6526" t="str">
            <v>Datu Mamalo Memorial NHS</v>
          </cell>
          <cell r="F6526">
            <v>0</v>
          </cell>
          <cell r="G6526">
            <v>0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>
            <v>0</v>
          </cell>
          <cell r="M6526">
            <v>0</v>
          </cell>
          <cell r="N6526">
            <v>0</v>
          </cell>
          <cell r="O6526">
            <v>0</v>
          </cell>
          <cell r="P6526">
            <v>0</v>
          </cell>
          <cell r="Q6526">
            <v>0</v>
          </cell>
          <cell r="R6526">
            <v>0</v>
          </cell>
          <cell r="S6526">
            <v>0</v>
          </cell>
          <cell r="T6526">
            <v>0</v>
          </cell>
          <cell r="U6526">
            <v>0</v>
          </cell>
          <cell r="V6526">
            <v>0</v>
          </cell>
          <cell r="W6526">
            <v>0</v>
          </cell>
          <cell r="X6526">
            <v>0</v>
          </cell>
          <cell r="Y6526">
            <v>0</v>
          </cell>
          <cell r="Z6526">
            <v>0</v>
          </cell>
        </row>
        <row r="6527">
          <cell r="D6527">
            <v>305022</v>
          </cell>
          <cell r="E6527" t="str">
            <v>South Upi NHS</v>
          </cell>
          <cell r="F6527">
            <v>0</v>
          </cell>
          <cell r="G6527">
            <v>0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0</v>
          </cell>
          <cell r="M6527">
            <v>0</v>
          </cell>
          <cell r="N6527">
            <v>0</v>
          </cell>
          <cell r="O6527">
            <v>0</v>
          </cell>
          <cell r="P6527">
            <v>0</v>
          </cell>
          <cell r="Q6527">
            <v>0</v>
          </cell>
          <cell r="R6527">
            <v>0</v>
          </cell>
          <cell r="S6527">
            <v>0</v>
          </cell>
          <cell r="T6527">
            <v>0</v>
          </cell>
          <cell r="U6527">
            <v>0</v>
          </cell>
          <cell r="V6527">
            <v>0</v>
          </cell>
          <cell r="W6527">
            <v>0</v>
          </cell>
          <cell r="X6527">
            <v>0</v>
          </cell>
          <cell r="Y6527">
            <v>0</v>
          </cell>
          <cell r="Z6527">
            <v>0</v>
          </cell>
        </row>
        <row r="6528">
          <cell r="D6528">
            <v>318334</v>
          </cell>
          <cell r="E6528" t="str">
            <v>Mangudadatu NHS</v>
          </cell>
          <cell r="F6528">
            <v>0</v>
          </cell>
          <cell r="G6528">
            <v>0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0</v>
          </cell>
          <cell r="M6528">
            <v>0</v>
          </cell>
          <cell r="N6528">
            <v>0</v>
          </cell>
          <cell r="O6528">
            <v>0</v>
          </cell>
          <cell r="P6528">
            <v>0</v>
          </cell>
          <cell r="Q6528">
            <v>0</v>
          </cell>
          <cell r="R6528">
            <v>0</v>
          </cell>
          <cell r="S6528">
            <v>0</v>
          </cell>
          <cell r="T6528">
            <v>0</v>
          </cell>
          <cell r="U6528">
            <v>0</v>
          </cell>
          <cell r="V6528">
            <v>0</v>
          </cell>
          <cell r="W6528">
            <v>0</v>
          </cell>
          <cell r="X6528">
            <v>0</v>
          </cell>
          <cell r="Y6528">
            <v>0</v>
          </cell>
          <cell r="Z6528">
            <v>0</v>
          </cell>
        </row>
        <row r="6529">
          <cell r="D6529">
            <v>305010</v>
          </cell>
          <cell r="E6529" t="str">
            <v>Paglat NHS</v>
          </cell>
          <cell r="F6529">
            <v>0</v>
          </cell>
          <cell r="G6529">
            <v>0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>
            <v>0</v>
          </cell>
          <cell r="M6529">
            <v>0</v>
          </cell>
          <cell r="N6529">
            <v>0</v>
          </cell>
          <cell r="O6529">
            <v>0</v>
          </cell>
          <cell r="P6529">
            <v>0</v>
          </cell>
          <cell r="Q6529">
            <v>0</v>
          </cell>
          <cell r="R6529">
            <v>0</v>
          </cell>
          <cell r="S6529">
            <v>0</v>
          </cell>
          <cell r="T6529">
            <v>0</v>
          </cell>
          <cell r="U6529">
            <v>0</v>
          </cell>
          <cell r="V6529">
            <v>0</v>
          </cell>
          <cell r="W6529">
            <v>0</v>
          </cell>
          <cell r="X6529">
            <v>0</v>
          </cell>
          <cell r="Y6529">
            <v>0</v>
          </cell>
          <cell r="Z6529">
            <v>0</v>
          </cell>
        </row>
        <row r="6530">
          <cell r="D6530">
            <v>318323</v>
          </cell>
          <cell r="E6530" t="str">
            <v>Datu Unsay NHS</v>
          </cell>
          <cell r="F6530">
            <v>0</v>
          </cell>
          <cell r="G6530">
            <v>0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>
            <v>0</v>
          </cell>
          <cell r="M6530">
            <v>0</v>
          </cell>
          <cell r="N6530">
            <v>0</v>
          </cell>
          <cell r="O6530">
            <v>0</v>
          </cell>
          <cell r="P6530">
            <v>0</v>
          </cell>
          <cell r="Q6530">
            <v>0</v>
          </cell>
          <cell r="R6530">
            <v>0</v>
          </cell>
          <cell r="S6530">
            <v>0</v>
          </cell>
          <cell r="T6530">
            <v>0</v>
          </cell>
          <cell r="U6530">
            <v>0</v>
          </cell>
          <cell r="V6530">
            <v>0</v>
          </cell>
          <cell r="W6530">
            <v>0</v>
          </cell>
          <cell r="X6530">
            <v>0</v>
          </cell>
          <cell r="Y6530">
            <v>0</v>
          </cell>
          <cell r="Z6530">
            <v>0</v>
          </cell>
        </row>
        <row r="6531">
          <cell r="D6531">
            <v>318332</v>
          </cell>
          <cell r="E6531" t="str">
            <v>Manindolo NHS</v>
          </cell>
          <cell r="F6531">
            <v>0</v>
          </cell>
          <cell r="G6531">
            <v>0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>
            <v>0</v>
          </cell>
          <cell r="M6531">
            <v>0</v>
          </cell>
          <cell r="N6531">
            <v>0</v>
          </cell>
          <cell r="O6531">
            <v>0</v>
          </cell>
          <cell r="P6531">
            <v>0</v>
          </cell>
          <cell r="Q6531">
            <v>0</v>
          </cell>
          <cell r="R6531">
            <v>0</v>
          </cell>
          <cell r="S6531">
            <v>0</v>
          </cell>
          <cell r="T6531">
            <v>0</v>
          </cell>
          <cell r="U6531">
            <v>0</v>
          </cell>
          <cell r="V6531">
            <v>0</v>
          </cell>
          <cell r="W6531">
            <v>0</v>
          </cell>
          <cell r="X6531">
            <v>0</v>
          </cell>
          <cell r="Y6531">
            <v>0</v>
          </cell>
          <cell r="Z6531">
            <v>0</v>
          </cell>
        </row>
        <row r="6532">
          <cell r="D6532">
            <v>318315</v>
          </cell>
          <cell r="E6532" t="str">
            <v>Datu Saudi Uy Ampatuan NHS</v>
          </cell>
          <cell r="F6532">
            <v>0</v>
          </cell>
          <cell r="G6532">
            <v>0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0</v>
          </cell>
          <cell r="M6532">
            <v>0</v>
          </cell>
          <cell r="N6532">
            <v>0</v>
          </cell>
          <cell r="O6532">
            <v>0</v>
          </cell>
          <cell r="P6532">
            <v>0</v>
          </cell>
          <cell r="Q6532">
            <v>0</v>
          </cell>
          <cell r="R6532">
            <v>0</v>
          </cell>
          <cell r="S6532">
            <v>0</v>
          </cell>
          <cell r="T6532">
            <v>0</v>
          </cell>
          <cell r="U6532">
            <v>0</v>
          </cell>
          <cell r="V6532">
            <v>0</v>
          </cell>
          <cell r="W6532">
            <v>0</v>
          </cell>
          <cell r="X6532">
            <v>0</v>
          </cell>
          <cell r="Y6532">
            <v>0</v>
          </cell>
          <cell r="Z6532">
            <v>0</v>
          </cell>
        </row>
        <row r="6533">
          <cell r="D6533">
            <v>318335</v>
          </cell>
          <cell r="E6533" t="str">
            <v>Maulana NHS</v>
          </cell>
          <cell r="F6533">
            <v>0</v>
          </cell>
          <cell r="G6533">
            <v>0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0</v>
          </cell>
          <cell r="M6533">
            <v>0</v>
          </cell>
          <cell r="N6533">
            <v>0</v>
          </cell>
          <cell r="O6533">
            <v>0</v>
          </cell>
          <cell r="P6533">
            <v>0</v>
          </cell>
          <cell r="Q6533">
            <v>0</v>
          </cell>
          <cell r="R6533">
            <v>0</v>
          </cell>
          <cell r="S6533">
            <v>0</v>
          </cell>
          <cell r="T6533">
            <v>0</v>
          </cell>
          <cell r="U6533">
            <v>0</v>
          </cell>
          <cell r="V6533">
            <v>0</v>
          </cell>
          <cell r="W6533">
            <v>0</v>
          </cell>
          <cell r="X6533">
            <v>0</v>
          </cell>
          <cell r="Y6533">
            <v>0</v>
          </cell>
          <cell r="Z6533">
            <v>0</v>
          </cell>
        </row>
        <row r="6534">
          <cell r="D6534">
            <v>305025</v>
          </cell>
          <cell r="E6534" t="str">
            <v>Rajah Buayan NHS</v>
          </cell>
          <cell r="F6534">
            <v>0</v>
          </cell>
          <cell r="G6534">
            <v>0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>
            <v>0</v>
          </cell>
          <cell r="M6534">
            <v>0</v>
          </cell>
          <cell r="N6534">
            <v>0</v>
          </cell>
          <cell r="O6534">
            <v>0</v>
          </cell>
          <cell r="P6534">
            <v>0</v>
          </cell>
          <cell r="Q6534">
            <v>0</v>
          </cell>
          <cell r="R6534">
            <v>0</v>
          </cell>
          <cell r="S6534">
            <v>0</v>
          </cell>
          <cell r="T6534">
            <v>0</v>
          </cell>
          <cell r="U6534">
            <v>0</v>
          </cell>
          <cell r="V6534">
            <v>0</v>
          </cell>
          <cell r="W6534">
            <v>0</v>
          </cell>
          <cell r="X6534">
            <v>0</v>
          </cell>
          <cell r="Y6534">
            <v>0</v>
          </cell>
          <cell r="Z6534">
            <v>0</v>
          </cell>
        </row>
        <row r="6535">
          <cell r="D6535">
            <v>318330</v>
          </cell>
          <cell r="E6535" t="str">
            <v>Pandan NHS</v>
          </cell>
          <cell r="F6535">
            <v>1</v>
          </cell>
          <cell r="G6535">
            <v>0</v>
          </cell>
          <cell r="H6535">
            <v>1</v>
          </cell>
          <cell r="I6535">
            <v>0</v>
          </cell>
          <cell r="J6535">
            <v>0</v>
          </cell>
          <cell r="K6535">
            <v>0</v>
          </cell>
          <cell r="L6535">
            <v>0</v>
          </cell>
          <cell r="M6535">
            <v>0</v>
          </cell>
          <cell r="N6535">
            <v>0</v>
          </cell>
          <cell r="O6535">
            <v>0</v>
          </cell>
          <cell r="P6535">
            <v>0</v>
          </cell>
          <cell r="Q6535">
            <v>0</v>
          </cell>
          <cell r="R6535">
            <v>0</v>
          </cell>
          <cell r="S6535">
            <v>0</v>
          </cell>
          <cell r="T6535">
            <v>0</v>
          </cell>
          <cell r="U6535">
            <v>0</v>
          </cell>
          <cell r="V6535">
            <v>0</v>
          </cell>
          <cell r="W6535">
            <v>0</v>
          </cell>
          <cell r="X6535">
            <v>0</v>
          </cell>
          <cell r="Y6535">
            <v>0</v>
          </cell>
          <cell r="Z6535">
            <v>0</v>
          </cell>
        </row>
        <row r="6536">
          <cell r="D6536">
            <v>318329</v>
          </cell>
          <cell r="E6536" t="str">
            <v>Lumao NHS</v>
          </cell>
          <cell r="F6536">
            <v>0</v>
          </cell>
          <cell r="G6536">
            <v>0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>
            <v>0</v>
          </cell>
          <cell r="M6536">
            <v>0</v>
          </cell>
          <cell r="N6536">
            <v>0</v>
          </cell>
          <cell r="O6536">
            <v>0</v>
          </cell>
          <cell r="P6536">
            <v>0</v>
          </cell>
          <cell r="Q6536">
            <v>0</v>
          </cell>
          <cell r="R6536">
            <v>0</v>
          </cell>
          <cell r="S6536">
            <v>0</v>
          </cell>
          <cell r="T6536">
            <v>0</v>
          </cell>
          <cell r="U6536">
            <v>0</v>
          </cell>
          <cell r="V6536">
            <v>0</v>
          </cell>
          <cell r="W6536">
            <v>0</v>
          </cell>
          <cell r="X6536">
            <v>0</v>
          </cell>
          <cell r="Y6536">
            <v>0</v>
          </cell>
          <cell r="Z6536">
            <v>0</v>
          </cell>
        </row>
        <row r="6537">
          <cell r="D6537">
            <v>305004</v>
          </cell>
          <cell r="E6537" t="str">
            <v>Datu Paglas NHS</v>
          </cell>
          <cell r="F6537">
            <v>50</v>
          </cell>
          <cell r="G6537">
            <v>62</v>
          </cell>
          <cell r="H6537">
            <v>112</v>
          </cell>
          <cell r="I6537">
            <v>0</v>
          </cell>
          <cell r="J6537">
            <v>0</v>
          </cell>
          <cell r="K6537">
            <v>0</v>
          </cell>
          <cell r="L6537">
            <v>0</v>
          </cell>
          <cell r="M6537">
            <v>0</v>
          </cell>
          <cell r="N6537">
            <v>0</v>
          </cell>
          <cell r="O6537">
            <v>0</v>
          </cell>
          <cell r="P6537">
            <v>0</v>
          </cell>
          <cell r="Q6537">
            <v>0</v>
          </cell>
          <cell r="R6537">
            <v>0</v>
          </cell>
          <cell r="S6537">
            <v>0</v>
          </cell>
          <cell r="T6537">
            <v>0</v>
          </cell>
          <cell r="U6537">
            <v>0</v>
          </cell>
          <cell r="V6537">
            <v>0</v>
          </cell>
          <cell r="W6537">
            <v>0</v>
          </cell>
          <cell r="X6537">
            <v>0</v>
          </cell>
          <cell r="Y6537">
            <v>0</v>
          </cell>
          <cell r="Z6537">
            <v>0</v>
          </cell>
        </row>
        <row r="6538">
          <cell r="D6538">
            <v>318318</v>
          </cell>
          <cell r="E6538" t="str">
            <v>Guindulungan NHS</v>
          </cell>
          <cell r="F6538">
            <v>0</v>
          </cell>
          <cell r="G6538">
            <v>0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0</v>
          </cell>
          <cell r="M6538">
            <v>0</v>
          </cell>
          <cell r="N6538">
            <v>0</v>
          </cell>
          <cell r="O6538">
            <v>0</v>
          </cell>
          <cell r="P6538">
            <v>0</v>
          </cell>
          <cell r="Q6538">
            <v>0</v>
          </cell>
          <cell r="R6538">
            <v>0</v>
          </cell>
          <cell r="S6538">
            <v>0</v>
          </cell>
          <cell r="T6538">
            <v>0</v>
          </cell>
          <cell r="U6538">
            <v>0</v>
          </cell>
          <cell r="V6538">
            <v>0</v>
          </cell>
          <cell r="W6538">
            <v>0</v>
          </cell>
          <cell r="X6538">
            <v>0</v>
          </cell>
          <cell r="Y6538">
            <v>0</v>
          </cell>
          <cell r="Z6538">
            <v>0</v>
          </cell>
        </row>
        <row r="6539">
          <cell r="D6539">
            <v>318310</v>
          </cell>
          <cell r="E6539" t="str">
            <v>Sapakan NHS</v>
          </cell>
          <cell r="F6539">
            <v>0</v>
          </cell>
          <cell r="G6539">
            <v>0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0</v>
          </cell>
          <cell r="M6539">
            <v>0</v>
          </cell>
          <cell r="N6539">
            <v>0</v>
          </cell>
          <cell r="O6539">
            <v>0</v>
          </cell>
          <cell r="P6539">
            <v>0</v>
          </cell>
          <cell r="Q6539">
            <v>0</v>
          </cell>
          <cell r="R6539">
            <v>0</v>
          </cell>
          <cell r="S6539">
            <v>0</v>
          </cell>
          <cell r="T6539">
            <v>0</v>
          </cell>
          <cell r="U6539">
            <v>0</v>
          </cell>
          <cell r="V6539">
            <v>0</v>
          </cell>
          <cell r="W6539">
            <v>0</v>
          </cell>
          <cell r="X6539">
            <v>0</v>
          </cell>
          <cell r="Y6539">
            <v>0</v>
          </cell>
          <cell r="Z6539">
            <v>0</v>
          </cell>
        </row>
        <row r="6540">
          <cell r="D6540">
            <v>318317</v>
          </cell>
          <cell r="E6540" t="str">
            <v>Hadji Datu Abubakar K. Pendatun NHS</v>
          </cell>
          <cell r="F6540">
            <v>0</v>
          </cell>
          <cell r="G6540">
            <v>0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>
            <v>0</v>
          </cell>
          <cell r="M6540">
            <v>0</v>
          </cell>
          <cell r="N6540">
            <v>0</v>
          </cell>
          <cell r="O6540">
            <v>0</v>
          </cell>
          <cell r="P6540">
            <v>0</v>
          </cell>
          <cell r="Q6540">
            <v>0</v>
          </cell>
          <cell r="R6540">
            <v>0</v>
          </cell>
          <cell r="S6540">
            <v>0</v>
          </cell>
          <cell r="T6540">
            <v>0</v>
          </cell>
          <cell r="U6540">
            <v>0</v>
          </cell>
          <cell r="V6540">
            <v>0</v>
          </cell>
          <cell r="W6540">
            <v>0</v>
          </cell>
          <cell r="X6540">
            <v>0</v>
          </cell>
          <cell r="Y6540">
            <v>0</v>
          </cell>
          <cell r="Z6540">
            <v>0</v>
          </cell>
        </row>
        <row r="6541">
          <cell r="D6541">
            <v>318324</v>
          </cell>
          <cell r="E6541" t="str">
            <v>Bai Tembabay NHS</v>
          </cell>
          <cell r="F6541">
            <v>0</v>
          </cell>
          <cell r="G6541">
            <v>0</v>
          </cell>
          <cell r="H6541">
            <v>0</v>
          </cell>
          <cell r="I6541">
            <v>0</v>
          </cell>
          <cell r="J6541">
            <v>0</v>
          </cell>
          <cell r="K6541">
            <v>0</v>
          </cell>
          <cell r="L6541">
            <v>0</v>
          </cell>
          <cell r="M6541">
            <v>0</v>
          </cell>
          <cell r="N6541">
            <v>0</v>
          </cell>
          <cell r="O6541">
            <v>0</v>
          </cell>
          <cell r="P6541">
            <v>0</v>
          </cell>
          <cell r="Q6541">
            <v>0</v>
          </cell>
          <cell r="R6541">
            <v>0</v>
          </cell>
          <cell r="S6541">
            <v>0</v>
          </cell>
          <cell r="T6541">
            <v>0</v>
          </cell>
          <cell r="U6541">
            <v>0</v>
          </cell>
          <cell r="V6541">
            <v>0</v>
          </cell>
          <cell r="W6541">
            <v>0</v>
          </cell>
          <cell r="X6541">
            <v>0</v>
          </cell>
          <cell r="Y6541">
            <v>0</v>
          </cell>
          <cell r="Z6541">
            <v>0</v>
          </cell>
        </row>
        <row r="6542">
          <cell r="D6542">
            <v>305041</v>
          </cell>
          <cell r="E6542" t="str">
            <v>Panglima Estino NHS-MAIN</v>
          </cell>
          <cell r="F6542">
            <v>0</v>
          </cell>
          <cell r="G6542">
            <v>0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>
            <v>0</v>
          </cell>
          <cell r="M6542">
            <v>0</v>
          </cell>
          <cell r="N6542">
            <v>0</v>
          </cell>
          <cell r="O6542">
            <v>0</v>
          </cell>
          <cell r="P6542">
            <v>0</v>
          </cell>
          <cell r="Q6542">
            <v>0</v>
          </cell>
          <cell r="R6542">
            <v>0</v>
          </cell>
          <cell r="S6542">
            <v>0</v>
          </cell>
          <cell r="T6542">
            <v>0</v>
          </cell>
          <cell r="U6542">
            <v>0</v>
          </cell>
          <cell r="V6542">
            <v>0</v>
          </cell>
          <cell r="W6542">
            <v>0</v>
          </cell>
          <cell r="X6542">
            <v>0</v>
          </cell>
          <cell r="Y6542">
            <v>0</v>
          </cell>
          <cell r="Z6542">
            <v>0</v>
          </cell>
        </row>
        <row r="6543">
          <cell r="D6543">
            <v>305035</v>
          </cell>
          <cell r="E6543" t="str">
            <v>Lugus NHS</v>
          </cell>
          <cell r="F6543">
            <v>0</v>
          </cell>
          <cell r="G6543">
            <v>0</v>
          </cell>
          <cell r="H6543">
            <v>0</v>
          </cell>
          <cell r="I6543">
            <v>0</v>
          </cell>
          <cell r="J6543">
            <v>0</v>
          </cell>
          <cell r="K6543">
            <v>0</v>
          </cell>
          <cell r="L6543">
            <v>0</v>
          </cell>
          <cell r="M6543">
            <v>0</v>
          </cell>
          <cell r="N6543">
            <v>0</v>
          </cell>
          <cell r="O6543">
            <v>0</v>
          </cell>
          <cell r="P6543">
            <v>0</v>
          </cell>
          <cell r="Q6543">
            <v>0</v>
          </cell>
          <cell r="R6543">
            <v>0</v>
          </cell>
          <cell r="S6543">
            <v>0</v>
          </cell>
          <cell r="T6543">
            <v>0</v>
          </cell>
          <cell r="U6543">
            <v>0</v>
          </cell>
          <cell r="V6543">
            <v>0</v>
          </cell>
          <cell r="W6543">
            <v>0</v>
          </cell>
          <cell r="X6543">
            <v>0</v>
          </cell>
          <cell r="Y6543">
            <v>0</v>
          </cell>
          <cell r="Z6543">
            <v>0</v>
          </cell>
        </row>
        <row r="6544">
          <cell r="D6544">
            <v>305037</v>
          </cell>
          <cell r="E6544" t="str">
            <v>Maimbung NHS-main</v>
          </cell>
          <cell r="F6544">
            <v>0</v>
          </cell>
          <cell r="G6544">
            <v>0</v>
          </cell>
          <cell r="H6544">
            <v>0</v>
          </cell>
          <cell r="I6544">
            <v>0</v>
          </cell>
          <cell r="J6544">
            <v>0</v>
          </cell>
          <cell r="K6544">
            <v>0</v>
          </cell>
          <cell r="L6544">
            <v>0</v>
          </cell>
          <cell r="M6544">
            <v>0</v>
          </cell>
          <cell r="N6544">
            <v>0</v>
          </cell>
          <cell r="O6544">
            <v>0</v>
          </cell>
          <cell r="P6544">
            <v>0</v>
          </cell>
          <cell r="Q6544">
            <v>0</v>
          </cell>
          <cell r="R6544">
            <v>0</v>
          </cell>
          <cell r="S6544">
            <v>0</v>
          </cell>
          <cell r="T6544">
            <v>0</v>
          </cell>
          <cell r="U6544">
            <v>0</v>
          </cell>
          <cell r="V6544">
            <v>0</v>
          </cell>
          <cell r="W6544">
            <v>0</v>
          </cell>
          <cell r="X6544">
            <v>0</v>
          </cell>
          <cell r="Y6544">
            <v>0</v>
          </cell>
          <cell r="Z6544">
            <v>0</v>
          </cell>
        </row>
        <row r="6545">
          <cell r="D6545">
            <v>305044</v>
          </cell>
          <cell r="E6545" t="str">
            <v>Pata NHS</v>
          </cell>
          <cell r="F6545">
            <v>0</v>
          </cell>
          <cell r="G6545">
            <v>0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>
            <v>0</v>
          </cell>
          <cell r="M6545">
            <v>0</v>
          </cell>
          <cell r="N6545">
            <v>0</v>
          </cell>
          <cell r="O6545">
            <v>0</v>
          </cell>
          <cell r="P6545">
            <v>0</v>
          </cell>
          <cell r="Q6545">
            <v>0</v>
          </cell>
          <cell r="R6545">
            <v>0</v>
          </cell>
          <cell r="S6545">
            <v>0</v>
          </cell>
          <cell r="T6545">
            <v>0</v>
          </cell>
          <cell r="U6545">
            <v>0</v>
          </cell>
          <cell r="V6545">
            <v>0</v>
          </cell>
          <cell r="W6545">
            <v>0</v>
          </cell>
          <cell r="X6545">
            <v>0</v>
          </cell>
          <cell r="Y6545">
            <v>0</v>
          </cell>
          <cell r="Z6545">
            <v>0</v>
          </cell>
        </row>
        <row r="6546">
          <cell r="D6546">
            <v>305039</v>
          </cell>
          <cell r="E6546" t="str">
            <v>Hadji Panglima Tahil National High School</v>
          </cell>
          <cell r="F6546">
            <v>0</v>
          </cell>
          <cell r="G6546">
            <v>0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>
            <v>0</v>
          </cell>
          <cell r="M6546">
            <v>0</v>
          </cell>
          <cell r="N6546">
            <v>0</v>
          </cell>
          <cell r="O6546">
            <v>0</v>
          </cell>
          <cell r="P6546">
            <v>0</v>
          </cell>
          <cell r="Q6546">
            <v>0</v>
          </cell>
          <cell r="R6546">
            <v>0</v>
          </cell>
          <cell r="S6546">
            <v>0</v>
          </cell>
          <cell r="T6546">
            <v>0</v>
          </cell>
          <cell r="U6546">
            <v>0</v>
          </cell>
          <cell r="V6546">
            <v>0</v>
          </cell>
          <cell r="W6546">
            <v>0</v>
          </cell>
          <cell r="X6546">
            <v>0</v>
          </cell>
          <cell r="Y6546">
            <v>0</v>
          </cell>
          <cell r="Z6546">
            <v>0</v>
          </cell>
        </row>
        <row r="6547">
          <cell r="D6547">
            <v>305038</v>
          </cell>
          <cell r="E6547" t="str">
            <v>Old Panamao NHS</v>
          </cell>
          <cell r="F6547">
            <v>0</v>
          </cell>
          <cell r="G6547">
            <v>0</v>
          </cell>
          <cell r="H6547">
            <v>0</v>
          </cell>
          <cell r="I6547">
            <v>0</v>
          </cell>
          <cell r="J6547">
            <v>0</v>
          </cell>
          <cell r="K6547">
            <v>0</v>
          </cell>
          <cell r="L6547">
            <v>0</v>
          </cell>
          <cell r="M6547">
            <v>0</v>
          </cell>
          <cell r="N6547">
            <v>0</v>
          </cell>
          <cell r="O6547">
            <v>0</v>
          </cell>
          <cell r="P6547">
            <v>0</v>
          </cell>
          <cell r="Q6547">
            <v>0</v>
          </cell>
          <cell r="R6547">
            <v>0</v>
          </cell>
          <cell r="S6547">
            <v>0</v>
          </cell>
          <cell r="T6547">
            <v>0</v>
          </cell>
          <cell r="U6547">
            <v>0</v>
          </cell>
          <cell r="V6547">
            <v>0</v>
          </cell>
          <cell r="W6547">
            <v>0</v>
          </cell>
          <cell r="X6547">
            <v>0</v>
          </cell>
          <cell r="Y6547">
            <v>0</v>
          </cell>
          <cell r="Z6547">
            <v>0</v>
          </cell>
        </row>
        <row r="6548">
          <cell r="D6548">
            <v>305033</v>
          </cell>
          <cell r="E6548" t="str">
            <v>K. Caluang NHS</v>
          </cell>
          <cell r="F6548">
            <v>0</v>
          </cell>
          <cell r="G6548">
            <v>0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0</v>
          </cell>
          <cell r="M6548">
            <v>0</v>
          </cell>
          <cell r="N6548">
            <v>0</v>
          </cell>
          <cell r="O6548">
            <v>0</v>
          </cell>
          <cell r="P6548">
            <v>0</v>
          </cell>
          <cell r="Q6548">
            <v>0</v>
          </cell>
          <cell r="R6548">
            <v>0</v>
          </cell>
          <cell r="S6548">
            <v>0</v>
          </cell>
          <cell r="T6548">
            <v>0</v>
          </cell>
          <cell r="U6548">
            <v>0</v>
          </cell>
          <cell r="V6548">
            <v>0</v>
          </cell>
          <cell r="W6548">
            <v>0</v>
          </cell>
          <cell r="X6548">
            <v>0</v>
          </cell>
          <cell r="Y6548">
            <v>0</v>
          </cell>
          <cell r="Z6548">
            <v>0</v>
          </cell>
        </row>
        <row r="6549">
          <cell r="D6549">
            <v>305048</v>
          </cell>
          <cell r="E6549" t="str">
            <v>Tapul National High School</v>
          </cell>
          <cell r="F6549">
            <v>0</v>
          </cell>
          <cell r="G6549">
            <v>0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L6549">
            <v>0</v>
          </cell>
          <cell r="M6549">
            <v>0</v>
          </cell>
          <cell r="N6549">
            <v>0</v>
          </cell>
          <cell r="O6549">
            <v>0</v>
          </cell>
          <cell r="P6549">
            <v>0</v>
          </cell>
          <cell r="Q6549">
            <v>0</v>
          </cell>
          <cell r="R6549">
            <v>0</v>
          </cell>
          <cell r="S6549">
            <v>0</v>
          </cell>
          <cell r="T6549">
            <v>0</v>
          </cell>
          <cell r="U6549">
            <v>0</v>
          </cell>
          <cell r="V6549">
            <v>0</v>
          </cell>
          <cell r="W6549">
            <v>0</v>
          </cell>
          <cell r="X6549">
            <v>0</v>
          </cell>
          <cell r="Y6549">
            <v>0</v>
          </cell>
          <cell r="Z6549">
            <v>0</v>
          </cell>
        </row>
        <row r="6550">
          <cell r="D6550">
            <v>305042</v>
          </cell>
          <cell r="E6550" t="str">
            <v>Pangutaran NHS</v>
          </cell>
          <cell r="F6550">
            <v>0</v>
          </cell>
          <cell r="G6550">
            <v>0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0</v>
          </cell>
          <cell r="M6550">
            <v>0</v>
          </cell>
          <cell r="N6550">
            <v>0</v>
          </cell>
          <cell r="O6550">
            <v>0</v>
          </cell>
          <cell r="P6550">
            <v>0</v>
          </cell>
          <cell r="Q6550">
            <v>0</v>
          </cell>
          <cell r="R6550">
            <v>0</v>
          </cell>
          <cell r="S6550">
            <v>0</v>
          </cell>
          <cell r="T6550">
            <v>0</v>
          </cell>
          <cell r="U6550">
            <v>0</v>
          </cell>
          <cell r="V6550">
            <v>0</v>
          </cell>
          <cell r="W6550">
            <v>0</v>
          </cell>
          <cell r="X6550">
            <v>0</v>
          </cell>
          <cell r="Y6550">
            <v>0</v>
          </cell>
          <cell r="Z6550">
            <v>0</v>
          </cell>
        </row>
        <row r="6551">
          <cell r="D6551">
            <v>318402</v>
          </cell>
          <cell r="E6551" t="str">
            <v>Pasil Indanan</v>
          </cell>
          <cell r="F6551">
            <v>0</v>
          </cell>
          <cell r="G6551">
            <v>0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L6551">
            <v>0</v>
          </cell>
          <cell r="M6551">
            <v>0</v>
          </cell>
          <cell r="N6551">
            <v>0</v>
          </cell>
          <cell r="O6551">
            <v>0</v>
          </cell>
          <cell r="P6551">
            <v>0</v>
          </cell>
          <cell r="Q6551">
            <v>0</v>
          </cell>
          <cell r="R6551">
            <v>0</v>
          </cell>
          <cell r="S6551">
            <v>0</v>
          </cell>
          <cell r="T6551">
            <v>0</v>
          </cell>
          <cell r="U6551">
            <v>0</v>
          </cell>
          <cell r="V6551">
            <v>0</v>
          </cell>
          <cell r="W6551">
            <v>0</v>
          </cell>
          <cell r="X6551">
            <v>0</v>
          </cell>
          <cell r="Y6551">
            <v>0</v>
          </cell>
          <cell r="Z6551">
            <v>0</v>
          </cell>
        </row>
        <row r="6552">
          <cell r="D6552">
            <v>305045</v>
          </cell>
          <cell r="E6552" t="str">
            <v>Patikul NHS</v>
          </cell>
          <cell r="F6552">
            <v>3</v>
          </cell>
          <cell r="G6552">
            <v>2</v>
          </cell>
          <cell r="H6552">
            <v>5</v>
          </cell>
          <cell r="I6552">
            <v>0</v>
          </cell>
          <cell r="J6552">
            <v>0</v>
          </cell>
          <cell r="K6552">
            <v>0</v>
          </cell>
          <cell r="L6552">
            <v>0</v>
          </cell>
          <cell r="M6552">
            <v>0</v>
          </cell>
          <cell r="N6552">
            <v>0</v>
          </cell>
          <cell r="O6552">
            <v>0</v>
          </cell>
          <cell r="P6552">
            <v>0</v>
          </cell>
          <cell r="Q6552">
            <v>0</v>
          </cell>
          <cell r="R6552">
            <v>0</v>
          </cell>
          <cell r="S6552">
            <v>0</v>
          </cell>
          <cell r="T6552">
            <v>0</v>
          </cell>
          <cell r="U6552">
            <v>0</v>
          </cell>
          <cell r="V6552">
            <v>0</v>
          </cell>
          <cell r="W6552">
            <v>0</v>
          </cell>
          <cell r="X6552">
            <v>0</v>
          </cell>
          <cell r="Y6552">
            <v>0</v>
          </cell>
          <cell r="Z6552">
            <v>0</v>
          </cell>
        </row>
        <row r="6553">
          <cell r="D6553">
            <v>318403</v>
          </cell>
          <cell r="E6553" t="str">
            <v>Timbangan Indanan</v>
          </cell>
          <cell r="F6553">
            <v>0</v>
          </cell>
          <cell r="G6553">
            <v>0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>
            <v>0</v>
          </cell>
          <cell r="M6553">
            <v>0</v>
          </cell>
          <cell r="N6553">
            <v>0</v>
          </cell>
          <cell r="O6553">
            <v>0</v>
          </cell>
          <cell r="P6553">
            <v>0</v>
          </cell>
          <cell r="Q6553">
            <v>0</v>
          </cell>
          <cell r="R6553">
            <v>0</v>
          </cell>
          <cell r="S6553">
            <v>0</v>
          </cell>
          <cell r="T6553">
            <v>0</v>
          </cell>
          <cell r="U6553">
            <v>0</v>
          </cell>
          <cell r="V6553">
            <v>0</v>
          </cell>
          <cell r="W6553">
            <v>0</v>
          </cell>
          <cell r="X6553">
            <v>0</v>
          </cell>
          <cell r="Y6553">
            <v>0</v>
          </cell>
          <cell r="Z6553">
            <v>0</v>
          </cell>
        </row>
        <row r="6554">
          <cell r="D6554">
            <v>318404</v>
          </cell>
          <cell r="E6554" t="str">
            <v>Capual NHS</v>
          </cell>
          <cell r="F6554">
            <v>0</v>
          </cell>
          <cell r="G6554">
            <v>0</v>
          </cell>
          <cell r="H6554">
            <v>0</v>
          </cell>
          <cell r="I6554">
            <v>0</v>
          </cell>
          <cell r="J6554">
            <v>0</v>
          </cell>
          <cell r="K6554">
            <v>0</v>
          </cell>
          <cell r="L6554">
            <v>0</v>
          </cell>
          <cell r="M6554">
            <v>0</v>
          </cell>
          <cell r="N6554">
            <v>0</v>
          </cell>
          <cell r="O6554">
            <v>0</v>
          </cell>
          <cell r="P6554">
            <v>0</v>
          </cell>
          <cell r="Q6554">
            <v>0</v>
          </cell>
          <cell r="R6554">
            <v>0</v>
          </cell>
          <cell r="S6554">
            <v>0</v>
          </cell>
          <cell r="T6554">
            <v>0</v>
          </cell>
          <cell r="U6554">
            <v>0</v>
          </cell>
          <cell r="V6554">
            <v>0</v>
          </cell>
          <cell r="W6554">
            <v>0</v>
          </cell>
          <cell r="X6554">
            <v>0</v>
          </cell>
          <cell r="Y6554">
            <v>0</v>
          </cell>
          <cell r="Z6554">
            <v>0</v>
          </cell>
        </row>
        <row r="6555">
          <cell r="D6555">
            <v>305032</v>
          </cell>
          <cell r="E6555" t="str">
            <v>Jolo School of Fisheries</v>
          </cell>
          <cell r="F6555">
            <v>0</v>
          </cell>
          <cell r="G6555">
            <v>0</v>
          </cell>
          <cell r="H6555">
            <v>0</v>
          </cell>
          <cell r="I6555">
            <v>0</v>
          </cell>
          <cell r="J6555">
            <v>0</v>
          </cell>
          <cell r="K6555">
            <v>0</v>
          </cell>
          <cell r="L6555">
            <v>0</v>
          </cell>
          <cell r="M6555">
            <v>0</v>
          </cell>
          <cell r="N6555">
            <v>0</v>
          </cell>
          <cell r="O6555">
            <v>0</v>
          </cell>
          <cell r="P6555">
            <v>0</v>
          </cell>
          <cell r="Q6555">
            <v>0</v>
          </cell>
          <cell r="R6555">
            <v>0</v>
          </cell>
          <cell r="S6555">
            <v>0</v>
          </cell>
          <cell r="T6555">
            <v>0</v>
          </cell>
          <cell r="U6555">
            <v>0</v>
          </cell>
          <cell r="V6555">
            <v>0</v>
          </cell>
          <cell r="W6555">
            <v>0</v>
          </cell>
          <cell r="X6555">
            <v>0</v>
          </cell>
          <cell r="Y6555">
            <v>0</v>
          </cell>
          <cell r="Z6555">
            <v>0</v>
          </cell>
        </row>
        <row r="6556">
          <cell r="D6556">
            <v>305043</v>
          </cell>
          <cell r="E6556" t="str">
            <v>Parang NHS</v>
          </cell>
          <cell r="F6556">
            <v>0</v>
          </cell>
          <cell r="G6556">
            <v>0</v>
          </cell>
          <cell r="H6556">
            <v>0</v>
          </cell>
          <cell r="I6556">
            <v>0</v>
          </cell>
          <cell r="J6556">
            <v>0</v>
          </cell>
          <cell r="K6556">
            <v>0</v>
          </cell>
          <cell r="L6556">
            <v>0</v>
          </cell>
          <cell r="M6556">
            <v>0</v>
          </cell>
          <cell r="N6556">
            <v>0</v>
          </cell>
          <cell r="O6556">
            <v>0</v>
          </cell>
          <cell r="P6556">
            <v>0</v>
          </cell>
          <cell r="Q6556">
            <v>0</v>
          </cell>
          <cell r="R6556">
            <v>0</v>
          </cell>
          <cell r="S6556">
            <v>0</v>
          </cell>
          <cell r="T6556">
            <v>0</v>
          </cell>
          <cell r="U6556">
            <v>0</v>
          </cell>
          <cell r="V6556">
            <v>0</v>
          </cell>
          <cell r="W6556">
            <v>0</v>
          </cell>
          <cell r="X6556">
            <v>0</v>
          </cell>
          <cell r="Y6556">
            <v>0</v>
          </cell>
          <cell r="Z6556">
            <v>0</v>
          </cell>
        </row>
        <row r="6557">
          <cell r="D6557">
            <v>318410</v>
          </cell>
          <cell r="E6557" t="str">
            <v>Jolo Agricultural School-Annex (Bato-Bato)</v>
          </cell>
          <cell r="F6557">
            <v>0</v>
          </cell>
          <cell r="G6557">
            <v>0</v>
          </cell>
          <cell r="H6557">
            <v>0</v>
          </cell>
          <cell r="I6557">
            <v>0</v>
          </cell>
          <cell r="J6557">
            <v>0</v>
          </cell>
          <cell r="K6557">
            <v>0</v>
          </cell>
          <cell r="L6557">
            <v>0</v>
          </cell>
          <cell r="M6557">
            <v>0</v>
          </cell>
          <cell r="N6557">
            <v>0</v>
          </cell>
          <cell r="O6557">
            <v>0</v>
          </cell>
          <cell r="P6557">
            <v>0</v>
          </cell>
          <cell r="Q6557">
            <v>0</v>
          </cell>
          <cell r="R6557">
            <v>0</v>
          </cell>
          <cell r="S6557">
            <v>0</v>
          </cell>
          <cell r="T6557">
            <v>0</v>
          </cell>
          <cell r="U6557">
            <v>0</v>
          </cell>
          <cell r="V6557">
            <v>0</v>
          </cell>
          <cell r="W6557">
            <v>0</v>
          </cell>
          <cell r="X6557">
            <v>0</v>
          </cell>
          <cell r="Y6557">
            <v>0</v>
          </cell>
          <cell r="Z6557">
            <v>0</v>
          </cell>
        </row>
        <row r="6558">
          <cell r="D6558">
            <v>318405</v>
          </cell>
          <cell r="E6558" t="str">
            <v>Lower Patibulan Panamao</v>
          </cell>
          <cell r="F6558">
            <v>0</v>
          </cell>
          <cell r="G6558">
            <v>0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0</v>
          </cell>
          <cell r="M6558">
            <v>0</v>
          </cell>
          <cell r="N6558">
            <v>0</v>
          </cell>
          <cell r="O6558">
            <v>0</v>
          </cell>
          <cell r="P6558">
            <v>0</v>
          </cell>
          <cell r="Q6558">
            <v>0</v>
          </cell>
          <cell r="R6558">
            <v>0</v>
          </cell>
          <cell r="S6558">
            <v>0</v>
          </cell>
          <cell r="T6558">
            <v>0</v>
          </cell>
          <cell r="U6558">
            <v>0</v>
          </cell>
          <cell r="V6558">
            <v>0</v>
          </cell>
          <cell r="W6558">
            <v>0</v>
          </cell>
          <cell r="X6558">
            <v>0</v>
          </cell>
          <cell r="Y6558">
            <v>0</v>
          </cell>
          <cell r="Z6558">
            <v>0</v>
          </cell>
        </row>
        <row r="6559">
          <cell r="D6559">
            <v>305034</v>
          </cell>
          <cell r="E6559" t="str">
            <v>Laminusa National High School</v>
          </cell>
          <cell r="F6559">
            <v>60</v>
          </cell>
          <cell r="G6559">
            <v>61</v>
          </cell>
          <cell r="H6559">
            <v>121</v>
          </cell>
          <cell r="I6559">
            <v>0</v>
          </cell>
          <cell r="J6559">
            <v>0</v>
          </cell>
          <cell r="K6559">
            <v>0</v>
          </cell>
          <cell r="L6559">
            <v>0</v>
          </cell>
          <cell r="M6559">
            <v>0</v>
          </cell>
          <cell r="N6559">
            <v>0</v>
          </cell>
          <cell r="O6559">
            <v>0</v>
          </cell>
          <cell r="P6559">
            <v>0</v>
          </cell>
          <cell r="Q6559">
            <v>0</v>
          </cell>
          <cell r="R6559">
            <v>0</v>
          </cell>
          <cell r="S6559">
            <v>0</v>
          </cell>
          <cell r="T6559">
            <v>0</v>
          </cell>
          <cell r="U6559">
            <v>0</v>
          </cell>
          <cell r="V6559">
            <v>0</v>
          </cell>
          <cell r="W6559">
            <v>0</v>
          </cell>
          <cell r="X6559">
            <v>0</v>
          </cell>
          <cell r="Y6559">
            <v>0</v>
          </cell>
          <cell r="Z6559">
            <v>0</v>
          </cell>
        </row>
        <row r="6560">
          <cell r="D6560">
            <v>305047</v>
          </cell>
          <cell r="E6560" t="str">
            <v>Talipao National High School-Senior High</v>
          </cell>
          <cell r="F6560">
            <v>0</v>
          </cell>
          <cell r="G6560">
            <v>0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>
            <v>0</v>
          </cell>
          <cell r="M6560">
            <v>0</v>
          </cell>
          <cell r="N6560">
            <v>0</v>
          </cell>
          <cell r="O6560">
            <v>0</v>
          </cell>
          <cell r="P6560">
            <v>0</v>
          </cell>
          <cell r="Q6560">
            <v>0</v>
          </cell>
          <cell r="R6560">
            <v>0</v>
          </cell>
          <cell r="S6560">
            <v>0</v>
          </cell>
          <cell r="T6560">
            <v>0</v>
          </cell>
          <cell r="U6560">
            <v>0</v>
          </cell>
          <cell r="V6560">
            <v>0</v>
          </cell>
          <cell r="W6560">
            <v>0</v>
          </cell>
          <cell r="X6560">
            <v>0</v>
          </cell>
          <cell r="Y6560">
            <v>0</v>
          </cell>
          <cell r="Z6560">
            <v>0</v>
          </cell>
        </row>
        <row r="6561">
          <cell r="D6561">
            <v>305040</v>
          </cell>
          <cell r="E6561" t="str">
            <v>Pandami National High School</v>
          </cell>
          <cell r="F6561">
            <v>80</v>
          </cell>
          <cell r="G6561">
            <v>62</v>
          </cell>
          <cell r="H6561">
            <v>142</v>
          </cell>
          <cell r="I6561">
            <v>0</v>
          </cell>
          <cell r="J6561">
            <v>0</v>
          </cell>
          <cell r="K6561">
            <v>0</v>
          </cell>
          <cell r="L6561">
            <v>0</v>
          </cell>
          <cell r="M6561">
            <v>0</v>
          </cell>
          <cell r="N6561">
            <v>0</v>
          </cell>
          <cell r="O6561">
            <v>0</v>
          </cell>
          <cell r="P6561">
            <v>0</v>
          </cell>
          <cell r="Q6561">
            <v>0</v>
          </cell>
          <cell r="R6561">
            <v>0</v>
          </cell>
          <cell r="S6561">
            <v>0</v>
          </cell>
          <cell r="T6561">
            <v>0</v>
          </cell>
          <cell r="U6561">
            <v>0</v>
          </cell>
          <cell r="V6561">
            <v>0</v>
          </cell>
          <cell r="W6561">
            <v>0</v>
          </cell>
          <cell r="X6561">
            <v>0</v>
          </cell>
          <cell r="Y6561">
            <v>0</v>
          </cell>
          <cell r="Z6561">
            <v>0</v>
          </cell>
        </row>
        <row r="6562">
          <cell r="D6562">
            <v>318408</v>
          </cell>
          <cell r="E6562" t="str">
            <v>Maimbung Technical Vocational High School</v>
          </cell>
          <cell r="F6562">
            <v>20</v>
          </cell>
          <cell r="G6562">
            <v>18</v>
          </cell>
          <cell r="H6562">
            <v>38</v>
          </cell>
          <cell r="I6562">
            <v>1</v>
          </cell>
          <cell r="J6562">
            <v>1</v>
          </cell>
          <cell r="K6562">
            <v>2</v>
          </cell>
          <cell r="L6562">
            <v>0</v>
          </cell>
          <cell r="M6562">
            <v>0</v>
          </cell>
          <cell r="N6562">
            <v>0</v>
          </cell>
          <cell r="O6562">
            <v>1</v>
          </cell>
          <cell r="P6562">
            <v>1</v>
          </cell>
          <cell r="Q6562">
            <v>2</v>
          </cell>
          <cell r="R6562">
            <v>0</v>
          </cell>
          <cell r="S6562">
            <v>0</v>
          </cell>
          <cell r="T6562">
            <v>0</v>
          </cell>
          <cell r="U6562">
            <v>1</v>
          </cell>
          <cell r="V6562">
            <v>1</v>
          </cell>
          <cell r="W6562">
            <v>2</v>
          </cell>
          <cell r="X6562">
            <v>0</v>
          </cell>
          <cell r="Y6562">
            <v>0</v>
          </cell>
          <cell r="Z6562">
            <v>0</v>
          </cell>
        </row>
        <row r="6563">
          <cell r="D6563">
            <v>305030</v>
          </cell>
          <cell r="E6563" t="str">
            <v>Jolo Agricultral School</v>
          </cell>
          <cell r="F6563">
            <v>0</v>
          </cell>
          <cell r="G6563">
            <v>0</v>
          </cell>
          <cell r="H6563">
            <v>0</v>
          </cell>
          <cell r="I6563">
            <v>0</v>
          </cell>
          <cell r="J6563">
            <v>0</v>
          </cell>
          <cell r="K6563">
            <v>0</v>
          </cell>
          <cell r="L6563">
            <v>0</v>
          </cell>
          <cell r="M6563">
            <v>0</v>
          </cell>
          <cell r="N6563">
            <v>0</v>
          </cell>
          <cell r="O6563">
            <v>0</v>
          </cell>
          <cell r="P6563">
            <v>0</v>
          </cell>
          <cell r="Q6563">
            <v>0</v>
          </cell>
          <cell r="R6563">
            <v>0</v>
          </cell>
          <cell r="S6563">
            <v>0</v>
          </cell>
          <cell r="T6563">
            <v>0</v>
          </cell>
          <cell r="U6563">
            <v>0</v>
          </cell>
          <cell r="V6563">
            <v>0</v>
          </cell>
          <cell r="W6563">
            <v>0</v>
          </cell>
          <cell r="X6563">
            <v>0</v>
          </cell>
          <cell r="Y6563">
            <v>0</v>
          </cell>
          <cell r="Z6563">
            <v>0</v>
          </cell>
        </row>
        <row r="6564">
          <cell r="D6564">
            <v>318406</v>
          </cell>
          <cell r="E6564" t="str">
            <v>Lapak National School of Fisheries</v>
          </cell>
          <cell r="F6564">
            <v>0</v>
          </cell>
          <cell r="G6564">
            <v>0</v>
          </cell>
          <cell r="H6564">
            <v>0</v>
          </cell>
          <cell r="I6564">
            <v>0</v>
          </cell>
          <cell r="J6564">
            <v>0</v>
          </cell>
          <cell r="K6564">
            <v>0</v>
          </cell>
          <cell r="L6564">
            <v>0</v>
          </cell>
          <cell r="M6564">
            <v>0</v>
          </cell>
          <cell r="N6564">
            <v>0</v>
          </cell>
          <cell r="O6564">
            <v>0</v>
          </cell>
          <cell r="P6564">
            <v>0</v>
          </cell>
          <cell r="Q6564">
            <v>0</v>
          </cell>
          <cell r="R6564">
            <v>0</v>
          </cell>
          <cell r="S6564">
            <v>0</v>
          </cell>
          <cell r="T6564">
            <v>0</v>
          </cell>
          <cell r="U6564">
            <v>0</v>
          </cell>
          <cell r="V6564">
            <v>0</v>
          </cell>
          <cell r="W6564">
            <v>0</v>
          </cell>
          <cell r="X6564">
            <v>0</v>
          </cell>
          <cell r="Y6564">
            <v>0</v>
          </cell>
          <cell r="Z6564">
            <v>0</v>
          </cell>
        </row>
        <row r="6565">
          <cell r="D6565">
            <v>305036</v>
          </cell>
          <cell r="E6565" t="str">
            <v>LUUK NATIONAL HIGH SCHOOL</v>
          </cell>
          <cell r="F6565">
            <v>0</v>
          </cell>
          <cell r="G6565">
            <v>0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>
            <v>0</v>
          </cell>
          <cell r="M6565">
            <v>0</v>
          </cell>
          <cell r="N6565">
            <v>0</v>
          </cell>
          <cell r="O6565">
            <v>0</v>
          </cell>
          <cell r="P6565">
            <v>0</v>
          </cell>
          <cell r="Q6565">
            <v>0</v>
          </cell>
          <cell r="R6565">
            <v>0</v>
          </cell>
          <cell r="S6565">
            <v>0</v>
          </cell>
          <cell r="T6565">
            <v>0</v>
          </cell>
          <cell r="U6565">
            <v>0</v>
          </cell>
          <cell r="V6565">
            <v>0</v>
          </cell>
          <cell r="W6565">
            <v>0</v>
          </cell>
          <cell r="X6565">
            <v>0</v>
          </cell>
          <cell r="Y6565">
            <v>0</v>
          </cell>
          <cell r="Z6565">
            <v>0</v>
          </cell>
        </row>
        <row r="6566">
          <cell r="D6566">
            <v>305046</v>
          </cell>
          <cell r="E6566" t="str">
            <v>Sulu National High School</v>
          </cell>
          <cell r="F6566">
            <v>0</v>
          </cell>
          <cell r="G6566">
            <v>0</v>
          </cell>
          <cell r="H6566">
            <v>0</v>
          </cell>
          <cell r="I6566">
            <v>0</v>
          </cell>
          <cell r="J6566">
            <v>0</v>
          </cell>
          <cell r="K6566">
            <v>0</v>
          </cell>
          <cell r="L6566">
            <v>0</v>
          </cell>
          <cell r="M6566">
            <v>0</v>
          </cell>
          <cell r="N6566">
            <v>0</v>
          </cell>
          <cell r="O6566">
            <v>0</v>
          </cell>
          <cell r="P6566">
            <v>0</v>
          </cell>
          <cell r="Q6566">
            <v>0</v>
          </cell>
          <cell r="R6566">
            <v>0</v>
          </cell>
          <cell r="S6566">
            <v>0</v>
          </cell>
          <cell r="T6566">
            <v>0</v>
          </cell>
          <cell r="U6566">
            <v>0</v>
          </cell>
          <cell r="V6566">
            <v>0</v>
          </cell>
          <cell r="W6566">
            <v>0</v>
          </cell>
          <cell r="X6566">
            <v>0</v>
          </cell>
          <cell r="Y6566">
            <v>0</v>
          </cell>
          <cell r="Z6566">
            <v>0</v>
          </cell>
        </row>
        <row r="6567">
          <cell r="D6567">
            <v>305049</v>
          </cell>
          <cell r="E6567" t="str">
            <v>Tongkil NHS</v>
          </cell>
          <cell r="F6567">
            <v>12</v>
          </cell>
          <cell r="G6567">
            <v>13</v>
          </cell>
          <cell r="H6567">
            <v>25</v>
          </cell>
          <cell r="I6567">
            <v>0</v>
          </cell>
          <cell r="J6567">
            <v>0</v>
          </cell>
          <cell r="K6567">
            <v>0</v>
          </cell>
          <cell r="L6567">
            <v>0</v>
          </cell>
          <cell r="M6567">
            <v>0</v>
          </cell>
          <cell r="N6567">
            <v>0</v>
          </cell>
          <cell r="O6567">
            <v>0</v>
          </cell>
          <cell r="P6567">
            <v>0</v>
          </cell>
          <cell r="Q6567">
            <v>0</v>
          </cell>
          <cell r="R6567">
            <v>0</v>
          </cell>
          <cell r="S6567">
            <v>0</v>
          </cell>
          <cell r="T6567">
            <v>0</v>
          </cell>
          <cell r="U6567">
            <v>0</v>
          </cell>
          <cell r="V6567">
            <v>0</v>
          </cell>
          <cell r="W6567">
            <v>0</v>
          </cell>
          <cell r="X6567">
            <v>0</v>
          </cell>
          <cell r="Y6567">
            <v>0</v>
          </cell>
          <cell r="Z6567">
            <v>0</v>
          </cell>
        </row>
        <row r="6568">
          <cell r="D6568">
            <v>318504</v>
          </cell>
          <cell r="E6568" t="str">
            <v>Hadji Omarsani Tambut NHS</v>
          </cell>
          <cell r="F6568">
            <v>0</v>
          </cell>
          <cell r="G6568">
            <v>0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0</v>
          </cell>
          <cell r="M6568">
            <v>0</v>
          </cell>
          <cell r="N6568">
            <v>0</v>
          </cell>
          <cell r="O6568">
            <v>0</v>
          </cell>
          <cell r="P6568">
            <v>0</v>
          </cell>
          <cell r="Q6568">
            <v>0</v>
          </cell>
          <cell r="R6568">
            <v>0</v>
          </cell>
          <cell r="S6568">
            <v>0</v>
          </cell>
          <cell r="T6568">
            <v>0</v>
          </cell>
          <cell r="U6568">
            <v>0</v>
          </cell>
          <cell r="V6568">
            <v>0</v>
          </cell>
          <cell r="W6568">
            <v>0</v>
          </cell>
          <cell r="X6568">
            <v>0</v>
          </cell>
          <cell r="Y6568">
            <v>0</v>
          </cell>
          <cell r="Z6568">
            <v>0</v>
          </cell>
        </row>
        <row r="6569">
          <cell r="D6569">
            <v>305068</v>
          </cell>
          <cell r="E6569" t="str">
            <v>Tubig-indangan National High School</v>
          </cell>
          <cell r="F6569">
            <v>0</v>
          </cell>
          <cell r="G6569">
            <v>0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>
            <v>0</v>
          </cell>
          <cell r="M6569">
            <v>0</v>
          </cell>
          <cell r="N6569">
            <v>0</v>
          </cell>
          <cell r="O6569">
            <v>0</v>
          </cell>
          <cell r="P6569">
            <v>0</v>
          </cell>
          <cell r="Q6569">
            <v>0</v>
          </cell>
          <cell r="R6569">
            <v>0</v>
          </cell>
          <cell r="S6569">
            <v>0</v>
          </cell>
          <cell r="T6569">
            <v>0</v>
          </cell>
          <cell r="U6569">
            <v>0</v>
          </cell>
          <cell r="V6569">
            <v>0</v>
          </cell>
          <cell r="W6569">
            <v>0</v>
          </cell>
          <cell r="X6569">
            <v>0</v>
          </cell>
          <cell r="Y6569">
            <v>0</v>
          </cell>
          <cell r="Z6569">
            <v>0</v>
          </cell>
        </row>
        <row r="6570">
          <cell r="D6570">
            <v>305067</v>
          </cell>
          <cell r="E6570" t="str">
            <v>Tawi Tawi West Coast Agricultural high school</v>
          </cell>
          <cell r="F6570">
            <v>0</v>
          </cell>
          <cell r="G6570">
            <v>0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0</v>
          </cell>
          <cell r="M6570">
            <v>0</v>
          </cell>
          <cell r="N6570">
            <v>0</v>
          </cell>
          <cell r="O6570">
            <v>0</v>
          </cell>
          <cell r="P6570">
            <v>0</v>
          </cell>
          <cell r="Q6570">
            <v>0</v>
          </cell>
          <cell r="R6570">
            <v>0</v>
          </cell>
          <cell r="S6570">
            <v>0</v>
          </cell>
          <cell r="T6570">
            <v>0</v>
          </cell>
          <cell r="U6570">
            <v>0</v>
          </cell>
          <cell r="V6570">
            <v>0</v>
          </cell>
          <cell r="W6570">
            <v>0</v>
          </cell>
          <cell r="X6570">
            <v>0</v>
          </cell>
          <cell r="Y6570">
            <v>0</v>
          </cell>
          <cell r="Z6570">
            <v>0</v>
          </cell>
        </row>
        <row r="6571">
          <cell r="D6571">
            <v>305053</v>
          </cell>
          <cell r="E6571" t="str">
            <v>Batu-Batu NHS</v>
          </cell>
          <cell r="F6571">
            <v>0</v>
          </cell>
          <cell r="G6571">
            <v>0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0</v>
          </cell>
          <cell r="M6571">
            <v>0</v>
          </cell>
          <cell r="N6571">
            <v>0</v>
          </cell>
          <cell r="O6571">
            <v>0</v>
          </cell>
          <cell r="P6571">
            <v>0</v>
          </cell>
          <cell r="Q6571">
            <v>0</v>
          </cell>
          <cell r="R6571">
            <v>0</v>
          </cell>
          <cell r="S6571">
            <v>0</v>
          </cell>
          <cell r="T6571">
            <v>0</v>
          </cell>
          <cell r="U6571">
            <v>0</v>
          </cell>
          <cell r="V6571">
            <v>0</v>
          </cell>
          <cell r="W6571">
            <v>0</v>
          </cell>
          <cell r="X6571">
            <v>0</v>
          </cell>
          <cell r="Y6571">
            <v>0</v>
          </cell>
          <cell r="Z6571">
            <v>0</v>
          </cell>
        </row>
        <row r="6572">
          <cell r="D6572">
            <v>318505</v>
          </cell>
          <cell r="E6572" t="str">
            <v>Boloboc Science and Technology High School</v>
          </cell>
          <cell r="F6572">
            <v>0</v>
          </cell>
          <cell r="G6572">
            <v>0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0</v>
          </cell>
          <cell r="M6572">
            <v>0</v>
          </cell>
          <cell r="N6572">
            <v>0</v>
          </cell>
          <cell r="O6572">
            <v>0</v>
          </cell>
          <cell r="P6572">
            <v>0</v>
          </cell>
          <cell r="Q6572">
            <v>0</v>
          </cell>
          <cell r="R6572">
            <v>0</v>
          </cell>
          <cell r="S6572">
            <v>0</v>
          </cell>
          <cell r="T6572">
            <v>0</v>
          </cell>
          <cell r="U6572">
            <v>0</v>
          </cell>
          <cell r="V6572">
            <v>0</v>
          </cell>
          <cell r="W6572">
            <v>0</v>
          </cell>
          <cell r="X6572">
            <v>0</v>
          </cell>
          <cell r="Y6572">
            <v>0</v>
          </cell>
          <cell r="Z6572">
            <v>0</v>
          </cell>
        </row>
        <row r="6573">
          <cell r="D6573">
            <v>305063</v>
          </cell>
          <cell r="E6573" t="str">
            <v>Tandubanak NHS</v>
          </cell>
          <cell r="F6573">
            <v>0</v>
          </cell>
          <cell r="G6573">
            <v>0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0</v>
          </cell>
          <cell r="M6573">
            <v>0</v>
          </cell>
          <cell r="N6573">
            <v>0</v>
          </cell>
          <cell r="O6573">
            <v>0</v>
          </cell>
          <cell r="P6573">
            <v>0</v>
          </cell>
          <cell r="Q6573">
            <v>0</v>
          </cell>
          <cell r="R6573">
            <v>0</v>
          </cell>
          <cell r="S6573">
            <v>0</v>
          </cell>
          <cell r="T6573">
            <v>0</v>
          </cell>
          <cell r="U6573">
            <v>0</v>
          </cell>
          <cell r="V6573">
            <v>0</v>
          </cell>
          <cell r="W6573">
            <v>0</v>
          </cell>
          <cell r="X6573">
            <v>0</v>
          </cell>
          <cell r="Y6573">
            <v>0</v>
          </cell>
          <cell r="Z6573">
            <v>0</v>
          </cell>
        </row>
        <row r="6574">
          <cell r="D6574">
            <v>501266</v>
          </cell>
          <cell r="E6574" t="str">
            <v>Tabawan Integrated School</v>
          </cell>
          <cell r="F6574">
            <v>0</v>
          </cell>
          <cell r="G6574">
            <v>0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>
            <v>0</v>
          </cell>
          <cell r="M6574">
            <v>0</v>
          </cell>
          <cell r="N6574">
            <v>0</v>
          </cell>
          <cell r="O6574">
            <v>0</v>
          </cell>
          <cell r="P6574">
            <v>0</v>
          </cell>
          <cell r="Q6574">
            <v>0</v>
          </cell>
          <cell r="R6574">
            <v>0</v>
          </cell>
          <cell r="S6574">
            <v>0</v>
          </cell>
          <cell r="T6574">
            <v>0</v>
          </cell>
          <cell r="U6574">
            <v>0</v>
          </cell>
          <cell r="V6574">
            <v>0</v>
          </cell>
          <cell r="W6574">
            <v>0</v>
          </cell>
          <cell r="X6574">
            <v>0</v>
          </cell>
          <cell r="Y6574">
            <v>0</v>
          </cell>
          <cell r="Z6574">
            <v>0</v>
          </cell>
        </row>
        <row r="6575">
          <cell r="D6575">
            <v>305051</v>
          </cell>
          <cell r="E6575" t="str">
            <v>Banaran NHS</v>
          </cell>
          <cell r="F6575">
            <v>0</v>
          </cell>
          <cell r="G6575">
            <v>0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0</v>
          </cell>
          <cell r="M6575">
            <v>0</v>
          </cell>
          <cell r="N6575">
            <v>0</v>
          </cell>
          <cell r="O6575">
            <v>0</v>
          </cell>
          <cell r="P6575">
            <v>0</v>
          </cell>
          <cell r="Q6575">
            <v>0</v>
          </cell>
          <cell r="R6575">
            <v>0</v>
          </cell>
          <cell r="S6575">
            <v>0</v>
          </cell>
          <cell r="T6575">
            <v>0</v>
          </cell>
          <cell r="U6575">
            <v>0</v>
          </cell>
          <cell r="V6575">
            <v>0</v>
          </cell>
          <cell r="W6575">
            <v>0</v>
          </cell>
          <cell r="X6575">
            <v>0</v>
          </cell>
          <cell r="Y6575">
            <v>0</v>
          </cell>
          <cell r="Z6575">
            <v>0</v>
          </cell>
        </row>
        <row r="6576">
          <cell r="D6576">
            <v>305056</v>
          </cell>
          <cell r="E6576" t="str">
            <v>Mantabuan NHS</v>
          </cell>
          <cell r="F6576">
            <v>0</v>
          </cell>
          <cell r="G6576">
            <v>0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0</v>
          </cell>
          <cell r="M6576">
            <v>0</v>
          </cell>
          <cell r="N6576">
            <v>0</v>
          </cell>
          <cell r="O6576">
            <v>0</v>
          </cell>
          <cell r="P6576">
            <v>0</v>
          </cell>
          <cell r="Q6576">
            <v>0</v>
          </cell>
          <cell r="R6576">
            <v>0</v>
          </cell>
          <cell r="S6576">
            <v>0</v>
          </cell>
          <cell r="T6576">
            <v>0</v>
          </cell>
          <cell r="U6576">
            <v>0</v>
          </cell>
          <cell r="V6576">
            <v>0</v>
          </cell>
          <cell r="W6576">
            <v>0</v>
          </cell>
          <cell r="X6576">
            <v>0</v>
          </cell>
          <cell r="Y6576">
            <v>0</v>
          </cell>
          <cell r="Z6576">
            <v>0</v>
          </cell>
        </row>
        <row r="6577">
          <cell r="D6577">
            <v>305066</v>
          </cell>
          <cell r="E6577" t="str">
            <v>Tawi Tawi SAT</v>
          </cell>
          <cell r="F6577">
            <v>0</v>
          </cell>
          <cell r="G6577">
            <v>0</v>
          </cell>
          <cell r="H6577">
            <v>0</v>
          </cell>
          <cell r="I6577">
            <v>0</v>
          </cell>
          <cell r="J6577">
            <v>0</v>
          </cell>
          <cell r="K6577">
            <v>0</v>
          </cell>
          <cell r="L6577">
            <v>0</v>
          </cell>
          <cell r="M6577">
            <v>0</v>
          </cell>
          <cell r="N6577">
            <v>0</v>
          </cell>
          <cell r="O6577">
            <v>0</v>
          </cell>
          <cell r="P6577">
            <v>0</v>
          </cell>
          <cell r="Q6577">
            <v>0</v>
          </cell>
          <cell r="R6577">
            <v>0</v>
          </cell>
          <cell r="S6577">
            <v>0</v>
          </cell>
          <cell r="T6577">
            <v>0</v>
          </cell>
          <cell r="U6577">
            <v>0</v>
          </cell>
          <cell r="V6577">
            <v>0</v>
          </cell>
          <cell r="W6577">
            <v>0</v>
          </cell>
          <cell r="X6577">
            <v>0</v>
          </cell>
          <cell r="Y6577">
            <v>0</v>
          </cell>
          <cell r="Z6577">
            <v>0</v>
          </cell>
        </row>
        <row r="6578">
          <cell r="D6578">
            <v>305060</v>
          </cell>
          <cell r="E6578" t="str">
            <v>Sipangkot NHS</v>
          </cell>
          <cell r="F6578">
            <v>0</v>
          </cell>
          <cell r="G6578">
            <v>0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>
            <v>0</v>
          </cell>
          <cell r="M6578">
            <v>0</v>
          </cell>
          <cell r="N6578">
            <v>0</v>
          </cell>
          <cell r="O6578">
            <v>0</v>
          </cell>
          <cell r="P6578">
            <v>0</v>
          </cell>
          <cell r="Q6578">
            <v>0</v>
          </cell>
          <cell r="R6578">
            <v>0</v>
          </cell>
          <cell r="S6578">
            <v>0</v>
          </cell>
          <cell r="T6578">
            <v>0</v>
          </cell>
          <cell r="U6578">
            <v>0</v>
          </cell>
          <cell r="V6578">
            <v>0</v>
          </cell>
          <cell r="W6578">
            <v>0</v>
          </cell>
          <cell r="X6578">
            <v>0</v>
          </cell>
          <cell r="Y6578">
            <v>0</v>
          </cell>
          <cell r="Z6578">
            <v>0</v>
          </cell>
        </row>
        <row r="6579">
          <cell r="D6579">
            <v>318502</v>
          </cell>
          <cell r="E6579" t="str">
            <v>Pagasinan NHS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0</v>
          </cell>
          <cell r="M6579">
            <v>0</v>
          </cell>
          <cell r="N6579">
            <v>0</v>
          </cell>
          <cell r="O6579">
            <v>0</v>
          </cell>
          <cell r="P6579">
            <v>0</v>
          </cell>
          <cell r="Q6579">
            <v>0</v>
          </cell>
          <cell r="R6579">
            <v>0</v>
          </cell>
          <cell r="S6579">
            <v>0</v>
          </cell>
          <cell r="T6579">
            <v>0</v>
          </cell>
          <cell r="U6579">
            <v>0</v>
          </cell>
          <cell r="V6579">
            <v>0</v>
          </cell>
          <cell r="W6579">
            <v>0</v>
          </cell>
          <cell r="X6579">
            <v>0</v>
          </cell>
          <cell r="Y6579">
            <v>0</v>
          </cell>
          <cell r="Z6579">
            <v>0</v>
          </cell>
        </row>
        <row r="6580">
          <cell r="D6580">
            <v>305057</v>
          </cell>
          <cell r="E6580" t="str">
            <v>Manuk Mangkaw NHS</v>
          </cell>
          <cell r="F6580">
            <v>0</v>
          </cell>
          <cell r="G6580">
            <v>0</v>
          </cell>
          <cell r="H6580">
            <v>0</v>
          </cell>
          <cell r="I6580">
            <v>0</v>
          </cell>
          <cell r="J6580">
            <v>0</v>
          </cell>
          <cell r="K6580">
            <v>0</v>
          </cell>
          <cell r="L6580">
            <v>0</v>
          </cell>
          <cell r="M6580">
            <v>0</v>
          </cell>
          <cell r="N6580">
            <v>0</v>
          </cell>
          <cell r="O6580">
            <v>0</v>
          </cell>
          <cell r="P6580">
            <v>0</v>
          </cell>
          <cell r="Q6580">
            <v>0</v>
          </cell>
          <cell r="R6580">
            <v>0</v>
          </cell>
          <cell r="S6580">
            <v>0</v>
          </cell>
          <cell r="T6580">
            <v>0</v>
          </cell>
          <cell r="U6580">
            <v>0</v>
          </cell>
          <cell r="V6580">
            <v>0</v>
          </cell>
          <cell r="W6580">
            <v>0</v>
          </cell>
          <cell r="X6580">
            <v>0</v>
          </cell>
          <cell r="Y6580">
            <v>0</v>
          </cell>
          <cell r="Z6580">
            <v>0</v>
          </cell>
        </row>
        <row r="6581">
          <cell r="D6581">
            <v>305069</v>
          </cell>
          <cell r="E6581" t="str">
            <v>Turtle Island HS</v>
          </cell>
          <cell r="F6581">
            <v>0</v>
          </cell>
          <cell r="G6581">
            <v>0</v>
          </cell>
          <cell r="H6581">
            <v>0</v>
          </cell>
          <cell r="I6581">
            <v>0</v>
          </cell>
          <cell r="J6581">
            <v>0</v>
          </cell>
          <cell r="K6581">
            <v>0</v>
          </cell>
          <cell r="L6581">
            <v>0</v>
          </cell>
          <cell r="M6581">
            <v>0</v>
          </cell>
          <cell r="N6581">
            <v>0</v>
          </cell>
          <cell r="O6581">
            <v>0</v>
          </cell>
          <cell r="P6581">
            <v>0</v>
          </cell>
          <cell r="Q6581">
            <v>0</v>
          </cell>
          <cell r="R6581">
            <v>0</v>
          </cell>
          <cell r="S6581">
            <v>0</v>
          </cell>
          <cell r="T6581">
            <v>0</v>
          </cell>
          <cell r="U6581">
            <v>0</v>
          </cell>
          <cell r="V6581">
            <v>0</v>
          </cell>
          <cell r="W6581">
            <v>0</v>
          </cell>
          <cell r="X6581">
            <v>0</v>
          </cell>
          <cell r="Y6581">
            <v>0</v>
          </cell>
          <cell r="Z6581">
            <v>0</v>
          </cell>
        </row>
        <row r="6582">
          <cell r="D6582">
            <v>305050</v>
          </cell>
          <cell r="E6582" t="str">
            <v>Balimbing NHS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0</v>
          </cell>
          <cell r="M6582">
            <v>0</v>
          </cell>
          <cell r="N6582">
            <v>0</v>
          </cell>
          <cell r="O6582">
            <v>0</v>
          </cell>
          <cell r="P6582">
            <v>0</v>
          </cell>
          <cell r="Q6582">
            <v>0</v>
          </cell>
          <cell r="R6582">
            <v>0</v>
          </cell>
          <cell r="S6582">
            <v>0</v>
          </cell>
          <cell r="T6582">
            <v>0</v>
          </cell>
          <cell r="U6582">
            <v>0</v>
          </cell>
          <cell r="V6582">
            <v>0</v>
          </cell>
          <cell r="W6582">
            <v>0</v>
          </cell>
          <cell r="X6582">
            <v>0</v>
          </cell>
          <cell r="Y6582">
            <v>0</v>
          </cell>
          <cell r="Z6582">
            <v>0</v>
          </cell>
        </row>
        <row r="6583">
          <cell r="D6583">
            <v>345750</v>
          </cell>
          <cell r="E6583" t="str">
            <v>Mapun National High School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0</v>
          </cell>
          <cell r="M6583">
            <v>0</v>
          </cell>
          <cell r="N6583">
            <v>0</v>
          </cell>
          <cell r="O6583">
            <v>0</v>
          </cell>
          <cell r="P6583">
            <v>0</v>
          </cell>
          <cell r="Q6583">
            <v>0</v>
          </cell>
          <cell r="R6583">
            <v>0</v>
          </cell>
          <cell r="S6583">
            <v>0</v>
          </cell>
          <cell r="T6583">
            <v>0</v>
          </cell>
          <cell r="U6583">
            <v>0</v>
          </cell>
          <cell r="V6583">
            <v>0</v>
          </cell>
          <cell r="W6583">
            <v>0</v>
          </cell>
          <cell r="X6583">
            <v>0</v>
          </cell>
          <cell r="Y6583">
            <v>0</v>
          </cell>
          <cell r="Z6583">
            <v>0</v>
          </cell>
        </row>
        <row r="6584">
          <cell r="D6584">
            <v>305071</v>
          </cell>
          <cell r="E6584" t="str">
            <v>Ungus Matata NHS</v>
          </cell>
          <cell r="F6584">
            <v>0</v>
          </cell>
          <cell r="G6584">
            <v>0</v>
          </cell>
          <cell r="H6584">
            <v>0</v>
          </cell>
          <cell r="I6584">
            <v>0</v>
          </cell>
          <cell r="J6584">
            <v>0</v>
          </cell>
          <cell r="K6584">
            <v>0</v>
          </cell>
          <cell r="L6584">
            <v>0</v>
          </cell>
          <cell r="M6584">
            <v>0</v>
          </cell>
          <cell r="N6584">
            <v>0</v>
          </cell>
          <cell r="O6584">
            <v>0</v>
          </cell>
          <cell r="P6584">
            <v>0</v>
          </cell>
          <cell r="Q6584">
            <v>0</v>
          </cell>
          <cell r="R6584">
            <v>0</v>
          </cell>
          <cell r="S6584">
            <v>0</v>
          </cell>
          <cell r="T6584">
            <v>0</v>
          </cell>
          <cell r="U6584">
            <v>0</v>
          </cell>
          <cell r="V6584">
            <v>0</v>
          </cell>
          <cell r="W6584">
            <v>0</v>
          </cell>
          <cell r="X6584">
            <v>0</v>
          </cell>
          <cell r="Y6584">
            <v>0</v>
          </cell>
          <cell r="Z6584">
            <v>0</v>
          </cell>
        </row>
        <row r="6585">
          <cell r="D6585">
            <v>305065</v>
          </cell>
          <cell r="E6585" t="str">
            <v>Tawi-Tawi School of Fisheries</v>
          </cell>
          <cell r="F6585">
            <v>0</v>
          </cell>
          <cell r="G6585">
            <v>0</v>
          </cell>
          <cell r="H6585">
            <v>0</v>
          </cell>
          <cell r="I6585">
            <v>0</v>
          </cell>
          <cell r="J6585">
            <v>0</v>
          </cell>
          <cell r="K6585">
            <v>0</v>
          </cell>
          <cell r="L6585">
            <v>0</v>
          </cell>
          <cell r="M6585">
            <v>0</v>
          </cell>
          <cell r="N6585">
            <v>0</v>
          </cell>
          <cell r="O6585">
            <v>0</v>
          </cell>
          <cell r="P6585">
            <v>0</v>
          </cell>
          <cell r="Q6585">
            <v>0</v>
          </cell>
          <cell r="R6585">
            <v>0</v>
          </cell>
          <cell r="S6585">
            <v>0</v>
          </cell>
          <cell r="T6585">
            <v>0</v>
          </cell>
          <cell r="U6585">
            <v>0</v>
          </cell>
          <cell r="V6585">
            <v>0</v>
          </cell>
          <cell r="W6585">
            <v>0</v>
          </cell>
          <cell r="X6585">
            <v>0</v>
          </cell>
          <cell r="Y6585">
            <v>0</v>
          </cell>
          <cell r="Z6585">
            <v>0</v>
          </cell>
        </row>
        <row r="6586">
          <cell r="D6586">
            <v>305064</v>
          </cell>
          <cell r="E6586" t="str">
            <v>Tandubas School of Fisheries</v>
          </cell>
          <cell r="F6586">
            <v>0</v>
          </cell>
          <cell r="G6586">
            <v>0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>
            <v>0</v>
          </cell>
          <cell r="M6586">
            <v>0</v>
          </cell>
          <cell r="N6586">
            <v>0</v>
          </cell>
          <cell r="O6586">
            <v>0</v>
          </cell>
          <cell r="P6586">
            <v>0</v>
          </cell>
          <cell r="Q6586">
            <v>0</v>
          </cell>
          <cell r="R6586">
            <v>0</v>
          </cell>
          <cell r="S6586">
            <v>0</v>
          </cell>
          <cell r="T6586">
            <v>0</v>
          </cell>
          <cell r="U6586">
            <v>0</v>
          </cell>
          <cell r="V6586">
            <v>0</v>
          </cell>
          <cell r="W6586">
            <v>0</v>
          </cell>
          <cell r="X6586">
            <v>0</v>
          </cell>
          <cell r="Y6586">
            <v>0</v>
          </cell>
          <cell r="Z6586">
            <v>0</v>
          </cell>
        </row>
        <row r="6587">
          <cell r="D6587">
            <v>305061</v>
          </cell>
          <cell r="E6587" t="str">
            <v>Hadja Jatol Ahaja NHS</v>
          </cell>
          <cell r="F6587">
            <v>0</v>
          </cell>
          <cell r="G6587">
            <v>0</v>
          </cell>
          <cell r="H6587">
            <v>0</v>
          </cell>
          <cell r="I6587">
            <v>0</v>
          </cell>
          <cell r="J6587">
            <v>0</v>
          </cell>
          <cell r="K6587">
            <v>0</v>
          </cell>
          <cell r="L6587">
            <v>0</v>
          </cell>
          <cell r="M6587">
            <v>0</v>
          </cell>
          <cell r="N6587">
            <v>0</v>
          </cell>
          <cell r="O6587">
            <v>0</v>
          </cell>
          <cell r="P6587">
            <v>0</v>
          </cell>
          <cell r="Q6587">
            <v>0</v>
          </cell>
          <cell r="R6587">
            <v>0</v>
          </cell>
          <cell r="S6587">
            <v>0</v>
          </cell>
          <cell r="T6587">
            <v>0</v>
          </cell>
          <cell r="U6587">
            <v>0</v>
          </cell>
          <cell r="V6587">
            <v>0</v>
          </cell>
          <cell r="W6587">
            <v>0</v>
          </cell>
          <cell r="X6587">
            <v>0</v>
          </cell>
          <cell r="Y6587">
            <v>0</v>
          </cell>
          <cell r="Z6587">
            <v>0</v>
          </cell>
        </row>
        <row r="6588">
          <cell r="D6588">
            <v>305072</v>
          </cell>
          <cell r="E6588" t="str">
            <v>Angoyao NHS</v>
          </cell>
          <cell r="F6588">
            <v>0</v>
          </cell>
          <cell r="G6588">
            <v>0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>
            <v>0</v>
          </cell>
          <cell r="M6588">
            <v>0</v>
          </cell>
          <cell r="N6588">
            <v>0</v>
          </cell>
          <cell r="O6588">
            <v>0</v>
          </cell>
          <cell r="P6588">
            <v>0</v>
          </cell>
          <cell r="Q6588">
            <v>0</v>
          </cell>
          <cell r="R6588">
            <v>0</v>
          </cell>
          <cell r="S6588">
            <v>0</v>
          </cell>
          <cell r="T6588">
            <v>0</v>
          </cell>
          <cell r="U6588">
            <v>0</v>
          </cell>
          <cell r="V6588">
            <v>0</v>
          </cell>
          <cell r="W6588">
            <v>0</v>
          </cell>
          <cell r="X6588">
            <v>0</v>
          </cell>
          <cell r="Y6588">
            <v>0</v>
          </cell>
          <cell r="Z6588">
            <v>0</v>
          </cell>
        </row>
        <row r="6589">
          <cell r="D6589">
            <v>318605</v>
          </cell>
          <cell r="E6589" t="str">
            <v>RPMD National Science HS</v>
          </cell>
          <cell r="F6589">
            <v>0</v>
          </cell>
          <cell r="G6589">
            <v>0</v>
          </cell>
          <cell r="H6589">
            <v>0</v>
          </cell>
          <cell r="I6589">
            <v>0</v>
          </cell>
          <cell r="J6589">
            <v>0</v>
          </cell>
          <cell r="K6589">
            <v>0</v>
          </cell>
          <cell r="L6589">
            <v>0</v>
          </cell>
          <cell r="M6589">
            <v>0</v>
          </cell>
          <cell r="N6589">
            <v>0</v>
          </cell>
          <cell r="O6589">
            <v>0</v>
          </cell>
          <cell r="P6589">
            <v>0</v>
          </cell>
          <cell r="Q6589">
            <v>0</v>
          </cell>
          <cell r="R6589">
            <v>0</v>
          </cell>
          <cell r="S6589">
            <v>0</v>
          </cell>
          <cell r="T6589">
            <v>0</v>
          </cell>
          <cell r="U6589">
            <v>0</v>
          </cell>
          <cell r="V6589">
            <v>0</v>
          </cell>
          <cell r="W6589">
            <v>0</v>
          </cell>
          <cell r="X6589">
            <v>0</v>
          </cell>
          <cell r="Y6589">
            <v>0</v>
          </cell>
          <cell r="Z6589">
            <v>0</v>
          </cell>
        </row>
        <row r="6590">
          <cell r="D6590">
            <v>305073</v>
          </cell>
          <cell r="E6590" t="str">
            <v>MARAWI CITY NATIONAL HIGH SCHOOL</v>
          </cell>
          <cell r="F6590">
            <v>0</v>
          </cell>
          <cell r="G6590">
            <v>0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>
            <v>0</v>
          </cell>
          <cell r="M6590">
            <v>0</v>
          </cell>
          <cell r="N6590">
            <v>0</v>
          </cell>
          <cell r="O6590">
            <v>0</v>
          </cell>
          <cell r="P6590">
            <v>0</v>
          </cell>
          <cell r="Q6590">
            <v>0</v>
          </cell>
          <cell r="R6590">
            <v>0</v>
          </cell>
          <cell r="S6590">
            <v>0</v>
          </cell>
          <cell r="T6590">
            <v>0</v>
          </cell>
          <cell r="U6590">
            <v>0</v>
          </cell>
          <cell r="V6590">
            <v>0</v>
          </cell>
          <cell r="W6590">
            <v>0</v>
          </cell>
          <cell r="X6590">
            <v>0</v>
          </cell>
          <cell r="Y6590">
            <v>0</v>
          </cell>
          <cell r="Z6590">
            <v>0</v>
          </cell>
        </row>
        <row r="6591">
          <cell r="D6591">
            <v>318602</v>
          </cell>
          <cell r="E6591" t="str">
            <v>Lake Lanao NHS</v>
          </cell>
          <cell r="F6591">
            <v>0</v>
          </cell>
          <cell r="G6591">
            <v>0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>
            <v>0</v>
          </cell>
          <cell r="M6591">
            <v>0</v>
          </cell>
          <cell r="N6591">
            <v>0</v>
          </cell>
          <cell r="O6591">
            <v>0</v>
          </cell>
          <cell r="P6591">
            <v>0</v>
          </cell>
          <cell r="Q6591">
            <v>0</v>
          </cell>
          <cell r="R6591">
            <v>0</v>
          </cell>
          <cell r="S6591">
            <v>0</v>
          </cell>
          <cell r="T6591">
            <v>0</v>
          </cell>
          <cell r="U6591">
            <v>0</v>
          </cell>
          <cell r="V6591">
            <v>0</v>
          </cell>
          <cell r="W6591">
            <v>0</v>
          </cell>
          <cell r="X6591">
            <v>0</v>
          </cell>
          <cell r="Y6591">
            <v>0</v>
          </cell>
          <cell r="Z6591">
            <v>0</v>
          </cell>
        </row>
        <row r="6592">
          <cell r="D6592">
            <v>318601</v>
          </cell>
          <cell r="E6592" t="str">
            <v>Dansalan National High School</v>
          </cell>
          <cell r="F6592">
            <v>0</v>
          </cell>
          <cell r="G6592">
            <v>0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0</v>
          </cell>
          <cell r="M6592">
            <v>0</v>
          </cell>
          <cell r="N6592">
            <v>0</v>
          </cell>
          <cell r="O6592">
            <v>0</v>
          </cell>
          <cell r="P6592">
            <v>0</v>
          </cell>
          <cell r="Q6592">
            <v>0</v>
          </cell>
          <cell r="R6592">
            <v>0</v>
          </cell>
          <cell r="S6592">
            <v>0</v>
          </cell>
          <cell r="T6592">
            <v>0</v>
          </cell>
          <cell r="U6592">
            <v>0</v>
          </cell>
          <cell r="V6592">
            <v>0</v>
          </cell>
          <cell r="W6592">
            <v>0</v>
          </cell>
          <cell r="X6592">
            <v>0</v>
          </cell>
          <cell r="Y6592">
            <v>0</v>
          </cell>
          <cell r="Z6592">
            <v>0</v>
          </cell>
        </row>
        <row r="6593">
          <cell r="D6593">
            <v>304939</v>
          </cell>
          <cell r="E6593" t="str">
            <v>Lamitan National High School</v>
          </cell>
          <cell r="F6593">
            <v>0</v>
          </cell>
          <cell r="G6593">
            <v>0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>
            <v>0</v>
          </cell>
          <cell r="M6593">
            <v>0</v>
          </cell>
          <cell r="N6593">
            <v>0</v>
          </cell>
          <cell r="O6593">
            <v>0</v>
          </cell>
          <cell r="P6593">
            <v>0</v>
          </cell>
          <cell r="Q6593">
            <v>0</v>
          </cell>
          <cell r="R6593">
            <v>0</v>
          </cell>
          <cell r="S6593">
            <v>0</v>
          </cell>
          <cell r="T6593">
            <v>0</v>
          </cell>
          <cell r="U6593">
            <v>0</v>
          </cell>
          <cell r="V6593">
            <v>0</v>
          </cell>
          <cell r="W6593">
            <v>0</v>
          </cell>
          <cell r="X6593">
            <v>0</v>
          </cell>
          <cell r="Y6593">
            <v>0</v>
          </cell>
          <cell r="Z6593">
            <v>0</v>
          </cell>
        </row>
        <row r="6594">
          <cell r="D6594">
            <v>304945</v>
          </cell>
          <cell r="E6594" t="str">
            <v>Parangbasak NHS</v>
          </cell>
          <cell r="F6594">
            <v>0</v>
          </cell>
          <cell r="G6594">
            <v>0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>
            <v>0</v>
          </cell>
          <cell r="M6594">
            <v>0</v>
          </cell>
          <cell r="N6594">
            <v>0</v>
          </cell>
          <cell r="O6594">
            <v>0</v>
          </cell>
          <cell r="P6594">
            <v>0</v>
          </cell>
          <cell r="Q6594">
            <v>0</v>
          </cell>
          <cell r="R6594">
            <v>0</v>
          </cell>
          <cell r="S6594">
            <v>0</v>
          </cell>
          <cell r="T6594">
            <v>0</v>
          </cell>
          <cell r="U6594">
            <v>0</v>
          </cell>
          <cell r="V6594">
            <v>0</v>
          </cell>
          <cell r="W6594">
            <v>0</v>
          </cell>
          <cell r="X6594">
            <v>0</v>
          </cell>
          <cell r="Y6594">
            <v>0</v>
          </cell>
          <cell r="Z6594">
            <v>0</v>
          </cell>
        </row>
        <row r="6595">
          <cell r="D6595">
            <v>318001</v>
          </cell>
          <cell r="E6595" t="str">
            <v>Ubit NHS</v>
          </cell>
          <cell r="F6595">
            <v>0</v>
          </cell>
          <cell r="G6595">
            <v>0</v>
          </cell>
          <cell r="H6595">
            <v>0</v>
          </cell>
          <cell r="I6595">
            <v>0</v>
          </cell>
          <cell r="J6595">
            <v>0</v>
          </cell>
          <cell r="K6595">
            <v>0</v>
          </cell>
          <cell r="L6595">
            <v>0</v>
          </cell>
          <cell r="M6595">
            <v>0</v>
          </cell>
          <cell r="N6595">
            <v>0</v>
          </cell>
          <cell r="O6595">
            <v>0</v>
          </cell>
          <cell r="P6595">
            <v>0</v>
          </cell>
          <cell r="Q6595">
            <v>0</v>
          </cell>
          <cell r="R6595">
            <v>0</v>
          </cell>
          <cell r="S6595">
            <v>0</v>
          </cell>
          <cell r="T6595">
            <v>0</v>
          </cell>
          <cell r="U6595">
            <v>0</v>
          </cell>
          <cell r="V6595">
            <v>0</v>
          </cell>
          <cell r="W6595">
            <v>0</v>
          </cell>
          <cell r="X6595">
            <v>0</v>
          </cell>
          <cell r="Y6595">
            <v>0</v>
          </cell>
          <cell r="Z6595">
            <v>0</v>
          </cell>
        </row>
        <row r="6596">
          <cell r="D6596">
            <v>304935</v>
          </cell>
          <cell r="E6596" t="str">
            <v>Colony National High School</v>
          </cell>
          <cell r="F6596">
            <v>40</v>
          </cell>
          <cell r="G6596">
            <v>45</v>
          </cell>
          <cell r="H6596">
            <v>85</v>
          </cell>
          <cell r="I6596">
            <v>31</v>
          </cell>
          <cell r="J6596">
            <v>38</v>
          </cell>
          <cell r="K6596">
            <v>69</v>
          </cell>
          <cell r="L6596">
            <v>56</v>
          </cell>
          <cell r="M6596">
            <v>61</v>
          </cell>
          <cell r="N6596">
            <v>117</v>
          </cell>
          <cell r="O6596">
            <v>0</v>
          </cell>
          <cell r="P6596">
            <v>0</v>
          </cell>
          <cell r="Q6596">
            <v>0</v>
          </cell>
          <cell r="R6596">
            <v>0</v>
          </cell>
          <cell r="S6596">
            <v>0</v>
          </cell>
          <cell r="T6596">
            <v>0</v>
          </cell>
          <cell r="U6596">
            <v>1</v>
          </cell>
          <cell r="V6596">
            <v>1</v>
          </cell>
          <cell r="W6596">
            <v>2</v>
          </cell>
          <cell r="X6596">
            <v>0</v>
          </cell>
          <cell r="Y6596">
            <v>0</v>
          </cell>
          <cell r="Z6596">
            <v>0</v>
          </cell>
        </row>
        <row r="6597">
          <cell r="D6597">
            <v>305076</v>
          </cell>
          <cell r="E6597" t="str">
            <v>Baay National High School</v>
          </cell>
          <cell r="F6597">
            <v>0</v>
          </cell>
          <cell r="G6597">
            <v>0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>
            <v>0</v>
          </cell>
          <cell r="M6597">
            <v>0</v>
          </cell>
          <cell r="N6597">
            <v>0</v>
          </cell>
          <cell r="O6597">
            <v>0</v>
          </cell>
          <cell r="P6597">
            <v>0</v>
          </cell>
          <cell r="Q6597">
            <v>0</v>
          </cell>
          <cell r="R6597">
            <v>0</v>
          </cell>
          <cell r="S6597">
            <v>0</v>
          </cell>
          <cell r="T6597">
            <v>0</v>
          </cell>
          <cell r="U6597">
            <v>0</v>
          </cell>
          <cell r="V6597">
            <v>0</v>
          </cell>
          <cell r="W6597">
            <v>0</v>
          </cell>
          <cell r="X6597">
            <v>0</v>
          </cell>
          <cell r="Y6597">
            <v>0</v>
          </cell>
          <cell r="Z6597">
            <v>0</v>
          </cell>
        </row>
        <row r="6598">
          <cell r="D6598">
            <v>305095</v>
          </cell>
          <cell r="E6598" t="str">
            <v>Quidaoen NHS</v>
          </cell>
          <cell r="F6598">
            <v>0</v>
          </cell>
          <cell r="G6598">
            <v>0</v>
          </cell>
          <cell r="H6598">
            <v>0</v>
          </cell>
          <cell r="I6598">
            <v>0</v>
          </cell>
          <cell r="J6598">
            <v>0</v>
          </cell>
          <cell r="K6598">
            <v>0</v>
          </cell>
          <cell r="L6598">
            <v>0</v>
          </cell>
          <cell r="M6598">
            <v>0</v>
          </cell>
          <cell r="N6598">
            <v>0</v>
          </cell>
          <cell r="O6598">
            <v>0</v>
          </cell>
          <cell r="P6598">
            <v>0</v>
          </cell>
          <cell r="Q6598">
            <v>0</v>
          </cell>
          <cell r="R6598">
            <v>0</v>
          </cell>
          <cell r="S6598">
            <v>0</v>
          </cell>
          <cell r="T6598">
            <v>0</v>
          </cell>
          <cell r="U6598">
            <v>0</v>
          </cell>
          <cell r="V6598">
            <v>0</v>
          </cell>
          <cell r="W6598">
            <v>0</v>
          </cell>
          <cell r="X6598">
            <v>0</v>
          </cell>
          <cell r="Y6598">
            <v>0</v>
          </cell>
          <cell r="Z6598">
            <v>0</v>
          </cell>
        </row>
        <row r="6599">
          <cell r="D6599">
            <v>305105</v>
          </cell>
          <cell r="E6599" t="str">
            <v>Western Abra NHS</v>
          </cell>
          <cell r="F6599">
            <v>0</v>
          </cell>
          <cell r="G6599">
            <v>0</v>
          </cell>
          <cell r="H6599">
            <v>0</v>
          </cell>
          <cell r="I6599">
            <v>0</v>
          </cell>
          <cell r="J6599">
            <v>0</v>
          </cell>
          <cell r="K6599">
            <v>0</v>
          </cell>
          <cell r="L6599">
            <v>0</v>
          </cell>
          <cell r="M6599">
            <v>0</v>
          </cell>
          <cell r="N6599">
            <v>0</v>
          </cell>
          <cell r="O6599">
            <v>0</v>
          </cell>
          <cell r="P6599">
            <v>0</v>
          </cell>
          <cell r="Q6599">
            <v>0</v>
          </cell>
          <cell r="R6599">
            <v>0</v>
          </cell>
          <cell r="S6599">
            <v>0</v>
          </cell>
          <cell r="T6599">
            <v>0</v>
          </cell>
          <cell r="U6599">
            <v>0</v>
          </cell>
          <cell r="V6599">
            <v>0</v>
          </cell>
          <cell r="W6599">
            <v>0</v>
          </cell>
          <cell r="X6599">
            <v>0</v>
          </cell>
          <cell r="Y6599">
            <v>0</v>
          </cell>
          <cell r="Z6599">
            <v>0</v>
          </cell>
        </row>
        <row r="6600">
          <cell r="D6600">
            <v>305100</v>
          </cell>
          <cell r="E6600" t="str">
            <v>Supo NHS</v>
          </cell>
          <cell r="F6600">
            <v>0</v>
          </cell>
          <cell r="G6600">
            <v>0</v>
          </cell>
          <cell r="H6600">
            <v>0</v>
          </cell>
          <cell r="I6600">
            <v>0</v>
          </cell>
          <cell r="J6600">
            <v>0</v>
          </cell>
          <cell r="K6600">
            <v>0</v>
          </cell>
          <cell r="L6600">
            <v>0</v>
          </cell>
          <cell r="M6600">
            <v>0</v>
          </cell>
          <cell r="N6600">
            <v>0</v>
          </cell>
          <cell r="O6600">
            <v>0</v>
          </cell>
          <cell r="P6600">
            <v>0</v>
          </cell>
          <cell r="Q6600">
            <v>0</v>
          </cell>
          <cell r="R6600">
            <v>0</v>
          </cell>
          <cell r="S6600">
            <v>0</v>
          </cell>
          <cell r="T6600">
            <v>0</v>
          </cell>
          <cell r="U6600">
            <v>0</v>
          </cell>
          <cell r="V6600">
            <v>0</v>
          </cell>
          <cell r="W6600">
            <v>0</v>
          </cell>
          <cell r="X6600">
            <v>0</v>
          </cell>
          <cell r="Y6600">
            <v>0</v>
          </cell>
          <cell r="Z6600">
            <v>0</v>
          </cell>
        </row>
        <row r="6601">
          <cell r="D6601">
            <v>305082</v>
          </cell>
          <cell r="E6601" t="str">
            <v>Cristina B. Gonzales MHS</v>
          </cell>
          <cell r="F6601">
            <v>0</v>
          </cell>
          <cell r="G6601">
            <v>0</v>
          </cell>
          <cell r="H6601">
            <v>0</v>
          </cell>
          <cell r="I6601">
            <v>0</v>
          </cell>
          <cell r="J6601">
            <v>0</v>
          </cell>
          <cell r="K6601">
            <v>0</v>
          </cell>
          <cell r="L6601">
            <v>0</v>
          </cell>
          <cell r="M6601">
            <v>0</v>
          </cell>
          <cell r="N6601">
            <v>0</v>
          </cell>
          <cell r="O6601">
            <v>0</v>
          </cell>
          <cell r="P6601">
            <v>0</v>
          </cell>
          <cell r="Q6601">
            <v>0</v>
          </cell>
          <cell r="R6601">
            <v>0</v>
          </cell>
          <cell r="S6601">
            <v>0</v>
          </cell>
          <cell r="T6601">
            <v>0</v>
          </cell>
          <cell r="U6601">
            <v>0</v>
          </cell>
          <cell r="V6601">
            <v>0</v>
          </cell>
          <cell r="W6601">
            <v>0</v>
          </cell>
          <cell r="X6601">
            <v>0</v>
          </cell>
          <cell r="Y6601">
            <v>0</v>
          </cell>
          <cell r="Z6601">
            <v>0</v>
          </cell>
        </row>
        <row r="6602">
          <cell r="D6602">
            <v>305085</v>
          </cell>
          <cell r="E6602" t="str">
            <v>Dugong National High School</v>
          </cell>
          <cell r="F6602">
            <v>0</v>
          </cell>
          <cell r="G6602">
            <v>0</v>
          </cell>
          <cell r="H6602">
            <v>0</v>
          </cell>
          <cell r="I6602">
            <v>0</v>
          </cell>
          <cell r="J6602">
            <v>0</v>
          </cell>
          <cell r="K6602">
            <v>0</v>
          </cell>
          <cell r="L6602">
            <v>0</v>
          </cell>
          <cell r="M6602">
            <v>0</v>
          </cell>
          <cell r="N6602">
            <v>0</v>
          </cell>
          <cell r="O6602">
            <v>0</v>
          </cell>
          <cell r="P6602">
            <v>0</v>
          </cell>
          <cell r="Q6602">
            <v>0</v>
          </cell>
          <cell r="R6602">
            <v>0</v>
          </cell>
          <cell r="S6602">
            <v>0</v>
          </cell>
          <cell r="T6602">
            <v>0</v>
          </cell>
          <cell r="U6602">
            <v>0</v>
          </cell>
          <cell r="V6602">
            <v>0</v>
          </cell>
          <cell r="W6602">
            <v>0</v>
          </cell>
          <cell r="X6602">
            <v>0</v>
          </cell>
          <cell r="Y6602">
            <v>0</v>
          </cell>
          <cell r="Z6602">
            <v>0</v>
          </cell>
        </row>
        <row r="6603">
          <cell r="D6603">
            <v>305078</v>
          </cell>
          <cell r="E6603" t="str">
            <v>Boliney NHS</v>
          </cell>
          <cell r="F6603">
            <v>33</v>
          </cell>
          <cell r="G6603">
            <v>27</v>
          </cell>
          <cell r="H6603">
            <v>60</v>
          </cell>
          <cell r="I6603">
            <v>31</v>
          </cell>
          <cell r="J6603">
            <v>26</v>
          </cell>
          <cell r="K6603">
            <v>57</v>
          </cell>
          <cell r="L6603">
            <v>31</v>
          </cell>
          <cell r="M6603">
            <v>26</v>
          </cell>
          <cell r="N6603">
            <v>57</v>
          </cell>
          <cell r="O6603">
            <v>0</v>
          </cell>
          <cell r="P6603">
            <v>0</v>
          </cell>
          <cell r="Q6603">
            <v>0</v>
          </cell>
          <cell r="R6603">
            <v>0</v>
          </cell>
          <cell r="S6603">
            <v>0</v>
          </cell>
          <cell r="T6603">
            <v>0</v>
          </cell>
          <cell r="U6603">
            <v>0</v>
          </cell>
          <cell r="V6603">
            <v>0</v>
          </cell>
          <cell r="W6603">
            <v>0</v>
          </cell>
          <cell r="X6603">
            <v>0</v>
          </cell>
          <cell r="Y6603">
            <v>0</v>
          </cell>
          <cell r="Z6603">
            <v>0</v>
          </cell>
        </row>
        <row r="6604">
          <cell r="D6604">
            <v>305098</v>
          </cell>
          <cell r="E6604" t="str">
            <v>Manabo NHS (San Jose Catacdegan NHS)</v>
          </cell>
          <cell r="F6604">
            <v>0</v>
          </cell>
          <cell r="G6604">
            <v>0</v>
          </cell>
          <cell r="H6604">
            <v>0</v>
          </cell>
          <cell r="I6604">
            <v>0</v>
          </cell>
          <cell r="J6604">
            <v>0</v>
          </cell>
          <cell r="K6604">
            <v>0</v>
          </cell>
          <cell r="L6604">
            <v>0</v>
          </cell>
          <cell r="M6604">
            <v>0</v>
          </cell>
          <cell r="N6604">
            <v>0</v>
          </cell>
          <cell r="O6604">
            <v>0</v>
          </cell>
          <cell r="P6604">
            <v>0</v>
          </cell>
          <cell r="Q6604">
            <v>0</v>
          </cell>
          <cell r="R6604">
            <v>0</v>
          </cell>
          <cell r="S6604">
            <v>0</v>
          </cell>
          <cell r="T6604">
            <v>0</v>
          </cell>
          <cell r="U6604">
            <v>0</v>
          </cell>
          <cell r="V6604">
            <v>0</v>
          </cell>
          <cell r="W6604">
            <v>0</v>
          </cell>
          <cell r="X6604">
            <v>0</v>
          </cell>
          <cell r="Y6604">
            <v>0</v>
          </cell>
          <cell r="Z6604">
            <v>0</v>
          </cell>
        </row>
        <row r="6605">
          <cell r="D6605">
            <v>305081</v>
          </cell>
          <cell r="E6605" t="str">
            <v>Cayapa NHS</v>
          </cell>
          <cell r="F6605">
            <v>0</v>
          </cell>
          <cell r="G6605">
            <v>0</v>
          </cell>
          <cell r="H6605">
            <v>0</v>
          </cell>
          <cell r="I6605">
            <v>0</v>
          </cell>
          <cell r="J6605">
            <v>0</v>
          </cell>
          <cell r="K6605">
            <v>0</v>
          </cell>
          <cell r="L6605">
            <v>0</v>
          </cell>
          <cell r="M6605">
            <v>0</v>
          </cell>
          <cell r="N6605">
            <v>0</v>
          </cell>
          <cell r="O6605">
            <v>0</v>
          </cell>
          <cell r="P6605">
            <v>0</v>
          </cell>
          <cell r="Q6605">
            <v>0</v>
          </cell>
          <cell r="R6605">
            <v>0</v>
          </cell>
          <cell r="S6605">
            <v>0</v>
          </cell>
          <cell r="T6605">
            <v>0</v>
          </cell>
          <cell r="U6605">
            <v>0</v>
          </cell>
          <cell r="V6605">
            <v>0</v>
          </cell>
          <cell r="W6605">
            <v>0</v>
          </cell>
          <cell r="X6605">
            <v>0</v>
          </cell>
          <cell r="Y6605">
            <v>0</v>
          </cell>
          <cell r="Z6605">
            <v>0</v>
          </cell>
        </row>
        <row r="6606">
          <cell r="D6606">
            <v>305089</v>
          </cell>
          <cell r="E6606" t="str">
            <v>Luzong NHS</v>
          </cell>
          <cell r="F6606">
            <v>5</v>
          </cell>
          <cell r="G6606">
            <v>5</v>
          </cell>
          <cell r="H6606">
            <v>10</v>
          </cell>
          <cell r="I6606">
            <v>1</v>
          </cell>
          <cell r="J6606">
            <v>1</v>
          </cell>
          <cell r="K6606">
            <v>2</v>
          </cell>
          <cell r="L6606">
            <v>1</v>
          </cell>
          <cell r="M6606">
            <v>1</v>
          </cell>
          <cell r="N6606">
            <v>2</v>
          </cell>
          <cell r="O6606">
            <v>0</v>
          </cell>
          <cell r="P6606">
            <v>0</v>
          </cell>
          <cell r="Q6606">
            <v>0</v>
          </cell>
          <cell r="R6606">
            <v>0</v>
          </cell>
          <cell r="S6606">
            <v>0</v>
          </cell>
          <cell r="T6606">
            <v>0</v>
          </cell>
          <cell r="U6606">
            <v>0</v>
          </cell>
          <cell r="V6606">
            <v>0</v>
          </cell>
          <cell r="W6606">
            <v>0</v>
          </cell>
          <cell r="X6606">
            <v>0</v>
          </cell>
          <cell r="Y6606">
            <v>0</v>
          </cell>
          <cell r="Z6606">
            <v>0</v>
          </cell>
        </row>
        <row r="6607">
          <cell r="D6607">
            <v>305090</v>
          </cell>
          <cell r="E6607" t="str">
            <v>Mataragan NAS</v>
          </cell>
          <cell r="F6607">
            <v>0</v>
          </cell>
          <cell r="G6607">
            <v>0</v>
          </cell>
          <cell r="H6607">
            <v>0</v>
          </cell>
          <cell r="I6607">
            <v>0</v>
          </cell>
          <cell r="J6607">
            <v>0</v>
          </cell>
          <cell r="K6607">
            <v>0</v>
          </cell>
          <cell r="L6607">
            <v>0</v>
          </cell>
          <cell r="M6607">
            <v>0</v>
          </cell>
          <cell r="N6607">
            <v>0</v>
          </cell>
          <cell r="O6607">
            <v>0</v>
          </cell>
          <cell r="P6607">
            <v>0</v>
          </cell>
          <cell r="Q6607">
            <v>0</v>
          </cell>
          <cell r="R6607">
            <v>0</v>
          </cell>
          <cell r="S6607">
            <v>0</v>
          </cell>
          <cell r="T6607">
            <v>0</v>
          </cell>
          <cell r="U6607">
            <v>0</v>
          </cell>
          <cell r="V6607">
            <v>0</v>
          </cell>
          <cell r="W6607">
            <v>0</v>
          </cell>
          <cell r="X6607">
            <v>0</v>
          </cell>
          <cell r="Y6607">
            <v>0</v>
          </cell>
          <cell r="Z6607">
            <v>0</v>
          </cell>
        </row>
        <row r="6608">
          <cell r="D6608">
            <v>305083</v>
          </cell>
          <cell r="E6608" t="str">
            <v>Dalit National High School</v>
          </cell>
          <cell r="F6608">
            <v>0</v>
          </cell>
          <cell r="G6608">
            <v>0</v>
          </cell>
          <cell r="H6608">
            <v>0</v>
          </cell>
          <cell r="I6608">
            <v>0</v>
          </cell>
          <cell r="J6608">
            <v>0</v>
          </cell>
          <cell r="K6608">
            <v>0</v>
          </cell>
          <cell r="L6608">
            <v>0</v>
          </cell>
          <cell r="M6608">
            <v>0</v>
          </cell>
          <cell r="N6608">
            <v>0</v>
          </cell>
          <cell r="O6608">
            <v>0</v>
          </cell>
          <cell r="P6608">
            <v>0</v>
          </cell>
          <cell r="Q6608">
            <v>0</v>
          </cell>
          <cell r="R6608">
            <v>0</v>
          </cell>
          <cell r="S6608">
            <v>0</v>
          </cell>
          <cell r="T6608">
            <v>0</v>
          </cell>
          <cell r="U6608">
            <v>0</v>
          </cell>
          <cell r="V6608">
            <v>0</v>
          </cell>
          <cell r="W6608">
            <v>0</v>
          </cell>
          <cell r="X6608">
            <v>0</v>
          </cell>
          <cell r="Y6608">
            <v>0</v>
          </cell>
          <cell r="Z6608">
            <v>0</v>
          </cell>
        </row>
        <row r="6609">
          <cell r="D6609">
            <v>305080</v>
          </cell>
          <cell r="E6609" t="str">
            <v>Capitan NHS</v>
          </cell>
          <cell r="F6609">
            <v>0</v>
          </cell>
          <cell r="G6609">
            <v>0</v>
          </cell>
          <cell r="H6609">
            <v>0</v>
          </cell>
          <cell r="I6609">
            <v>0</v>
          </cell>
          <cell r="J6609">
            <v>0</v>
          </cell>
          <cell r="K6609">
            <v>0</v>
          </cell>
          <cell r="L6609">
            <v>0</v>
          </cell>
          <cell r="M6609">
            <v>0</v>
          </cell>
          <cell r="N6609">
            <v>0</v>
          </cell>
          <cell r="O6609">
            <v>0</v>
          </cell>
          <cell r="P6609">
            <v>0</v>
          </cell>
          <cell r="Q6609">
            <v>0</v>
          </cell>
          <cell r="R6609">
            <v>0</v>
          </cell>
          <cell r="S6609">
            <v>0</v>
          </cell>
          <cell r="T6609">
            <v>0</v>
          </cell>
          <cell r="U6609">
            <v>0</v>
          </cell>
          <cell r="V6609">
            <v>0</v>
          </cell>
          <cell r="W6609">
            <v>0</v>
          </cell>
          <cell r="X6609">
            <v>0</v>
          </cell>
          <cell r="Y6609">
            <v>0</v>
          </cell>
          <cell r="Z6609">
            <v>0</v>
          </cell>
        </row>
        <row r="6610">
          <cell r="D6610">
            <v>305096</v>
          </cell>
          <cell r="E6610" t="str">
            <v>Rosalio Eduarte NHS</v>
          </cell>
          <cell r="F6610">
            <v>0</v>
          </cell>
          <cell r="G6610">
            <v>0</v>
          </cell>
          <cell r="H6610">
            <v>0</v>
          </cell>
          <cell r="I6610">
            <v>0</v>
          </cell>
          <cell r="J6610">
            <v>0</v>
          </cell>
          <cell r="K6610">
            <v>0</v>
          </cell>
          <cell r="L6610">
            <v>0</v>
          </cell>
          <cell r="M6610">
            <v>0</v>
          </cell>
          <cell r="N6610">
            <v>0</v>
          </cell>
          <cell r="O6610">
            <v>0</v>
          </cell>
          <cell r="P6610">
            <v>0</v>
          </cell>
          <cell r="Q6610">
            <v>0</v>
          </cell>
          <cell r="R6610">
            <v>0</v>
          </cell>
          <cell r="S6610">
            <v>0</v>
          </cell>
          <cell r="T6610">
            <v>0</v>
          </cell>
          <cell r="U6610">
            <v>0</v>
          </cell>
          <cell r="V6610">
            <v>0</v>
          </cell>
          <cell r="W6610">
            <v>0</v>
          </cell>
          <cell r="X6610">
            <v>0</v>
          </cell>
          <cell r="Y6610">
            <v>0</v>
          </cell>
          <cell r="Z6610">
            <v>0</v>
          </cell>
        </row>
        <row r="6611">
          <cell r="D6611">
            <v>305075</v>
          </cell>
          <cell r="E6611" t="str">
            <v>Abra HS</v>
          </cell>
          <cell r="F6611">
            <v>0</v>
          </cell>
          <cell r="G6611">
            <v>0</v>
          </cell>
          <cell r="H6611">
            <v>0</v>
          </cell>
          <cell r="I6611">
            <v>0</v>
          </cell>
          <cell r="J6611">
            <v>0</v>
          </cell>
          <cell r="K6611">
            <v>0</v>
          </cell>
          <cell r="L6611">
            <v>0</v>
          </cell>
          <cell r="M6611">
            <v>0</v>
          </cell>
          <cell r="N6611">
            <v>0</v>
          </cell>
          <cell r="O6611">
            <v>0</v>
          </cell>
          <cell r="P6611">
            <v>0</v>
          </cell>
          <cell r="Q6611">
            <v>0</v>
          </cell>
          <cell r="R6611">
            <v>0</v>
          </cell>
          <cell r="S6611">
            <v>0</v>
          </cell>
          <cell r="T6611">
            <v>0</v>
          </cell>
          <cell r="U6611">
            <v>0</v>
          </cell>
          <cell r="V6611">
            <v>0</v>
          </cell>
          <cell r="W6611">
            <v>0</v>
          </cell>
          <cell r="X6611">
            <v>0</v>
          </cell>
          <cell r="Y6611">
            <v>0</v>
          </cell>
          <cell r="Z6611">
            <v>0</v>
          </cell>
        </row>
        <row r="6612">
          <cell r="D6612">
            <v>305104</v>
          </cell>
          <cell r="E6612" t="str">
            <v>Tineg National High School</v>
          </cell>
          <cell r="F6612">
            <v>0</v>
          </cell>
          <cell r="G6612">
            <v>0</v>
          </cell>
          <cell r="H6612">
            <v>0</v>
          </cell>
          <cell r="I6612">
            <v>0</v>
          </cell>
          <cell r="J6612">
            <v>0</v>
          </cell>
          <cell r="K6612">
            <v>0</v>
          </cell>
          <cell r="L6612">
            <v>0</v>
          </cell>
          <cell r="M6612">
            <v>0</v>
          </cell>
          <cell r="N6612">
            <v>0</v>
          </cell>
          <cell r="O6612">
            <v>0</v>
          </cell>
          <cell r="P6612">
            <v>0</v>
          </cell>
          <cell r="Q6612">
            <v>0</v>
          </cell>
          <cell r="R6612">
            <v>0</v>
          </cell>
          <cell r="S6612">
            <v>0</v>
          </cell>
          <cell r="T6612">
            <v>0</v>
          </cell>
          <cell r="U6612">
            <v>0</v>
          </cell>
          <cell r="V6612">
            <v>0</v>
          </cell>
          <cell r="W6612">
            <v>0</v>
          </cell>
          <cell r="X6612">
            <v>0</v>
          </cell>
          <cell r="Y6612">
            <v>0</v>
          </cell>
          <cell r="Z6612">
            <v>0</v>
          </cell>
        </row>
        <row r="6613">
          <cell r="D6613">
            <v>305102</v>
          </cell>
          <cell r="E6613" t="str">
            <v>Tagodtod National High School</v>
          </cell>
          <cell r="F6613">
            <v>0</v>
          </cell>
          <cell r="G6613">
            <v>0</v>
          </cell>
          <cell r="H6613">
            <v>0</v>
          </cell>
          <cell r="I6613">
            <v>0</v>
          </cell>
          <cell r="J6613">
            <v>0</v>
          </cell>
          <cell r="K6613">
            <v>0</v>
          </cell>
          <cell r="L6613">
            <v>0</v>
          </cell>
          <cell r="M6613">
            <v>0</v>
          </cell>
          <cell r="N6613">
            <v>0</v>
          </cell>
          <cell r="O6613">
            <v>0</v>
          </cell>
          <cell r="P6613">
            <v>0</v>
          </cell>
          <cell r="Q6613">
            <v>0</v>
          </cell>
          <cell r="R6613">
            <v>0</v>
          </cell>
          <cell r="S6613">
            <v>0</v>
          </cell>
          <cell r="T6613">
            <v>0</v>
          </cell>
          <cell r="U6613">
            <v>0</v>
          </cell>
          <cell r="V6613">
            <v>0</v>
          </cell>
          <cell r="W6613">
            <v>0</v>
          </cell>
          <cell r="X6613">
            <v>0</v>
          </cell>
          <cell r="Y6613">
            <v>0</v>
          </cell>
          <cell r="Z6613">
            <v>0</v>
          </cell>
        </row>
        <row r="6614">
          <cell r="D6614">
            <v>305094</v>
          </cell>
          <cell r="E6614" t="str">
            <v>Pulot National High School</v>
          </cell>
          <cell r="F6614">
            <v>0</v>
          </cell>
          <cell r="G6614">
            <v>0</v>
          </cell>
          <cell r="H6614">
            <v>0</v>
          </cell>
          <cell r="I6614">
            <v>0</v>
          </cell>
          <cell r="J6614">
            <v>0</v>
          </cell>
          <cell r="K6614">
            <v>0</v>
          </cell>
          <cell r="L6614">
            <v>0</v>
          </cell>
          <cell r="M6614">
            <v>0</v>
          </cell>
          <cell r="N6614">
            <v>0</v>
          </cell>
          <cell r="O6614">
            <v>0</v>
          </cell>
          <cell r="P6614">
            <v>0</v>
          </cell>
          <cell r="Q6614">
            <v>0</v>
          </cell>
          <cell r="R6614">
            <v>0</v>
          </cell>
          <cell r="S6614">
            <v>0</v>
          </cell>
          <cell r="T6614">
            <v>0</v>
          </cell>
          <cell r="U6614">
            <v>0</v>
          </cell>
          <cell r="V6614">
            <v>0</v>
          </cell>
          <cell r="W6614">
            <v>0</v>
          </cell>
          <cell r="X6614">
            <v>0</v>
          </cell>
          <cell r="Y6614">
            <v>0</v>
          </cell>
          <cell r="Z6614">
            <v>0</v>
          </cell>
        </row>
        <row r="6615">
          <cell r="D6615">
            <v>305086</v>
          </cell>
          <cell r="E6615" t="str">
            <v>Gaddani NHS</v>
          </cell>
          <cell r="F6615">
            <v>0</v>
          </cell>
          <cell r="G6615">
            <v>0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>
            <v>0</v>
          </cell>
          <cell r="M6615">
            <v>0</v>
          </cell>
          <cell r="N6615">
            <v>0</v>
          </cell>
          <cell r="O6615">
            <v>0</v>
          </cell>
          <cell r="P6615">
            <v>0</v>
          </cell>
          <cell r="Q6615">
            <v>0</v>
          </cell>
          <cell r="R6615">
            <v>0</v>
          </cell>
          <cell r="S6615">
            <v>0</v>
          </cell>
          <cell r="T6615">
            <v>0</v>
          </cell>
          <cell r="U6615">
            <v>0</v>
          </cell>
          <cell r="V6615">
            <v>0</v>
          </cell>
          <cell r="W6615">
            <v>0</v>
          </cell>
          <cell r="X6615">
            <v>0</v>
          </cell>
          <cell r="Y6615">
            <v>0</v>
          </cell>
          <cell r="Z6615">
            <v>0</v>
          </cell>
        </row>
        <row r="6616">
          <cell r="D6616">
            <v>305088</v>
          </cell>
          <cell r="E6616" t="str">
            <v>Lul-luno NHS</v>
          </cell>
          <cell r="F6616">
            <v>0</v>
          </cell>
          <cell r="G6616">
            <v>0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>
            <v>0</v>
          </cell>
          <cell r="M6616">
            <v>0</v>
          </cell>
          <cell r="N6616">
            <v>0</v>
          </cell>
          <cell r="O6616">
            <v>0</v>
          </cell>
          <cell r="P6616">
            <v>0</v>
          </cell>
          <cell r="Q6616">
            <v>0</v>
          </cell>
          <cell r="R6616">
            <v>0</v>
          </cell>
          <cell r="S6616">
            <v>0</v>
          </cell>
          <cell r="T6616">
            <v>0</v>
          </cell>
          <cell r="U6616">
            <v>0</v>
          </cell>
          <cell r="V6616">
            <v>0</v>
          </cell>
          <cell r="W6616">
            <v>0</v>
          </cell>
          <cell r="X6616">
            <v>0</v>
          </cell>
          <cell r="Y6616">
            <v>0</v>
          </cell>
          <cell r="Z6616">
            <v>0</v>
          </cell>
        </row>
        <row r="6617">
          <cell r="D6617">
            <v>305101</v>
          </cell>
          <cell r="E6617" t="str">
            <v>Suyo National High School</v>
          </cell>
          <cell r="F6617">
            <v>0</v>
          </cell>
          <cell r="G6617">
            <v>0</v>
          </cell>
          <cell r="H6617">
            <v>0</v>
          </cell>
          <cell r="I6617">
            <v>0</v>
          </cell>
          <cell r="J6617">
            <v>0</v>
          </cell>
          <cell r="K6617">
            <v>0</v>
          </cell>
          <cell r="L6617">
            <v>0</v>
          </cell>
          <cell r="M6617">
            <v>0</v>
          </cell>
          <cell r="N6617">
            <v>0</v>
          </cell>
          <cell r="O6617">
            <v>0</v>
          </cell>
          <cell r="P6617">
            <v>0</v>
          </cell>
          <cell r="Q6617">
            <v>0</v>
          </cell>
          <cell r="R6617">
            <v>0</v>
          </cell>
          <cell r="S6617">
            <v>0</v>
          </cell>
          <cell r="T6617">
            <v>0</v>
          </cell>
          <cell r="U6617">
            <v>0</v>
          </cell>
          <cell r="V6617">
            <v>0</v>
          </cell>
          <cell r="W6617">
            <v>0</v>
          </cell>
          <cell r="X6617">
            <v>0</v>
          </cell>
          <cell r="Y6617">
            <v>0</v>
          </cell>
          <cell r="Z6617">
            <v>0</v>
          </cell>
        </row>
        <row r="6618">
          <cell r="D6618">
            <v>305092</v>
          </cell>
          <cell r="E6618" t="str">
            <v>Pangtod NHS</v>
          </cell>
          <cell r="F6618">
            <v>0</v>
          </cell>
          <cell r="G6618">
            <v>0</v>
          </cell>
          <cell r="H6618">
            <v>0</v>
          </cell>
          <cell r="I6618">
            <v>0</v>
          </cell>
          <cell r="J6618">
            <v>0</v>
          </cell>
          <cell r="K6618">
            <v>0</v>
          </cell>
          <cell r="L6618">
            <v>0</v>
          </cell>
          <cell r="M6618">
            <v>0</v>
          </cell>
          <cell r="N6618">
            <v>0</v>
          </cell>
          <cell r="O6618">
            <v>0</v>
          </cell>
          <cell r="P6618">
            <v>0</v>
          </cell>
          <cell r="Q6618">
            <v>0</v>
          </cell>
          <cell r="R6618">
            <v>0</v>
          </cell>
          <cell r="S6618">
            <v>0</v>
          </cell>
          <cell r="T6618">
            <v>0</v>
          </cell>
          <cell r="U6618">
            <v>0</v>
          </cell>
          <cell r="V6618">
            <v>0</v>
          </cell>
          <cell r="W6618">
            <v>0</v>
          </cell>
          <cell r="X6618">
            <v>0</v>
          </cell>
          <cell r="Y6618">
            <v>0</v>
          </cell>
          <cell r="Z6618">
            <v>0</v>
          </cell>
        </row>
        <row r="6619">
          <cell r="D6619">
            <v>305093</v>
          </cell>
          <cell r="E6619" t="str">
            <v>Pilar Rural High School</v>
          </cell>
          <cell r="F6619">
            <v>98</v>
          </cell>
          <cell r="G6619">
            <v>66</v>
          </cell>
          <cell r="H6619">
            <v>164</v>
          </cell>
          <cell r="I6619">
            <v>10</v>
          </cell>
          <cell r="J6619">
            <v>8</v>
          </cell>
          <cell r="K6619">
            <v>18</v>
          </cell>
          <cell r="L6619">
            <v>10</v>
          </cell>
          <cell r="M6619">
            <v>8</v>
          </cell>
          <cell r="N6619">
            <v>18</v>
          </cell>
          <cell r="O6619">
            <v>0</v>
          </cell>
          <cell r="P6619">
            <v>0</v>
          </cell>
          <cell r="Q6619">
            <v>0</v>
          </cell>
          <cell r="R6619">
            <v>0</v>
          </cell>
          <cell r="S6619">
            <v>0</v>
          </cell>
          <cell r="T6619">
            <v>0</v>
          </cell>
          <cell r="U6619">
            <v>0</v>
          </cell>
          <cell r="V6619">
            <v>0</v>
          </cell>
          <cell r="W6619">
            <v>0</v>
          </cell>
          <cell r="X6619">
            <v>0</v>
          </cell>
          <cell r="Y6619">
            <v>0</v>
          </cell>
          <cell r="Z6619">
            <v>0</v>
          </cell>
        </row>
        <row r="6620">
          <cell r="D6620">
            <v>305103</v>
          </cell>
          <cell r="E6620" t="str">
            <v>Tiempo NHS</v>
          </cell>
          <cell r="F6620">
            <v>15</v>
          </cell>
          <cell r="G6620">
            <v>22</v>
          </cell>
          <cell r="H6620">
            <v>37</v>
          </cell>
          <cell r="I6620">
            <v>0</v>
          </cell>
          <cell r="J6620">
            <v>0</v>
          </cell>
          <cell r="K6620">
            <v>0</v>
          </cell>
          <cell r="L6620">
            <v>0</v>
          </cell>
          <cell r="M6620">
            <v>0</v>
          </cell>
          <cell r="N6620">
            <v>0</v>
          </cell>
          <cell r="O6620">
            <v>0</v>
          </cell>
          <cell r="P6620">
            <v>0</v>
          </cell>
          <cell r="Q6620">
            <v>0</v>
          </cell>
          <cell r="R6620">
            <v>0</v>
          </cell>
          <cell r="S6620">
            <v>0</v>
          </cell>
          <cell r="T6620">
            <v>0</v>
          </cell>
          <cell r="U6620">
            <v>0</v>
          </cell>
          <cell r="V6620">
            <v>0</v>
          </cell>
          <cell r="W6620">
            <v>0</v>
          </cell>
          <cell r="X6620">
            <v>0</v>
          </cell>
          <cell r="Y6620">
            <v>0</v>
          </cell>
          <cell r="Z6620">
            <v>0</v>
          </cell>
        </row>
        <row r="6621">
          <cell r="D6621">
            <v>305087</v>
          </cell>
          <cell r="E6621" t="str">
            <v>Langiden NHS</v>
          </cell>
          <cell r="F6621">
            <v>0</v>
          </cell>
          <cell r="G6621">
            <v>0</v>
          </cell>
          <cell r="H6621">
            <v>0</v>
          </cell>
          <cell r="I6621">
            <v>0</v>
          </cell>
          <cell r="J6621">
            <v>0</v>
          </cell>
          <cell r="K6621">
            <v>0</v>
          </cell>
          <cell r="L6621">
            <v>0</v>
          </cell>
          <cell r="M6621">
            <v>0</v>
          </cell>
          <cell r="N6621">
            <v>0</v>
          </cell>
          <cell r="O6621">
            <v>0</v>
          </cell>
          <cell r="P6621">
            <v>0</v>
          </cell>
          <cell r="Q6621">
            <v>0</v>
          </cell>
          <cell r="R6621">
            <v>0</v>
          </cell>
          <cell r="S6621">
            <v>0</v>
          </cell>
          <cell r="T6621">
            <v>0</v>
          </cell>
          <cell r="U6621">
            <v>0</v>
          </cell>
          <cell r="V6621">
            <v>0</v>
          </cell>
          <cell r="W6621">
            <v>0</v>
          </cell>
          <cell r="X6621">
            <v>0</v>
          </cell>
          <cell r="Y6621">
            <v>0</v>
          </cell>
          <cell r="Z6621">
            <v>0</v>
          </cell>
        </row>
        <row r="6622">
          <cell r="D6622">
            <v>305084</v>
          </cell>
          <cell r="E6622" t="str">
            <v>Dilong National High School</v>
          </cell>
          <cell r="F6622">
            <v>0</v>
          </cell>
          <cell r="G6622">
            <v>0</v>
          </cell>
          <cell r="H6622">
            <v>0</v>
          </cell>
          <cell r="I6622">
            <v>0</v>
          </cell>
          <cell r="J6622">
            <v>0</v>
          </cell>
          <cell r="K6622">
            <v>0</v>
          </cell>
          <cell r="L6622">
            <v>0</v>
          </cell>
          <cell r="M6622">
            <v>0</v>
          </cell>
          <cell r="N6622">
            <v>0</v>
          </cell>
          <cell r="O6622">
            <v>0</v>
          </cell>
          <cell r="P6622">
            <v>0</v>
          </cell>
          <cell r="Q6622">
            <v>0</v>
          </cell>
          <cell r="R6622">
            <v>0</v>
          </cell>
          <cell r="S6622">
            <v>0</v>
          </cell>
          <cell r="T6622">
            <v>0</v>
          </cell>
          <cell r="U6622">
            <v>0</v>
          </cell>
          <cell r="V6622">
            <v>0</v>
          </cell>
          <cell r="W6622">
            <v>0</v>
          </cell>
          <cell r="X6622">
            <v>0</v>
          </cell>
          <cell r="Y6622">
            <v>0</v>
          </cell>
          <cell r="Z6622">
            <v>0</v>
          </cell>
        </row>
        <row r="6623">
          <cell r="D6623">
            <v>305099</v>
          </cell>
          <cell r="E6623" t="str">
            <v>San Quintin NHS</v>
          </cell>
          <cell r="F6623">
            <v>0</v>
          </cell>
          <cell r="G6623">
            <v>0</v>
          </cell>
          <cell r="H6623">
            <v>0</v>
          </cell>
          <cell r="I6623">
            <v>0</v>
          </cell>
          <cell r="J6623">
            <v>0</v>
          </cell>
          <cell r="K6623">
            <v>0</v>
          </cell>
          <cell r="L6623">
            <v>0</v>
          </cell>
          <cell r="M6623">
            <v>0</v>
          </cell>
          <cell r="N6623">
            <v>0</v>
          </cell>
          <cell r="O6623">
            <v>0</v>
          </cell>
          <cell r="P6623">
            <v>0</v>
          </cell>
          <cell r="Q6623">
            <v>0</v>
          </cell>
          <cell r="R6623">
            <v>0</v>
          </cell>
          <cell r="S6623">
            <v>0</v>
          </cell>
          <cell r="T6623">
            <v>0</v>
          </cell>
          <cell r="U6623">
            <v>0</v>
          </cell>
          <cell r="V6623">
            <v>0</v>
          </cell>
          <cell r="W6623">
            <v>0</v>
          </cell>
          <cell r="X6623">
            <v>0</v>
          </cell>
          <cell r="Y6623">
            <v>0</v>
          </cell>
          <cell r="Z6623">
            <v>0</v>
          </cell>
        </row>
        <row r="6624">
          <cell r="D6624">
            <v>318701</v>
          </cell>
          <cell r="E6624" t="str">
            <v>MARC YSRAEL B. BERNOS MEMORIAL NATIONAL HIGH SCHOOL</v>
          </cell>
          <cell r="F6624">
            <v>0</v>
          </cell>
          <cell r="G6624">
            <v>0</v>
          </cell>
          <cell r="H6624">
            <v>0</v>
          </cell>
          <cell r="I6624">
            <v>0</v>
          </cell>
          <cell r="J6624">
            <v>0</v>
          </cell>
          <cell r="K6624">
            <v>0</v>
          </cell>
          <cell r="L6624">
            <v>0</v>
          </cell>
          <cell r="M6624">
            <v>0</v>
          </cell>
          <cell r="N6624">
            <v>0</v>
          </cell>
          <cell r="O6624">
            <v>0</v>
          </cell>
          <cell r="P6624">
            <v>0</v>
          </cell>
          <cell r="Q6624">
            <v>0</v>
          </cell>
          <cell r="R6624">
            <v>0</v>
          </cell>
          <cell r="S6624">
            <v>0</v>
          </cell>
          <cell r="T6624">
            <v>0</v>
          </cell>
          <cell r="U6624">
            <v>0</v>
          </cell>
          <cell r="V6624">
            <v>0</v>
          </cell>
          <cell r="W6624">
            <v>0</v>
          </cell>
          <cell r="X6624">
            <v>0</v>
          </cell>
          <cell r="Y6624">
            <v>0</v>
          </cell>
          <cell r="Z6624">
            <v>0</v>
          </cell>
        </row>
        <row r="6625">
          <cell r="D6625">
            <v>305091</v>
          </cell>
          <cell r="E6625" t="str">
            <v>Northern Abra NHS</v>
          </cell>
          <cell r="F6625">
            <v>125</v>
          </cell>
          <cell r="G6625">
            <v>133</v>
          </cell>
          <cell r="H6625">
            <v>258</v>
          </cell>
          <cell r="I6625">
            <v>17</v>
          </cell>
          <cell r="J6625">
            <v>14</v>
          </cell>
          <cell r="K6625">
            <v>31</v>
          </cell>
          <cell r="L6625">
            <v>17</v>
          </cell>
          <cell r="M6625">
            <v>14</v>
          </cell>
          <cell r="N6625">
            <v>31</v>
          </cell>
          <cell r="O6625">
            <v>0</v>
          </cell>
          <cell r="P6625">
            <v>0</v>
          </cell>
          <cell r="Q6625">
            <v>0</v>
          </cell>
          <cell r="R6625">
            <v>0</v>
          </cell>
          <cell r="S6625">
            <v>0</v>
          </cell>
          <cell r="T6625">
            <v>0</v>
          </cell>
          <cell r="U6625">
            <v>0</v>
          </cell>
          <cell r="V6625">
            <v>0</v>
          </cell>
          <cell r="W6625">
            <v>0</v>
          </cell>
          <cell r="X6625">
            <v>0</v>
          </cell>
          <cell r="Y6625">
            <v>0</v>
          </cell>
          <cell r="Z6625">
            <v>0</v>
          </cell>
        </row>
        <row r="6626">
          <cell r="D6626">
            <v>305074</v>
          </cell>
          <cell r="E6626" t="str">
            <v>Abas NHS</v>
          </cell>
          <cell r="F6626">
            <v>5</v>
          </cell>
          <cell r="G6626">
            <v>5</v>
          </cell>
          <cell r="H6626">
            <v>10</v>
          </cell>
          <cell r="I6626">
            <v>3</v>
          </cell>
          <cell r="J6626">
            <v>3</v>
          </cell>
          <cell r="K6626">
            <v>6</v>
          </cell>
          <cell r="L6626">
            <v>2</v>
          </cell>
          <cell r="M6626">
            <v>2</v>
          </cell>
          <cell r="N6626">
            <v>4</v>
          </cell>
          <cell r="O6626">
            <v>0</v>
          </cell>
          <cell r="P6626">
            <v>0</v>
          </cell>
          <cell r="Q6626">
            <v>0</v>
          </cell>
          <cell r="R6626">
            <v>0</v>
          </cell>
          <cell r="S6626">
            <v>0</v>
          </cell>
          <cell r="T6626">
            <v>0</v>
          </cell>
          <cell r="U6626">
            <v>0</v>
          </cell>
          <cell r="V6626">
            <v>0</v>
          </cell>
          <cell r="W6626">
            <v>0</v>
          </cell>
          <cell r="X6626">
            <v>0</v>
          </cell>
          <cell r="Y6626">
            <v>0</v>
          </cell>
          <cell r="Z6626">
            <v>0</v>
          </cell>
        </row>
        <row r="6627">
          <cell r="D6627">
            <v>500590</v>
          </cell>
          <cell r="E6627" t="str">
            <v>Penarrubia Integrated School</v>
          </cell>
          <cell r="F6627">
            <v>0</v>
          </cell>
          <cell r="G6627">
            <v>0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>
            <v>0</v>
          </cell>
          <cell r="M6627">
            <v>0</v>
          </cell>
          <cell r="N6627">
            <v>0</v>
          </cell>
          <cell r="O6627">
            <v>0</v>
          </cell>
          <cell r="P6627">
            <v>0</v>
          </cell>
          <cell r="Q6627">
            <v>0</v>
          </cell>
          <cell r="R6627">
            <v>0</v>
          </cell>
          <cell r="S6627">
            <v>0</v>
          </cell>
          <cell r="T6627">
            <v>0</v>
          </cell>
          <cell r="U6627">
            <v>0</v>
          </cell>
          <cell r="V6627">
            <v>0</v>
          </cell>
          <cell r="W6627">
            <v>0</v>
          </cell>
          <cell r="X6627">
            <v>0</v>
          </cell>
          <cell r="Y6627">
            <v>0</v>
          </cell>
          <cell r="Z6627">
            <v>0</v>
          </cell>
        </row>
        <row r="6628">
          <cell r="D6628">
            <v>305097</v>
          </cell>
          <cell r="E6628" t="str">
            <v>San Isidro NHS</v>
          </cell>
          <cell r="F6628">
            <v>0</v>
          </cell>
          <cell r="G6628">
            <v>0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>
            <v>0</v>
          </cell>
          <cell r="M6628">
            <v>0</v>
          </cell>
          <cell r="N6628">
            <v>0</v>
          </cell>
          <cell r="O6628">
            <v>0</v>
          </cell>
          <cell r="P6628">
            <v>0</v>
          </cell>
          <cell r="Q6628">
            <v>0</v>
          </cell>
          <cell r="R6628">
            <v>0</v>
          </cell>
          <cell r="S6628">
            <v>0</v>
          </cell>
          <cell r="T6628">
            <v>0</v>
          </cell>
          <cell r="U6628">
            <v>0</v>
          </cell>
          <cell r="V6628">
            <v>0</v>
          </cell>
          <cell r="W6628">
            <v>0</v>
          </cell>
          <cell r="X6628">
            <v>0</v>
          </cell>
          <cell r="Y6628">
            <v>0</v>
          </cell>
          <cell r="Z6628">
            <v>0</v>
          </cell>
        </row>
        <row r="6629">
          <cell r="D6629">
            <v>305113</v>
          </cell>
          <cell r="E6629" t="str">
            <v>FLORA NATIONAL HIGH SCHOOL</v>
          </cell>
          <cell r="F6629">
            <v>169</v>
          </cell>
          <cell r="G6629">
            <v>125</v>
          </cell>
          <cell r="H6629">
            <v>294</v>
          </cell>
          <cell r="I6629">
            <v>0</v>
          </cell>
          <cell r="J6629">
            <v>0</v>
          </cell>
          <cell r="K6629">
            <v>0</v>
          </cell>
          <cell r="L6629">
            <v>0</v>
          </cell>
          <cell r="M6629">
            <v>0</v>
          </cell>
          <cell r="N6629">
            <v>0</v>
          </cell>
          <cell r="O6629">
            <v>0</v>
          </cell>
          <cell r="P6629">
            <v>0</v>
          </cell>
          <cell r="Q6629">
            <v>0</v>
          </cell>
          <cell r="R6629">
            <v>0</v>
          </cell>
          <cell r="S6629">
            <v>0</v>
          </cell>
          <cell r="T6629">
            <v>0</v>
          </cell>
          <cell r="U6629">
            <v>0</v>
          </cell>
          <cell r="V6629">
            <v>0</v>
          </cell>
          <cell r="W6629">
            <v>0</v>
          </cell>
          <cell r="X6629">
            <v>0</v>
          </cell>
          <cell r="Y6629">
            <v>0</v>
          </cell>
          <cell r="Z6629">
            <v>0</v>
          </cell>
        </row>
        <row r="6630">
          <cell r="D6630">
            <v>318802</v>
          </cell>
          <cell r="E6630" t="str">
            <v>Talifugo National High School</v>
          </cell>
          <cell r="F6630">
            <v>0</v>
          </cell>
          <cell r="G6630">
            <v>0</v>
          </cell>
          <cell r="H6630">
            <v>0</v>
          </cell>
          <cell r="I6630">
            <v>0</v>
          </cell>
          <cell r="J6630">
            <v>0</v>
          </cell>
          <cell r="K6630">
            <v>0</v>
          </cell>
          <cell r="L6630">
            <v>0</v>
          </cell>
          <cell r="M6630">
            <v>0</v>
          </cell>
          <cell r="N6630">
            <v>0</v>
          </cell>
          <cell r="O6630">
            <v>0</v>
          </cell>
          <cell r="P6630">
            <v>0</v>
          </cell>
          <cell r="Q6630">
            <v>0</v>
          </cell>
          <cell r="R6630">
            <v>0</v>
          </cell>
          <cell r="S6630">
            <v>0</v>
          </cell>
          <cell r="T6630">
            <v>0</v>
          </cell>
          <cell r="U6630">
            <v>0</v>
          </cell>
          <cell r="V6630">
            <v>0</v>
          </cell>
          <cell r="W6630">
            <v>0</v>
          </cell>
          <cell r="X6630">
            <v>0</v>
          </cell>
          <cell r="Y6630">
            <v>0</v>
          </cell>
          <cell r="Z6630">
            <v>0</v>
          </cell>
        </row>
        <row r="6631">
          <cell r="D6631">
            <v>318803</v>
          </cell>
          <cell r="E6631" t="str">
            <v>Cupis National High School</v>
          </cell>
          <cell r="F6631">
            <v>0</v>
          </cell>
          <cell r="G6631">
            <v>0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>
            <v>0</v>
          </cell>
          <cell r="M6631">
            <v>0</v>
          </cell>
          <cell r="N6631">
            <v>0</v>
          </cell>
          <cell r="O6631">
            <v>0</v>
          </cell>
          <cell r="P6631">
            <v>0</v>
          </cell>
          <cell r="Q6631">
            <v>0</v>
          </cell>
          <cell r="R6631">
            <v>0</v>
          </cell>
          <cell r="S6631">
            <v>0</v>
          </cell>
          <cell r="T6631">
            <v>0</v>
          </cell>
          <cell r="U6631">
            <v>0</v>
          </cell>
          <cell r="V6631">
            <v>0</v>
          </cell>
          <cell r="W6631">
            <v>0</v>
          </cell>
          <cell r="X6631">
            <v>0</v>
          </cell>
          <cell r="Y6631">
            <v>0</v>
          </cell>
          <cell r="Z6631">
            <v>0</v>
          </cell>
        </row>
        <row r="6632">
          <cell r="D6632">
            <v>305111</v>
          </cell>
          <cell r="E6632" t="str">
            <v>Conner Central NHS Main</v>
          </cell>
          <cell r="F6632">
            <v>0</v>
          </cell>
          <cell r="G6632">
            <v>0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>
            <v>0</v>
          </cell>
          <cell r="M6632">
            <v>0</v>
          </cell>
          <cell r="N6632">
            <v>0</v>
          </cell>
          <cell r="O6632">
            <v>0</v>
          </cell>
          <cell r="P6632">
            <v>0</v>
          </cell>
          <cell r="Q6632">
            <v>0</v>
          </cell>
          <cell r="R6632">
            <v>0</v>
          </cell>
          <cell r="S6632">
            <v>0</v>
          </cell>
          <cell r="T6632">
            <v>0</v>
          </cell>
          <cell r="U6632">
            <v>0</v>
          </cell>
          <cell r="V6632">
            <v>0</v>
          </cell>
          <cell r="W6632">
            <v>0</v>
          </cell>
          <cell r="X6632">
            <v>0</v>
          </cell>
          <cell r="Y6632">
            <v>0</v>
          </cell>
          <cell r="Z6632">
            <v>0</v>
          </cell>
        </row>
        <row r="6633">
          <cell r="D6633">
            <v>305118</v>
          </cell>
          <cell r="E6633" t="str">
            <v>Mataguisi Comp. HS Main</v>
          </cell>
          <cell r="F6633">
            <v>0</v>
          </cell>
          <cell r="G6633">
            <v>0</v>
          </cell>
          <cell r="H6633">
            <v>0</v>
          </cell>
          <cell r="I6633">
            <v>0</v>
          </cell>
          <cell r="J6633">
            <v>0</v>
          </cell>
          <cell r="K6633">
            <v>0</v>
          </cell>
          <cell r="L6633">
            <v>0</v>
          </cell>
          <cell r="M6633">
            <v>0</v>
          </cell>
          <cell r="N6633">
            <v>0</v>
          </cell>
          <cell r="O6633">
            <v>0</v>
          </cell>
          <cell r="P6633">
            <v>0</v>
          </cell>
          <cell r="Q6633">
            <v>0</v>
          </cell>
          <cell r="R6633">
            <v>0</v>
          </cell>
          <cell r="S6633">
            <v>0</v>
          </cell>
          <cell r="T6633">
            <v>0</v>
          </cell>
          <cell r="U6633">
            <v>0</v>
          </cell>
          <cell r="V6633">
            <v>0</v>
          </cell>
          <cell r="W6633">
            <v>0</v>
          </cell>
          <cell r="X6633">
            <v>0</v>
          </cell>
          <cell r="Y6633">
            <v>0</v>
          </cell>
          <cell r="Z6633">
            <v>0</v>
          </cell>
        </row>
        <row r="6634">
          <cell r="D6634">
            <v>318801</v>
          </cell>
          <cell r="E6634" t="str">
            <v>Tumog National Agricultural and trade High School</v>
          </cell>
          <cell r="F6634">
            <v>48</v>
          </cell>
          <cell r="G6634">
            <v>52</v>
          </cell>
          <cell r="H6634">
            <v>100</v>
          </cell>
          <cell r="I6634">
            <v>34</v>
          </cell>
          <cell r="J6634">
            <v>28</v>
          </cell>
          <cell r="K6634">
            <v>62</v>
          </cell>
          <cell r="L6634">
            <v>0</v>
          </cell>
          <cell r="M6634">
            <v>0</v>
          </cell>
          <cell r="N6634">
            <v>0</v>
          </cell>
          <cell r="O6634">
            <v>0</v>
          </cell>
          <cell r="P6634">
            <v>0</v>
          </cell>
          <cell r="Q6634">
            <v>0</v>
          </cell>
          <cell r="R6634">
            <v>0</v>
          </cell>
          <cell r="S6634">
            <v>0</v>
          </cell>
          <cell r="T6634">
            <v>0</v>
          </cell>
          <cell r="U6634">
            <v>0</v>
          </cell>
          <cell r="V6634">
            <v>0</v>
          </cell>
          <cell r="W6634">
            <v>0</v>
          </cell>
          <cell r="X6634">
            <v>0</v>
          </cell>
          <cell r="Y6634">
            <v>0</v>
          </cell>
          <cell r="Z6634">
            <v>0</v>
          </cell>
        </row>
        <row r="6635">
          <cell r="D6635">
            <v>305112</v>
          </cell>
          <cell r="E6635" t="str">
            <v>Conner National HS</v>
          </cell>
          <cell r="F6635">
            <v>0</v>
          </cell>
          <cell r="G6635">
            <v>0</v>
          </cell>
          <cell r="H6635">
            <v>0</v>
          </cell>
          <cell r="I6635">
            <v>0</v>
          </cell>
          <cell r="J6635">
            <v>0</v>
          </cell>
          <cell r="K6635">
            <v>0</v>
          </cell>
          <cell r="L6635">
            <v>0</v>
          </cell>
          <cell r="M6635">
            <v>0</v>
          </cell>
          <cell r="N6635">
            <v>0</v>
          </cell>
          <cell r="O6635">
            <v>0</v>
          </cell>
          <cell r="P6635">
            <v>0</v>
          </cell>
          <cell r="Q6635">
            <v>0</v>
          </cell>
          <cell r="R6635">
            <v>0</v>
          </cell>
          <cell r="S6635">
            <v>0</v>
          </cell>
          <cell r="T6635">
            <v>0</v>
          </cell>
          <cell r="U6635">
            <v>0</v>
          </cell>
          <cell r="V6635">
            <v>0</v>
          </cell>
          <cell r="W6635">
            <v>0</v>
          </cell>
          <cell r="X6635">
            <v>0</v>
          </cell>
          <cell r="Y6635">
            <v>0</v>
          </cell>
          <cell r="Z6635">
            <v>0</v>
          </cell>
        </row>
        <row r="6636">
          <cell r="D6636">
            <v>318806</v>
          </cell>
          <cell r="E6636" t="str">
            <v>Kabugao National High School</v>
          </cell>
          <cell r="F6636">
            <v>0</v>
          </cell>
          <cell r="G6636">
            <v>0</v>
          </cell>
          <cell r="H6636">
            <v>0</v>
          </cell>
          <cell r="I6636">
            <v>0</v>
          </cell>
          <cell r="J6636">
            <v>0</v>
          </cell>
          <cell r="K6636">
            <v>0</v>
          </cell>
          <cell r="L6636">
            <v>0</v>
          </cell>
          <cell r="M6636">
            <v>0</v>
          </cell>
          <cell r="N6636">
            <v>0</v>
          </cell>
          <cell r="O6636">
            <v>0</v>
          </cell>
          <cell r="P6636">
            <v>0</v>
          </cell>
          <cell r="Q6636">
            <v>0</v>
          </cell>
          <cell r="R6636">
            <v>0</v>
          </cell>
          <cell r="S6636">
            <v>0</v>
          </cell>
          <cell r="T6636">
            <v>0</v>
          </cell>
          <cell r="U6636">
            <v>0</v>
          </cell>
          <cell r="V6636">
            <v>0</v>
          </cell>
          <cell r="W6636">
            <v>0</v>
          </cell>
          <cell r="X6636">
            <v>0</v>
          </cell>
          <cell r="Y6636">
            <v>0</v>
          </cell>
          <cell r="Z6636">
            <v>0</v>
          </cell>
        </row>
        <row r="6637">
          <cell r="D6637">
            <v>305108</v>
          </cell>
          <cell r="E6637" t="str">
            <v>BAC-DA National High School</v>
          </cell>
          <cell r="F6637">
            <v>44</v>
          </cell>
          <cell r="G6637">
            <v>33</v>
          </cell>
          <cell r="H6637">
            <v>77</v>
          </cell>
          <cell r="I6637">
            <v>19</v>
          </cell>
          <cell r="J6637">
            <v>16</v>
          </cell>
          <cell r="K6637">
            <v>35</v>
          </cell>
          <cell r="L6637">
            <v>0</v>
          </cell>
          <cell r="M6637">
            <v>0</v>
          </cell>
          <cell r="N6637">
            <v>0</v>
          </cell>
          <cell r="O6637">
            <v>0</v>
          </cell>
          <cell r="P6637">
            <v>0</v>
          </cell>
          <cell r="Q6637">
            <v>0</v>
          </cell>
          <cell r="R6637">
            <v>0</v>
          </cell>
          <cell r="S6637">
            <v>0</v>
          </cell>
          <cell r="T6637">
            <v>0</v>
          </cell>
          <cell r="U6637">
            <v>0</v>
          </cell>
          <cell r="V6637">
            <v>0</v>
          </cell>
          <cell r="W6637">
            <v>0</v>
          </cell>
          <cell r="X6637">
            <v>0</v>
          </cell>
          <cell r="Y6637">
            <v>0</v>
          </cell>
          <cell r="Z6637">
            <v>0</v>
          </cell>
        </row>
        <row r="6638">
          <cell r="D6638">
            <v>305114</v>
          </cell>
          <cell r="E6638" t="str">
            <v>Gov. Benjamin Leguiab Sr. Memorial NHS</v>
          </cell>
          <cell r="F6638">
            <v>0</v>
          </cell>
          <cell r="G6638">
            <v>0</v>
          </cell>
          <cell r="H6638">
            <v>0</v>
          </cell>
          <cell r="I6638">
            <v>0</v>
          </cell>
          <cell r="J6638">
            <v>0</v>
          </cell>
          <cell r="K6638">
            <v>0</v>
          </cell>
          <cell r="L6638">
            <v>0</v>
          </cell>
          <cell r="M6638">
            <v>0</v>
          </cell>
          <cell r="N6638">
            <v>0</v>
          </cell>
          <cell r="O6638">
            <v>0</v>
          </cell>
          <cell r="P6638">
            <v>0</v>
          </cell>
          <cell r="Q6638">
            <v>0</v>
          </cell>
          <cell r="R6638">
            <v>0</v>
          </cell>
          <cell r="S6638">
            <v>0</v>
          </cell>
          <cell r="T6638">
            <v>0</v>
          </cell>
          <cell r="U6638">
            <v>0</v>
          </cell>
          <cell r="V6638">
            <v>0</v>
          </cell>
          <cell r="W6638">
            <v>0</v>
          </cell>
          <cell r="X6638">
            <v>0</v>
          </cell>
          <cell r="Y6638">
            <v>0</v>
          </cell>
          <cell r="Z6638">
            <v>0</v>
          </cell>
        </row>
        <row r="6639">
          <cell r="D6639">
            <v>305123</v>
          </cell>
          <cell r="E6639" t="str">
            <v>Pudtol Vocational High School</v>
          </cell>
          <cell r="F6639">
            <v>0</v>
          </cell>
          <cell r="G6639">
            <v>0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>
            <v>0</v>
          </cell>
          <cell r="M6639">
            <v>0</v>
          </cell>
          <cell r="N6639">
            <v>0</v>
          </cell>
          <cell r="O6639">
            <v>0</v>
          </cell>
          <cell r="P6639">
            <v>0</v>
          </cell>
          <cell r="Q6639">
            <v>0</v>
          </cell>
          <cell r="R6639">
            <v>0</v>
          </cell>
          <cell r="S6639">
            <v>0</v>
          </cell>
          <cell r="T6639">
            <v>0</v>
          </cell>
          <cell r="U6639">
            <v>0</v>
          </cell>
          <cell r="V6639">
            <v>0</v>
          </cell>
          <cell r="W6639">
            <v>0</v>
          </cell>
          <cell r="X6639">
            <v>0</v>
          </cell>
          <cell r="Y6639">
            <v>0</v>
          </cell>
          <cell r="Z6639">
            <v>0</v>
          </cell>
        </row>
        <row r="6640">
          <cell r="D6640">
            <v>305106</v>
          </cell>
          <cell r="E6640" t="str">
            <v>Apayao National Industrial Agricultural High School</v>
          </cell>
          <cell r="F6640">
            <v>0</v>
          </cell>
          <cell r="G6640">
            <v>0</v>
          </cell>
          <cell r="H6640">
            <v>0</v>
          </cell>
          <cell r="I6640">
            <v>0</v>
          </cell>
          <cell r="J6640">
            <v>0</v>
          </cell>
          <cell r="K6640">
            <v>0</v>
          </cell>
          <cell r="L6640">
            <v>0</v>
          </cell>
          <cell r="M6640">
            <v>0</v>
          </cell>
          <cell r="N6640">
            <v>0</v>
          </cell>
          <cell r="O6640">
            <v>0</v>
          </cell>
          <cell r="P6640">
            <v>0</v>
          </cell>
          <cell r="Q6640">
            <v>0</v>
          </cell>
          <cell r="R6640">
            <v>0</v>
          </cell>
          <cell r="S6640">
            <v>0</v>
          </cell>
          <cell r="T6640">
            <v>0</v>
          </cell>
          <cell r="U6640">
            <v>0</v>
          </cell>
          <cell r="V6640">
            <v>0</v>
          </cell>
          <cell r="W6640">
            <v>0</v>
          </cell>
          <cell r="X6640">
            <v>0</v>
          </cell>
          <cell r="Y6640">
            <v>0</v>
          </cell>
          <cell r="Z6640">
            <v>0</v>
          </cell>
        </row>
        <row r="6641">
          <cell r="D6641">
            <v>305116</v>
          </cell>
          <cell r="E6641" t="str">
            <v>Luna National High School</v>
          </cell>
          <cell r="F6641">
            <v>259</v>
          </cell>
          <cell r="G6641">
            <v>204</v>
          </cell>
          <cell r="H6641">
            <v>463</v>
          </cell>
          <cell r="I6641">
            <v>184</v>
          </cell>
          <cell r="J6641">
            <v>167</v>
          </cell>
          <cell r="K6641">
            <v>351</v>
          </cell>
          <cell r="L6641">
            <v>0</v>
          </cell>
          <cell r="M6641">
            <v>0</v>
          </cell>
          <cell r="N6641">
            <v>0</v>
          </cell>
          <cell r="O6641">
            <v>0</v>
          </cell>
          <cell r="P6641">
            <v>0</v>
          </cell>
          <cell r="Q6641">
            <v>0</v>
          </cell>
          <cell r="R6641">
            <v>0</v>
          </cell>
          <cell r="S6641">
            <v>0</v>
          </cell>
          <cell r="T6641">
            <v>0</v>
          </cell>
          <cell r="U6641">
            <v>0</v>
          </cell>
          <cell r="V6641">
            <v>0</v>
          </cell>
          <cell r="W6641">
            <v>0</v>
          </cell>
          <cell r="X6641">
            <v>0</v>
          </cell>
          <cell r="Y6641">
            <v>0</v>
          </cell>
          <cell r="Z6641">
            <v>0</v>
          </cell>
        </row>
        <row r="6642">
          <cell r="D6642">
            <v>305107</v>
          </cell>
          <cell r="E6642" t="str">
            <v>Apayao Science High Shool</v>
          </cell>
          <cell r="F6642">
            <v>60</v>
          </cell>
          <cell r="G6642">
            <v>73</v>
          </cell>
          <cell r="H6642">
            <v>133</v>
          </cell>
          <cell r="I6642">
            <v>15</v>
          </cell>
          <cell r="J6642">
            <v>12</v>
          </cell>
          <cell r="K6642">
            <v>27</v>
          </cell>
          <cell r="L6642">
            <v>0</v>
          </cell>
          <cell r="M6642">
            <v>0</v>
          </cell>
          <cell r="N6642">
            <v>0</v>
          </cell>
          <cell r="O6642">
            <v>0</v>
          </cell>
          <cell r="P6642">
            <v>0</v>
          </cell>
          <cell r="Q6642">
            <v>0</v>
          </cell>
          <cell r="R6642">
            <v>0</v>
          </cell>
          <cell r="S6642">
            <v>0</v>
          </cell>
          <cell r="T6642">
            <v>0</v>
          </cell>
          <cell r="U6642">
            <v>0</v>
          </cell>
          <cell r="V6642">
            <v>0</v>
          </cell>
          <cell r="W6642">
            <v>0</v>
          </cell>
          <cell r="X6642">
            <v>0</v>
          </cell>
          <cell r="Y6642">
            <v>0</v>
          </cell>
          <cell r="Z6642">
            <v>0</v>
          </cell>
        </row>
        <row r="6643">
          <cell r="D6643">
            <v>305109</v>
          </cell>
          <cell r="E6643" t="str">
            <v>Sta. Marcela NHS</v>
          </cell>
          <cell r="F6643">
            <v>65</v>
          </cell>
          <cell r="G6643">
            <v>48</v>
          </cell>
          <cell r="H6643">
            <v>113</v>
          </cell>
          <cell r="I6643">
            <v>50</v>
          </cell>
          <cell r="J6643">
            <v>31</v>
          </cell>
          <cell r="K6643">
            <v>81</v>
          </cell>
          <cell r="L6643">
            <v>50</v>
          </cell>
          <cell r="M6643">
            <v>31</v>
          </cell>
          <cell r="N6643">
            <v>81</v>
          </cell>
          <cell r="O6643">
            <v>15</v>
          </cell>
          <cell r="P6643">
            <v>17</v>
          </cell>
          <cell r="Q6643">
            <v>32</v>
          </cell>
          <cell r="R6643">
            <v>15</v>
          </cell>
          <cell r="S6643">
            <v>17</v>
          </cell>
          <cell r="T6643">
            <v>32</v>
          </cell>
          <cell r="U6643">
            <v>0</v>
          </cell>
          <cell r="V6643">
            <v>0</v>
          </cell>
          <cell r="W6643">
            <v>0</v>
          </cell>
          <cell r="X6643">
            <v>0</v>
          </cell>
          <cell r="Y6643">
            <v>0</v>
          </cell>
          <cell r="Z6643">
            <v>0</v>
          </cell>
        </row>
        <row r="6644">
          <cell r="D6644">
            <v>305124</v>
          </cell>
          <cell r="E6644" t="str">
            <v>Sipa-Imelda NHS</v>
          </cell>
          <cell r="F6644">
            <v>0</v>
          </cell>
          <cell r="G6644">
            <v>0</v>
          </cell>
          <cell r="H6644">
            <v>0</v>
          </cell>
          <cell r="I6644">
            <v>0</v>
          </cell>
          <cell r="J6644">
            <v>0</v>
          </cell>
          <cell r="K6644">
            <v>0</v>
          </cell>
          <cell r="L6644">
            <v>0</v>
          </cell>
          <cell r="M6644">
            <v>0</v>
          </cell>
          <cell r="N6644">
            <v>0</v>
          </cell>
          <cell r="O6644">
            <v>0</v>
          </cell>
          <cell r="P6644">
            <v>0</v>
          </cell>
          <cell r="Q6644">
            <v>0</v>
          </cell>
          <cell r="R6644">
            <v>0</v>
          </cell>
          <cell r="S6644">
            <v>0</v>
          </cell>
          <cell r="T6644">
            <v>0</v>
          </cell>
          <cell r="U6644">
            <v>0</v>
          </cell>
          <cell r="V6644">
            <v>0</v>
          </cell>
          <cell r="W6644">
            <v>0</v>
          </cell>
          <cell r="X6644">
            <v>0</v>
          </cell>
          <cell r="Y6644">
            <v>0</v>
          </cell>
          <cell r="Z6644">
            <v>0</v>
          </cell>
        </row>
        <row r="6645">
          <cell r="D6645">
            <v>318808</v>
          </cell>
          <cell r="E6645" t="str">
            <v>Allig National Agricultural and Trade HS</v>
          </cell>
          <cell r="F6645">
            <v>0</v>
          </cell>
          <cell r="G6645">
            <v>0</v>
          </cell>
          <cell r="H6645">
            <v>0</v>
          </cell>
          <cell r="I6645">
            <v>0</v>
          </cell>
          <cell r="J6645">
            <v>0</v>
          </cell>
          <cell r="K6645">
            <v>0</v>
          </cell>
          <cell r="L6645">
            <v>0</v>
          </cell>
          <cell r="M6645">
            <v>0</v>
          </cell>
          <cell r="N6645">
            <v>0</v>
          </cell>
          <cell r="O6645">
            <v>0</v>
          </cell>
          <cell r="P6645">
            <v>0</v>
          </cell>
          <cell r="Q6645">
            <v>0</v>
          </cell>
          <cell r="R6645">
            <v>0</v>
          </cell>
          <cell r="S6645">
            <v>0</v>
          </cell>
          <cell r="T6645">
            <v>0</v>
          </cell>
          <cell r="U6645">
            <v>0</v>
          </cell>
          <cell r="V6645">
            <v>0</v>
          </cell>
          <cell r="W6645">
            <v>0</v>
          </cell>
          <cell r="X6645">
            <v>0</v>
          </cell>
          <cell r="Y6645">
            <v>0</v>
          </cell>
          <cell r="Z6645">
            <v>0</v>
          </cell>
        </row>
        <row r="6646">
          <cell r="D6646">
            <v>318804</v>
          </cell>
          <cell r="E6646" t="str">
            <v>tanglagan national high school</v>
          </cell>
          <cell r="F6646">
            <v>0</v>
          </cell>
          <cell r="G6646">
            <v>0</v>
          </cell>
          <cell r="H6646">
            <v>0</v>
          </cell>
          <cell r="I6646">
            <v>0</v>
          </cell>
          <cell r="J6646">
            <v>0</v>
          </cell>
          <cell r="K6646">
            <v>0</v>
          </cell>
          <cell r="L6646">
            <v>0</v>
          </cell>
          <cell r="M6646">
            <v>0</v>
          </cell>
          <cell r="N6646">
            <v>0</v>
          </cell>
          <cell r="O6646">
            <v>0</v>
          </cell>
          <cell r="P6646">
            <v>0</v>
          </cell>
          <cell r="Q6646">
            <v>0</v>
          </cell>
          <cell r="R6646">
            <v>0</v>
          </cell>
          <cell r="S6646">
            <v>0</v>
          </cell>
          <cell r="T6646">
            <v>0</v>
          </cell>
          <cell r="U6646">
            <v>0</v>
          </cell>
          <cell r="V6646">
            <v>0</v>
          </cell>
          <cell r="W6646">
            <v>0</v>
          </cell>
          <cell r="X6646">
            <v>0</v>
          </cell>
          <cell r="Y6646">
            <v>0</v>
          </cell>
          <cell r="Z6646">
            <v>0</v>
          </cell>
        </row>
        <row r="6647">
          <cell r="D6647">
            <v>305121</v>
          </cell>
          <cell r="E6647" t="str">
            <v>Mayor Ricardo de San Jose, Sr. Comp. HS</v>
          </cell>
          <cell r="F6647">
            <v>0</v>
          </cell>
          <cell r="G6647">
            <v>0</v>
          </cell>
          <cell r="H6647">
            <v>0</v>
          </cell>
          <cell r="I6647">
            <v>0</v>
          </cell>
          <cell r="J6647">
            <v>0</v>
          </cell>
          <cell r="K6647">
            <v>0</v>
          </cell>
          <cell r="L6647">
            <v>0</v>
          </cell>
          <cell r="M6647">
            <v>0</v>
          </cell>
          <cell r="N6647">
            <v>0</v>
          </cell>
          <cell r="O6647">
            <v>0</v>
          </cell>
          <cell r="P6647">
            <v>0</v>
          </cell>
          <cell r="Q6647">
            <v>0</v>
          </cell>
          <cell r="R6647">
            <v>0</v>
          </cell>
          <cell r="S6647">
            <v>0</v>
          </cell>
          <cell r="T6647">
            <v>0</v>
          </cell>
          <cell r="U6647">
            <v>0</v>
          </cell>
          <cell r="V6647">
            <v>0</v>
          </cell>
          <cell r="W6647">
            <v>0</v>
          </cell>
          <cell r="X6647">
            <v>0</v>
          </cell>
          <cell r="Y6647">
            <v>0</v>
          </cell>
          <cell r="Z6647">
            <v>0</v>
          </cell>
        </row>
        <row r="6648">
          <cell r="D6648">
            <v>318811</v>
          </cell>
          <cell r="E6648" t="str">
            <v>Sta.Filomena School of Arts and Trade</v>
          </cell>
          <cell r="F6648">
            <v>10</v>
          </cell>
          <cell r="G6648">
            <v>29</v>
          </cell>
          <cell r="H6648">
            <v>39</v>
          </cell>
          <cell r="I6648">
            <v>6</v>
          </cell>
          <cell r="J6648">
            <v>15</v>
          </cell>
          <cell r="K6648">
            <v>21</v>
          </cell>
          <cell r="L6648">
            <v>4</v>
          </cell>
          <cell r="M6648">
            <v>14</v>
          </cell>
          <cell r="N6648">
            <v>18</v>
          </cell>
          <cell r="O6648">
            <v>0</v>
          </cell>
          <cell r="P6648">
            <v>0</v>
          </cell>
          <cell r="Q6648">
            <v>0</v>
          </cell>
          <cell r="R6648">
            <v>0</v>
          </cell>
          <cell r="S6648">
            <v>0</v>
          </cell>
          <cell r="T6648">
            <v>0</v>
          </cell>
          <cell r="U6648">
            <v>0</v>
          </cell>
          <cell r="V6648">
            <v>0</v>
          </cell>
          <cell r="W6648">
            <v>0</v>
          </cell>
          <cell r="X6648">
            <v>0</v>
          </cell>
          <cell r="Y6648">
            <v>0</v>
          </cell>
          <cell r="Z6648">
            <v>0</v>
          </cell>
        </row>
        <row r="6649">
          <cell r="D6649">
            <v>305122</v>
          </cell>
          <cell r="E6649" t="str">
            <v>Pio Dalim Memorial SAT Main</v>
          </cell>
          <cell r="F6649">
            <v>24</v>
          </cell>
          <cell r="G6649">
            <v>21</v>
          </cell>
          <cell r="H6649">
            <v>45</v>
          </cell>
          <cell r="I6649">
            <v>0</v>
          </cell>
          <cell r="J6649">
            <v>0</v>
          </cell>
          <cell r="K6649">
            <v>0</v>
          </cell>
          <cell r="L6649">
            <v>0</v>
          </cell>
          <cell r="M6649">
            <v>0</v>
          </cell>
          <cell r="N6649">
            <v>0</v>
          </cell>
          <cell r="O6649">
            <v>0</v>
          </cell>
          <cell r="P6649">
            <v>0</v>
          </cell>
          <cell r="Q6649">
            <v>0</v>
          </cell>
          <cell r="R6649">
            <v>0</v>
          </cell>
          <cell r="S6649">
            <v>0</v>
          </cell>
          <cell r="T6649">
            <v>0</v>
          </cell>
          <cell r="U6649">
            <v>0</v>
          </cell>
          <cell r="V6649">
            <v>0</v>
          </cell>
          <cell r="W6649">
            <v>0</v>
          </cell>
          <cell r="X6649">
            <v>0</v>
          </cell>
          <cell r="Y6649">
            <v>0</v>
          </cell>
          <cell r="Z6649">
            <v>0</v>
          </cell>
        </row>
        <row r="6650">
          <cell r="D6650">
            <v>305115</v>
          </cell>
          <cell r="E6650" t="str">
            <v>Kabugao Agro-Ind'l. HS</v>
          </cell>
          <cell r="F6650">
            <v>0</v>
          </cell>
          <cell r="G6650">
            <v>0</v>
          </cell>
          <cell r="H6650">
            <v>0</v>
          </cell>
          <cell r="I6650">
            <v>0</v>
          </cell>
          <cell r="J6650">
            <v>0</v>
          </cell>
          <cell r="K6650">
            <v>0</v>
          </cell>
          <cell r="L6650">
            <v>0</v>
          </cell>
          <cell r="M6650">
            <v>0</v>
          </cell>
          <cell r="N6650">
            <v>0</v>
          </cell>
          <cell r="O6650">
            <v>0</v>
          </cell>
          <cell r="P6650">
            <v>0</v>
          </cell>
          <cell r="Q6650">
            <v>0</v>
          </cell>
          <cell r="R6650">
            <v>0</v>
          </cell>
          <cell r="S6650">
            <v>0</v>
          </cell>
          <cell r="T6650">
            <v>0</v>
          </cell>
          <cell r="U6650">
            <v>0</v>
          </cell>
          <cell r="V6650">
            <v>0</v>
          </cell>
          <cell r="W6650">
            <v>0</v>
          </cell>
          <cell r="X6650">
            <v>0</v>
          </cell>
          <cell r="Y6650">
            <v>0</v>
          </cell>
          <cell r="Z6650">
            <v>0</v>
          </cell>
        </row>
        <row r="6651">
          <cell r="D6651">
            <v>305120</v>
          </cell>
          <cell r="E6651" t="str">
            <v>MAYOR GUILLERMO A. BARSATAN MEMORIAL SCHOOL OF ARTS AND TRADE</v>
          </cell>
          <cell r="F6651">
            <v>0</v>
          </cell>
          <cell r="G6651">
            <v>0</v>
          </cell>
          <cell r="H6651">
            <v>0</v>
          </cell>
          <cell r="I6651">
            <v>0</v>
          </cell>
          <cell r="J6651">
            <v>0</v>
          </cell>
          <cell r="K6651">
            <v>0</v>
          </cell>
          <cell r="L6651">
            <v>0</v>
          </cell>
          <cell r="M6651">
            <v>0</v>
          </cell>
          <cell r="N6651">
            <v>0</v>
          </cell>
          <cell r="O6651">
            <v>0</v>
          </cell>
          <cell r="P6651">
            <v>0</v>
          </cell>
          <cell r="Q6651">
            <v>0</v>
          </cell>
          <cell r="R6651">
            <v>0</v>
          </cell>
          <cell r="S6651">
            <v>0</v>
          </cell>
          <cell r="T6651">
            <v>0</v>
          </cell>
          <cell r="U6651">
            <v>0</v>
          </cell>
          <cell r="V6651">
            <v>0</v>
          </cell>
          <cell r="W6651">
            <v>0</v>
          </cell>
          <cell r="X6651">
            <v>0</v>
          </cell>
          <cell r="Y6651">
            <v>0</v>
          </cell>
          <cell r="Z6651">
            <v>0</v>
          </cell>
        </row>
        <row r="6652">
          <cell r="D6652">
            <v>305110</v>
          </cell>
          <cell r="E6652" t="str">
            <v>Calanasan NHS</v>
          </cell>
          <cell r="F6652">
            <v>0</v>
          </cell>
          <cell r="G6652">
            <v>0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0</v>
          </cell>
          <cell r="M6652">
            <v>0</v>
          </cell>
          <cell r="N6652">
            <v>0</v>
          </cell>
          <cell r="O6652">
            <v>0</v>
          </cell>
          <cell r="P6652">
            <v>0</v>
          </cell>
          <cell r="Q6652">
            <v>0</v>
          </cell>
          <cell r="R6652">
            <v>0</v>
          </cell>
          <cell r="S6652">
            <v>0</v>
          </cell>
          <cell r="T6652">
            <v>0</v>
          </cell>
          <cell r="U6652">
            <v>0</v>
          </cell>
          <cell r="V6652">
            <v>0</v>
          </cell>
          <cell r="W6652">
            <v>0</v>
          </cell>
          <cell r="X6652">
            <v>0</v>
          </cell>
          <cell r="Y6652">
            <v>0</v>
          </cell>
          <cell r="Z6652">
            <v>0</v>
          </cell>
        </row>
        <row r="6653">
          <cell r="D6653">
            <v>305129</v>
          </cell>
          <cell r="E6653" t="str">
            <v>Atok National High School</v>
          </cell>
          <cell r="F6653">
            <v>43</v>
          </cell>
          <cell r="G6653">
            <v>21</v>
          </cell>
          <cell r="H6653">
            <v>64</v>
          </cell>
          <cell r="I6653">
            <v>26</v>
          </cell>
          <cell r="J6653">
            <v>8</v>
          </cell>
          <cell r="K6653">
            <v>34</v>
          </cell>
          <cell r="L6653">
            <v>40</v>
          </cell>
          <cell r="M6653">
            <v>14</v>
          </cell>
          <cell r="N6653">
            <v>54</v>
          </cell>
          <cell r="O6653">
            <v>0</v>
          </cell>
          <cell r="P6653">
            <v>0</v>
          </cell>
          <cell r="Q6653">
            <v>0</v>
          </cell>
          <cell r="R6653">
            <v>0</v>
          </cell>
          <cell r="S6653">
            <v>0</v>
          </cell>
          <cell r="T6653">
            <v>0</v>
          </cell>
          <cell r="U6653">
            <v>0</v>
          </cell>
          <cell r="V6653">
            <v>0</v>
          </cell>
          <cell r="W6653">
            <v>0</v>
          </cell>
          <cell r="X6653">
            <v>0</v>
          </cell>
          <cell r="Y6653">
            <v>0</v>
          </cell>
          <cell r="Z6653">
            <v>0</v>
          </cell>
        </row>
        <row r="6654">
          <cell r="D6654">
            <v>305133</v>
          </cell>
          <cell r="E6654" t="str">
            <v>Benguet National High School-Main</v>
          </cell>
          <cell r="F6654">
            <v>0</v>
          </cell>
          <cell r="G6654">
            <v>0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>
            <v>0</v>
          </cell>
          <cell r="M6654">
            <v>0</v>
          </cell>
          <cell r="N6654">
            <v>0</v>
          </cell>
          <cell r="O6654">
            <v>0</v>
          </cell>
          <cell r="P6654">
            <v>0</v>
          </cell>
          <cell r="Q6654">
            <v>0</v>
          </cell>
          <cell r="R6654">
            <v>0</v>
          </cell>
          <cell r="S6654">
            <v>0</v>
          </cell>
          <cell r="T6654">
            <v>0</v>
          </cell>
          <cell r="U6654">
            <v>0</v>
          </cell>
          <cell r="V6654">
            <v>0</v>
          </cell>
          <cell r="W6654">
            <v>0</v>
          </cell>
          <cell r="X6654">
            <v>0</v>
          </cell>
          <cell r="Y6654">
            <v>0</v>
          </cell>
          <cell r="Z6654">
            <v>0</v>
          </cell>
        </row>
        <row r="6655">
          <cell r="D6655">
            <v>318918</v>
          </cell>
          <cell r="E6655" t="str">
            <v>Adaoay NHS Extension - Abucot</v>
          </cell>
          <cell r="F6655">
            <v>0</v>
          </cell>
          <cell r="G6655">
            <v>0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0</v>
          </cell>
          <cell r="M6655">
            <v>0</v>
          </cell>
          <cell r="N6655">
            <v>0</v>
          </cell>
          <cell r="O6655">
            <v>0</v>
          </cell>
          <cell r="P6655">
            <v>0</v>
          </cell>
          <cell r="Q6655">
            <v>0</v>
          </cell>
          <cell r="R6655">
            <v>0</v>
          </cell>
          <cell r="S6655">
            <v>0</v>
          </cell>
          <cell r="T6655">
            <v>0</v>
          </cell>
          <cell r="U6655">
            <v>0</v>
          </cell>
          <cell r="V6655">
            <v>0</v>
          </cell>
          <cell r="W6655">
            <v>0</v>
          </cell>
          <cell r="X6655">
            <v>0</v>
          </cell>
          <cell r="Y6655">
            <v>0</v>
          </cell>
          <cell r="Z6655">
            <v>0</v>
          </cell>
        </row>
        <row r="6656">
          <cell r="D6656">
            <v>318912</v>
          </cell>
          <cell r="E6656" t="str">
            <v>Sinipsip NHS Extension - Natubleng</v>
          </cell>
          <cell r="F6656">
            <v>0</v>
          </cell>
          <cell r="G6656">
            <v>0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0</v>
          </cell>
          <cell r="M6656">
            <v>0</v>
          </cell>
          <cell r="N6656">
            <v>0</v>
          </cell>
          <cell r="O6656">
            <v>0</v>
          </cell>
          <cell r="P6656">
            <v>0</v>
          </cell>
          <cell r="Q6656">
            <v>0</v>
          </cell>
          <cell r="R6656">
            <v>0</v>
          </cell>
          <cell r="S6656">
            <v>0</v>
          </cell>
          <cell r="T6656">
            <v>0</v>
          </cell>
          <cell r="U6656">
            <v>0</v>
          </cell>
          <cell r="V6656">
            <v>0</v>
          </cell>
          <cell r="W6656">
            <v>0</v>
          </cell>
          <cell r="X6656">
            <v>0</v>
          </cell>
          <cell r="Y6656">
            <v>0</v>
          </cell>
          <cell r="Z6656">
            <v>0</v>
          </cell>
        </row>
        <row r="6657">
          <cell r="D6657">
            <v>318906</v>
          </cell>
          <cell r="E6657" t="str">
            <v>Benguet NHS Annex- Alno</v>
          </cell>
          <cell r="F6657">
            <v>0</v>
          </cell>
          <cell r="G6657">
            <v>0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>
            <v>0</v>
          </cell>
          <cell r="M6657">
            <v>0</v>
          </cell>
          <cell r="N6657">
            <v>0</v>
          </cell>
          <cell r="O6657">
            <v>0</v>
          </cell>
          <cell r="P6657">
            <v>0</v>
          </cell>
          <cell r="Q6657">
            <v>0</v>
          </cell>
          <cell r="R6657">
            <v>0</v>
          </cell>
          <cell r="S6657">
            <v>0</v>
          </cell>
          <cell r="T6657">
            <v>0</v>
          </cell>
          <cell r="U6657">
            <v>0</v>
          </cell>
          <cell r="V6657">
            <v>0</v>
          </cell>
          <cell r="W6657">
            <v>0</v>
          </cell>
          <cell r="X6657">
            <v>0</v>
          </cell>
          <cell r="Y6657">
            <v>0</v>
          </cell>
          <cell r="Z6657">
            <v>0</v>
          </cell>
        </row>
        <row r="6658">
          <cell r="D6658">
            <v>305160</v>
          </cell>
          <cell r="E6658" t="str">
            <v>Tuba NHS (Nangalisan)</v>
          </cell>
          <cell r="F6658">
            <v>0</v>
          </cell>
          <cell r="G6658">
            <v>0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0</v>
          </cell>
          <cell r="M6658">
            <v>0</v>
          </cell>
          <cell r="N6658">
            <v>0</v>
          </cell>
          <cell r="O6658">
            <v>0</v>
          </cell>
          <cell r="P6658">
            <v>0</v>
          </cell>
          <cell r="Q6658">
            <v>0</v>
          </cell>
          <cell r="R6658">
            <v>0</v>
          </cell>
          <cell r="S6658">
            <v>0</v>
          </cell>
          <cell r="T6658">
            <v>0</v>
          </cell>
          <cell r="U6658">
            <v>0</v>
          </cell>
          <cell r="V6658">
            <v>0</v>
          </cell>
          <cell r="W6658">
            <v>0</v>
          </cell>
          <cell r="X6658">
            <v>0</v>
          </cell>
          <cell r="Y6658">
            <v>0</v>
          </cell>
          <cell r="Z6658">
            <v>0</v>
          </cell>
        </row>
        <row r="6659">
          <cell r="D6659">
            <v>305127</v>
          </cell>
          <cell r="E6659" t="str">
            <v>Loacan National High School</v>
          </cell>
          <cell r="F6659">
            <v>0</v>
          </cell>
          <cell r="G6659">
            <v>0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0</v>
          </cell>
          <cell r="M6659">
            <v>0</v>
          </cell>
          <cell r="N6659">
            <v>0</v>
          </cell>
          <cell r="O6659">
            <v>0</v>
          </cell>
          <cell r="P6659">
            <v>0</v>
          </cell>
          <cell r="Q6659">
            <v>0</v>
          </cell>
          <cell r="R6659">
            <v>0</v>
          </cell>
          <cell r="S6659">
            <v>0</v>
          </cell>
          <cell r="T6659">
            <v>0</v>
          </cell>
          <cell r="U6659">
            <v>0</v>
          </cell>
          <cell r="V6659">
            <v>0</v>
          </cell>
          <cell r="W6659">
            <v>0</v>
          </cell>
          <cell r="X6659">
            <v>0</v>
          </cell>
          <cell r="Y6659">
            <v>0</v>
          </cell>
          <cell r="Z6659">
            <v>0</v>
          </cell>
        </row>
        <row r="6660">
          <cell r="D6660">
            <v>305150</v>
          </cell>
          <cell r="E6660" t="str">
            <v>Tacadang NHS</v>
          </cell>
          <cell r="F6660">
            <v>0</v>
          </cell>
          <cell r="G6660">
            <v>0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0</v>
          </cell>
          <cell r="M6660">
            <v>0</v>
          </cell>
          <cell r="N6660">
            <v>0</v>
          </cell>
          <cell r="O6660">
            <v>0</v>
          </cell>
          <cell r="P6660">
            <v>0</v>
          </cell>
          <cell r="Q6660">
            <v>0</v>
          </cell>
          <cell r="R6660">
            <v>0</v>
          </cell>
          <cell r="S6660">
            <v>0</v>
          </cell>
          <cell r="T6660">
            <v>0</v>
          </cell>
          <cell r="U6660">
            <v>0</v>
          </cell>
          <cell r="V6660">
            <v>0</v>
          </cell>
          <cell r="W6660">
            <v>0</v>
          </cell>
          <cell r="X6660">
            <v>0</v>
          </cell>
          <cell r="Y6660">
            <v>0</v>
          </cell>
          <cell r="Z6660">
            <v>0</v>
          </cell>
        </row>
        <row r="6661">
          <cell r="D6661">
            <v>318904</v>
          </cell>
          <cell r="E6661" t="str">
            <v>Tuba Central NHS</v>
          </cell>
          <cell r="F6661">
            <v>0</v>
          </cell>
          <cell r="G6661">
            <v>0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0</v>
          </cell>
          <cell r="M6661">
            <v>0</v>
          </cell>
          <cell r="N6661">
            <v>0</v>
          </cell>
          <cell r="O6661">
            <v>0</v>
          </cell>
          <cell r="P6661">
            <v>0</v>
          </cell>
          <cell r="Q6661">
            <v>0</v>
          </cell>
          <cell r="R6661">
            <v>0</v>
          </cell>
          <cell r="S6661">
            <v>0</v>
          </cell>
          <cell r="T6661">
            <v>0</v>
          </cell>
          <cell r="U6661">
            <v>0</v>
          </cell>
          <cell r="V6661">
            <v>0</v>
          </cell>
          <cell r="W6661">
            <v>0</v>
          </cell>
          <cell r="X6661">
            <v>0</v>
          </cell>
          <cell r="Y6661">
            <v>0</v>
          </cell>
          <cell r="Z6661">
            <v>0</v>
          </cell>
        </row>
        <row r="6662">
          <cell r="D6662">
            <v>318914</v>
          </cell>
          <cell r="E6662" t="str">
            <v>Evelio Javier Memorial NHS Annex - Ansagan</v>
          </cell>
          <cell r="F6662">
            <v>20</v>
          </cell>
          <cell r="G6662">
            <v>12</v>
          </cell>
          <cell r="H6662">
            <v>32</v>
          </cell>
          <cell r="I6662">
            <v>2</v>
          </cell>
          <cell r="J6662">
            <v>2</v>
          </cell>
          <cell r="K6662">
            <v>4</v>
          </cell>
          <cell r="L6662">
            <v>2</v>
          </cell>
          <cell r="M6662">
            <v>2</v>
          </cell>
          <cell r="N6662">
            <v>4</v>
          </cell>
          <cell r="O6662">
            <v>0</v>
          </cell>
          <cell r="P6662">
            <v>0</v>
          </cell>
          <cell r="Q6662">
            <v>0</v>
          </cell>
          <cell r="R6662">
            <v>0</v>
          </cell>
          <cell r="S6662">
            <v>0</v>
          </cell>
          <cell r="T6662">
            <v>0</v>
          </cell>
          <cell r="U6662">
            <v>0</v>
          </cell>
          <cell r="V6662">
            <v>0</v>
          </cell>
          <cell r="W6662">
            <v>0</v>
          </cell>
          <cell r="X6662">
            <v>0</v>
          </cell>
          <cell r="Y6662">
            <v>0</v>
          </cell>
          <cell r="Z6662">
            <v>0</v>
          </cell>
        </row>
        <row r="6663">
          <cell r="D6663">
            <v>318903</v>
          </cell>
          <cell r="E6663" t="str">
            <v>Tawangan-Lusod NHS</v>
          </cell>
          <cell r="F6663">
            <v>0</v>
          </cell>
          <cell r="G6663">
            <v>0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>
            <v>0</v>
          </cell>
          <cell r="M6663">
            <v>0</v>
          </cell>
          <cell r="N6663">
            <v>0</v>
          </cell>
          <cell r="O6663">
            <v>0</v>
          </cell>
          <cell r="P6663">
            <v>0</v>
          </cell>
          <cell r="Q6663">
            <v>0</v>
          </cell>
          <cell r="R6663">
            <v>0</v>
          </cell>
          <cell r="S6663">
            <v>0</v>
          </cell>
          <cell r="T6663">
            <v>0</v>
          </cell>
          <cell r="U6663">
            <v>0</v>
          </cell>
          <cell r="V6663">
            <v>0</v>
          </cell>
          <cell r="W6663">
            <v>0</v>
          </cell>
          <cell r="X6663">
            <v>0</v>
          </cell>
          <cell r="Y6663">
            <v>0</v>
          </cell>
          <cell r="Z6663">
            <v>0</v>
          </cell>
        </row>
        <row r="6664">
          <cell r="D6664">
            <v>305136</v>
          </cell>
          <cell r="E6664" t="str">
            <v>Buguias NHS</v>
          </cell>
          <cell r="F6664">
            <v>20</v>
          </cell>
          <cell r="G6664">
            <v>27</v>
          </cell>
          <cell r="H6664">
            <v>47</v>
          </cell>
          <cell r="I6664">
            <v>0</v>
          </cell>
          <cell r="J6664">
            <v>0</v>
          </cell>
          <cell r="K6664">
            <v>0</v>
          </cell>
          <cell r="L6664">
            <v>0</v>
          </cell>
          <cell r="M6664">
            <v>0</v>
          </cell>
          <cell r="N6664">
            <v>0</v>
          </cell>
          <cell r="O6664">
            <v>0</v>
          </cell>
          <cell r="P6664">
            <v>0</v>
          </cell>
          <cell r="Q6664">
            <v>0</v>
          </cell>
          <cell r="R6664">
            <v>0</v>
          </cell>
          <cell r="S6664">
            <v>0</v>
          </cell>
          <cell r="T6664">
            <v>0</v>
          </cell>
          <cell r="U6664">
            <v>0</v>
          </cell>
          <cell r="V6664">
            <v>0</v>
          </cell>
          <cell r="W6664">
            <v>0</v>
          </cell>
          <cell r="X6664">
            <v>0</v>
          </cell>
          <cell r="Y6664">
            <v>0</v>
          </cell>
          <cell r="Z6664">
            <v>0</v>
          </cell>
        </row>
        <row r="6665">
          <cell r="D6665">
            <v>305154</v>
          </cell>
          <cell r="E6665" t="str">
            <v>Madaymen National High School</v>
          </cell>
          <cell r="F6665">
            <v>22</v>
          </cell>
          <cell r="G6665">
            <v>17</v>
          </cell>
          <cell r="H6665">
            <v>39</v>
          </cell>
          <cell r="I6665">
            <v>0</v>
          </cell>
          <cell r="J6665">
            <v>0</v>
          </cell>
          <cell r="K6665">
            <v>0</v>
          </cell>
          <cell r="L6665">
            <v>0</v>
          </cell>
          <cell r="M6665">
            <v>0</v>
          </cell>
          <cell r="N6665">
            <v>0</v>
          </cell>
          <cell r="O6665">
            <v>0</v>
          </cell>
          <cell r="P6665">
            <v>0</v>
          </cell>
          <cell r="Q6665">
            <v>0</v>
          </cell>
          <cell r="R6665">
            <v>0</v>
          </cell>
          <cell r="S6665">
            <v>0</v>
          </cell>
          <cell r="T6665">
            <v>0</v>
          </cell>
          <cell r="U6665">
            <v>0</v>
          </cell>
          <cell r="V6665">
            <v>0</v>
          </cell>
          <cell r="W6665">
            <v>0</v>
          </cell>
          <cell r="X6665">
            <v>0</v>
          </cell>
          <cell r="Y6665">
            <v>0</v>
          </cell>
          <cell r="Z6665">
            <v>0</v>
          </cell>
        </row>
        <row r="6666">
          <cell r="D6666">
            <v>305131</v>
          </cell>
          <cell r="E6666" t="str">
            <v>Bakun National High School</v>
          </cell>
          <cell r="F6666">
            <v>19</v>
          </cell>
          <cell r="G6666">
            <v>24</v>
          </cell>
          <cell r="H6666">
            <v>43</v>
          </cell>
          <cell r="I6666">
            <v>3</v>
          </cell>
          <cell r="J6666">
            <v>3</v>
          </cell>
          <cell r="K6666">
            <v>6</v>
          </cell>
          <cell r="L6666">
            <v>17</v>
          </cell>
          <cell r="M6666">
            <v>21</v>
          </cell>
          <cell r="N6666">
            <v>38</v>
          </cell>
          <cell r="O6666">
            <v>2</v>
          </cell>
          <cell r="P6666">
            <v>3</v>
          </cell>
          <cell r="Q6666">
            <v>5</v>
          </cell>
          <cell r="R6666">
            <v>17</v>
          </cell>
          <cell r="S6666">
            <v>21</v>
          </cell>
          <cell r="T6666">
            <v>38</v>
          </cell>
          <cell r="U6666">
            <v>0</v>
          </cell>
          <cell r="V6666">
            <v>0</v>
          </cell>
          <cell r="W6666">
            <v>0</v>
          </cell>
          <cell r="X6666">
            <v>0</v>
          </cell>
          <cell r="Y6666">
            <v>0</v>
          </cell>
          <cell r="Z6666">
            <v>0</v>
          </cell>
        </row>
        <row r="6667">
          <cell r="D6667">
            <v>305128</v>
          </cell>
          <cell r="E6667" t="str">
            <v>Ampusongan NHS - Main</v>
          </cell>
          <cell r="F6667">
            <v>0</v>
          </cell>
          <cell r="G6667">
            <v>0</v>
          </cell>
          <cell r="H6667">
            <v>0</v>
          </cell>
          <cell r="I6667">
            <v>0</v>
          </cell>
          <cell r="J6667">
            <v>0</v>
          </cell>
          <cell r="K6667">
            <v>0</v>
          </cell>
          <cell r="L6667">
            <v>0</v>
          </cell>
          <cell r="M6667">
            <v>0</v>
          </cell>
          <cell r="N6667">
            <v>0</v>
          </cell>
          <cell r="O6667">
            <v>0</v>
          </cell>
          <cell r="P6667">
            <v>0</v>
          </cell>
          <cell r="Q6667">
            <v>0</v>
          </cell>
          <cell r="R6667">
            <v>0</v>
          </cell>
          <cell r="S6667">
            <v>0</v>
          </cell>
          <cell r="T6667">
            <v>0</v>
          </cell>
          <cell r="U6667">
            <v>0</v>
          </cell>
          <cell r="V6667">
            <v>0</v>
          </cell>
          <cell r="W6667">
            <v>0</v>
          </cell>
          <cell r="X6667">
            <v>0</v>
          </cell>
          <cell r="Y6667">
            <v>0</v>
          </cell>
          <cell r="Z6667">
            <v>0</v>
          </cell>
        </row>
        <row r="6668">
          <cell r="D6668">
            <v>305159</v>
          </cell>
          <cell r="E6668" t="str">
            <v>Fianza Memorial National High School</v>
          </cell>
          <cell r="F6668">
            <v>0</v>
          </cell>
          <cell r="G6668">
            <v>0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>
            <v>0</v>
          </cell>
          <cell r="M6668">
            <v>0</v>
          </cell>
          <cell r="N6668">
            <v>0</v>
          </cell>
          <cell r="O6668">
            <v>0</v>
          </cell>
          <cell r="P6668">
            <v>0</v>
          </cell>
          <cell r="Q6668">
            <v>0</v>
          </cell>
          <cell r="R6668">
            <v>0</v>
          </cell>
          <cell r="S6668">
            <v>0</v>
          </cell>
          <cell r="T6668">
            <v>0</v>
          </cell>
          <cell r="U6668">
            <v>0</v>
          </cell>
          <cell r="V6668">
            <v>0</v>
          </cell>
          <cell r="W6668">
            <v>0</v>
          </cell>
          <cell r="X6668">
            <v>0</v>
          </cell>
          <cell r="Y6668">
            <v>0</v>
          </cell>
          <cell r="Z6668">
            <v>0</v>
          </cell>
        </row>
        <row r="6669">
          <cell r="D6669">
            <v>305148</v>
          </cell>
          <cell r="E6669" t="str">
            <v>Kapangan National High School</v>
          </cell>
          <cell r="F6669">
            <v>0</v>
          </cell>
          <cell r="G6669">
            <v>0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>
            <v>0</v>
          </cell>
          <cell r="M6669">
            <v>0</v>
          </cell>
          <cell r="N6669">
            <v>0</v>
          </cell>
          <cell r="O6669">
            <v>0</v>
          </cell>
          <cell r="P6669">
            <v>0</v>
          </cell>
          <cell r="Q6669">
            <v>0</v>
          </cell>
          <cell r="R6669">
            <v>0</v>
          </cell>
          <cell r="S6669">
            <v>0</v>
          </cell>
          <cell r="T6669">
            <v>0</v>
          </cell>
          <cell r="U6669">
            <v>0</v>
          </cell>
          <cell r="V6669">
            <v>0</v>
          </cell>
          <cell r="W6669">
            <v>0</v>
          </cell>
          <cell r="X6669">
            <v>0</v>
          </cell>
          <cell r="Y6669">
            <v>0</v>
          </cell>
          <cell r="Z6669">
            <v>0</v>
          </cell>
        </row>
        <row r="6670">
          <cell r="D6670">
            <v>305143</v>
          </cell>
          <cell r="E6670" t="str">
            <v>Gov. Bado Dangwa Agro-Industrial School</v>
          </cell>
          <cell r="F6670">
            <v>123</v>
          </cell>
          <cell r="G6670">
            <v>123</v>
          </cell>
          <cell r="H6670">
            <v>246</v>
          </cell>
          <cell r="I6670">
            <v>77</v>
          </cell>
          <cell r="J6670">
            <v>68</v>
          </cell>
          <cell r="K6670">
            <v>145</v>
          </cell>
          <cell r="L6670">
            <v>0</v>
          </cell>
          <cell r="M6670">
            <v>0</v>
          </cell>
          <cell r="N6670">
            <v>0</v>
          </cell>
          <cell r="O6670">
            <v>0</v>
          </cell>
          <cell r="P6670">
            <v>0</v>
          </cell>
          <cell r="Q6670">
            <v>0</v>
          </cell>
          <cell r="R6670">
            <v>0</v>
          </cell>
          <cell r="S6670">
            <v>0</v>
          </cell>
          <cell r="T6670">
            <v>0</v>
          </cell>
          <cell r="U6670">
            <v>0</v>
          </cell>
          <cell r="V6670">
            <v>0</v>
          </cell>
          <cell r="W6670">
            <v>0</v>
          </cell>
          <cell r="X6670">
            <v>0</v>
          </cell>
          <cell r="Y6670">
            <v>0</v>
          </cell>
          <cell r="Z6670">
            <v>0</v>
          </cell>
        </row>
        <row r="6671">
          <cell r="D6671">
            <v>305142</v>
          </cell>
          <cell r="E6671" t="str">
            <v>Laurencio Fianza NHS - Main</v>
          </cell>
          <cell r="F6671">
            <v>30</v>
          </cell>
          <cell r="G6671">
            <v>23</v>
          </cell>
          <cell r="H6671">
            <v>53</v>
          </cell>
          <cell r="I6671">
            <v>0</v>
          </cell>
          <cell r="J6671">
            <v>0</v>
          </cell>
          <cell r="K6671">
            <v>0</v>
          </cell>
          <cell r="L6671">
            <v>0</v>
          </cell>
          <cell r="M6671">
            <v>0</v>
          </cell>
          <cell r="N6671">
            <v>0</v>
          </cell>
          <cell r="O6671">
            <v>0</v>
          </cell>
          <cell r="P6671">
            <v>0</v>
          </cell>
          <cell r="Q6671">
            <v>0</v>
          </cell>
          <cell r="R6671">
            <v>0</v>
          </cell>
          <cell r="S6671">
            <v>0</v>
          </cell>
          <cell r="T6671">
            <v>0</v>
          </cell>
          <cell r="U6671">
            <v>0</v>
          </cell>
          <cell r="V6671">
            <v>0</v>
          </cell>
          <cell r="W6671">
            <v>0</v>
          </cell>
          <cell r="X6671">
            <v>0</v>
          </cell>
          <cell r="Y6671">
            <v>0</v>
          </cell>
          <cell r="Z6671">
            <v>0</v>
          </cell>
        </row>
        <row r="6672">
          <cell r="D6672">
            <v>305151</v>
          </cell>
          <cell r="E6672" t="str">
            <v>Lepanto NHS</v>
          </cell>
          <cell r="F6672">
            <v>95</v>
          </cell>
          <cell r="G6672">
            <v>86</v>
          </cell>
          <cell r="H6672">
            <v>181</v>
          </cell>
          <cell r="I6672">
            <v>95</v>
          </cell>
          <cell r="J6672">
            <v>86</v>
          </cell>
          <cell r="K6672">
            <v>181</v>
          </cell>
          <cell r="L6672">
            <v>0</v>
          </cell>
          <cell r="M6672">
            <v>0</v>
          </cell>
          <cell r="N6672">
            <v>0</v>
          </cell>
          <cell r="O6672">
            <v>0</v>
          </cell>
          <cell r="P6672">
            <v>0</v>
          </cell>
          <cell r="Q6672">
            <v>0</v>
          </cell>
          <cell r="R6672">
            <v>0</v>
          </cell>
          <cell r="S6672">
            <v>0</v>
          </cell>
          <cell r="T6672">
            <v>0</v>
          </cell>
          <cell r="U6672">
            <v>2</v>
          </cell>
          <cell r="V6672">
            <v>1</v>
          </cell>
          <cell r="W6672">
            <v>3</v>
          </cell>
          <cell r="X6672">
            <v>0</v>
          </cell>
          <cell r="Y6672">
            <v>0</v>
          </cell>
          <cell r="Z6672">
            <v>0</v>
          </cell>
        </row>
        <row r="6673">
          <cell r="D6673">
            <v>305126</v>
          </cell>
          <cell r="E6673" t="str">
            <v>Ampucao National High School</v>
          </cell>
          <cell r="F6673">
            <v>42</v>
          </cell>
          <cell r="G6673">
            <v>32</v>
          </cell>
          <cell r="H6673">
            <v>74</v>
          </cell>
          <cell r="I6673">
            <v>0</v>
          </cell>
          <cell r="J6673">
            <v>0</v>
          </cell>
          <cell r="K6673">
            <v>0</v>
          </cell>
          <cell r="L6673">
            <v>0</v>
          </cell>
          <cell r="M6673">
            <v>0</v>
          </cell>
          <cell r="N6673">
            <v>0</v>
          </cell>
          <cell r="O6673">
            <v>0</v>
          </cell>
          <cell r="P6673">
            <v>0</v>
          </cell>
          <cell r="Q6673">
            <v>0</v>
          </cell>
          <cell r="R6673">
            <v>0</v>
          </cell>
          <cell r="S6673">
            <v>0</v>
          </cell>
          <cell r="T6673">
            <v>0</v>
          </cell>
          <cell r="U6673">
            <v>0</v>
          </cell>
          <cell r="V6673">
            <v>0</v>
          </cell>
          <cell r="W6673">
            <v>0</v>
          </cell>
          <cell r="X6673">
            <v>0</v>
          </cell>
          <cell r="Y6673">
            <v>0</v>
          </cell>
          <cell r="Z6673">
            <v>0</v>
          </cell>
        </row>
        <row r="6674">
          <cell r="D6674">
            <v>305161</v>
          </cell>
          <cell r="E6674" t="str">
            <v>Taloy Sur NHS</v>
          </cell>
          <cell r="F6674">
            <v>0</v>
          </cell>
          <cell r="G6674">
            <v>0</v>
          </cell>
          <cell r="H6674">
            <v>0</v>
          </cell>
          <cell r="I6674">
            <v>0</v>
          </cell>
          <cell r="J6674">
            <v>0</v>
          </cell>
          <cell r="K6674">
            <v>0</v>
          </cell>
          <cell r="L6674">
            <v>0</v>
          </cell>
          <cell r="M6674">
            <v>0</v>
          </cell>
          <cell r="N6674">
            <v>0</v>
          </cell>
          <cell r="O6674">
            <v>0</v>
          </cell>
          <cell r="P6674">
            <v>0</v>
          </cell>
          <cell r="Q6674">
            <v>0</v>
          </cell>
          <cell r="R6674">
            <v>0</v>
          </cell>
          <cell r="S6674">
            <v>0</v>
          </cell>
          <cell r="T6674">
            <v>0</v>
          </cell>
          <cell r="U6674">
            <v>0</v>
          </cell>
          <cell r="V6674">
            <v>0</v>
          </cell>
          <cell r="W6674">
            <v>0</v>
          </cell>
          <cell r="X6674">
            <v>0</v>
          </cell>
          <cell r="Y6674">
            <v>0</v>
          </cell>
          <cell r="Z6674">
            <v>0</v>
          </cell>
        </row>
        <row r="6675">
          <cell r="D6675">
            <v>318909</v>
          </cell>
          <cell r="E6675" t="str">
            <v>Eastern La Trinidad NHS</v>
          </cell>
          <cell r="F6675">
            <v>0</v>
          </cell>
          <cell r="G6675">
            <v>0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>
            <v>0</v>
          </cell>
          <cell r="M6675">
            <v>0</v>
          </cell>
          <cell r="N6675">
            <v>0</v>
          </cell>
          <cell r="O6675">
            <v>0</v>
          </cell>
          <cell r="P6675">
            <v>0</v>
          </cell>
          <cell r="Q6675">
            <v>0</v>
          </cell>
          <cell r="R6675">
            <v>0</v>
          </cell>
          <cell r="S6675">
            <v>0</v>
          </cell>
          <cell r="T6675">
            <v>0</v>
          </cell>
          <cell r="U6675">
            <v>0</v>
          </cell>
          <cell r="V6675">
            <v>0</v>
          </cell>
          <cell r="W6675">
            <v>0</v>
          </cell>
          <cell r="X6675">
            <v>0</v>
          </cell>
          <cell r="Y6675">
            <v>0</v>
          </cell>
          <cell r="Z6675">
            <v>0</v>
          </cell>
        </row>
        <row r="6676">
          <cell r="D6676">
            <v>305132</v>
          </cell>
          <cell r="E6676" t="str">
            <v>Bedbed NHS</v>
          </cell>
          <cell r="F6676">
            <v>0</v>
          </cell>
          <cell r="G6676">
            <v>0</v>
          </cell>
          <cell r="H6676">
            <v>0</v>
          </cell>
          <cell r="I6676">
            <v>0</v>
          </cell>
          <cell r="J6676">
            <v>0</v>
          </cell>
          <cell r="K6676">
            <v>0</v>
          </cell>
          <cell r="L6676">
            <v>0</v>
          </cell>
          <cell r="M6676">
            <v>0</v>
          </cell>
          <cell r="N6676">
            <v>0</v>
          </cell>
          <cell r="O6676">
            <v>0</v>
          </cell>
          <cell r="P6676">
            <v>0</v>
          </cell>
          <cell r="Q6676">
            <v>0</v>
          </cell>
          <cell r="R6676">
            <v>0</v>
          </cell>
          <cell r="S6676">
            <v>0</v>
          </cell>
          <cell r="T6676">
            <v>0</v>
          </cell>
          <cell r="U6676">
            <v>0</v>
          </cell>
          <cell r="V6676">
            <v>0</v>
          </cell>
          <cell r="W6676">
            <v>0</v>
          </cell>
          <cell r="X6676">
            <v>0</v>
          </cell>
          <cell r="Y6676">
            <v>0</v>
          </cell>
          <cell r="Z6676">
            <v>0</v>
          </cell>
        </row>
        <row r="6677">
          <cell r="D6677">
            <v>305138</v>
          </cell>
          <cell r="E6677" t="str">
            <v>Loo National High School</v>
          </cell>
          <cell r="F6677">
            <v>0</v>
          </cell>
          <cell r="G6677">
            <v>0</v>
          </cell>
          <cell r="H6677">
            <v>0</v>
          </cell>
          <cell r="I6677">
            <v>0</v>
          </cell>
          <cell r="J6677">
            <v>0</v>
          </cell>
          <cell r="K6677">
            <v>0</v>
          </cell>
          <cell r="L6677">
            <v>0</v>
          </cell>
          <cell r="M6677">
            <v>0</v>
          </cell>
          <cell r="N6677">
            <v>0</v>
          </cell>
          <cell r="O6677">
            <v>0</v>
          </cell>
          <cell r="P6677">
            <v>0</v>
          </cell>
          <cell r="Q6677">
            <v>0</v>
          </cell>
          <cell r="R6677">
            <v>0</v>
          </cell>
          <cell r="S6677">
            <v>0</v>
          </cell>
          <cell r="T6677">
            <v>0</v>
          </cell>
          <cell r="U6677">
            <v>0</v>
          </cell>
          <cell r="V6677">
            <v>0</v>
          </cell>
          <cell r="W6677">
            <v>0</v>
          </cell>
          <cell r="X6677">
            <v>0</v>
          </cell>
          <cell r="Y6677">
            <v>0</v>
          </cell>
          <cell r="Z6677">
            <v>0</v>
          </cell>
        </row>
        <row r="6678">
          <cell r="D6678">
            <v>305153</v>
          </cell>
          <cell r="E6678" t="str">
            <v>Tabio NHS</v>
          </cell>
          <cell r="F6678">
            <v>0</v>
          </cell>
          <cell r="G6678">
            <v>0</v>
          </cell>
          <cell r="H6678">
            <v>0</v>
          </cell>
          <cell r="I6678">
            <v>0</v>
          </cell>
          <cell r="J6678">
            <v>0</v>
          </cell>
          <cell r="K6678">
            <v>0</v>
          </cell>
          <cell r="L6678">
            <v>0</v>
          </cell>
          <cell r="M6678">
            <v>0</v>
          </cell>
          <cell r="N6678">
            <v>0</v>
          </cell>
          <cell r="O6678">
            <v>0</v>
          </cell>
          <cell r="P6678">
            <v>0</v>
          </cell>
          <cell r="Q6678">
            <v>0</v>
          </cell>
          <cell r="R6678">
            <v>0</v>
          </cell>
          <cell r="S6678">
            <v>0</v>
          </cell>
          <cell r="T6678">
            <v>0</v>
          </cell>
          <cell r="U6678">
            <v>0</v>
          </cell>
          <cell r="V6678">
            <v>0</v>
          </cell>
          <cell r="W6678">
            <v>0</v>
          </cell>
          <cell r="X6678">
            <v>0</v>
          </cell>
          <cell r="Y6678">
            <v>0</v>
          </cell>
          <cell r="Z6678">
            <v>0</v>
          </cell>
        </row>
        <row r="6679">
          <cell r="D6679">
            <v>305162</v>
          </cell>
          <cell r="E6679" t="str">
            <v>Tublay School of Home Industries-Main</v>
          </cell>
          <cell r="F6679">
            <v>0</v>
          </cell>
          <cell r="G6679">
            <v>0</v>
          </cell>
          <cell r="H6679">
            <v>0</v>
          </cell>
          <cell r="I6679">
            <v>0</v>
          </cell>
          <cell r="J6679">
            <v>0</v>
          </cell>
          <cell r="K6679">
            <v>0</v>
          </cell>
          <cell r="L6679">
            <v>0</v>
          </cell>
          <cell r="M6679">
            <v>0</v>
          </cell>
          <cell r="N6679">
            <v>0</v>
          </cell>
          <cell r="O6679">
            <v>0</v>
          </cell>
          <cell r="P6679">
            <v>0</v>
          </cell>
          <cell r="Q6679">
            <v>0</v>
          </cell>
          <cell r="R6679">
            <v>0</v>
          </cell>
          <cell r="S6679">
            <v>0</v>
          </cell>
          <cell r="T6679">
            <v>0</v>
          </cell>
          <cell r="U6679">
            <v>0</v>
          </cell>
          <cell r="V6679">
            <v>0</v>
          </cell>
          <cell r="W6679">
            <v>0</v>
          </cell>
          <cell r="X6679">
            <v>0</v>
          </cell>
          <cell r="Y6679">
            <v>0</v>
          </cell>
          <cell r="Z6679">
            <v>0</v>
          </cell>
        </row>
        <row r="6680">
          <cell r="D6680">
            <v>318911</v>
          </cell>
          <cell r="E6680" t="str">
            <v>Bakun NHS Extension-Sinacbat</v>
          </cell>
          <cell r="F6680">
            <v>0</v>
          </cell>
          <cell r="G6680">
            <v>0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>
            <v>0</v>
          </cell>
          <cell r="M6680">
            <v>0</v>
          </cell>
          <cell r="N6680">
            <v>0</v>
          </cell>
          <cell r="O6680">
            <v>0</v>
          </cell>
          <cell r="P6680">
            <v>0</v>
          </cell>
          <cell r="Q6680">
            <v>0</v>
          </cell>
          <cell r="R6680">
            <v>0</v>
          </cell>
          <cell r="S6680">
            <v>0</v>
          </cell>
          <cell r="T6680">
            <v>0</v>
          </cell>
          <cell r="U6680">
            <v>0</v>
          </cell>
          <cell r="V6680">
            <v>0</v>
          </cell>
          <cell r="W6680">
            <v>0</v>
          </cell>
          <cell r="X6680">
            <v>0</v>
          </cell>
          <cell r="Y6680">
            <v>0</v>
          </cell>
          <cell r="Z6680">
            <v>0</v>
          </cell>
        </row>
        <row r="6681">
          <cell r="D6681">
            <v>305157</v>
          </cell>
          <cell r="E6681" t="str">
            <v>Sablan NHS</v>
          </cell>
          <cell r="F6681">
            <v>60</v>
          </cell>
          <cell r="G6681">
            <v>50</v>
          </cell>
          <cell r="H6681">
            <v>110</v>
          </cell>
          <cell r="I6681">
            <v>0</v>
          </cell>
          <cell r="J6681">
            <v>0</v>
          </cell>
          <cell r="K6681">
            <v>0</v>
          </cell>
          <cell r="L6681">
            <v>0</v>
          </cell>
          <cell r="M6681">
            <v>0</v>
          </cell>
          <cell r="N6681">
            <v>0</v>
          </cell>
          <cell r="O6681">
            <v>0</v>
          </cell>
          <cell r="P6681">
            <v>0</v>
          </cell>
          <cell r="Q6681">
            <v>0</v>
          </cell>
          <cell r="R6681">
            <v>0</v>
          </cell>
          <cell r="S6681">
            <v>0</v>
          </cell>
          <cell r="T6681">
            <v>0</v>
          </cell>
          <cell r="U6681">
            <v>0</v>
          </cell>
          <cell r="V6681">
            <v>0</v>
          </cell>
          <cell r="W6681">
            <v>0</v>
          </cell>
          <cell r="X6681">
            <v>0</v>
          </cell>
          <cell r="Y6681">
            <v>0</v>
          </cell>
          <cell r="Z6681">
            <v>0</v>
          </cell>
        </row>
        <row r="6682">
          <cell r="D6682">
            <v>305155</v>
          </cell>
          <cell r="E6682" t="str">
            <v>Mankayan National High School</v>
          </cell>
          <cell r="F6682">
            <v>109</v>
          </cell>
          <cell r="G6682">
            <v>95</v>
          </cell>
          <cell r="H6682">
            <v>204</v>
          </cell>
          <cell r="I6682">
            <v>25</v>
          </cell>
          <cell r="J6682">
            <v>32</v>
          </cell>
          <cell r="K6682">
            <v>57</v>
          </cell>
          <cell r="L6682">
            <v>36</v>
          </cell>
          <cell r="M6682">
            <v>40</v>
          </cell>
          <cell r="N6682">
            <v>76</v>
          </cell>
          <cell r="O6682">
            <v>0</v>
          </cell>
          <cell r="P6682">
            <v>0</v>
          </cell>
          <cell r="Q6682">
            <v>0</v>
          </cell>
          <cell r="R6682">
            <v>0</v>
          </cell>
          <cell r="S6682">
            <v>0</v>
          </cell>
          <cell r="T6682">
            <v>0</v>
          </cell>
          <cell r="U6682">
            <v>0</v>
          </cell>
          <cell r="V6682">
            <v>0</v>
          </cell>
          <cell r="W6682">
            <v>0</v>
          </cell>
          <cell r="X6682">
            <v>0</v>
          </cell>
          <cell r="Y6682">
            <v>0</v>
          </cell>
          <cell r="Z6682">
            <v>0</v>
          </cell>
        </row>
        <row r="6683">
          <cell r="D6683">
            <v>305137</v>
          </cell>
          <cell r="E6683" t="str">
            <v>Catlubong National High School</v>
          </cell>
          <cell r="F6683">
            <v>15</v>
          </cell>
          <cell r="G6683">
            <v>0</v>
          </cell>
          <cell r="H6683">
            <v>15</v>
          </cell>
          <cell r="I6683">
            <v>0</v>
          </cell>
          <cell r="J6683">
            <v>0</v>
          </cell>
          <cell r="K6683">
            <v>0</v>
          </cell>
          <cell r="L6683">
            <v>0</v>
          </cell>
          <cell r="M6683">
            <v>0</v>
          </cell>
          <cell r="N6683">
            <v>0</v>
          </cell>
          <cell r="O6683">
            <v>0</v>
          </cell>
          <cell r="P6683">
            <v>0</v>
          </cell>
          <cell r="Q6683">
            <v>0</v>
          </cell>
          <cell r="R6683">
            <v>0</v>
          </cell>
          <cell r="S6683">
            <v>0</v>
          </cell>
          <cell r="T6683">
            <v>0</v>
          </cell>
          <cell r="U6683">
            <v>0</v>
          </cell>
          <cell r="V6683">
            <v>0</v>
          </cell>
          <cell r="W6683">
            <v>0</v>
          </cell>
          <cell r="X6683">
            <v>0</v>
          </cell>
          <cell r="Y6683">
            <v>0</v>
          </cell>
          <cell r="Z6683">
            <v>0</v>
          </cell>
        </row>
        <row r="6684">
          <cell r="D6684">
            <v>318913</v>
          </cell>
          <cell r="E6684" t="str">
            <v>Ampusongan National High School Annex-Kayapa</v>
          </cell>
          <cell r="F6684">
            <v>0</v>
          </cell>
          <cell r="G6684">
            <v>0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0</v>
          </cell>
          <cell r="M6684">
            <v>0</v>
          </cell>
          <cell r="N6684">
            <v>0</v>
          </cell>
          <cell r="O6684">
            <v>0</v>
          </cell>
          <cell r="P6684">
            <v>0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>
            <v>0</v>
          </cell>
          <cell r="V6684">
            <v>0</v>
          </cell>
          <cell r="W6684">
            <v>0</v>
          </cell>
          <cell r="X6684">
            <v>0</v>
          </cell>
          <cell r="Y6684">
            <v>0</v>
          </cell>
          <cell r="Z6684">
            <v>0</v>
          </cell>
        </row>
        <row r="6685">
          <cell r="D6685">
            <v>318905</v>
          </cell>
          <cell r="E6685" t="str">
            <v>La Trinidad NHS</v>
          </cell>
          <cell r="F6685">
            <v>0</v>
          </cell>
          <cell r="G6685">
            <v>0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0</v>
          </cell>
          <cell r="M6685">
            <v>0</v>
          </cell>
          <cell r="N6685">
            <v>0</v>
          </cell>
          <cell r="O6685">
            <v>0</v>
          </cell>
          <cell r="P6685">
            <v>0</v>
          </cell>
          <cell r="Q6685">
            <v>0</v>
          </cell>
          <cell r="R6685">
            <v>0</v>
          </cell>
          <cell r="S6685">
            <v>0</v>
          </cell>
          <cell r="T6685">
            <v>0</v>
          </cell>
          <cell r="U6685">
            <v>0</v>
          </cell>
          <cell r="V6685">
            <v>0</v>
          </cell>
          <cell r="W6685">
            <v>0</v>
          </cell>
          <cell r="X6685">
            <v>0</v>
          </cell>
          <cell r="Y6685">
            <v>0</v>
          </cell>
          <cell r="Z6685">
            <v>0</v>
          </cell>
        </row>
        <row r="6686">
          <cell r="D6686">
            <v>305141</v>
          </cell>
          <cell r="E6686" t="str">
            <v>Evelio Javier Memorial NHS - Main</v>
          </cell>
          <cell r="F6686">
            <v>52</v>
          </cell>
          <cell r="G6686">
            <v>40</v>
          </cell>
          <cell r="H6686">
            <v>92</v>
          </cell>
          <cell r="I6686">
            <v>0</v>
          </cell>
          <cell r="J6686">
            <v>0</v>
          </cell>
          <cell r="K6686">
            <v>0</v>
          </cell>
          <cell r="L6686">
            <v>0</v>
          </cell>
          <cell r="M6686">
            <v>0</v>
          </cell>
          <cell r="N6686">
            <v>0</v>
          </cell>
          <cell r="O6686">
            <v>5</v>
          </cell>
          <cell r="P6686">
            <v>7</v>
          </cell>
          <cell r="Q6686">
            <v>12</v>
          </cell>
          <cell r="R6686">
            <v>0</v>
          </cell>
          <cell r="S6686">
            <v>0</v>
          </cell>
          <cell r="T6686">
            <v>0</v>
          </cell>
          <cell r="U6686">
            <v>0</v>
          </cell>
          <cell r="V6686">
            <v>0</v>
          </cell>
          <cell r="W6686">
            <v>0</v>
          </cell>
          <cell r="X6686">
            <v>0</v>
          </cell>
          <cell r="Y6686">
            <v>0</v>
          </cell>
          <cell r="Z6686">
            <v>0</v>
          </cell>
        </row>
        <row r="6687">
          <cell r="D6687">
            <v>305134</v>
          </cell>
          <cell r="E6687" t="str">
            <v>Binga National High School</v>
          </cell>
          <cell r="F6687">
            <v>0</v>
          </cell>
          <cell r="G6687">
            <v>0</v>
          </cell>
          <cell r="H6687">
            <v>0</v>
          </cell>
          <cell r="I6687">
            <v>0</v>
          </cell>
          <cell r="J6687">
            <v>0</v>
          </cell>
          <cell r="K6687">
            <v>0</v>
          </cell>
          <cell r="L6687">
            <v>0</v>
          </cell>
          <cell r="M6687">
            <v>0</v>
          </cell>
          <cell r="N6687">
            <v>0</v>
          </cell>
          <cell r="O6687">
            <v>0</v>
          </cell>
          <cell r="P6687">
            <v>0</v>
          </cell>
          <cell r="Q6687">
            <v>0</v>
          </cell>
          <cell r="R6687">
            <v>0</v>
          </cell>
          <cell r="S6687">
            <v>0</v>
          </cell>
          <cell r="T6687">
            <v>0</v>
          </cell>
          <cell r="U6687">
            <v>0</v>
          </cell>
          <cell r="V6687">
            <v>0</v>
          </cell>
          <cell r="W6687">
            <v>0</v>
          </cell>
          <cell r="X6687">
            <v>0</v>
          </cell>
          <cell r="Y6687">
            <v>0</v>
          </cell>
          <cell r="Z6687">
            <v>0</v>
          </cell>
        </row>
        <row r="6688">
          <cell r="D6688">
            <v>305147</v>
          </cell>
          <cell r="E6688" t="str">
            <v>Kapangan Central National High School (RA8839)</v>
          </cell>
          <cell r="F6688">
            <v>0</v>
          </cell>
          <cell r="G6688">
            <v>0</v>
          </cell>
          <cell r="H6688">
            <v>0</v>
          </cell>
          <cell r="I6688">
            <v>0</v>
          </cell>
          <cell r="J6688">
            <v>0</v>
          </cell>
          <cell r="K6688">
            <v>0</v>
          </cell>
          <cell r="L6688">
            <v>0</v>
          </cell>
          <cell r="M6688">
            <v>0</v>
          </cell>
          <cell r="N6688">
            <v>0</v>
          </cell>
          <cell r="O6688">
            <v>0</v>
          </cell>
          <cell r="P6688">
            <v>0</v>
          </cell>
          <cell r="Q6688">
            <v>0</v>
          </cell>
          <cell r="R6688">
            <v>0</v>
          </cell>
          <cell r="S6688">
            <v>0</v>
          </cell>
          <cell r="T6688">
            <v>0</v>
          </cell>
          <cell r="U6688">
            <v>0</v>
          </cell>
          <cell r="V6688">
            <v>0</v>
          </cell>
          <cell r="W6688">
            <v>0</v>
          </cell>
          <cell r="X6688">
            <v>0</v>
          </cell>
          <cell r="Y6688">
            <v>0</v>
          </cell>
          <cell r="Z6688">
            <v>0</v>
          </cell>
        </row>
        <row r="6689">
          <cell r="D6689">
            <v>318901</v>
          </cell>
          <cell r="E6689" t="str">
            <v>Daklan National High School</v>
          </cell>
          <cell r="F6689">
            <v>8</v>
          </cell>
          <cell r="G6689">
            <v>10</v>
          </cell>
          <cell r="H6689">
            <v>18</v>
          </cell>
          <cell r="I6689">
            <v>0</v>
          </cell>
          <cell r="J6689">
            <v>0</v>
          </cell>
          <cell r="K6689">
            <v>0</v>
          </cell>
          <cell r="L6689">
            <v>0</v>
          </cell>
          <cell r="M6689">
            <v>0</v>
          </cell>
          <cell r="N6689">
            <v>0</v>
          </cell>
          <cell r="O6689">
            <v>0</v>
          </cell>
          <cell r="P6689">
            <v>0</v>
          </cell>
          <cell r="Q6689">
            <v>0</v>
          </cell>
          <cell r="R6689">
            <v>0</v>
          </cell>
          <cell r="S6689">
            <v>0</v>
          </cell>
          <cell r="T6689">
            <v>0</v>
          </cell>
          <cell r="U6689">
            <v>0</v>
          </cell>
          <cell r="V6689">
            <v>0</v>
          </cell>
          <cell r="W6689">
            <v>0</v>
          </cell>
          <cell r="X6689">
            <v>0</v>
          </cell>
          <cell r="Y6689">
            <v>0</v>
          </cell>
          <cell r="Z6689">
            <v>0</v>
          </cell>
        </row>
        <row r="6690">
          <cell r="D6690">
            <v>305125</v>
          </cell>
          <cell r="E6690" t="str">
            <v>Alejo M. Pacalso Memorial National High School</v>
          </cell>
          <cell r="F6690">
            <v>0</v>
          </cell>
          <cell r="G6690">
            <v>0</v>
          </cell>
          <cell r="H6690">
            <v>0</v>
          </cell>
          <cell r="I6690">
            <v>0</v>
          </cell>
          <cell r="J6690">
            <v>0</v>
          </cell>
          <cell r="K6690">
            <v>0</v>
          </cell>
          <cell r="L6690">
            <v>0</v>
          </cell>
          <cell r="M6690">
            <v>0</v>
          </cell>
          <cell r="N6690">
            <v>0</v>
          </cell>
          <cell r="O6690">
            <v>0</v>
          </cell>
          <cell r="P6690">
            <v>0</v>
          </cell>
          <cell r="Q6690">
            <v>0</v>
          </cell>
          <cell r="R6690">
            <v>0</v>
          </cell>
          <cell r="S6690">
            <v>0</v>
          </cell>
          <cell r="T6690">
            <v>0</v>
          </cell>
          <cell r="U6690">
            <v>0</v>
          </cell>
          <cell r="V6690">
            <v>0</v>
          </cell>
          <cell r="W6690">
            <v>0</v>
          </cell>
          <cell r="X6690">
            <v>0</v>
          </cell>
          <cell r="Y6690">
            <v>0</v>
          </cell>
          <cell r="Z6690">
            <v>0</v>
          </cell>
        </row>
        <row r="6691">
          <cell r="D6691">
            <v>305149</v>
          </cell>
          <cell r="E6691" t="str">
            <v>Kibungan NHS</v>
          </cell>
          <cell r="F6691">
            <v>0</v>
          </cell>
          <cell r="G6691">
            <v>0</v>
          </cell>
          <cell r="H6691">
            <v>0</v>
          </cell>
          <cell r="I6691">
            <v>0</v>
          </cell>
          <cell r="J6691">
            <v>0</v>
          </cell>
          <cell r="K6691">
            <v>0</v>
          </cell>
          <cell r="L6691">
            <v>0</v>
          </cell>
          <cell r="M6691">
            <v>0</v>
          </cell>
          <cell r="N6691">
            <v>0</v>
          </cell>
          <cell r="O6691">
            <v>0</v>
          </cell>
          <cell r="P6691">
            <v>0</v>
          </cell>
          <cell r="Q6691">
            <v>0</v>
          </cell>
          <cell r="R6691">
            <v>0</v>
          </cell>
          <cell r="S6691">
            <v>0</v>
          </cell>
          <cell r="T6691">
            <v>0</v>
          </cell>
          <cell r="U6691">
            <v>0</v>
          </cell>
          <cell r="V6691">
            <v>0</v>
          </cell>
          <cell r="W6691">
            <v>0</v>
          </cell>
          <cell r="X6691">
            <v>0</v>
          </cell>
          <cell r="Y6691">
            <v>0</v>
          </cell>
          <cell r="Z6691">
            <v>0</v>
          </cell>
        </row>
        <row r="6692">
          <cell r="D6692">
            <v>305130</v>
          </cell>
          <cell r="E6692" t="str">
            <v>Camp 30 National High School</v>
          </cell>
          <cell r="F6692">
            <v>23</v>
          </cell>
          <cell r="G6692">
            <v>21</v>
          </cell>
          <cell r="H6692">
            <v>44</v>
          </cell>
          <cell r="I6692">
            <v>26</v>
          </cell>
          <cell r="J6692">
            <v>8</v>
          </cell>
          <cell r="K6692">
            <v>34</v>
          </cell>
          <cell r="L6692">
            <v>30</v>
          </cell>
          <cell r="M6692">
            <v>14</v>
          </cell>
          <cell r="N6692">
            <v>44</v>
          </cell>
          <cell r="O6692">
            <v>0</v>
          </cell>
          <cell r="P6692">
            <v>0</v>
          </cell>
          <cell r="Q6692">
            <v>0</v>
          </cell>
          <cell r="R6692">
            <v>0</v>
          </cell>
          <cell r="S6692">
            <v>0</v>
          </cell>
          <cell r="T6692">
            <v>0</v>
          </cell>
          <cell r="U6692">
            <v>0</v>
          </cell>
          <cell r="V6692">
            <v>0</v>
          </cell>
          <cell r="W6692">
            <v>0</v>
          </cell>
          <cell r="X6692">
            <v>0</v>
          </cell>
          <cell r="Y6692">
            <v>0</v>
          </cell>
          <cell r="Z6692">
            <v>0</v>
          </cell>
        </row>
        <row r="6693">
          <cell r="D6693">
            <v>305144</v>
          </cell>
          <cell r="E6693" t="str">
            <v>Guinaoang National High School</v>
          </cell>
          <cell r="F6693">
            <v>0</v>
          </cell>
          <cell r="G6693">
            <v>0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>
            <v>0</v>
          </cell>
          <cell r="M6693">
            <v>0</v>
          </cell>
          <cell r="N6693">
            <v>0</v>
          </cell>
          <cell r="O6693">
            <v>0</v>
          </cell>
          <cell r="P6693">
            <v>0</v>
          </cell>
          <cell r="Q6693">
            <v>0</v>
          </cell>
          <cell r="R6693">
            <v>0</v>
          </cell>
          <cell r="S6693">
            <v>0</v>
          </cell>
          <cell r="T6693">
            <v>0</v>
          </cell>
          <cell r="U6693">
            <v>0</v>
          </cell>
          <cell r="V6693">
            <v>0</v>
          </cell>
          <cell r="W6693">
            <v>0</v>
          </cell>
          <cell r="X6693">
            <v>0</v>
          </cell>
          <cell r="Y6693">
            <v>0</v>
          </cell>
          <cell r="Z6693">
            <v>0</v>
          </cell>
        </row>
        <row r="6694">
          <cell r="D6694">
            <v>318908</v>
          </cell>
          <cell r="E6694" t="str">
            <v>Gov. Bado Dangwa Agro-Industrial School-Extension (Taba-ao)</v>
          </cell>
          <cell r="F6694">
            <v>28</v>
          </cell>
          <cell r="G6694">
            <v>30</v>
          </cell>
          <cell r="H6694">
            <v>58</v>
          </cell>
          <cell r="I6694">
            <v>9</v>
          </cell>
          <cell r="J6694">
            <v>8</v>
          </cell>
          <cell r="K6694">
            <v>17</v>
          </cell>
          <cell r="L6694">
            <v>12</v>
          </cell>
          <cell r="M6694">
            <v>10</v>
          </cell>
          <cell r="N6694">
            <v>22</v>
          </cell>
          <cell r="O6694">
            <v>0</v>
          </cell>
          <cell r="P6694">
            <v>0</v>
          </cell>
          <cell r="Q6694">
            <v>0</v>
          </cell>
          <cell r="R6694">
            <v>0</v>
          </cell>
          <cell r="S6694">
            <v>0</v>
          </cell>
          <cell r="T6694">
            <v>0</v>
          </cell>
          <cell r="U6694">
            <v>0</v>
          </cell>
          <cell r="V6694">
            <v>0</v>
          </cell>
          <cell r="W6694">
            <v>0</v>
          </cell>
          <cell r="X6694">
            <v>0</v>
          </cell>
          <cell r="Y6694">
            <v>0</v>
          </cell>
          <cell r="Z6694">
            <v>0</v>
          </cell>
        </row>
        <row r="6695">
          <cell r="D6695">
            <v>318917</v>
          </cell>
          <cell r="E6695" t="str">
            <v>Balili NHS Annex-Cabacab</v>
          </cell>
          <cell r="F6695">
            <v>0</v>
          </cell>
          <cell r="G6695">
            <v>0</v>
          </cell>
          <cell r="H6695">
            <v>0</v>
          </cell>
          <cell r="I6695">
            <v>0</v>
          </cell>
          <cell r="J6695">
            <v>0</v>
          </cell>
          <cell r="K6695">
            <v>0</v>
          </cell>
          <cell r="L6695">
            <v>0</v>
          </cell>
          <cell r="M6695">
            <v>0</v>
          </cell>
          <cell r="N6695">
            <v>0</v>
          </cell>
          <cell r="O6695">
            <v>0</v>
          </cell>
          <cell r="P6695">
            <v>0</v>
          </cell>
          <cell r="Q6695">
            <v>0</v>
          </cell>
          <cell r="R6695">
            <v>0</v>
          </cell>
          <cell r="S6695">
            <v>0</v>
          </cell>
          <cell r="T6695">
            <v>0</v>
          </cell>
          <cell r="U6695">
            <v>0</v>
          </cell>
          <cell r="V6695">
            <v>0</v>
          </cell>
          <cell r="W6695">
            <v>0</v>
          </cell>
          <cell r="X6695">
            <v>0</v>
          </cell>
          <cell r="Y6695">
            <v>0</v>
          </cell>
          <cell r="Z6695">
            <v>0</v>
          </cell>
        </row>
        <row r="6696">
          <cell r="D6696">
            <v>305139</v>
          </cell>
          <cell r="E6696" t="str">
            <v>Cabiten NHS (RA9087)</v>
          </cell>
          <cell r="F6696">
            <v>0</v>
          </cell>
          <cell r="G6696">
            <v>0</v>
          </cell>
          <cell r="H6696">
            <v>0</v>
          </cell>
          <cell r="I6696">
            <v>0</v>
          </cell>
          <cell r="J6696">
            <v>0</v>
          </cell>
          <cell r="K6696">
            <v>0</v>
          </cell>
          <cell r="L6696">
            <v>0</v>
          </cell>
          <cell r="M6696">
            <v>0</v>
          </cell>
          <cell r="N6696">
            <v>0</v>
          </cell>
          <cell r="O6696">
            <v>0</v>
          </cell>
          <cell r="P6696">
            <v>0</v>
          </cell>
          <cell r="Q6696">
            <v>0</v>
          </cell>
          <cell r="R6696">
            <v>0</v>
          </cell>
          <cell r="S6696">
            <v>0</v>
          </cell>
          <cell r="T6696">
            <v>0</v>
          </cell>
          <cell r="U6696">
            <v>0</v>
          </cell>
          <cell r="V6696">
            <v>0</v>
          </cell>
          <cell r="W6696">
            <v>0</v>
          </cell>
          <cell r="X6696">
            <v>0</v>
          </cell>
          <cell r="Y6696">
            <v>0</v>
          </cell>
          <cell r="Z6696">
            <v>0</v>
          </cell>
        </row>
        <row r="6697">
          <cell r="D6697">
            <v>305140</v>
          </cell>
          <cell r="E6697" t="str">
            <v>Cordillera Regional Science High School</v>
          </cell>
          <cell r="F6697">
            <v>0</v>
          </cell>
          <cell r="G6697">
            <v>0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0</v>
          </cell>
          <cell r="M6697">
            <v>0</v>
          </cell>
          <cell r="N6697">
            <v>0</v>
          </cell>
          <cell r="O6697">
            <v>0</v>
          </cell>
          <cell r="P6697">
            <v>0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>
            <v>0</v>
          </cell>
          <cell r="V6697">
            <v>0</v>
          </cell>
          <cell r="W6697">
            <v>0</v>
          </cell>
          <cell r="X6697">
            <v>0</v>
          </cell>
          <cell r="Y6697">
            <v>0</v>
          </cell>
          <cell r="Z6697">
            <v>0</v>
          </cell>
        </row>
        <row r="6698">
          <cell r="D6698">
            <v>305156</v>
          </cell>
          <cell r="E6698" t="str">
            <v>Bulalacao NHS</v>
          </cell>
          <cell r="F6698">
            <v>0</v>
          </cell>
          <cell r="G6698">
            <v>0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>
            <v>0</v>
          </cell>
          <cell r="M6698">
            <v>0</v>
          </cell>
          <cell r="N6698">
            <v>0</v>
          </cell>
          <cell r="O6698">
            <v>0</v>
          </cell>
          <cell r="P6698">
            <v>0</v>
          </cell>
          <cell r="Q6698">
            <v>0</v>
          </cell>
          <cell r="R6698">
            <v>0</v>
          </cell>
          <cell r="S6698">
            <v>0</v>
          </cell>
          <cell r="T6698">
            <v>0</v>
          </cell>
          <cell r="U6698">
            <v>0</v>
          </cell>
          <cell r="V6698">
            <v>0</v>
          </cell>
          <cell r="W6698">
            <v>0</v>
          </cell>
          <cell r="X6698">
            <v>0</v>
          </cell>
          <cell r="Y6698">
            <v>0</v>
          </cell>
          <cell r="Z6698">
            <v>0</v>
          </cell>
        </row>
        <row r="6699">
          <cell r="D6699">
            <v>305163</v>
          </cell>
          <cell r="E6699" t="str">
            <v>Tublay School of Home Industries - Annex (Ambuklao)</v>
          </cell>
          <cell r="F6699">
            <v>0</v>
          </cell>
          <cell r="G6699">
            <v>0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0</v>
          </cell>
          <cell r="M6699">
            <v>0</v>
          </cell>
          <cell r="N6699">
            <v>0</v>
          </cell>
          <cell r="O6699">
            <v>0</v>
          </cell>
          <cell r="P6699">
            <v>0</v>
          </cell>
          <cell r="Q6699">
            <v>0</v>
          </cell>
          <cell r="R6699">
            <v>0</v>
          </cell>
          <cell r="S6699">
            <v>0</v>
          </cell>
          <cell r="T6699">
            <v>0</v>
          </cell>
          <cell r="U6699">
            <v>0</v>
          </cell>
          <cell r="V6699">
            <v>0</v>
          </cell>
          <cell r="W6699">
            <v>0</v>
          </cell>
          <cell r="X6699">
            <v>0</v>
          </cell>
          <cell r="Y6699">
            <v>0</v>
          </cell>
          <cell r="Z6699">
            <v>0</v>
          </cell>
        </row>
        <row r="6700">
          <cell r="D6700">
            <v>318902</v>
          </cell>
          <cell r="E6700" t="str">
            <v>Bangao NHS</v>
          </cell>
          <cell r="F6700">
            <v>0</v>
          </cell>
          <cell r="G6700">
            <v>2</v>
          </cell>
          <cell r="H6700">
            <v>2</v>
          </cell>
          <cell r="I6700">
            <v>0</v>
          </cell>
          <cell r="J6700">
            <v>0</v>
          </cell>
          <cell r="K6700">
            <v>0</v>
          </cell>
          <cell r="L6700">
            <v>0</v>
          </cell>
          <cell r="M6700">
            <v>0</v>
          </cell>
          <cell r="N6700">
            <v>0</v>
          </cell>
          <cell r="O6700">
            <v>0</v>
          </cell>
          <cell r="P6700">
            <v>0</v>
          </cell>
          <cell r="Q6700">
            <v>0</v>
          </cell>
          <cell r="R6700">
            <v>0</v>
          </cell>
          <cell r="S6700">
            <v>0</v>
          </cell>
          <cell r="T6700">
            <v>0</v>
          </cell>
          <cell r="U6700">
            <v>0</v>
          </cell>
          <cell r="V6700">
            <v>0</v>
          </cell>
          <cell r="W6700">
            <v>0</v>
          </cell>
          <cell r="X6700">
            <v>0</v>
          </cell>
          <cell r="Y6700">
            <v>0</v>
          </cell>
          <cell r="Z6700">
            <v>0</v>
          </cell>
        </row>
        <row r="6701">
          <cell r="D6701">
            <v>305135</v>
          </cell>
          <cell r="E6701" t="str">
            <v>Bokod NHS-Main</v>
          </cell>
          <cell r="F6701">
            <v>0</v>
          </cell>
          <cell r="G6701">
            <v>0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0</v>
          </cell>
          <cell r="M6701">
            <v>0</v>
          </cell>
          <cell r="N6701">
            <v>0</v>
          </cell>
          <cell r="O6701">
            <v>0</v>
          </cell>
          <cell r="P6701">
            <v>0</v>
          </cell>
          <cell r="Q6701">
            <v>0</v>
          </cell>
          <cell r="R6701">
            <v>0</v>
          </cell>
          <cell r="S6701">
            <v>0</v>
          </cell>
          <cell r="T6701">
            <v>0</v>
          </cell>
          <cell r="U6701">
            <v>0</v>
          </cell>
          <cell r="V6701">
            <v>0</v>
          </cell>
          <cell r="W6701">
            <v>0</v>
          </cell>
          <cell r="X6701">
            <v>0</v>
          </cell>
          <cell r="Y6701">
            <v>0</v>
          </cell>
          <cell r="Z6701">
            <v>0</v>
          </cell>
        </row>
        <row r="6702">
          <cell r="D6702">
            <v>305165</v>
          </cell>
          <cell r="E6702" t="str">
            <v>Twin Peaks National High School</v>
          </cell>
          <cell r="F6702">
            <v>0</v>
          </cell>
          <cell r="G6702">
            <v>0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0</v>
          </cell>
          <cell r="M6702">
            <v>0</v>
          </cell>
          <cell r="N6702">
            <v>0</v>
          </cell>
          <cell r="O6702">
            <v>0</v>
          </cell>
          <cell r="P6702">
            <v>0</v>
          </cell>
          <cell r="Q6702">
            <v>0</v>
          </cell>
          <cell r="R6702">
            <v>0</v>
          </cell>
          <cell r="S6702">
            <v>0</v>
          </cell>
          <cell r="T6702">
            <v>0</v>
          </cell>
          <cell r="U6702">
            <v>0</v>
          </cell>
          <cell r="V6702">
            <v>0</v>
          </cell>
          <cell r="W6702">
            <v>0</v>
          </cell>
          <cell r="X6702">
            <v>0</v>
          </cell>
          <cell r="Y6702">
            <v>0</v>
          </cell>
          <cell r="Z6702">
            <v>0</v>
          </cell>
        </row>
        <row r="6703">
          <cell r="D6703">
            <v>318910</v>
          </cell>
          <cell r="E6703" t="str">
            <v>Benguet NHS - Bineng Annex</v>
          </cell>
          <cell r="F6703">
            <v>0</v>
          </cell>
          <cell r="G6703">
            <v>0</v>
          </cell>
          <cell r="H6703">
            <v>0</v>
          </cell>
          <cell r="I6703">
            <v>0</v>
          </cell>
          <cell r="J6703">
            <v>0</v>
          </cell>
          <cell r="K6703">
            <v>0</v>
          </cell>
          <cell r="L6703">
            <v>0</v>
          </cell>
          <cell r="M6703">
            <v>0</v>
          </cell>
          <cell r="N6703">
            <v>0</v>
          </cell>
          <cell r="O6703">
            <v>0</v>
          </cell>
          <cell r="P6703">
            <v>0</v>
          </cell>
          <cell r="Q6703">
            <v>0</v>
          </cell>
          <cell r="R6703">
            <v>0</v>
          </cell>
          <cell r="S6703">
            <v>0</v>
          </cell>
          <cell r="T6703">
            <v>0</v>
          </cell>
          <cell r="U6703">
            <v>0</v>
          </cell>
          <cell r="V6703">
            <v>0</v>
          </cell>
          <cell r="W6703">
            <v>0</v>
          </cell>
          <cell r="X6703">
            <v>0</v>
          </cell>
          <cell r="Y6703">
            <v>0</v>
          </cell>
          <cell r="Z6703">
            <v>0</v>
          </cell>
        </row>
        <row r="6704">
          <cell r="D6704">
            <v>305164</v>
          </cell>
          <cell r="E6704" t="str">
            <v>Tublay National Trade High School</v>
          </cell>
          <cell r="F6704">
            <v>0</v>
          </cell>
          <cell r="G6704">
            <v>0</v>
          </cell>
          <cell r="H6704">
            <v>0</v>
          </cell>
          <cell r="I6704">
            <v>0</v>
          </cell>
          <cell r="J6704">
            <v>0</v>
          </cell>
          <cell r="K6704">
            <v>0</v>
          </cell>
          <cell r="L6704">
            <v>0</v>
          </cell>
          <cell r="M6704">
            <v>0</v>
          </cell>
          <cell r="N6704">
            <v>0</v>
          </cell>
          <cell r="O6704">
            <v>0</v>
          </cell>
          <cell r="P6704">
            <v>0</v>
          </cell>
          <cell r="Q6704">
            <v>0</v>
          </cell>
          <cell r="R6704">
            <v>0</v>
          </cell>
          <cell r="S6704">
            <v>0</v>
          </cell>
          <cell r="T6704">
            <v>0</v>
          </cell>
          <cell r="U6704">
            <v>0</v>
          </cell>
          <cell r="V6704">
            <v>0</v>
          </cell>
          <cell r="W6704">
            <v>0</v>
          </cell>
          <cell r="X6704">
            <v>0</v>
          </cell>
          <cell r="Y6704">
            <v>0</v>
          </cell>
          <cell r="Z6704">
            <v>0</v>
          </cell>
        </row>
        <row r="6705">
          <cell r="D6705">
            <v>305152</v>
          </cell>
          <cell r="E6705" t="str">
            <v>Balili NHS-Main</v>
          </cell>
          <cell r="F6705">
            <v>38</v>
          </cell>
          <cell r="G6705">
            <v>23</v>
          </cell>
          <cell r="H6705">
            <v>61</v>
          </cell>
          <cell r="I6705">
            <v>0</v>
          </cell>
          <cell r="J6705">
            <v>0</v>
          </cell>
          <cell r="K6705">
            <v>0</v>
          </cell>
          <cell r="L6705">
            <v>0</v>
          </cell>
          <cell r="M6705">
            <v>0</v>
          </cell>
          <cell r="N6705">
            <v>0</v>
          </cell>
          <cell r="O6705">
            <v>0</v>
          </cell>
          <cell r="P6705">
            <v>0</v>
          </cell>
          <cell r="Q6705">
            <v>0</v>
          </cell>
          <cell r="R6705">
            <v>0</v>
          </cell>
          <cell r="S6705">
            <v>0</v>
          </cell>
          <cell r="T6705">
            <v>0</v>
          </cell>
          <cell r="U6705">
            <v>0</v>
          </cell>
          <cell r="V6705">
            <v>0</v>
          </cell>
          <cell r="W6705">
            <v>0</v>
          </cell>
          <cell r="X6705">
            <v>0</v>
          </cell>
          <cell r="Y6705">
            <v>0</v>
          </cell>
          <cell r="Z6705">
            <v>0</v>
          </cell>
        </row>
        <row r="6706">
          <cell r="D6706">
            <v>305158</v>
          </cell>
          <cell r="E6706" t="str">
            <v>Sinipsip NHS-Main</v>
          </cell>
          <cell r="F6706">
            <v>0</v>
          </cell>
          <cell r="G6706">
            <v>0</v>
          </cell>
          <cell r="H6706">
            <v>0</v>
          </cell>
          <cell r="I6706">
            <v>0</v>
          </cell>
          <cell r="J6706">
            <v>0</v>
          </cell>
          <cell r="K6706">
            <v>0</v>
          </cell>
          <cell r="L6706">
            <v>0</v>
          </cell>
          <cell r="M6706">
            <v>0</v>
          </cell>
          <cell r="N6706">
            <v>0</v>
          </cell>
          <cell r="O6706">
            <v>0</v>
          </cell>
          <cell r="P6706">
            <v>0</v>
          </cell>
          <cell r="Q6706">
            <v>0</v>
          </cell>
          <cell r="R6706">
            <v>0</v>
          </cell>
          <cell r="S6706">
            <v>0</v>
          </cell>
          <cell r="T6706">
            <v>0</v>
          </cell>
          <cell r="U6706">
            <v>0</v>
          </cell>
          <cell r="V6706">
            <v>0</v>
          </cell>
          <cell r="W6706">
            <v>0</v>
          </cell>
          <cell r="X6706">
            <v>0</v>
          </cell>
          <cell r="Y6706">
            <v>0</v>
          </cell>
          <cell r="Z6706">
            <v>0</v>
          </cell>
        </row>
        <row r="6707">
          <cell r="D6707">
            <v>305145</v>
          </cell>
          <cell r="E6707" t="str">
            <v>Kamora National High School</v>
          </cell>
          <cell r="F6707">
            <v>0</v>
          </cell>
          <cell r="G6707">
            <v>0</v>
          </cell>
          <cell r="H6707">
            <v>0</v>
          </cell>
          <cell r="I6707">
            <v>0</v>
          </cell>
          <cell r="J6707">
            <v>0</v>
          </cell>
          <cell r="K6707">
            <v>0</v>
          </cell>
          <cell r="L6707">
            <v>0</v>
          </cell>
          <cell r="M6707">
            <v>0</v>
          </cell>
          <cell r="N6707">
            <v>0</v>
          </cell>
          <cell r="O6707">
            <v>0</v>
          </cell>
          <cell r="P6707">
            <v>0</v>
          </cell>
          <cell r="Q6707">
            <v>0</v>
          </cell>
          <cell r="R6707">
            <v>0</v>
          </cell>
          <cell r="S6707">
            <v>0</v>
          </cell>
          <cell r="T6707">
            <v>0</v>
          </cell>
          <cell r="U6707">
            <v>0</v>
          </cell>
          <cell r="V6707">
            <v>0</v>
          </cell>
          <cell r="W6707">
            <v>0</v>
          </cell>
          <cell r="X6707">
            <v>0</v>
          </cell>
          <cell r="Y6707">
            <v>0</v>
          </cell>
          <cell r="Z6707">
            <v>0</v>
          </cell>
        </row>
        <row r="6708">
          <cell r="D6708">
            <v>305146</v>
          </cell>
          <cell r="E6708" t="str">
            <v>Adaoay National High School</v>
          </cell>
          <cell r="F6708">
            <v>30</v>
          </cell>
          <cell r="G6708">
            <v>35</v>
          </cell>
          <cell r="H6708">
            <v>65</v>
          </cell>
          <cell r="I6708">
            <v>2</v>
          </cell>
          <cell r="J6708">
            <v>3</v>
          </cell>
          <cell r="K6708">
            <v>5</v>
          </cell>
          <cell r="L6708">
            <v>0</v>
          </cell>
          <cell r="M6708">
            <v>0</v>
          </cell>
          <cell r="N6708">
            <v>0</v>
          </cell>
          <cell r="O6708">
            <v>7</v>
          </cell>
          <cell r="P6708">
            <v>4</v>
          </cell>
          <cell r="Q6708">
            <v>11</v>
          </cell>
          <cell r="R6708">
            <v>2</v>
          </cell>
          <cell r="S6708">
            <v>0</v>
          </cell>
          <cell r="T6708">
            <v>2</v>
          </cell>
          <cell r="U6708">
            <v>0</v>
          </cell>
          <cell r="V6708">
            <v>0</v>
          </cell>
          <cell r="W6708">
            <v>0</v>
          </cell>
          <cell r="X6708">
            <v>0</v>
          </cell>
          <cell r="Y6708">
            <v>0</v>
          </cell>
          <cell r="Z6708">
            <v>0</v>
          </cell>
        </row>
        <row r="6709">
          <cell r="D6709">
            <v>305188</v>
          </cell>
          <cell r="E6709" t="str">
            <v>Pinto NHS</v>
          </cell>
          <cell r="F6709">
            <v>28</v>
          </cell>
          <cell r="G6709">
            <v>44</v>
          </cell>
          <cell r="H6709">
            <v>72</v>
          </cell>
          <cell r="I6709">
            <v>9</v>
          </cell>
          <cell r="J6709">
            <v>7</v>
          </cell>
          <cell r="K6709">
            <v>16</v>
          </cell>
          <cell r="L6709">
            <v>0</v>
          </cell>
          <cell r="M6709">
            <v>0</v>
          </cell>
          <cell r="N6709">
            <v>0</v>
          </cell>
          <cell r="O6709">
            <v>0</v>
          </cell>
          <cell r="P6709">
            <v>0</v>
          </cell>
          <cell r="Q6709">
            <v>0</v>
          </cell>
          <cell r="R6709">
            <v>0</v>
          </cell>
          <cell r="S6709">
            <v>0</v>
          </cell>
          <cell r="T6709">
            <v>0</v>
          </cell>
          <cell r="U6709">
            <v>0</v>
          </cell>
          <cell r="V6709">
            <v>0</v>
          </cell>
          <cell r="W6709">
            <v>0</v>
          </cell>
          <cell r="X6709">
            <v>0</v>
          </cell>
          <cell r="Y6709">
            <v>0</v>
          </cell>
          <cell r="Z6709">
            <v>0</v>
          </cell>
        </row>
        <row r="6710">
          <cell r="D6710">
            <v>305183</v>
          </cell>
          <cell r="E6710" t="str">
            <v>Lawig NHS (Main)</v>
          </cell>
          <cell r="F6710">
            <v>50</v>
          </cell>
          <cell r="G6710">
            <v>40</v>
          </cell>
          <cell r="H6710">
            <v>90</v>
          </cell>
          <cell r="I6710">
            <v>11</v>
          </cell>
          <cell r="J6710">
            <v>7</v>
          </cell>
          <cell r="K6710">
            <v>18</v>
          </cell>
          <cell r="L6710">
            <v>11</v>
          </cell>
          <cell r="M6710">
            <v>7</v>
          </cell>
          <cell r="N6710">
            <v>18</v>
          </cell>
          <cell r="O6710">
            <v>0</v>
          </cell>
          <cell r="P6710">
            <v>0</v>
          </cell>
          <cell r="Q6710">
            <v>0</v>
          </cell>
          <cell r="R6710">
            <v>0</v>
          </cell>
          <cell r="S6710">
            <v>0</v>
          </cell>
          <cell r="T6710">
            <v>0</v>
          </cell>
          <cell r="U6710">
            <v>0</v>
          </cell>
          <cell r="V6710">
            <v>0</v>
          </cell>
          <cell r="W6710">
            <v>0</v>
          </cell>
          <cell r="X6710">
            <v>0</v>
          </cell>
          <cell r="Y6710">
            <v>0</v>
          </cell>
          <cell r="Z6710">
            <v>0</v>
          </cell>
        </row>
        <row r="6711">
          <cell r="D6711">
            <v>305173</v>
          </cell>
          <cell r="E6711" t="str">
            <v>Haliap NHS</v>
          </cell>
          <cell r="F6711">
            <v>0</v>
          </cell>
          <cell r="G6711">
            <v>0</v>
          </cell>
          <cell r="H6711">
            <v>0</v>
          </cell>
          <cell r="I6711">
            <v>0</v>
          </cell>
          <cell r="J6711">
            <v>0</v>
          </cell>
          <cell r="K6711">
            <v>0</v>
          </cell>
          <cell r="L6711">
            <v>0</v>
          </cell>
          <cell r="M6711">
            <v>0</v>
          </cell>
          <cell r="N6711">
            <v>0</v>
          </cell>
          <cell r="O6711">
            <v>0</v>
          </cell>
          <cell r="P6711">
            <v>0</v>
          </cell>
          <cell r="Q6711">
            <v>0</v>
          </cell>
          <cell r="R6711">
            <v>0</v>
          </cell>
          <cell r="S6711">
            <v>0</v>
          </cell>
          <cell r="T6711">
            <v>0</v>
          </cell>
          <cell r="U6711">
            <v>0</v>
          </cell>
          <cell r="V6711">
            <v>0</v>
          </cell>
          <cell r="W6711">
            <v>0</v>
          </cell>
          <cell r="X6711">
            <v>0</v>
          </cell>
          <cell r="Y6711">
            <v>0</v>
          </cell>
          <cell r="Z6711">
            <v>0</v>
          </cell>
        </row>
        <row r="6712">
          <cell r="D6712">
            <v>305181</v>
          </cell>
          <cell r="E6712" t="str">
            <v>Ifugao Prov'l. Science HS</v>
          </cell>
          <cell r="F6712">
            <v>0</v>
          </cell>
          <cell r="G6712">
            <v>0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>
            <v>0</v>
          </cell>
          <cell r="M6712">
            <v>0</v>
          </cell>
          <cell r="N6712">
            <v>0</v>
          </cell>
          <cell r="O6712">
            <v>0</v>
          </cell>
          <cell r="P6712">
            <v>0</v>
          </cell>
          <cell r="Q6712">
            <v>0</v>
          </cell>
          <cell r="R6712">
            <v>0</v>
          </cell>
          <cell r="S6712">
            <v>0</v>
          </cell>
          <cell r="T6712">
            <v>0</v>
          </cell>
          <cell r="U6712">
            <v>0</v>
          </cell>
          <cell r="V6712">
            <v>0</v>
          </cell>
          <cell r="W6712">
            <v>0</v>
          </cell>
          <cell r="X6712">
            <v>0</v>
          </cell>
          <cell r="Y6712">
            <v>0</v>
          </cell>
          <cell r="Z6712">
            <v>0</v>
          </cell>
        </row>
        <row r="6713">
          <cell r="D6713">
            <v>500882</v>
          </cell>
          <cell r="E6713" t="str">
            <v>ALUPAPAN INTEGRATED SCHOOL</v>
          </cell>
          <cell r="F6713">
            <v>0</v>
          </cell>
          <cell r="G6713">
            <v>0</v>
          </cell>
          <cell r="H6713">
            <v>0</v>
          </cell>
          <cell r="I6713">
            <v>0</v>
          </cell>
          <cell r="J6713">
            <v>0</v>
          </cell>
          <cell r="K6713">
            <v>0</v>
          </cell>
          <cell r="L6713">
            <v>0</v>
          </cell>
          <cell r="M6713">
            <v>0</v>
          </cell>
          <cell r="N6713">
            <v>0</v>
          </cell>
          <cell r="O6713">
            <v>0</v>
          </cell>
          <cell r="P6713">
            <v>0</v>
          </cell>
          <cell r="Q6713">
            <v>0</v>
          </cell>
          <cell r="R6713">
            <v>0</v>
          </cell>
          <cell r="S6713">
            <v>0</v>
          </cell>
          <cell r="T6713">
            <v>0</v>
          </cell>
          <cell r="U6713">
            <v>0</v>
          </cell>
          <cell r="V6713">
            <v>0</v>
          </cell>
          <cell r="W6713">
            <v>0</v>
          </cell>
          <cell r="X6713">
            <v>0</v>
          </cell>
          <cell r="Y6713">
            <v>0</v>
          </cell>
          <cell r="Z6713">
            <v>0</v>
          </cell>
        </row>
        <row r="6714">
          <cell r="D6714">
            <v>305190</v>
          </cell>
          <cell r="E6714" t="str">
            <v>Sta. Maria National High School</v>
          </cell>
          <cell r="F6714">
            <v>0</v>
          </cell>
          <cell r="G6714">
            <v>0</v>
          </cell>
          <cell r="H6714">
            <v>0</v>
          </cell>
          <cell r="I6714">
            <v>0</v>
          </cell>
          <cell r="J6714">
            <v>0</v>
          </cell>
          <cell r="K6714">
            <v>0</v>
          </cell>
          <cell r="L6714">
            <v>0</v>
          </cell>
          <cell r="M6714">
            <v>0</v>
          </cell>
          <cell r="N6714">
            <v>0</v>
          </cell>
          <cell r="O6714">
            <v>0</v>
          </cell>
          <cell r="P6714">
            <v>0</v>
          </cell>
          <cell r="Q6714">
            <v>0</v>
          </cell>
          <cell r="R6714">
            <v>0</v>
          </cell>
          <cell r="S6714">
            <v>0</v>
          </cell>
          <cell r="T6714">
            <v>0</v>
          </cell>
          <cell r="U6714">
            <v>0</v>
          </cell>
          <cell r="V6714">
            <v>0</v>
          </cell>
          <cell r="W6714">
            <v>0</v>
          </cell>
          <cell r="X6714">
            <v>0</v>
          </cell>
          <cell r="Y6714">
            <v>0</v>
          </cell>
          <cell r="Z6714">
            <v>0</v>
          </cell>
        </row>
        <row r="6715">
          <cell r="D6715">
            <v>305167</v>
          </cell>
          <cell r="E6715" t="str">
            <v>Asipulo  National High School</v>
          </cell>
          <cell r="F6715">
            <v>0</v>
          </cell>
          <cell r="G6715">
            <v>0</v>
          </cell>
          <cell r="H6715">
            <v>0</v>
          </cell>
          <cell r="I6715">
            <v>0</v>
          </cell>
          <cell r="J6715">
            <v>0</v>
          </cell>
          <cell r="K6715">
            <v>0</v>
          </cell>
          <cell r="L6715">
            <v>0</v>
          </cell>
          <cell r="M6715">
            <v>0</v>
          </cell>
          <cell r="N6715">
            <v>0</v>
          </cell>
          <cell r="O6715">
            <v>0</v>
          </cell>
          <cell r="P6715">
            <v>0</v>
          </cell>
          <cell r="Q6715">
            <v>0</v>
          </cell>
          <cell r="R6715">
            <v>0</v>
          </cell>
          <cell r="S6715">
            <v>0</v>
          </cell>
          <cell r="T6715">
            <v>0</v>
          </cell>
          <cell r="U6715">
            <v>0</v>
          </cell>
          <cell r="V6715">
            <v>0</v>
          </cell>
          <cell r="W6715">
            <v>0</v>
          </cell>
          <cell r="X6715">
            <v>0</v>
          </cell>
          <cell r="Y6715">
            <v>0</v>
          </cell>
          <cell r="Z6715">
            <v>0</v>
          </cell>
        </row>
        <row r="6716">
          <cell r="D6716">
            <v>340118</v>
          </cell>
          <cell r="E6716" t="str">
            <v>SHS within Namulditan ES</v>
          </cell>
          <cell r="F6716">
            <v>59</v>
          </cell>
          <cell r="G6716">
            <v>27</v>
          </cell>
          <cell r="H6716">
            <v>86</v>
          </cell>
          <cell r="I6716">
            <v>48</v>
          </cell>
          <cell r="J6716">
            <v>20</v>
          </cell>
          <cell r="K6716">
            <v>68</v>
          </cell>
          <cell r="L6716">
            <v>262</v>
          </cell>
          <cell r="M6716">
            <v>129</v>
          </cell>
          <cell r="N6716">
            <v>391</v>
          </cell>
          <cell r="O6716">
            <v>0</v>
          </cell>
          <cell r="P6716">
            <v>0</v>
          </cell>
          <cell r="Q6716">
            <v>0</v>
          </cell>
          <cell r="R6716">
            <v>0</v>
          </cell>
          <cell r="S6716">
            <v>0</v>
          </cell>
          <cell r="T6716">
            <v>0</v>
          </cell>
          <cell r="U6716">
            <v>13</v>
          </cell>
          <cell r="V6716">
            <v>7</v>
          </cell>
          <cell r="W6716">
            <v>20</v>
          </cell>
          <cell r="X6716">
            <v>0</v>
          </cell>
          <cell r="Y6716">
            <v>0</v>
          </cell>
          <cell r="Z6716">
            <v>0</v>
          </cell>
        </row>
        <row r="6717">
          <cell r="D6717">
            <v>305182</v>
          </cell>
          <cell r="E6717" t="str">
            <v>Kiangan NHS</v>
          </cell>
          <cell r="F6717">
            <v>0</v>
          </cell>
          <cell r="G6717">
            <v>0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0</v>
          </cell>
          <cell r="M6717">
            <v>0</v>
          </cell>
          <cell r="N6717">
            <v>0</v>
          </cell>
          <cell r="O6717">
            <v>0</v>
          </cell>
          <cell r="P6717">
            <v>0</v>
          </cell>
          <cell r="Q6717">
            <v>0</v>
          </cell>
          <cell r="R6717">
            <v>0</v>
          </cell>
          <cell r="S6717">
            <v>0</v>
          </cell>
          <cell r="T6717">
            <v>0</v>
          </cell>
          <cell r="U6717">
            <v>0</v>
          </cell>
          <cell r="V6717">
            <v>0</v>
          </cell>
          <cell r="W6717">
            <v>0</v>
          </cell>
          <cell r="X6717">
            <v>0</v>
          </cell>
          <cell r="Y6717">
            <v>0</v>
          </cell>
          <cell r="Z6717">
            <v>0</v>
          </cell>
        </row>
        <row r="6718">
          <cell r="D6718">
            <v>305175</v>
          </cell>
          <cell r="E6718" t="str">
            <v>Camandag NHS</v>
          </cell>
          <cell r="F6718">
            <v>0</v>
          </cell>
          <cell r="G6718">
            <v>0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>
            <v>0</v>
          </cell>
          <cell r="M6718">
            <v>0</v>
          </cell>
          <cell r="N6718">
            <v>0</v>
          </cell>
          <cell r="O6718">
            <v>0</v>
          </cell>
          <cell r="P6718">
            <v>0</v>
          </cell>
          <cell r="Q6718">
            <v>0</v>
          </cell>
          <cell r="R6718">
            <v>0</v>
          </cell>
          <cell r="S6718">
            <v>0</v>
          </cell>
          <cell r="T6718">
            <v>0</v>
          </cell>
          <cell r="U6718">
            <v>0</v>
          </cell>
          <cell r="V6718">
            <v>0</v>
          </cell>
          <cell r="W6718">
            <v>0</v>
          </cell>
          <cell r="X6718">
            <v>0</v>
          </cell>
          <cell r="Y6718">
            <v>0</v>
          </cell>
          <cell r="Z6718">
            <v>0</v>
          </cell>
        </row>
        <row r="6719">
          <cell r="D6719">
            <v>305172</v>
          </cell>
          <cell r="E6719" t="str">
            <v>Gohang NHS</v>
          </cell>
          <cell r="F6719">
            <v>0</v>
          </cell>
          <cell r="G6719">
            <v>0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0</v>
          </cell>
          <cell r="M6719">
            <v>0</v>
          </cell>
          <cell r="N6719">
            <v>0</v>
          </cell>
          <cell r="O6719">
            <v>0</v>
          </cell>
          <cell r="P6719">
            <v>0</v>
          </cell>
          <cell r="Q6719">
            <v>0</v>
          </cell>
          <cell r="R6719">
            <v>0</v>
          </cell>
          <cell r="S6719">
            <v>0</v>
          </cell>
          <cell r="T6719">
            <v>0</v>
          </cell>
          <cell r="U6719">
            <v>0</v>
          </cell>
          <cell r="V6719">
            <v>0</v>
          </cell>
          <cell r="W6719">
            <v>0</v>
          </cell>
          <cell r="X6719">
            <v>0</v>
          </cell>
          <cell r="Y6719">
            <v>0</v>
          </cell>
          <cell r="Z6719">
            <v>0</v>
          </cell>
        </row>
        <row r="6720">
          <cell r="D6720">
            <v>305187</v>
          </cell>
          <cell r="E6720" t="str">
            <v>Namillangan NHS</v>
          </cell>
          <cell r="F6720">
            <v>0</v>
          </cell>
          <cell r="G6720">
            <v>0</v>
          </cell>
          <cell r="H6720">
            <v>0</v>
          </cell>
          <cell r="I6720">
            <v>0</v>
          </cell>
          <cell r="J6720">
            <v>0</v>
          </cell>
          <cell r="K6720">
            <v>0</v>
          </cell>
          <cell r="L6720">
            <v>0</v>
          </cell>
          <cell r="M6720">
            <v>0</v>
          </cell>
          <cell r="N6720">
            <v>0</v>
          </cell>
          <cell r="O6720">
            <v>0</v>
          </cell>
          <cell r="P6720">
            <v>0</v>
          </cell>
          <cell r="Q6720">
            <v>0</v>
          </cell>
          <cell r="R6720">
            <v>0</v>
          </cell>
          <cell r="S6720">
            <v>0</v>
          </cell>
          <cell r="T6720">
            <v>0</v>
          </cell>
          <cell r="U6720">
            <v>0</v>
          </cell>
          <cell r="V6720">
            <v>0</v>
          </cell>
          <cell r="W6720">
            <v>0</v>
          </cell>
          <cell r="X6720">
            <v>0</v>
          </cell>
          <cell r="Y6720">
            <v>0</v>
          </cell>
          <cell r="Z6720">
            <v>0</v>
          </cell>
        </row>
        <row r="6721">
          <cell r="D6721">
            <v>305166</v>
          </cell>
          <cell r="E6721" t="str">
            <v>Aguinaldo NHS</v>
          </cell>
          <cell r="F6721">
            <v>0</v>
          </cell>
          <cell r="G6721">
            <v>0</v>
          </cell>
          <cell r="H6721">
            <v>0</v>
          </cell>
          <cell r="I6721">
            <v>0</v>
          </cell>
          <cell r="J6721">
            <v>0</v>
          </cell>
          <cell r="K6721">
            <v>0</v>
          </cell>
          <cell r="L6721">
            <v>0</v>
          </cell>
          <cell r="M6721">
            <v>0</v>
          </cell>
          <cell r="N6721">
            <v>0</v>
          </cell>
          <cell r="O6721">
            <v>0</v>
          </cell>
          <cell r="P6721">
            <v>0</v>
          </cell>
          <cell r="Q6721">
            <v>0</v>
          </cell>
          <cell r="R6721">
            <v>0</v>
          </cell>
          <cell r="S6721">
            <v>0</v>
          </cell>
          <cell r="T6721">
            <v>0</v>
          </cell>
          <cell r="U6721">
            <v>0</v>
          </cell>
          <cell r="V6721">
            <v>0</v>
          </cell>
          <cell r="W6721">
            <v>0</v>
          </cell>
          <cell r="X6721">
            <v>0</v>
          </cell>
          <cell r="Y6721">
            <v>0</v>
          </cell>
          <cell r="Z6721">
            <v>0</v>
          </cell>
        </row>
        <row r="6722">
          <cell r="D6722">
            <v>305171</v>
          </cell>
          <cell r="E6722" t="str">
            <v>Eastern Potia National High School</v>
          </cell>
          <cell r="F6722">
            <v>0</v>
          </cell>
          <cell r="G6722">
            <v>0</v>
          </cell>
          <cell r="H6722">
            <v>0</v>
          </cell>
          <cell r="I6722">
            <v>0</v>
          </cell>
          <cell r="J6722">
            <v>0</v>
          </cell>
          <cell r="K6722">
            <v>0</v>
          </cell>
          <cell r="L6722">
            <v>0</v>
          </cell>
          <cell r="M6722">
            <v>0</v>
          </cell>
          <cell r="N6722">
            <v>0</v>
          </cell>
          <cell r="O6722">
            <v>0</v>
          </cell>
          <cell r="P6722">
            <v>0</v>
          </cell>
          <cell r="Q6722">
            <v>0</v>
          </cell>
          <cell r="R6722">
            <v>0</v>
          </cell>
          <cell r="S6722">
            <v>0</v>
          </cell>
          <cell r="T6722">
            <v>0</v>
          </cell>
          <cell r="U6722">
            <v>0</v>
          </cell>
          <cell r="V6722">
            <v>0</v>
          </cell>
          <cell r="W6722">
            <v>0</v>
          </cell>
          <cell r="X6722">
            <v>0</v>
          </cell>
          <cell r="Y6722">
            <v>0</v>
          </cell>
          <cell r="Z6722">
            <v>0</v>
          </cell>
        </row>
        <row r="6723">
          <cell r="D6723">
            <v>305176</v>
          </cell>
          <cell r="E6723" t="str">
            <v>Hapid NHS</v>
          </cell>
          <cell r="F6723">
            <v>0</v>
          </cell>
          <cell r="G6723">
            <v>0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>
            <v>0</v>
          </cell>
          <cell r="M6723">
            <v>0</v>
          </cell>
          <cell r="N6723">
            <v>0</v>
          </cell>
          <cell r="O6723">
            <v>0</v>
          </cell>
          <cell r="P6723">
            <v>0</v>
          </cell>
          <cell r="Q6723">
            <v>0</v>
          </cell>
          <cell r="R6723">
            <v>0</v>
          </cell>
          <cell r="S6723">
            <v>0</v>
          </cell>
          <cell r="T6723">
            <v>0</v>
          </cell>
          <cell r="U6723">
            <v>0</v>
          </cell>
          <cell r="V6723">
            <v>0</v>
          </cell>
          <cell r="W6723">
            <v>0</v>
          </cell>
          <cell r="X6723">
            <v>0</v>
          </cell>
          <cell r="Y6723">
            <v>0</v>
          </cell>
          <cell r="Z6723">
            <v>0</v>
          </cell>
        </row>
        <row r="6724">
          <cell r="D6724">
            <v>305180</v>
          </cell>
          <cell r="E6724" t="str">
            <v>Hungduan National High School</v>
          </cell>
          <cell r="F6724">
            <v>0</v>
          </cell>
          <cell r="G6724">
            <v>0</v>
          </cell>
          <cell r="H6724">
            <v>0</v>
          </cell>
          <cell r="I6724">
            <v>0</v>
          </cell>
          <cell r="J6724">
            <v>0</v>
          </cell>
          <cell r="K6724">
            <v>0</v>
          </cell>
          <cell r="L6724">
            <v>0</v>
          </cell>
          <cell r="M6724">
            <v>0</v>
          </cell>
          <cell r="N6724">
            <v>0</v>
          </cell>
          <cell r="O6724">
            <v>0</v>
          </cell>
          <cell r="P6724">
            <v>0</v>
          </cell>
          <cell r="Q6724">
            <v>0</v>
          </cell>
          <cell r="R6724">
            <v>0</v>
          </cell>
          <cell r="S6724">
            <v>0</v>
          </cell>
          <cell r="T6724">
            <v>0</v>
          </cell>
          <cell r="U6724">
            <v>0</v>
          </cell>
          <cell r="V6724">
            <v>0</v>
          </cell>
          <cell r="W6724">
            <v>0</v>
          </cell>
          <cell r="X6724">
            <v>0</v>
          </cell>
          <cell r="Y6724">
            <v>0</v>
          </cell>
          <cell r="Z6724">
            <v>0</v>
          </cell>
        </row>
        <row r="6725">
          <cell r="D6725">
            <v>305168</v>
          </cell>
          <cell r="E6725" t="str">
            <v>Ayangan National Agricultural &amp; Vocational HS</v>
          </cell>
          <cell r="F6725">
            <v>0</v>
          </cell>
          <cell r="G6725">
            <v>0</v>
          </cell>
          <cell r="H6725">
            <v>0</v>
          </cell>
          <cell r="I6725">
            <v>0</v>
          </cell>
          <cell r="J6725">
            <v>0</v>
          </cell>
          <cell r="K6725">
            <v>0</v>
          </cell>
          <cell r="L6725">
            <v>0</v>
          </cell>
          <cell r="M6725">
            <v>0</v>
          </cell>
          <cell r="N6725">
            <v>0</v>
          </cell>
          <cell r="O6725">
            <v>0</v>
          </cell>
          <cell r="P6725">
            <v>0</v>
          </cell>
          <cell r="Q6725">
            <v>0</v>
          </cell>
          <cell r="R6725">
            <v>0</v>
          </cell>
          <cell r="S6725">
            <v>0</v>
          </cell>
          <cell r="T6725">
            <v>0</v>
          </cell>
          <cell r="U6725">
            <v>0</v>
          </cell>
          <cell r="V6725">
            <v>0</v>
          </cell>
          <cell r="W6725">
            <v>0</v>
          </cell>
          <cell r="X6725">
            <v>0</v>
          </cell>
          <cell r="Y6725">
            <v>0</v>
          </cell>
          <cell r="Z6725">
            <v>0</v>
          </cell>
        </row>
        <row r="6726">
          <cell r="D6726">
            <v>305177</v>
          </cell>
          <cell r="E6726" t="str">
            <v>Ifugao Technical Vocational School</v>
          </cell>
          <cell r="F6726">
            <v>0</v>
          </cell>
          <cell r="G6726">
            <v>0</v>
          </cell>
          <cell r="H6726">
            <v>0</v>
          </cell>
          <cell r="I6726">
            <v>0</v>
          </cell>
          <cell r="J6726">
            <v>0</v>
          </cell>
          <cell r="K6726">
            <v>0</v>
          </cell>
          <cell r="L6726">
            <v>0</v>
          </cell>
          <cell r="M6726">
            <v>0</v>
          </cell>
          <cell r="N6726">
            <v>0</v>
          </cell>
          <cell r="O6726">
            <v>0</v>
          </cell>
          <cell r="P6726">
            <v>0</v>
          </cell>
          <cell r="Q6726">
            <v>0</v>
          </cell>
          <cell r="R6726">
            <v>0</v>
          </cell>
          <cell r="S6726">
            <v>0</v>
          </cell>
          <cell r="T6726">
            <v>0</v>
          </cell>
          <cell r="U6726">
            <v>0</v>
          </cell>
          <cell r="V6726">
            <v>0</v>
          </cell>
          <cell r="W6726">
            <v>0</v>
          </cell>
          <cell r="X6726">
            <v>0</v>
          </cell>
          <cell r="Y6726">
            <v>0</v>
          </cell>
          <cell r="Z6726">
            <v>0</v>
          </cell>
        </row>
        <row r="6727">
          <cell r="D6727">
            <v>319001</v>
          </cell>
          <cell r="E6727" t="str">
            <v>Bangbang National High School</v>
          </cell>
          <cell r="F6727">
            <v>0</v>
          </cell>
          <cell r="G6727">
            <v>0</v>
          </cell>
          <cell r="H6727">
            <v>0</v>
          </cell>
          <cell r="I6727">
            <v>0</v>
          </cell>
          <cell r="J6727">
            <v>0</v>
          </cell>
          <cell r="K6727">
            <v>0</v>
          </cell>
          <cell r="L6727">
            <v>0</v>
          </cell>
          <cell r="M6727">
            <v>0</v>
          </cell>
          <cell r="N6727">
            <v>0</v>
          </cell>
          <cell r="O6727">
            <v>0</v>
          </cell>
          <cell r="P6727">
            <v>0</v>
          </cell>
          <cell r="Q6727">
            <v>0</v>
          </cell>
          <cell r="R6727">
            <v>0</v>
          </cell>
          <cell r="S6727">
            <v>0</v>
          </cell>
          <cell r="T6727">
            <v>0</v>
          </cell>
          <cell r="U6727">
            <v>0</v>
          </cell>
          <cell r="V6727">
            <v>0</v>
          </cell>
          <cell r="W6727">
            <v>0</v>
          </cell>
          <cell r="X6727">
            <v>0</v>
          </cell>
          <cell r="Y6727">
            <v>0</v>
          </cell>
          <cell r="Z6727">
            <v>0</v>
          </cell>
        </row>
        <row r="6728">
          <cell r="D6728">
            <v>305192</v>
          </cell>
          <cell r="E6728" t="str">
            <v>Tinoc NHS</v>
          </cell>
          <cell r="F6728">
            <v>0</v>
          </cell>
          <cell r="G6728">
            <v>0</v>
          </cell>
          <cell r="H6728">
            <v>0</v>
          </cell>
          <cell r="I6728">
            <v>0</v>
          </cell>
          <cell r="J6728">
            <v>0</v>
          </cell>
          <cell r="K6728">
            <v>0</v>
          </cell>
          <cell r="L6728">
            <v>0</v>
          </cell>
          <cell r="M6728">
            <v>0</v>
          </cell>
          <cell r="N6728">
            <v>0</v>
          </cell>
          <cell r="O6728">
            <v>0</v>
          </cell>
          <cell r="P6728">
            <v>0</v>
          </cell>
          <cell r="Q6728">
            <v>0</v>
          </cell>
          <cell r="R6728">
            <v>0</v>
          </cell>
          <cell r="S6728">
            <v>0</v>
          </cell>
          <cell r="T6728">
            <v>0</v>
          </cell>
          <cell r="U6728">
            <v>0</v>
          </cell>
          <cell r="V6728">
            <v>0</v>
          </cell>
          <cell r="W6728">
            <v>0</v>
          </cell>
          <cell r="X6728">
            <v>0</v>
          </cell>
          <cell r="Y6728">
            <v>0</v>
          </cell>
          <cell r="Z6728">
            <v>0</v>
          </cell>
        </row>
        <row r="6729">
          <cell r="D6729">
            <v>305178</v>
          </cell>
          <cell r="E6729" t="str">
            <v>Hingyon NHS</v>
          </cell>
          <cell r="F6729">
            <v>20</v>
          </cell>
          <cell r="G6729">
            <v>17</v>
          </cell>
          <cell r="H6729">
            <v>37</v>
          </cell>
          <cell r="I6729">
            <v>6</v>
          </cell>
          <cell r="J6729">
            <v>9</v>
          </cell>
          <cell r="K6729">
            <v>15</v>
          </cell>
          <cell r="L6729">
            <v>0</v>
          </cell>
          <cell r="M6729">
            <v>0</v>
          </cell>
          <cell r="N6729">
            <v>0</v>
          </cell>
          <cell r="O6729">
            <v>0</v>
          </cell>
          <cell r="P6729">
            <v>0</v>
          </cell>
          <cell r="Q6729">
            <v>0</v>
          </cell>
          <cell r="R6729">
            <v>0</v>
          </cell>
          <cell r="S6729">
            <v>0</v>
          </cell>
          <cell r="T6729">
            <v>0</v>
          </cell>
          <cell r="U6729">
            <v>0</v>
          </cell>
          <cell r="V6729">
            <v>0</v>
          </cell>
          <cell r="W6729">
            <v>0</v>
          </cell>
          <cell r="X6729">
            <v>0</v>
          </cell>
          <cell r="Y6729">
            <v>0</v>
          </cell>
          <cell r="Z6729">
            <v>0</v>
          </cell>
        </row>
        <row r="6730">
          <cell r="D6730">
            <v>319002</v>
          </cell>
          <cell r="E6730" t="str">
            <v>Rufino I. Chungalao Science HS</v>
          </cell>
          <cell r="F6730">
            <v>0</v>
          </cell>
          <cell r="G6730">
            <v>0</v>
          </cell>
          <cell r="H6730">
            <v>0</v>
          </cell>
          <cell r="I6730">
            <v>0</v>
          </cell>
          <cell r="J6730">
            <v>0</v>
          </cell>
          <cell r="K6730">
            <v>0</v>
          </cell>
          <cell r="L6730">
            <v>0</v>
          </cell>
          <cell r="M6730">
            <v>0</v>
          </cell>
          <cell r="N6730">
            <v>0</v>
          </cell>
          <cell r="O6730">
            <v>0</v>
          </cell>
          <cell r="P6730">
            <v>0</v>
          </cell>
          <cell r="Q6730">
            <v>0</v>
          </cell>
          <cell r="R6730">
            <v>0</v>
          </cell>
          <cell r="S6730">
            <v>0</v>
          </cell>
          <cell r="T6730">
            <v>0</v>
          </cell>
          <cell r="U6730">
            <v>0</v>
          </cell>
          <cell r="V6730">
            <v>0</v>
          </cell>
          <cell r="W6730">
            <v>0</v>
          </cell>
          <cell r="X6730">
            <v>0</v>
          </cell>
          <cell r="Y6730">
            <v>0</v>
          </cell>
          <cell r="Z6730">
            <v>0</v>
          </cell>
        </row>
        <row r="6731">
          <cell r="D6731">
            <v>319006</v>
          </cell>
          <cell r="E6731" t="str">
            <v>Banaue NHS Annex</v>
          </cell>
          <cell r="F6731">
            <v>0</v>
          </cell>
          <cell r="G6731">
            <v>0</v>
          </cell>
          <cell r="H6731">
            <v>0</v>
          </cell>
          <cell r="I6731">
            <v>0</v>
          </cell>
          <cell r="J6731">
            <v>0</v>
          </cell>
          <cell r="K6731">
            <v>0</v>
          </cell>
          <cell r="L6731">
            <v>0</v>
          </cell>
          <cell r="M6731">
            <v>0</v>
          </cell>
          <cell r="N6731">
            <v>0</v>
          </cell>
          <cell r="O6731">
            <v>0</v>
          </cell>
          <cell r="P6731">
            <v>0</v>
          </cell>
          <cell r="Q6731">
            <v>0</v>
          </cell>
          <cell r="R6731">
            <v>0</v>
          </cell>
          <cell r="S6731">
            <v>0</v>
          </cell>
          <cell r="T6731">
            <v>0</v>
          </cell>
          <cell r="U6731">
            <v>0</v>
          </cell>
          <cell r="V6731">
            <v>0</v>
          </cell>
          <cell r="W6731">
            <v>0</v>
          </cell>
          <cell r="X6731">
            <v>0</v>
          </cell>
          <cell r="Y6731">
            <v>0</v>
          </cell>
          <cell r="Z6731">
            <v>0</v>
          </cell>
        </row>
        <row r="6732">
          <cell r="D6732">
            <v>305193</v>
          </cell>
          <cell r="E6732" t="str">
            <v>Kalanguya NHS</v>
          </cell>
          <cell r="F6732">
            <v>0</v>
          </cell>
          <cell r="G6732">
            <v>0</v>
          </cell>
          <cell r="H6732">
            <v>0</v>
          </cell>
          <cell r="I6732">
            <v>0</v>
          </cell>
          <cell r="J6732">
            <v>0</v>
          </cell>
          <cell r="K6732">
            <v>0</v>
          </cell>
          <cell r="L6732">
            <v>0</v>
          </cell>
          <cell r="M6732">
            <v>0</v>
          </cell>
          <cell r="N6732">
            <v>0</v>
          </cell>
          <cell r="O6732">
            <v>0</v>
          </cell>
          <cell r="P6732">
            <v>0</v>
          </cell>
          <cell r="Q6732">
            <v>0</v>
          </cell>
          <cell r="R6732">
            <v>0</v>
          </cell>
          <cell r="S6732">
            <v>0</v>
          </cell>
          <cell r="T6732">
            <v>0</v>
          </cell>
          <cell r="U6732">
            <v>0</v>
          </cell>
          <cell r="V6732">
            <v>0</v>
          </cell>
          <cell r="W6732">
            <v>0</v>
          </cell>
          <cell r="X6732">
            <v>0</v>
          </cell>
          <cell r="Y6732">
            <v>0</v>
          </cell>
          <cell r="Z6732">
            <v>0</v>
          </cell>
        </row>
        <row r="6733">
          <cell r="D6733">
            <v>319008</v>
          </cell>
          <cell r="E6733" t="str">
            <v>Ubao NHS Extension</v>
          </cell>
          <cell r="F6733">
            <v>0</v>
          </cell>
          <cell r="G6733">
            <v>0</v>
          </cell>
          <cell r="H6733">
            <v>0</v>
          </cell>
          <cell r="I6733">
            <v>0</v>
          </cell>
          <cell r="J6733">
            <v>0</v>
          </cell>
          <cell r="K6733">
            <v>0</v>
          </cell>
          <cell r="L6733">
            <v>0</v>
          </cell>
          <cell r="M6733">
            <v>0</v>
          </cell>
          <cell r="N6733">
            <v>0</v>
          </cell>
          <cell r="O6733">
            <v>0</v>
          </cell>
          <cell r="P6733">
            <v>0</v>
          </cell>
          <cell r="Q6733">
            <v>0</v>
          </cell>
          <cell r="R6733">
            <v>0</v>
          </cell>
          <cell r="S6733">
            <v>0</v>
          </cell>
          <cell r="T6733">
            <v>0</v>
          </cell>
          <cell r="U6733">
            <v>0</v>
          </cell>
          <cell r="V6733">
            <v>0</v>
          </cell>
          <cell r="W6733">
            <v>0</v>
          </cell>
          <cell r="X6733">
            <v>0</v>
          </cell>
          <cell r="Y6733">
            <v>0</v>
          </cell>
          <cell r="Z6733">
            <v>0</v>
          </cell>
        </row>
        <row r="6734">
          <cell r="D6734">
            <v>305170</v>
          </cell>
          <cell r="E6734" t="str">
            <v>Banaue National High School</v>
          </cell>
          <cell r="F6734">
            <v>0</v>
          </cell>
          <cell r="G6734">
            <v>0</v>
          </cell>
          <cell r="H6734">
            <v>0</v>
          </cell>
          <cell r="I6734">
            <v>0</v>
          </cell>
          <cell r="J6734">
            <v>0</v>
          </cell>
          <cell r="K6734">
            <v>0</v>
          </cell>
          <cell r="L6734">
            <v>0</v>
          </cell>
          <cell r="M6734">
            <v>0</v>
          </cell>
          <cell r="N6734">
            <v>0</v>
          </cell>
          <cell r="O6734">
            <v>0</v>
          </cell>
          <cell r="P6734">
            <v>0</v>
          </cell>
          <cell r="Q6734">
            <v>0</v>
          </cell>
          <cell r="R6734">
            <v>0</v>
          </cell>
          <cell r="S6734">
            <v>0</v>
          </cell>
          <cell r="T6734">
            <v>0</v>
          </cell>
          <cell r="U6734">
            <v>0</v>
          </cell>
          <cell r="V6734">
            <v>0</v>
          </cell>
          <cell r="W6734">
            <v>0</v>
          </cell>
          <cell r="X6734">
            <v>0</v>
          </cell>
          <cell r="Y6734">
            <v>0</v>
          </cell>
          <cell r="Z6734">
            <v>0</v>
          </cell>
        </row>
        <row r="6735">
          <cell r="D6735">
            <v>305194</v>
          </cell>
          <cell r="E6735" t="str">
            <v>Ubao National High School</v>
          </cell>
          <cell r="F6735">
            <v>0</v>
          </cell>
          <cell r="G6735">
            <v>0</v>
          </cell>
          <cell r="H6735">
            <v>0</v>
          </cell>
          <cell r="I6735">
            <v>0</v>
          </cell>
          <cell r="J6735">
            <v>0</v>
          </cell>
          <cell r="K6735">
            <v>0</v>
          </cell>
          <cell r="L6735">
            <v>0</v>
          </cell>
          <cell r="M6735">
            <v>0</v>
          </cell>
          <cell r="N6735">
            <v>0</v>
          </cell>
          <cell r="O6735">
            <v>0</v>
          </cell>
          <cell r="P6735">
            <v>0</v>
          </cell>
          <cell r="Q6735">
            <v>0</v>
          </cell>
          <cell r="R6735">
            <v>0</v>
          </cell>
          <cell r="S6735">
            <v>0</v>
          </cell>
          <cell r="T6735">
            <v>0</v>
          </cell>
          <cell r="U6735">
            <v>0</v>
          </cell>
          <cell r="V6735">
            <v>0</v>
          </cell>
          <cell r="W6735">
            <v>0</v>
          </cell>
          <cell r="X6735">
            <v>0</v>
          </cell>
          <cell r="Y6735">
            <v>0</v>
          </cell>
          <cell r="Z6735">
            <v>0</v>
          </cell>
        </row>
        <row r="6736">
          <cell r="D6736">
            <v>305185</v>
          </cell>
          <cell r="E6736" t="str">
            <v>Mayoyao NHS</v>
          </cell>
          <cell r="F6736">
            <v>0</v>
          </cell>
          <cell r="G6736">
            <v>0</v>
          </cell>
          <cell r="H6736">
            <v>0</v>
          </cell>
          <cell r="I6736">
            <v>0</v>
          </cell>
          <cell r="J6736">
            <v>0</v>
          </cell>
          <cell r="K6736">
            <v>0</v>
          </cell>
          <cell r="L6736">
            <v>0</v>
          </cell>
          <cell r="M6736">
            <v>0</v>
          </cell>
          <cell r="N6736">
            <v>0</v>
          </cell>
          <cell r="O6736">
            <v>0</v>
          </cell>
          <cell r="P6736">
            <v>0</v>
          </cell>
          <cell r="Q6736">
            <v>0</v>
          </cell>
          <cell r="R6736">
            <v>0</v>
          </cell>
          <cell r="S6736">
            <v>0</v>
          </cell>
          <cell r="T6736">
            <v>0</v>
          </cell>
          <cell r="U6736">
            <v>0</v>
          </cell>
          <cell r="V6736">
            <v>0</v>
          </cell>
          <cell r="W6736">
            <v>0</v>
          </cell>
          <cell r="X6736">
            <v>0</v>
          </cell>
          <cell r="Y6736">
            <v>0</v>
          </cell>
          <cell r="Z6736">
            <v>0</v>
          </cell>
        </row>
        <row r="6737">
          <cell r="D6737">
            <v>305174</v>
          </cell>
          <cell r="E6737" t="str">
            <v>Natcak NHS</v>
          </cell>
          <cell r="F6737">
            <v>0</v>
          </cell>
          <cell r="G6737">
            <v>0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>
            <v>0</v>
          </cell>
          <cell r="M6737">
            <v>0</v>
          </cell>
          <cell r="N6737">
            <v>0</v>
          </cell>
          <cell r="O6737">
            <v>0</v>
          </cell>
          <cell r="P6737">
            <v>0</v>
          </cell>
          <cell r="Q6737">
            <v>0</v>
          </cell>
          <cell r="R6737">
            <v>0</v>
          </cell>
          <cell r="S6737">
            <v>0</v>
          </cell>
          <cell r="T6737">
            <v>0</v>
          </cell>
          <cell r="U6737">
            <v>0</v>
          </cell>
          <cell r="V6737">
            <v>0</v>
          </cell>
          <cell r="W6737">
            <v>0</v>
          </cell>
          <cell r="X6737">
            <v>0</v>
          </cell>
          <cell r="Y6737">
            <v>0</v>
          </cell>
          <cell r="Z6737">
            <v>0</v>
          </cell>
        </row>
        <row r="6738">
          <cell r="D6738">
            <v>305210</v>
          </cell>
          <cell r="E6738" t="str">
            <v>Limos National High School</v>
          </cell>
          <cell r="F6738">
            <v>12</v>
          </cell>
          <cell r="G6738">
            <v>5</v>
          </cell>
          <cell r="H6738">
            <v>17</v>
          </cell>
          <cell r="I6738">
            <v>8</v>
          </cell>
          <cell r="J6738">
            <v>2</v>
          </cell>
          <cell r="K6738">
            <v>10</v>
          </cell>
          <cell r="L6738">
            <v>15</v>
          </cell>
          <cell r="M6738">
            <v>3</v>
          </cell>
          <cell r="N6738">
            <v>18</v>
          </cell>
          <cell r="O6738">
            <v>0</v>
          </cell>
          <cell r="P6738">
            <v>0</v>
          </cell>
          <cell r="Q6738">
            <v>0</v>
          </cell>
          <cell r="R6738">
            <v>0</v>
          </cell>
          <cell r="S6738">
            <v>0</v>
          </cell>
          <cell r="T6738">
            <v>0</v>
          </cell>
          <cell r="U6738">
            <v>0</v>
          </cell>
          <cell r="V6738">
            <v>0</v>
          </cell>
          <cell r="W6738">
            <v>0</v>
          </cell>
          <cell r="X6738">
            <v>0</v>
          </cell>
          <cell r="Y6738">
            <v>0</v>
          </cell>
          <cell r="Z6738">
            <v>0</v>
          </cell>
        </row>
        <row r="6739">
          <cell r="D6739">
            <v>305224</v>
          </cell>
          <cell r="E6739" t="str">
            <v>Tanudan National High School</v>
          </cell>
          <cell r="F6739">
            <v>13</v>
          </cell>
          <cell r="G6739">
            <v>0</v>
          </cell>
          <cell r="H6739">
            <v>13</v>
          </cell>
          <cell r="I6739">
            <v>0</v>
          </cell>
          <cell r="J6739">
            <v>0</v>
          </cell>
          <cell r="K6739">
            <v>0</v>
          </cell>
          <cell r="L6739">
            <v>0</v>
          </cell>
          <cell r="M6739">
            <v>0</v>
          </cell>
          <cell r="N6739">
            <v>0</v>
          </cell>
          <cell r="O6739">
            <v>0</v>
          </cell>
          <cell r="P6739">
            <v>0</v>
          </cell>
          <cell r="Q6739">
            <v>0</v>
          </cell>
          <cell r="R6739">
            <v>0</v>
          </cell>
          <cell r="S6739">
            <v>0</v>
          </cell>
          <cell r="T6739">
            <v>0</v>
          </cell>
          <cell r="U6739">
            <v>0</v>
          </cell>
          <cell r="V6739">
            <v>0</v>
          </cell>
          <cell r="W6739">
            <v>0</v>
          </cell>
          <cell r="X6739">
            <v>0</v>
          </cell>
          <cell r="Y6739">
            <v>0</v>
          </cell>
          <cell r="Z6739">
            <v>0</v>
          </cell>
        </row>
        <row r="6740">
          <cell r="D6740">
            <v>305542</v>
          </cell>
          <cell r="E6740" t="str">
            <v>MALAGNAT NATIONAL HIGH SCHOOL</v>
          </cell>
          <cell r="F6740">
            <v>0</v>
          </cell>
          <cell r="G6740">
            <v>0</v>
          </cell>
          <cell r="H6740">
            <v>0</v>
          </cell>
          <cell r="I6740">
            <v>0</v>
          </cell>
          <cell r="J6740">
            <v>0</v>
          </cell>
          <cell r="K6740">
            <v>0</v>
          </cell>
          <cell r="L6740">
            <v>0</v>
          </cell>
          <cell r="M6740">
            <v>0</v>
          </cell>
          <cell r="N6740">
            <v>0</v>
          </cell>
          <cell r="O6740">
            <v>0</v>
          </cell>
          <cell r="P6740">
            <v>0</v>
          </cell>
          <cell r="Q6740">
            <v>0</v>
          </cell>
          <cell r="R6740">
            <v>0</v>
          </cell>
          <cell r="S6740">
            <v>0</v>
          </cell>
          <cell r="T6740">
            <v>0</v>
          </cell>
          <cell r="U6740">
            <v>0</v>
          </cell>
          <cell r="V6740">
            <v>0</v>
          </cell>
          <cell r="W6740">
            <v>0</v>
          </cell>
          <cell r="X6740">
            <v>0</v>
          </cell>
          <cell r="Y6740">
            <v>0</v>
          </cell>
          <cell r="Z6740">
            <v>0</v>
          </cell>
        </row>
        <row r="6741">
          <cell r="D6741">
            <v>305214</v>
          </cell>
          <cell r="E6741" t="str">
            <v>Central Pasil National High School</v>
          </cell>
          <cell r="F6741">
            <v>0</v>
          </cell>
          <cell r="G6741">
            <v>0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>
            <v>0</v>
          </cell>
          <cell r="M6741">
            <v>0</v>
          </cell>
          <cell r="N6741">
            <v>0</v>
          </cell>
          <cell r="O6741">
            <v>0</v>
          </cell>
          <cell r="P6741">
            <v>0</v>
          </cell>
          <cell r="Q6741">
            <v>0</v>
          </cell>
          <cell r="R6741">
            <v>0</v>
          </cell>
          <cell r="S6741">
            <v>0</v>
          </cell>
          <cell r="T6741">
            <v>0</v>
          </cell>
          <cell r="U6741">
            <v>0</v>
          </cell>
          <cell r="V6741">
            <v>0</v>
          </cell>
          <cell r="W6741">
            <v>0</v>
          </cell>
          <cell r="X6741">
            <v>0</v>
          </cell>
          <cell r="Y6741">
            <v>0</v>
          </cell>
          <cell r="Z6741">
            <v>0</v>
          </cell>
        </row>
        <row r="6742">
          <cell r="D6742">
            <v>305213</v>
          </cell>
          <cell r="E6742" t="str">
            <v>Pasil National High School</v>
          </cell>
          <cell r="F6742">
            <v>0</v>
          </cell>
          <cell r="G6742">
            <v>0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>
            <v>0</v>
          </cell>
          <cell r="M6742">
            <v>0</v>
          </cell>
          <cell r="N6742">
            <v>0</v>
          </cell>
          <cell r="O6742">
            <v>0</v>
          </cell>
          <cell r="P6742">
            <v>0</v>
          </cell>
          <cell r="Q6742">
            <v>0</v>
          </cell>
          <cell r="R6742">
            <v>0</v>
          </cell>
          <cell r="S6742">
            <v>0</v>
          </cell>
          <cell r="T6742">
            <v>0</v>
          </cell>
          <cell r="U6742">
            <v>0</v>
          </cell>
          <cell r="V6742">
            <v>0</v>
          </cell>
          <cell r="W6742">
            <v>0</v>
          </cell>
          <cell r="X6742">
            <v>0</v>
          </cell>
          <cell r="Y6742">
            <v>0</v>
          </cell>
          <cell r="Z6742">
            <v>0</v>
          </cell>
        </row>
        <row r="6743">
          <cell r="D6743">
            <v>305201</v>
          </cell>
          <cell r="E6743" t="str">
            <v>Cal-owan Agricultural Vocational National High School</v>
          </cell>
          <cell r="F6743">
            <v>0</v>
          </cell>
          <cell r="G6743">
            <v>0</v>
          </cell>
          <cell r="H6743">
            <v>0</v>
          </cell>
          <cell r="I6743">
            <v>0</v>
          </cell>
          <cell r="J6743">
            <v>0</v>
          </cell>
          <cell r="K6743">
            <v>0</v>
          </cell>
          <cell r="L6743">
            <v>0</v>
          </cell>
          <cell r="M6743">
            <v>0</v>
          </cell>
          <cell r="N6743">
            <v>0</v>
          </cell>
          <cell r="O6743">
            <v>0</v>
          </cell>
          <cell r="P6743">
            <v>0</v>
          </cell>
          <cell r="Q6743">
            <v>0</v>
          </cell>
          <cell r="R6743">
            <v>0</v>
          </cell>
          <cell r="S6743">
            <v>0</v>
          </cell>
          <cell r="T6743">
            <v>0</v>
          </cell>
          <cell r="U6743">
            <v>0</v>
          </cell>
          <cell r="V6743">
            <v>0</v>
          </cell>
          <cell r="W6743">
            <v>0</v>
          </cell>
          <cell r="X6743">
            <v>0</v>
          </cell>
          <cell r="Y6743">
            <v>0</v>
          </cell>
          <cell r="Z6743">
            <v>0</v>
          </cell>
        </row>
        <row r="6744">
          <cell r="D6744">
            <v>319107</v>
          </cell>
          <cell r="E6744" t="str">
            <v>Camalog National High School</v>
          </cell>
          <cell r="F6744">
            <v>0</v>
          </cell>
          <cell r="G6744">
            <v>0</v>
          </cell>
          <cell r="H6744">
            <v>0</v>
          </cell>
          <cell r="I6744">
            <v>0</v>
          </cell>
          <cell r="J6744">
            <v>0</v>
          </cell>
          <cell r="K6744">
            <v>0</v>
          </cell>
          <cell r="L6744">
            <v>0</v>
          </cell>
          <cell r="M6744">
            <v>0</v>
          </cell>
          <cell r="N6744">
            <v>0</v>
          </cell>
          <cell r="O6744">
            <v>0</v>
          </cell>
          <cell r="P6744">
            <v>0</v>
          </cell>
          <cell r="Q6744">
            <v>0</v>
          </cell>
          <cell r="R6744">
            <v>0</v>
          </cell>
          <cell r="S6744">
            <v>0</v>
          </cell>
          <cell r="T6744">
            <v>0</v>
          </cell>
          <cell r="U6744">
            <v>0</v>
          </cell>
          <cell r="V6744">
            <v>0</v>
          </cell>
          <cell r="W6744">
            <v>0</v>
          </cell>
          <cell r="X6744">
            <v>0</v>
          </cell>
          <cell r="Y6744">
            <v>0</v>
          </cell>
          <cell r="Z6744">
            <v>0</v>
          </cell>
        </row>
        <row r="6745">
          <cell r="D6745">
            <v>319109</v>
          </cell>
          <cell r="E6745" t="str">
            <v>Socbot National High School</v>
          </cell>
          <cell r="F6745">
            <v>0</v>
          </cell>
          <cell r="G6745">
            <v>0</v>
          </cell>
          <cell r="H6745">
            <v>0</v>
          </cell>
          <cell r="I6745">
            <v>0</v>
          </cell>
          <cell r="J6745">
            <v>0</v>
          </cell>
          <cell r="K6745">
            <v>0</v>
          </cell>
          <cell r="L6745">
            <v>0</v>
          </cell>
          <cell r="M6745">
            <v>0</v>
          </cell>
          <cell r="N6745">
            <v>0</v>
          </cell>
          <cell r="O6745">
            <v>0</v>
          </cell>
          <cell r="P6745">
            <v>0</v>
          </cell>
          <cell r="Q6745">
            <v>0</v>
          </cell>
          <cell r="R6745">
            <v>0</v>
          </cell>
          <cell r="S6745">
            <v>0</v>
          </cell>
          <cell r="T6745">
            <v>0</v>
          </cell>
          <cell r="U6745">
            <v>0</v>
          </cell>
          <cell r="V6745">
            <v>0</v>
          </cell>
          <cell r="W6745">
            <v>0</v>
          </cell>
          <cell r="X6745">
            <v>0</v>
          </cell>
          <cell r="Y6745">
            <v>0</v>
          </cell>
          <cell r="Z6745">
            <v>0</v>
          </cell>
        </row>
        <row r="6746">
          <cell r="D6746">
            <v>305218</v>
          </cell>
          <cell r="E6746" t="str">
            <v>Macutay Palao National High School</v>
          </cell>
          <cell r="F6746">
            <v>1</v>
          </cell>
          <cell r="G6746">
            <v>0</v>
          </cell>
          <cell r="H6746">
            <v>1</v>
          </cell>
          <cell r="I6746">
            <v>1</v>
          </cell>
          <cell r="J6746">
            <v>0</v>
          </cell>
          <cell r="K6746">
            <v>1</v>
          </cell>
          <cell r="L6746">
            <v>0</v>
          </cell>
          <cell r="M6746">
            <v>0</v>
          </cell>
          <cell r="N6746">
            <v>0</v>
          </cell>
          <cell r="O6746">
            <v>0</v>
          </cell>
          <cell r="P6746">
            <v>0</v>
          </cell>
          <cell r="Q6746">
            <v>0</v>
          </cell>
          <cell r="R6746">
            <v>0</v>
          </cell>
          <cell r="S6746">
            <v>0</v>
          </cell>
          <cell r="T6746">
            <v>0</v>
          </cell>
          <cell r="U6746">
            <v>0</v>
          </cell>
          <cell r="V6746">
            <v>0</v>
          </cell>
          <cell r="W6746">
            <v>0</v>
          </cell>
          <cell r="X6746">
            <v>0</v>
          </cell>
          <cell r="Y6746">
            <v>0</v>
          </cell>
          <cell r="Z6746">
            <v>0</v>
          </cell>
        </row>
        <row r="6747">
          <cell r="D6747">
            <v>305225</v>
          </cell>
          <cell r="E6747" t="str">
            <v>Tanudan Vocational School</v>
          </cell>
          <cell r="F6747">
            <v>0</v>
          </cell>
          <cell r="G6747">
            <v>0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>
            <v>0</v>
          </cell>
          <cell r="M6747">
            <v>0</v>
          </cell>
          <cell r="N6747">
            <v>0</v>
          </cell>
          <cell r="O6747">
            <v>0</v>
          </cell>
          <cell r="P6747">
            <v>0</v>
          </cell>
          <cell r="Q6747">
            <v>0</v>
          </cell>
          <cell r="R6747">
            <v>0</v>
          </cell>
          <cell r="S6747">
            <v>0</v>
          </cell>
          <cell r="T6747">
            <v>0</v>
          </cell>
          <cell r="U6747">
            <v>0</v>
          </cell>
          <cell r="V6747">
            <v>0</v>
          </cell>
          <cell r="W6747">
            <v>0</v>
          </cell>
          <cell r="X6747">
            <v>0</v>
          </cell>
          <cell r="Y6747">
            <v>0</v>
          </cell>
          <cell r="Z6747">
            <v>0</v>
          </cell>
        </row>
        <row r="6748">
          <cell r="D6748">
            <v>305217</v>
          </cell>
          <cell r="E6748" t="str">
            <v>Rizal National School of Arts &amp; Trades</v>
          </cell>
          <cell r="F6748">
            <v>0</v>
          </cell>
          <cell r="G6748">
            <v>0</v>
          </cell>
          <cell r="H6748">
            <v>0</v>
          </cell>
          <cell r="I6748">
            <v>0</v>
          </cell>
          <cell r="J6748">
            <v>0</v>
          </cell>
          <cell r="K6748">
            <v>0</v>
          </cell>
          <cell r="L6748">
            <v>0</v>
          </cell>
          <cell r="M6748">
            <v>0</v>
          </cell>
          <cell r="N6748">
            <v>0</v>
          </cell>
          <cell r="O6748">
            <v>0</v>
          </cell>
          <cell r="P6748">
            <v>0</v>
          </cell>
          <cell r="Q6748">
            <v>0</v>
          </cell>
          <cell r="R6748">
            <v>0</v>
          </cell>
          <cell r="S6748">
            <v>0</v>
          </cell>
          <cell r="T6748">
            <v>0</v>
          </cell>
          <cell r="U6748">
            <v>0</v>
          </cell>
          <cell r="V6748">
            <v>0</v>
          </cell>
          <cell r="W6748">
            <v>0</v>
          </cell>
          <cell r="X6748">
            <v>0</v>
          </cell>
          <cell r="Y6748">
            <v>0</v>
          </cell>
          <cell r="Z6748">
            <v>0</v>
          </cell>
        </row>
        <row r="6749">
          <cell r="D6749">
            <v>319102</v>
          </cell>
          <cell r="E6749" t="str">
            <v>Magtoma Pangol National High School - Dupligan Annex</v>
          </cell>
          <cell r="F6749">
            <v>0</v>
          </cell>
          <cell r="G6749">
            <v>0</v>
          </cell>
          <cell r="H6749">
            <v>0</v>
          </cell>
          <cell r="I6749">
            <v>0</v>
          </cell>
          <cell r="J6749">
            <v>0</v>
          </cell>
          <cell r="K6749">
            <v>0</v>
          </cell>
          <cell r="L6749">
            <v>0</v>
          </cell>
          <cell r="M6749">
            <v>0</v>
          </cell>
          <cell r="N6749">
            <v>0</v>
          </cell>
          <cell r="O6749">
            <v>0</v>
          </cell>
          <cell r="P6749">
            <v>0</v>
          </cell>
          <cell r="Q6749">
            <v>0</v>
          </cell>
          <cell r="R6749">
            <v>0</v>
          </cell>
          <cell r="S6749">
            <v>0</v>
          </cell>
          <cell r="T6749">
            <v>0</v>
          </cell>
          <cell r="U6749">
            <v>0</v>
          </cell>
          <cell r="V6749">
            <v>0</v>
          </cell>
          <cell r="W6749">
            <v>0</v>
          </cell>
          <cell r="X6749">
            <v>0</v>
          </cell>
          <cell r="Y6749">
            <v>0</v>
          </cell>
          <cell r="Z6749">
            <v>0</v>
          </cell>
        </row>
        <row r="6750">
          <cell r="D6750">
            <v>305211</v>
          </cell>
          <cell r="E6750" t="str">
            <v>Magtoma Pangol National High School-Main</v>
          </cell>
          <cell r="F6750">
            <v>0</v>
          </cell>
          <cell r="G6750">
            <v>0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>
            <v>0</v>
          </cell>
          <cell r="M6750">
            <v>0</v>
          </cell>
          <cell r="N6750">
            <v>0</v>
          </cell>
          <cell r="O6750">
            <v>0</v>
          </cell>
          <cell r="P6750">
            <v>0</v>
          </cell>
          <cell r="Q6750">
            <v>0</v>
          </cell>
          <cell r="R6750">
            <v>0</v>
          </cell>
          <cell r="S6750">
            <v>0</v>
          </cell>
          <cell r="T6750">
            <v>0</v>
          </cell>
          <cell r="U6750">
            <v>0</v>
          </cell>
          <cell r="V6750">
            <v>0</v>
          </cell>
          <cell r="W6750">
            <v>0</v>
          </cell>
          <cell r="X6750">
            <v>0</v>
          </cell>
          <cell r="Y6750">
            <v>0</v>
          </cell>
          <cell r="Z6750">
            <v>0</v>
          </cell>
        </row>
        <row r="6751">
          <cell r="D6751">
            <v>305199</v>
          </cell>
          <cell r="E6751" t="str">
            <v>Balbalan Agricultural and Industrial School</v>
          </cell>
          <cell r="F6751">
            <v>0</v>
          </cell>
          <cell r="G6751">
            <v>0</v>
          </cell>
          <cell r="H6751">
            <v>0</v>
          </cell>
          <cell r="I6751">
            <v>0</v>
          </cell>
          <cell r="J6751">
            <v>0</v>
          </cell>
          <cell r="K6751">
            <v>0</v>
          </cell>
          <cell r="L6751">
            <v>0</v>
          </cell>
          <cell r="M6751">
            <v>0</v>
          </cell>
          <cell r="N6751">
            <v>0</v>
          </cell>
          <cell r="O6751">
            <v>0</v>
          </cell>
          <cell r="P6751">
            <v>0</v>
          </cell>
          <cell r="Q6751">
            <v>0</v>
          </cell>
          <cell r="R6751">
            <v>0</v>
          </cell>
          <cell r="S6751">
            <v>0</v>
          </cell>
          <cell r="T6751">
            <v>0</v>
          </cell>
          <cell r="U6751">
            <v>0</v>
          </cell>
          <cell r="V6751">
            <v>0</v>
          </cell>
          <cell r="W6751">
            <v>0</v>
          </cell>
          <cell r="X6751">
            <v>0</v>
          </cell>
          <cell r="Y6751">
            <v>0</v>
          </cell>
          <cell r="Z6751">
            <v>0</v>
          </cell>
        </row>
        <row r="6752">
          <cell r="D6752">
            <v>305227</v>
          </cell>
          <cell r="E6752" t="str">
            <v>Western Kalinga National High School</v>
          </cell>
          <cell r="F6752">
            <v>0</v>
          </cell>
          <cell r="G6752">
            <v>0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>
            <v>0</v>
          </cell>
          <cell r="M6752">
            <v>0</v>
          </cell>
          <cell r="N6752">
            <v>0</v>
          </cell>
          <cell r="O6752">
            <v>0</v>
          </cell>
          <cell r="P6752">
            <v>0</v>
          </cell>
          <cell r="Q6752">
            <v>0</v>
          </cell>
          <cell r="R6752">
            <v>0</v>
          </cell>
          <cell r="S6752">
            <v>0</v>
          </cell>
          <cell r="T6752">
            <v>0</v>
          </cell>
          <cell r="U6752">
            <v>0</v>
          </cell>
          <cell r="V6752">
            <v>0</v>
          </cell>
          <cell r="W6752">
            <v>0</v>
          </cell>
          <cell r="X6752">
            <v>0</v>
          </cell>
          <cell r="Y6752">
            <v>0</v>
          </cell>
          <cell r="Z6752">
            <v>0</v>
          </cell>
        </row>
        <row r="6753">
          <cell r="D6753">
            <v>319115</v>
          </cell>
          <cell r="E6753" t="str">
            <v>Tinglayan National High School</v>
          </cell>
          <cell r="F6753">
            <v>0</v>
          </cell>
          <cell r="G6753">
            <v>0</v>
          </cell>
          <cell r="H6753">
            <v>0</v>
          </cell>
          <cell r="I6753">
            <v>0</v>
          </cell>
          <cell r="J6753">
            <v>0</v>
          </cell>
          <cell r="K6753">
            <v>0</v>
          </cell>
          <cell r="L6753">
            <v>0</v>
          </cell>
          <cell r="M6753">
            <v>0</v>
          </cell>
          <cell r="N6753">
            <v>0</v>
          </cell>
          <cell r="O6753">
            <v>0</v>
          </cell>
          <cell r="P6753">
            <v>0</v>
          </cell>
          <cell r="Q6753">
            <v>0</v>
          </cell>
          <cell r="R6753">
            <v>0</v>
          </cell>
          <cell r="S6753">
            <v>0</v>
          </cell>
          <cell r="T6753">
            <v>0</v>
          </cell>
          <cell r="U6753">
            <v>0</v>
          </cell>
          <cell r="V6753">
            <v>0</v>
          </cell>
          <cell r="W6753">
            <v>0</v>
          </cell>
          <cell r="X6753">
            <v>0</v>
          </cell>
          <cell r="Y6753">
            <v>0</v>
          </cell>
          <cell r="Z6753">
            <v>0</v>
          </cell>
        </row>
        <row r="6754">
          <cell r="D6754">
            <v>305223</v>
          </cell>
          <cell r="E6754" t="str">
            <v>Lubuagan National High School</v>
          </cell>
          <cell r="F6754">
            <v>0</v>
          </cell>
          <cell r="G6754">
            <v>0</v>
          </cell>
          <cell r="H6754">
            <v>0</v>
          </cell>
          <cell r="I6754">
            <v>0</v>
          </cell>
          <cell r="J6754">
            <v>0</v>
          </cell>
          <cell r="K6754">
            <v>0</v>
          </cell>
          <cell r="L6754">
            <v>0</v>
          </cell>
          <cell r="M6754">
            <v>0</v>
          </cell>
          <cell r="N6754">
            <v>0</v>
          </cell>
          <cell r="O6754">
            <v>0</v>
          </cell>
          <cell r="P6754">
            <v>0</v>
          </cell>
          <cell r="Q6754">
            <v>0</v>
          </cell>
          <cell r="R6754">
            <v>0</v>
          </cell>
          <cell r="S6754">
            <v>0</v>
          </cell>
          <cell r="T6754">
            <v>0</v>
          </cell>
          <cell r="U6754">
            <v>0</v>
          </cell>
          <cell r="V6754">
            <v>0</v>
          </cell>
          <cell r="W6754">
            <v>0</v>
          </cell>
          <cell r="X6754">
            <v>0</v>
          </cell>
          <cell r="Y6754">
            <v>0</v>
          </cell>
          <cell r="Z6754">
            <v>0</v>
          </cell>
        </row>
        <row r="6755">
          <cell r="D6755">
            <v>305197</v>
          </cell>
          <cell r="E6755" t="str">
            <v>Allaguia National High School</v>
          </cell>
          <cell r="F6755">
            <v>0</v>
          </cell>
          <cell r="G6755">
            <v>0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>
            <v>0</v>
          </cell>
          <cell r="M6755">
            <v>0</v>
          </cell>
          <cell r="N6755">
            <v>0</v>
          </cell>
          <cell r="O6755">
            <v>0</v>
          </cell>
          <cell r="P6755">
            <v>0</v>
          </cell>
          <cell r="Q6755">
            <v>0</v>
          </cell>
          <cell r="R6755">
            <v>0</v>
          </cell>
          <cell r="S6755">
            <v>0</v>
          </cell>
          <cell r="T6755">
            <v>0</v>
          </cell>
          <cell r="U6755">
            <v>0</v>
          </cell>
          <cell r="V6755">
            <v>0</v>
          </cell>
          <cell r="W6755">
            <v>0</v>
          </cell>
          <cell r="X6755">
            <v>0</v>
          </cell>
          <cell r="Y6755">
            <v>0</v>
          </cell>
          <cell r="Z6755">
            <v>0</v>
          </cell>
        </row>
        <row r="6756">
          <cell r="D6756">
            <v>305219</v>
          </cell>
          <cell r="E6756" t="str">
            <v>Sumadel National High School</v>
          </cell>
          <cell r="F6756">
            <v>14</v>
          </cell>
          <cell r="G6756">
            <v>11</v>
          </cell>
          <cell r="H6756">
            <v>25</v>
          </cell>
          <cell r="I6756">
            <v>0</v>
          </cell>
          <cell r="J6756">
            <v>0</v>
          </cell>
          <cell r="K6756">
            <v>0</v>
          </cell>
          <cell r="L6756">
            <v>0</v>
          </cell>
          <cell r="M6756">
            <v>0</v>
          </cell>
          <cell r="N6756">
            <v>0</v>
          </cell>
          <cell r="O6756">
            <v>0</v>
          </cell>
          <cell r="P6756">
            <v>0</v>
          </cell>
          <cell r="Q6756">
            <v>0</v>
          </cell>
          <cell r="R6756">
            <v>0</v>
          </cell>
          <cell r="S6756">
            <v>0</v>
          </cell>
          <cell r="T6756">
            <v>0</v>
          </cell>
          <cell r="U6756">
            <v>0</v>
          </cell>
          <cell r="V6756">
            <v>0</v>
          </cell>
          <cell r="W6756">
            <v>0</v>
          </cell>
          <cell r="X6756">
            <v>0</v>
          </cell>
          <cell r="Y6756">
            <v>0</v>
          </cell>
          <cell r="Z6756">
            <v>0</v>
          </cell>
        </row>
        <row r="6757">
          <cell r="D6757">
            <v>319114</v>
          </cell>
          <cell r="E6757" t="str">
            <v>Santor National High School</v>
          </cell>
          <cell r="F6757">
            <v>0</v>
          </cell>
          <cell r="G6757">
            <v>0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>
            <v>0</v>
          </cell>
          <cell r="M6757">
            <v>0</v>
          </cell>
          <cell r="N6757">
            <v>0</v>
          </cell>
          <cell r="O6757">
            <v>0</v>
          </cell>
          <cell r="P6757">
            <v>0</v>
          </cell>
          <cell r="Q6757">
            <v>0</v>
          </cell>
          <cell r="R6757">
            <v>0</v>
          </cell>
          <cell r="S6757">
            <v>0</v>
          </cell>
          <cell r="T6757">
            <v>0</v>
          </cell>
          <cell r="U6757">
            <v>0</v>
          </cell>
          <cell r="V6757">
            <v>0</v>
          </cell>
          <cell r="W6757">
            <v>0</v>
          </cell>
          <cell r="X6757">
            <v>0</v>
          </cell>
          <cell r="Y6757">
            <v>0</v>
          </cell>
          <cell r="Z6757">
            <v>0</v>
          </cell>
        </row>
        <row r="6758">
          <cell r="D6758">
            <v>305209</v>
          </cell>
          <cell r="E6758" t="str">
            <v>Kinama National High School</v>
          </cell>
          <cell r="F6758">
            <v>0</v>
          </cell>
          <cell r="G6758">
            <v>0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0</v>
          </cell>
          <cell r="M6758">
            <v>0</v>
          </cell>
          <cell r="N6758">
            <v>0</v>
          </cell>
          <cell r="O6758">
            <v>0</v>
          </cell>
          <cell r="P6758">
            <v>0</v>
          </cell>
          <cell r="Q6758">
            <v>0</v>
          </cell>
          <cell r="R6758">
            <v>0</v>
          </cell>
          <cell r="S6758">
            <v>0</v>
          </cell>
          <cell r="T6758">
            <v>0</v>
          </cell>
          <cell r="U6758">
            <v>0</v>
          </cell>
          <cell r="V6758">
            <v>0</v>
          </cell>
          <cell r="W6758">
            <v>0</v>
          </cell>
          <cell r="X6758">
            <v>0</v>
          </cell>
          <cell r="Y6758">
            <v>0</v>
          </cell>
          <cell r="Z6758">
            <v>0</v>
          </cell>
        </row>
        <row r="6759">
          <cell r="D6759">
            <v>319106</v>
          </cell>
          <cell r="E6759" t="str">
            <v>Taloctoc General Comprehensive National High School</v>
          </cell>
          <cell r="F6759">
            <v>0</v>
          </cell>
          <cell r="G6759">
            <v>0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>
            <v>0</v>
          </cell>
          <cell r="M6759">
            <v>0</v>
          </cell>
          <cell r="N6759">
            <v>0</v>
          </cell>
          <cell r="O6759">
            <v>0</v>
          </cell>
          <cell r="P6759">
            <v>0</v>
          </cell>
          <cell r="Q6759">
            <v>0</v>
          </cell>
          <cell r="R6759">
            <v>0</v>
          </cell>
          <cell r="S6759">
            <v>0</v>
          </cell>
          <cell r="T6759">
            <v>0</v>
          </cell>
          <cell r="U6759">
            <v>0</v>
          </cell>
          <cell r="V6759">
            <v>0</v>
          </cell>
          <cell r="W6759">
            <v>0</v>
          </cell>
          <cell r="X6759">
            <v>0</v>
          </cell>
          <cell r="Y6759">
            <v>0</v>
          </cell>
          <cell r="Z6759">
            <v>0</v>
          </cell>
        </row>
        <row r="6760">
          <cell r="D6760">
            <v>340131</v>
          </cell>
          <cell r="E6760" t="str">
            <v>SHS in Lubuagan, Kalinga</v>
          </cell>
          <cell r="F6760">
            <v>0</v>
          </cell>
          <cell r="G6760">
            <v>0</v>
          </cell>
          <cell r="H6760">
            <v>0</v>
          </cell>
          <cell r="I6760">
            <v>0</v>
          </cell>
          <cell r="J6760">
            <v>0</v>
          </cell>
          <cell r="K6760">
            <v>0</v>
          </cell>
          <cell r="L6760">
            <v>0</v>
          </cell>
          <cell r="M6760">
            <v>0</v>
          </cell>
          <cell r="N6760">
            <v>0</v>
          </cell>
          <cell r="O6760">
            <v>0</v>
          </cell>
          <cell r="P6760">
            <v>0</v>
          </cell>
          <cell r="Q6760">
            <v>0</v>
          </cell>
          <cell r="R6760">
            <v>0</v>
          </cell>
          <cell r="S6760">
            <v>0</v>
          </cell>
          <cell r="T6760">
            <v>0</v>
          </cell>
          <cell r="U6760">
            <v>0</v>
          </cell>
          <cell r="V6760">
            <v>0</v>
          </cell>
          <cell r="W6760">
            <v>0</v>
          </cell>
          <cell r="X6760">
            <v>0</v>
          </cell>
          <cell r="Y6760">
            <v>0</v>
          </cell>
          <cell r="Z6760">
            <v>0</v>
          </cell>
        </row>
        <row r="6761">
          <cell r="D6761">
            <v>305220</v>
          </cell>
          <cell r="E6761" t="str">
            <v>Bangad National High School</v>
          </cell>
          <cell r="F6761">
            <v>0</v>
          </cell>
          <cell r="G6761">
            <v>0</v>
          </cell>
          <cell r="H6761">
            <v>0</v>
          </cell>
          <cell r="I6761">
            <v>0</v>
          </cell>
          <cell r="J6761">
            <v>0</v>
          </cell>
          <cell r="K6761">
            <v>0</v>
          </cell>
          <cell r="L6761">
            <v>0</v>
          </cell>
          <cell r="M6761">
            <v>0</v>
          </cell>
          <cell r="N6761">
            <v>0</v>
          </cell>
          <cell r="O6761">
            <v>0</v>
          </cell>
          <cell r="P6761">
            <v>0</v>
          </cell>
          <cell r="Q6761">
            <v>0</v>
          </cell>
          <cell r="R6761">
            <v>0</v>
          </cell>
          <cell r="S6761">
            <v>0</v>
          </cell>
          <cell r="T6761">
            <v>0</v>
          </cell>
          <cell r="U6761">
            <v>0</v>
          </cell>
          <cell r="V6761">
            <v>0</v>
          </cell>
          <cell r="W6761">
            <v>0</v>
          </cell>
          <cell r="X6761">
            <v>0</v>
          </cell>
          <cell r="Y6761">
            <v>0</v>
          </cell>
          <cell r="Z6761">
            <v>0</v>
          </cell>
        </row>
        <row r="6762">
          <cell r="D6762">
            <v>305202</v>
          </cell>
          <cell r="E6762" t="str">
            <v>Cawagayan National High School</v>
          </cell>
          <cell r="F6762">
            <v>0</v>
          </cell>
          <cell r="G6762">
            <v>0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>
            <v>0</v>
          </cell>
          <cell r="M6762">
            <v>0</v>
          </cell>
          <cell r="N6762">
            <v>0</v>
          </cell>
          <cell r="O6762">
            <v>0</v>
          </cell>
          <cell r="P6762">
            <v>0</v>
          </cell>
          <cell r="Q6762">
            <v>0</v>
          </cell>
          <cell r="R6762">
            <v>0</v>
          </cell>
          <cell r="S6762">
            <v>0</v>
          </cell>
          <cell r="T6762">
            <v>0</v>
          </cell>
          <cell r="U6762">
            <v>0</v>
          </cell>
          <cell r="V6762">
            <v>0</v>
          </cell>
          <cell r="W6762">
            <v>0</v>
          </cell>
          <cell r="X6762">
            <v>0</v>
          </cell>
          <cell r="Y6762">
            <v>0</v>
          </cell>
          <cell r="Z6762">
            <v>0</v>
          </cell>
        </row>
        <row r="6763">
          <cell r="D6763">
            <v>305216</v>
          </cell>
          <cell r="E6763" t="str">
            <v>Pinukpuk Vocational School</v>
          </cell>
          <cell r="F6763">
            <v>0</v>
          </cell>
          <cell r="G6763">
            <v>0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>
            <v>0</v>
          </cell>
          <cell r="M6763">
            <v>0</v>
          </cell>
          <cell r="N6763">
            <v>0</v>
          </cell>
          <cell r="O6763">
            <v>0</v>
          </cell>
          <cell r="P6763">
            <v>0</v>
          </cell>
          <cell r="Q6763">
            <v>0</v>
          </cell>
          <cell r="R6763">
            <v>0</v>
          </cell>
          <cell r="S6763">
            <v>0</v>
          </cell>
          <cell r="T6763">
            <v>0</v>
          </cell>
          <cell r="U6763">
            <v>0</v>
          </cell>
          <cell r="V6763">
            <v>0</v>
          </cell>
          <cell r="W6763">
            <v>0</v>
          </cell>
          <cell r="X6763">
            <v>0</v>
          </cell>
          <cell r="Y6763">
            <v>0</v>
          </cell>
          <cell r="Z6763">
            <v>0</v>
          </cell>
        </row>
        <row r="6764">
          <cell r="D6764">
            <v>305208</v>
          </cell>
          <cell r="E6764" t="str">
            <v>Southern Tinglayan National High School</v>
          </cell>
          <cell r="F6764">
            <v>36</v>
          </cell>
          <cell r="G6764">
            <v>31</v>
          </cell>
          <cell r="H6764">
            <v>67</v>
          </cell>
          <cell r="I6764">
            <v>0</v>
          </cell>
          <cell r="J6764">
            <v>0</v>
          </cell>
          <cell r="K6764">
            <v>0</v>
          </cell>
          <cell r="L6764">
            <v>0</v>
          </cell>
          <cell r="M6764">
            <v>0</v>
          </cell>
          <cell r="N6764">
            <v>0</v>
          </cell>
          <cell r="O6764">
            <v>0</v>
          </cell>
          <cell r="P6764">
            <v>0</v>
          </cell>
          <cell r="Q6764">
            <v>0</v>
          </cell>
          <cell r="R6764">
            <v>0</v>
          </cell>
          <cell r="S6764">
            <v>0</v>
          </cell>
          <cell r="T6764">
            <v>0</v>
          </cell>
          <cell r="U6764">
            <v>0</v>
          </cell>
          <cell r="V6764">
            <v>0</v>
          </cell>
          <cell r="W6764">
            <v>0</v>
          </cell>
          <cell r="X6764">
            <v>0</v>
          </cell>
          <cell r="Y6764">
            <v>0</v>
          </cell>
          <cell r="Z6764">
            <v>0</v>
          </cell>
        </row>
        <row r="6765">
          <cell r="D6765">
            <v>305255</v>
          </cell>
          <cell r="E6765" t="str">
            <v>Mt. Prov. Gen. Comprehensive HS</v>
          </cell>
          <cell r="F6765">
            <v>228</v>
          </cell>
          <cell r="G6765">
            <v>200</v>
          </cell>
          <cell r="H6765">
            <v>428</v>
          </cell>
          <cell r="I6765">
            <v>47</v>
          </cell>
          <cell r="J6765">
            <v>30</v>
          </cell>
          <cell r="K6765">
            <v>77</v>
          </cell>
          <cell r="L6765">
            <v>0</v>
          </cell>
          <cell r="M6765">
            <v>0</v>
          </cell>
          <cell r="N6765">
            <v>0</v>
          </cell>
          <cell r="O6765">
            <v>0</v>
          </cell>
          <cell r="P6765">
            <v>0</v>
          </cell>
          <cell r="Q6765">
            <v>0</v>
          </cell>
          <cell r="R6765">
            <v>0</v>
          </cell>
          <cell r="S6765">
            <v>0</v>
          </cell>
          <cell r="T6765">
            <v>0</v>
          </cell>
          <cell r="U6765">
            <v>0</v>
          </cell>
          <cell r="V6765">
            <v>0</v>
          </cell>
          <cell r="W6765">
            <v>0</v>
          </cell>
          <cell r="X6765">
            <v>0</v>
          </cell>
          <cell r="Y6765">
            <v>0</v>
          </cell>
          <cell r="Z6765">
            <v>0</v>
          </cell>
        </row>
        <row r="6766">
          <cell r="D6766">
            <v>305251</v>
          </cell>
          <cell r="E6766" t="str">
            <v>Masla National High School</v>
          </cell>
          <cell r="F6766">
            <v>41</v>
          </cell>
          <cell r="G6766">
            <v>25</v>
          </cell>
          <cell r="H6766">
            <v>66</v>
          </cell>
          <cell r="I6766">
            <v>10</v>
          </cell>
          <cell r="J6766">
            <v>9</v>
          </cell>
          <cell r="K6766">
            <v>19</v>
          </cell>
          <cell r="L6766">
            <v>48</v>
          </cell>
          <cell r="M6766">
            <v>36</v>
          </cell>
          <cell r="N6766">
            <v>84</v>
          </cell>
          <cell r="O6766">
            <v>0</v>
          </cell>
          <cell r="P6766">
            <v>0</v>
          </cell>
          <cell r="Q6766">
            <v>0</v>
          </cell>
          <cell r="R6766">
            <v>0</v>
          </cell>
          <cell r="S6766">
            <v>0</v>
          </cell>
          <cell r="T6766">
            <v>0</v>
          </cell>
          <cell r="U6766">
            <v>0</v>
          </cell>
          <cell r="V6766">
            <v>0</v>
          </cell>
          <cell r="W6766">
            <v>0</v>
          </cell>
          <cell r="X6766">
            <v>0</v>
          </cell>
          <cell r="Y6766">
            <v>0</v>
          </cell>
          <cell r="Z6766">
            <v>0</v>
          </cell>
        </row>
        <row r="6767">
          <cell r="D6767">
            <v>305260</v>
          </cell>
          <cell r="E6767" t="str">
            <v>Panabungen School of Arts, trades, and Home Industries</v>
          </cell>
          <cell r="F6767">
            <v>0</v>
          </cell>
          <cell r="G6767">
            <v>0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>
            <v>0</v>
          </cell>
          <cell r="M6767">
            <v>0</v>
          </cell>
          <cell r="N6767">
            <v>0</v>
          </cell>
          <cell r="O6767">
            <v>0</v>
          </cell>
          <cell r="P6767">
            <v>0</v>
          </cell>
          <cell r="Q6767">
            <v>0</v>
          </cell>
          <cell r="R6767">
            <v>0</v>
          </cell>
          <cell r="S6767">
            <v>0</v>
          </cell>
          <cell r="T6767">
            <v>0</v>
          </cell>
          <cell r="U6767">
            <v>0</v>
          </cell>
          <cell r="V6767">
            <v>0</v>
          </cell>
          <cell r="W6767">
            <v>0</v>
          </cell>
          <cell r="X6767">
            <v>0</v>
          </cell>
          <cell r="Y6767">
            <v>0</v>
          </cell>
          <cell r="Z6767">
            <v>0</v>
          </cell>
        </row>
        <row r="6768">
          <cell r="D6768">
            <v>305262</v>
          </cell>
          <cell r="E6768" t="str">
            <v>Pingad National High School</v>
          </cell>
          <cell r="F6768">
            <v>38</v>
          </cell>
          <cell r="G6768">
            <v>46</v>
          </cell>
          <cell r="H6768">
            <v>84</v>
          </cell>
          <cell r="I6768">
            <v>32</v>
          </cell>
          <cell r="J6768">
            <v>41</v>
          </cell>
          <cell r="K6768">
            <v>73</v>
          </cell>
          <cell r="L6768">
            <v>189</v>
          </cell>
          <cell r="M6768">
            <v>235</v>
          </cell>
          <cell r="N6768">
            <v>424</v>
          </cell>
          <cell r="O6768">
            <v>8</v>
          </cell>
          <cell r="P6768">
            <v>0</v>
          </cell>
          <cell r="Q6768">
            <v>8</v>
          </cell>
          <cell r="R6768">
            <v>14</v>
          </cell>
          <cell r="S6768">
            <v>0</v>
          </cell>
          <cell r="T6768">
            <v>14</v>
          </cell>
          <cell r="U6768">
            <v>6</v>
          </cell>
          <cell r="V6768">
            <v>11</v>
          </cell>
          <cell r="W6768">
            <v>17</v>
          </cell>
          <cell r="X6768">
            <v>12</v>
          </cell>
          <cell r="Y6768">
            <v>24</v>
          </cell>
          <cell r="Z6768">
            <v>36</v>
          </cell>
        </row>
        <row r="6769">
          <cell r="D6769">
            <v>305263</v>
          </cell>
          <cell r="E6769" t="str">
            <v>Sabangan National High School</v>
          </cell>
          <cell r="F6769">
            <v>0</v>
          </cell>
          <cell r="G6769">
            <v>0</v>
          </cell>
          <cell r="H6769">
            <v>0</v>
          </cell>
          <cell r="I6769">
            <v>0</v>
          </cell>
          <cell r="J6769">
            <v>0</v>
          </cell>
          <cell r="K6769">
            <v>0</v>
          </cell>
          <cell r="L6769">
            <v>0</v>
          </cell>
          <cell r="M6769">
            <v>0</v>
          </cell>
          <cell r="N6769">
            <v>0</v>
          </cell>
          <cell r="O6769">
            <v>0</v>
          </cell>
          <cell r="P6769">
            <v>0</v>
          </cell>
          <cell r="Q6769">
            <v>0</v>
          </cell>
          <cell r="R6769">
            <v>0</v>
          </cell>
          <cell r="S6769">
            <v>0</v>
          </cell>
          <cell r="T6769">
            <v>0</v>
          </cell>
          <cell r="U6769">
            <v>0</v>
          </cell>
          <cell r="V6769">
            <v>0</v>
          </cell>
          <cell r="W6769">
            <v>0</v>
          </cell>
          <cell r="X6769">
            <v>0</v>
          </cell>
          <cell r="Y6769">
            <v>0</v>
          </cell>
          <cell r="Z6769">
            <v>0</v>
          </cell>
        </row>
        <row r="6770">
          <cell r="D6770">
            <v>305239</v>
          </cell>
          <cell r="E6770" t="str">
            <v>Butigue National High School</v>
          </cell>
          <cell r="F6770">
            <v>0</v>
          </cell>
          <cell r="G6770">
            <v>0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>
            <v>0</v>
          </cell>
          <cell r="M6770">
            <v>0</v>
          </cell>
          <cell r="N6770">
            <v>0</v>
          </cell>
          <cell r="O6770">
            <v>0</v>
          </cell>
          <cell r="P6770">
            <v>0</v>
          </cell>
          <cell r="Q6770">
            <v>0</v>
          </cell>
          <cell r="R6770">
            <v>0</v>
          </cell>
          <cell r="S6770">
            <v>0</v>
          </cell>
          <cell r="T6770">
            <v>0</v>
          </cell>
          <cell r="U6770">
            <v>0</v>
          </cell>
          <cell r="V6770">
            <v>0</v>
          </cell>
          <cell r="W6770">
            <v>0</v>
          </cell>
          <cell r="X6770">
            <v>0</v>
          </cell>
          <cell r="Y6770">
            <v>0</v>
          </cell>
          <cell r="Z6770">
            <v>0</v>
          </cell>
        </row>
        <row r="6771">
          <cell r="D6771">
            <v>319220</v>
          </cell>
          <cell r="E6771" t="str">
            <v>Anonat National Agricultural and Vocational High School</v>
          </cell>
          <cell r="F6771">
            <v>0</v>
          </cell>
          <cell r="G6771">
            <v>0</v>
          </cell>
          <cell r="H6771">
            <v>0</v>
          </cell>
          <cell r="I6771">
            <v>0</v>
          </cell>
          <cell r="J6771">
            <v>0</v>
          </cell>
          <cell r="K6771">
            <v>0</v>
          </cell>
          <cell r="L6771">
            <v>0</v>
          </cell>
          <cell r="M6771">
            <v>0</v>
          </cell>
          <cell r="N6771">
            <v>0</v>
          </cell>
          <cell r="O6771">
            <v>0</v>
          </cell>
          <cell r="P6771">
            <v>0</v>
          </cell>
          <cell r="Q6771">
            <v>0</v>
          </cell>
          <cell r="R6771">
            <v>0</v>
          </cell>
          <cell r="S6771">
            <v>0</v>
          </cell>
          <cell r="T6771">
            <v>0</v>
          </cell>
          <cell r="U6771">
            <v>0</v>
          </cell>
          <cell r="V6771">
            <v>0</v>
          </cell>
          <cell r="W6771">
            <v>0</v>
          </cell>
          <cell r="X6771">
            <v>0</v>
          </cell>
          <cell r="Y6771">
            <v>0</v>
          </cell>
          <cell r="Z6771">
            <v>0</v>
          </cell>
        </row>
        <row r="6772">
          <cell r="D6772">
            <v>319217</v>
          </cell>
          <cell r="E6772" t="str">
            <v>Dacudac National High School</v>
          </cell>
          <cell r="F6772">
            <v>0</v>
          </cell>
          <cell r="G6772">
            <v>0</v>
          </cell>
          <cell r="H6772">
            <v>0</v>
          </cell>
          <cell r="I6772">
            <v>0</v>
          </cell>
          <cell r="J6772">
            <v>0</v>
          </cell>
          <cell r="K6772">
            <v>0</v>
          </cell>
          <cell r="L6772">
            <v>0</v>
          </cell>
          <cell r="M6772">
            <v>0</v>
          </cell>
          <cell r="N6772">
            <v>0</v>
          </cell>
          <cell r="O6772">
            <v>0</v>
          </cell>
          <cell r="P6772">
            <v>0</v>
          </cell>
          <cell r="Q6772">
            <v>0</v>
          </cell>
          <cell r="R6772">
            <v>0</v>
          </cell>
          <cell r="S6772">
            <v>0</v>
          </cell>
          <cell r="T6772">
            <v>0</v>
          </cell>
          <cell r="U6772">
            <v>0</v>
          </cell>
          <cell r="V6772">
            <v>0</v>
          </cell>
          <cell r="W6772">
            <v>0</v>
          </cell>
          <cell r="X6772">
            <v>0</v>
          </cell>
          <cell r="Y6772">
            <v>0</v>
          </cell>
          <cell r="Z6772">
            <v>0</v>
          </cell>
        </row>
        <row r="6773">
          <cell r="D6773">
            <v>305259</v>
          </cell>
          <cell r="E6773" t="str">
            <v>Otucan-Bila National High School</v>
          </cell>
          <cell r="F6773">
            <v>66</v>
          </cell>
          <cell r="G6773">
            <v>73</v>
          </cell>
          <cell r="H6773">
            <v>139</v>
          </cell>
          <cell r="I6773">
            <v>40</v>
          </cell>
          <cell r="J6773">
            <v>52</v>
          </cell>
          <cell r="K6773">
            <v>92</v>
          </cell>
          <cell r="L6773">
            <v>172</v>
          </cell>
          <cell r="M6773">
            <v>200</v>
          </cell>
          <cell r="N6773">
            <v>372</v>
          </cell>
          <cell r="O6773">
            <v>0</v>
          </cell>
          <cell r="P6773">
            <v>0</v>
          </cell>
          <cell r="Q6773">
            <v>0</v>
          </cell>
          <cell r="R6773">
            <v>0</v>
          </cell>
          <cell r="S6773">
            <v>0</v>
          </cell>
          <cell r="T6773">
            <v>0</v>
          </cell>
          <cell r="U6773">
            <v>0</v>
          </cell>
          <cell r="V6773">
            <v>0</v>
          </cell>
          <cell r="W6773">
            <v>0</v>
          </cell>
          <cell r="X6773">
            <v>0</v>
          </cell>
          <cell r="Y6773">
            <v>0</v>
          </cell>
          <cell r="Z6773">
            <v>0</v>
          </cell>
        </row>
        <row r="6774">
          <cell r="D6774">
            <v>340155</v>
          </cell>
          <cell r="E6774" t="str">
            <v>Natonin Stand Alone Senior High School</v>
          </cell>
          <cell r="F6774">
            <v>0</v>
          </cell>
          <cell r="G6774">
            <v>0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>
            <v>0</v>
          </cell>
          <cell r="M6774">
            <v>0</v>
          </cell>
          <cell r="N6774">
            <v>0</v>
          </cell>
          <cell r="O6774">
            <v>0</v>
          </cell>
          <cell r="P6774">
            <v>0</v>
          </cell>
          <cell r="Q6774">
            <v>0</v>
          </cell>
          <cell r="R6774">
            <v>0</v>
          </cell>
          <cell r="S6774">
            <v>0</v>
          </cell>
          <cell r="T6774">
            <v>0</v>
          </cell>
          <cell r="U6774">
            <v>0</v>
          </cell>
          <cell r="V6774">
            <v>0</v>
          </cell>
          <cell r="W6774">
            <v>0</v>
          </cell>
          <cell r="X6774">
            <v>0</v>
          </cell>
          <cell r="Y6774">
            <v>0</v>
          </cell>
          <cell r="Z6774">
            <v>0</v>
          </cell>
        </row>
        <row r="6775">
          <cell r="D6775">
            <v>305231</v>
          </cell>
          <cell r="E6775" t="str">
            <v>Paracelis Technical &amp; Vocational High School</v>
          </cell>
          <cell r="F6775">
            <v>0</v>
          </cell>
          <cell r="G6775">
            <v>0</v>
          </cell>
          <cell r="H6775">
            <v>0</v>
          </cell>
          <cell r="I6775">
            <v>0</v>
          </cell>
          <cell r="J6775">
            <v>0</v>
          </cell>
          <cell r="K6775">
            <v>0</v>
          </cell>
          <cell r="L6775">
            <v>0</v>
          </cell>
          <cell r="M6775">
            <v>0</v>
          </cell>
          <cell r="N6775">
            <v>0</v>
          </cell>
          <cell r="O6775">
            <v>0</v>
          </cell>
          <cell r="P6775">
            <v>0</v>
          </cell>
          <cell r="Q6775">
            <v>0</v>
          </cell>
          <cell r="R6775">
            <v>0</v>
          </cell>
          <cell r="S6775">
            <v>0</v>
          </cell>
          <cell r="T6775">
            <v>0</v>
          </cell>
          <cell r="U6775">
            <v>0</v>
          </cell>
          <cell r="V6775">
            <v>0</v>
          </cell>
          <cell r="W6775">
            <v>0</v>
          </cell>
          <cell r="X6775">
            <v>0</v>
          </cell>
          <cell r="Y6775">
            <v>0</v>
          </cell>
          <cell r="Z6775">
            <v>0</v>
          </cell>
        </row>
        <row r="6776">
          <cell r="D6776">
            <v>305267</v>
          </cell>
          <cell r="E6776" t="str">
            <v>Tadian School of Arts &amp; Trades</v>
          </cell>
          <cell r="F6776">
            <v>0</v>
          </cell>
          <cell r="G6776">
            <v>0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>
            <v>0</v>
          </cell>
          <cell r="M6776">
            <v>0</v>
          </cell>
          <cell r="N6776">
            <v>0</v>
          </cell>
          <cell r="O6776">
            <v>0</v>
          </cell>
          <cell r="P6776">
            <v>0</v>
          </cell>
          <cell r="Q6776">
            <v>0</v>
          </cell>
          <cell r="R6776">
            <v>0</v>
          </cell>
          <cell r="S6776">
            <v>0</v>
          </cell>
          <cell r="T6776">
            <v>0</v>
          </cell>
          <cell r="U6776">
            <v>0</v>
          </cell>
          <cell r="V6776">
            <v>0</v>
          </cell>
          <cell r="W6776">
            <v>0</v>
          </cell>
          <cell r="X6776">
            <v>0</v>
          </cell>
          <cell r="Y6776">
            <v>0</v>
          </cell>
          <cell r="Z6776">
            <v>0</v>
          </cell>
        </row>
        <row r="6777">
          <cell r="D6777">
            <v>305264</v>
          </cell>
          <cell r="E6777" t="str">
            <v>Sadanga National Technical Vocational and Skills Training High School</v>
          </cell>
          <cell r="F6777">
            <v>0</v>
          </cell>
          <cell r="G6777">
            <v>0</v>
          </cell>
          <cell r="H6777">
            <v>0</v>
          </cell>
          <cell r="I6777">
            <v>0</v>
          </cell>
          <cell r="J6777">
            <v>0</v>
          </cell>
          <cell r="K6777">
            <v>0</v>
          </cell>
          <cell r="L6777">
            <v>0</v>
          </cell>
          <cell r="M6777">
            <v>0</v>
          </cell>
          <cell r="N6777">
            <v>0</v>
          </cell>
          <cell r="O6777">
            <v>0</v>
          </cell>
          <cell r="P6777">
            <v>0</v>
          </cell>
          <cell r="Q6777">
            <v>0</v>
          </cell>
          <cell r="R6777">
            <v>0</v>
          </cell>
          <cell r="S6777">
            <v>0</v>
          </cell>
          <cell r="T6777">
            <v>0</v>
          </cell>
          <cell r="U6777">
            <v>0</v>
          </cell>
          <cell r="V6777">
            <v>0</v>
          </cell>
          <cell r="W6777">
            <v>0</v>
          </cell>
          <cell r="X6777">
            <v>0</v>
          </cell>
          <cell r="Y6777">
            <v>0</v>
          </cell>
          <cell r="Z6777">
            <v>0</v>
          </cell>
        </row>
        <row r="6778">
          <cell r="D6778">
            <v>305244</v>
          </cell>
          <cell r="E6778" t="str">
            <v>Guinzadan National High School</v>
          </cell>
          <cell r="F6778">
            <v>17</v>
          </cell>
          <cell r="G6778">
            <v>135</v>
          </cell>
          <cell r="H6778">
            <v>152</v>
          </cell>
          <cell r="I6778">
            <v>93</v>
          </cell>
          <cell r="J6778">
            <v>103</v>
          </cell>
          <cell r="K6778">
            <v>196</v>
          </cell>
          <cell r="L6778">
            <v>607</v>
          </cell>
          <cell r="M6778">
            <v>513</v>
          </cell>
          <cell r="N6778">
            <v>1120</v>
          </cell>
          <cell r="O6778">
            <v>0</v>
          </cell>
          <cell r="P6778">
            <v>0</v>
          </cell>
          <cell r="Q6778">
            <v>0</v>
          </cell>
          <cell r="R6778">
            <v>0</v>
          </cell>
          <cell r="S6778">
            <v>0</v>
          </cell>
          <cell r="T6778">
            <v>0</v>
          </cell>
          <cell r="U6778">
            <v>0</v>
          </cell>
          <cell r="V6778">
            <v>0</v>
          </cell>
          <cell r="W6778">
            <v>0</v>
          </cell>
          <cell r="X6778">
            <v>0</v>
          </cell>
          <cell r="Y6778">
            <v>0</v>
          </cell>
          <cell r="Z6778">
            <v>0</v>
          </cell>
        </row>
        <row r="6779">
          <cell r="D6779">
            <v>305265</v>
          </cell>
          <cell r="E6779" t="str">
            <v>Sagada National High School</v>
          </cell>
          <cell r="F6779">
            <v>0</v>
          </cell>
          <cell r="G6779">
            <v>0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0</v>
          </cell>
          <cell r="M6779">
            <v>0</v>
          </cell>
          <cell r="N6779">
            <v>0</v>
          </cell>
          <cell r="O6779">
            <v>0</v>
          </cell>
          <cell r="P6779">
            <v>0</v>
          </cell>
          <cell r="Q6779">
            <v>0</v>
          </cell>
          <cell r="R6779">
            <v>0</v>
          </cell>
          <cell r="S6779">
            <v>0</v>
          </cell>
          <cell r="T6779">
            <v>0</v>
          </cell>
          <cell r="U6779">
            <v>0</v>
          </cell>
          <cell r="V6779">
            <v>0</v>
          </cell>
          <cell r="W6779">
            <v>0</v>
          </cell>
          <cell r="X6779">
            <v>0</v>
          </cell>
          <cell r="Y6779">
            <v>0</v>
          </cell>
          <cell r="Z6779">
            <v>0</v>
          </cell>
        </row>
        <row r="6780">
          <cell r="D6780">
            <v>305230</v>
          </cell>
          <cell r="E6780" t="str">
            <v>Bacarri National Trade &amp; Agricultural School</v>
          </cell>
          <cell r="F6780">
            <v>0</v>
          </cell>
          <cell r="G6780">
            <v>0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0</v>
          </cell>
          <cell r="M6780">
            <v>0</v>
          </cell>
          <cell r="N6780">
            <v>0</v>
          </cell>
          <cell r="O6780">
            <v>0</v>
          </cell>
          <cell r="P6780">
            <v>0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>
            <v>0</v>
          </cell>
          <cell r="V6780">
            <v>0</v>
          </cell>
          <cell r="W6780">
            <v>0</v>
          </cell>
          <cell r="X6780">
            <v>0</v>
          </cell>
          <cell r="Y6780">
            <v>0</v>
          </cell>
          <cell r="Z6780">
            <v>0</v>
          </cell>
        </row>
        <row r="6781">
          <cell r="D6781">
            <v>305247</v>
          </cell>
          <cell r="E6781" t="str">
            <v>Lubon National High School</v>
          </cell>
          <cell r="F6781">
            <v>10</v>
          </cell>
          <cell r="G6781">
            <v>11</v>
          </cell>
          <cell r="H6781">
            <v>21</v>
          </cell>
          <cell r="I6781">
            <v>7</v>
          </cell>
          <cell r="J6781">
            <v>4</v>
          </cell>
          <cell r="K6781">
            <v>11</v>
          </cell>
          <cell r="L6781">
            <v>0</v>
          </cell>
          <cell r="M6781">
            <v>0</v>
          </cell>
          <cell r="N6781">
            <v>0</v>
          </cell>
          <cell r="O6781">
            <v>0</v>
          </cell>
          <cell r="P6781">
            <v>0</v>
          </cell>
          <cell r="Q6781">
            <v>0</v>
          </cell>
          <cell r="R6781">
            <v>0</v>
          </cell>
          <cell r="S6781">
            <v>0</v>
          </cell>
          <cell r="T6781">
            <v>0</v>
          </cell>
          <cell r="U6781">
            <v>0</v>
          </cell>
          <cell r="V6781">
            <v>0</v>
          </cell>
          <cell r="W6781">
            <v>0</v>
          </cell>
          <cell r="X6781">
            <v>0</v>
          </cell>
          <cell r="Y6781">
            <v>0</v>
          </cell>
          <cell r="Z6781">
            <v>0</v>
          </cell>
        </row>
        <row r="6782">
          <cell r="D6782">
            <v>305237</v>
          </cell>
          <cell r="E6782" t="str">
            <v>Besao National High School</v>
          </cell>
          <cell r="F6782">
            <v>48</v>
          </cell>
          <cell r="G6782">
            <v>42</v>
          </cell>
          <cell r="H6782">
            <v>90</v>
          </cell>
          <cell r="I6782">
            <v>42</v>
          </cell>
          <cell r="J6782">
            <v>34</v>
          </cell>
          <cell r="K6782">
            <v>76</v>
          </cell>
          <cell r="L6782">
            <v>376</v>
          </cell>
          <cell r="M6782">
            <v>216</v>
          </cell>
          <cell r="N6782">
            <v>592</v>
          </cell>
          <cell r="O6782">
            <v>1</v>
          </cell>
          <cell r="P6782">
            <v>0</v>
          </cell>
          <cell r="Q6782">
            <v>1</v>
          </cell>
          <cell r="R6782">
            <v>1</v>
          </cell>
          <cell r="S6782">
            <v>0</v>
          </cell>
          <cell r="T6782">
            <v>1</v>
          </cell>
          <cell r="U6782">
            <v>0</v>
          </cell>
          <cell r="V6782">
            <v>0</v>
          </cell>
          <cell r="W6782">
            <v>0</v>
          </cell>
          <cell r="X6782">
            <v>0</v>
          </cell>
          <cell r="Y6782">
            <v>0</v>
          </cell>
          <cell r="Z6782">
            <v>0</v>
          </cell>
        </row>
        <row r="6783">
          <cell r="D6783">
            <v>305248</v>
          </cell>
          <cell r="E6783" t="str">
            <v>Mabaay National High School</v>
          </cell>
          <cell r="F6783">
            <v>0</v>
          </cell>
          <cell r="G6783">
            <v>0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0</v>
          </cell>
          <cell r="M6783">
            <v>0</v>
          </cell>
          <cell r="N6783">
            <v>0</v>
          </cell>
          <cell r="O6783">
            <v>0</v>
          </cell>
          <cell r="P6783">
            <v>0</v>
          </cell>
          <cell r="Q6783">
            <v>0</v>
          </cell>
          <cell r="R6783">
            <v>0</v>
          </cell>
          <cell r="S6783">
            <v>0</v>
          </cell>
          <cell r="T6783">
            <v>0</v>
          </cell>
          <cell r="U6783">
            <v>0</v>
          </cell>
          <cell r="V6783">
            <v>0</v>
          </cell>
          <cell r="W6783">
            <v>0</v>
          </cell>
          <cell r="X6783">
            <v>0</v>
          </cell>
          <cell r="Y6783">
            <v>0</v>
          </cell>
          <cell r="Z6783">
            <v>0</v>
          </cell>
        </row>
        <row r="6784">
          <cell r="D6784">
            <v>305242</v>
          </cell>
          <cell r="E6784" t="str">
            <v>Eastern Bontoc NAVHS</v>
          </cell>
          <cell r="F6784">
            <v>74</v>
          </cell>
          <cell r="G6784">
            <v>56</v>
          </cell>
          <cell r="H6784">
            <v>130</v>
          </cell>
          <cell r="I6784">
            <v>17</v>
          </cell>
          <cell r="J6784">
            <v>20</v>
          </cell>
          <cell r="K6784">
            <v>37</v>
          </cell>
          <cell r="L6784">
            <v>62</v>
          </cell>
          <cell r="M6784">
            <v>61</v>
          </cell>
          <cell r="N6784">
            <v>123</v>
          </cell>
          <cell r="O6784">
            <v>0</v>
          </cell>
          <cell r="P6784">
            <v>0</v>
          </cell>
          <cell r="Q6784">
            <v>0</v>
          </cell>
          <cell r="R6784">
            <v>0</v>
          </cell>
          <cell r="S6784">
            <v>0</v>
          </cell>
          <cell r="T6784">
            <v>0</v>
          </cell>
          <cell r="U6784">
            <v>0</v>
          </cell>
          <cell r="V6784">
            <v>0</v>
          </cell>
          <cell r="W6784">
            <v>0</v>
          </cell>
          <cell r="X6784">
            <v>0</v>
          </cell>
          <cell r="Y6784">
            <v>0</v>
          </cell>
          <cell r="Z6784">
            <v>0</v>
          </cell>
        </row>
        <row r="6785">
          <cell r="D6785">
            <v>305261</v>
          </cell>
          <cell r="E6785" t="str">
            <v>Paracelis National High School</v>
          </cell>
          <cell r="F6785">
            <v>22</v>
          </cell>
          <cell r="G6785">
            <v>36</v>
          </cell>
          <cell r="H6785">
            <v>58</v>
          </cell>
          <cell r="I6785">
            <v>0</v>
          </cell>
          <cell r="J6785">
            <v>0</v>
          </cell>
          <cell r="K6785">
            <v>0</v>
          </cell>
          <cell r="L6785">
            <v>0</v>
          </cell>
          <cell r="M6785">
            <v>0</v>
          </cell>
          <cell r="N6785">
            <v>0</v>
          </cell>
          <cell r="O6785">
            <v>0</v>
          </cell>
          <cell r="P6785">
            <v>0</v>
          </cell>
          <cell r="Q6785">
            <v>0</v>
          </cell>
          <cell r="R6785">
            <v>0</v>
          </cell>
          <cell r="S6785">
            <v>0</v>
          </cell>
          <cell r="T6785">
            <v>0</v>
          </cell>
          <cell r="U6785">
            <v>0</v>
          </cell>
          <cell r="V6785">
            <v>0</v>
          </cell>
          <cell r="W6785">
            <v>0</v>
          </cell>
          <cell r="X6785">
            <v>0</v>
          </cell>
          <cell r="Y6785">
            <v>0</v>
          </cell>
          <cell r="Z6785">
            <v>0</v>
          </cell>
        </row>
        <row r="6786">
          <cell r="D6786">
            <v>305252</v>
          </cell>
          <cell r="E6786" t="str">
            <v>Mt. Data National High School</v>
          </cell>
          <cell r="F6786">
            <v>90</v>
          </cell>
          <cell r="G6786">
            <v>119</v>
          </cell>
          <cell r="H6786">
            <v>209</v>
          </cell>
          <cell r="I6786">
            <v>1</v>
          </cell>
          <cell r="J6786">
            <v>2</v>
          </cell>
          <cell r="K6786">
            <v>3</v>
          </cell>
          <cell r="L6786">
            <v>2</v>
          </cell>
          <cell r="M6786">
            <v>3</v>
          </cell>
          <cell r="N6786">
            <v>5</v>
          </cell>
          <cell r="O6786">
            <v>0</v>
          </cell>
          <cell r="P6786">
            <v>0</v>
          </cell>
          <cell r="Q6786">
            <v>0</v>
          </cell>
          <cell r="R6786">
            <v>0</v>
          </cell>
          <cell r="S6786">
            <v>0</v>
          </cell>
          <cell r="T6786">
            <v>0</v>
          </cell>
          <cell r="U6786">
            <v>0</v>
          </cell>
          <cell r="V6786">
            <v>0</v>
          </cell>
          <cell r="W6786">
            <v>0</v>
          </cell>
          <cell r="X6786">
            <v>0</v>
          </cell>
          <cell r="Y6786">
            <v>0</v>
          </cell>
          <cell r="Z6786">
            <v>0</v>
          </cell>
        </row>
        <row r="6787">
          <cell r="D6787">
            <v>305240</v>
          </cell>
          <cell r="E6787" t="str">
            <v>Cagubatan National High School</v>
          </cell>
          <cell r="F6787">
            <v>0</v>
          </cell>
          <cell r="G6787">
            <v>0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0</v>
          </cell>
          <cell r="M6787">
            <v>0</v>
          </cell>
          <cell r="N6787">
            <v>0</v>
          </cell>
          <cell r="O6787">
            <v>0</v>
          </cell>
          <cell r="P6787">
            <v>0</v>
          </cell>
          <cell r="Q6787">
            <v>0</v>
          </cell>
          <cell r="R6787">
            <v>0</v>
          </cell>
          <cell r="S6787">
            <v>0</v>
          </cell>
          <cell r="T6787">
            <v>0</v>
          </cell>
          <cell r="U6787">
            <v>0</v>
          </cell>
          <cell r="V6787">
            <v>0</v>
          </cell>
          <cell r="W6787">
            <v>0</v>
          </cell>
          <cell r="X6787">
            <v>0</v>
          </cell>
          <cell r="Y6787">
            <v>0</v>
          </cell>
          <cell r="Z6787">
            <v>0</v>
          </cell>
        </row>
        <row r="6788">
          <cell r="D6788">
            <v>305266</v>
          </cell>
          <cell r="E6788" t="str">
            <v>Ankileng NHS (Suyo NHS)</v>
          </cell>
          <cell r="F6788">
            <v>26</v>
          </cell>
          <cell r="G6788">
            <v>12</v>
          </cell>
          <cell r="H6788">
            <v>38</v>
          </cell>
          <cell r="I6788">
            <v>14</v>
          </cell>
          <cell r="J6788">
            <v>8</v>
          </cell>
          <cell r="K6788">
            <v>22</v>
          </cell>
          <cell r="L6788">
            <v>102</v>
          </cell>
          <cell r="M6788">
            <v>50</v>
          </cell>
          <cell r="N6788">
            <v>152</v>
          </cell>
          <cell r="O6788">
            <v>0</v>
          </cell>
          <cell r="P6788">
            <v>0</v>
          </cell>
          <cell r="Q6788">
            <v>0</v>
          </cell>
          <cell r="R6788">
            <v>0</v>
          </cell>
          <cell r="S6788">
            <v>0</v>
          </cell>
          <cell r="T6788">
            <v>0</v>
          </cell>
          <cell r="U6788">
            <v>0</v>
          </cell>
          <cell r="V6788">
            <v>0</v>
          </cell>
          <cell r="W6788">
            <v>0</v>
          </cell>
          <cell r="X6788">
            <v>0</v>
          </cell>
          <cell r="Y6788">
            <v>0</v>
          </cell>
          <cell r="Z6788">
            <v>0</v>
          </cell>
        </row>
        <row r="6789">
          <cell r="D6789">
            <v>340055</v>
          </cell>
          <cell r="E6789" t="str">
            <v>Baguio City National Science High School</v>
          </cell>
          <cell r="F6789">
            <v>0</v>
          </cell>
          <cell r="G6789">
            <v>0</v>
          </cell>
          <cell r="H6789">
            <v>0</v>
          </cell>
          <cell r="I6789">
            <v>0</v>
          </cell>
          <cell r="J6789">
            <v>0</v>
          </cell>
          <cell r="K6789">
            <v>0</v>
          </cell>
          <cell r="L6789">
            <v>0</v>
          </cell>
          <cell r="M6789">
            <v>0</v>
          </cell>
          <cell r="N6789">
            <v>0</v>
          </cell>
          <cell r="O6789">
            <v>0</v>
          </cell>
          <cell r="P6789">
            <v>0</v>
          </cell>
          <cell r="Q6789">
            <v>0</v>
          </cell>
          <cell r="R6789">
            <v>0</v>
          </cell>
          <cell r="S6789">
            <v>0</v>
          </cell>
          <cell r="T6789">
            <v>0</v>
          </cell>
          <cell r="U6789">
            <v>0</v>
          </cell>
          <cell r="V6789">
            <v>0</v>
          </cell>
          <cell r="W6789">
            <v>0</v>
          </cell>
          <cell r="X6789">
            <v>0</v>
          </cell>
          <cell r="Y6789">
            <v>0</v>
          </cell>
          <cell r="Z6789">
            <v>0</v>
          </cell>
        </row>
        <row r="6790">
          <cell r="D6790">
            <v>305280</v>
          </cell>
          <cell r="E6790" t="str">
            <v>Irisan National High School</v>
          </cell>
          <cell r="F6790">
            <v>16</v>
          </cell>
          <cell r="G6790">
            <v>26</v>
          </cell>
          <cell r="H6790">
            <v>42</v>
          </cell>
          <cell r="I6790">
            <v>4</v>
          </cell>
          <cell r="J6790">
            <v>9</v>
          </cell>
          <cell r="K6790">
            <v>13</v>
          </cell>
          <cell r="L6790">
            <v>0</v>
          </cell>
          <cell r="M6790">
            <v>0</v>
          </cell>
          <cell r="N6790">
            <v>0</v>
          </cell>
          <cell r="O6790">
            <v>1</v>
          </cell>
          <cell r="P6790">
            <v>3</v>
          </cell>
          <cell r="Q6790">
            <v>4</v>
          </cell>
          <cell r="R6790">
            <v>0</v>
          </cell>
          <cell r="S6790">
            <v>0</v>
          </cell>
          <cell r="T6790">
            <v>0</v>
          </cell>
          <cell r="U6790">
            <v>0</v>
          </cell>
          <cell r="V6790">
            <v>0</v>
          </cell>
          <cell r="W6790">
            <v>0</v>
          </cell>
          <cell r="X6790">
            <v>0</v>
          </cell>
          <cell r="Y6790">
            <v>0</v>
          </cell>
          <cell r="Z6790">
            <v>0</v>
          </cell>
        </row>
        <row r="6791">
          <cell r="D6791">
            <v>305275</v>
          </cell>
          <cell r="E6791" t="str">
            <v>Mil-an National High School</v>
          </cell>
          <cell r="F6791">
            <v>57</v>
          </cell>
          <cell r="G6791">
            <v>48</v>
          </cell>
          <cell r="H6791">
            <v>105</v>
          </cell>
          <cell r="I6791">
            <v>43</v>
          </cell>
          <cell r="J6791">
            <v>34</v>
          </cell>
          <cell r="K6791">
            <v>77</v>
          </cell>
          <cell r="L6791">
            <v>14</v>
          </cell>
          <cell r="M6791">
            <v>14</v>
          </cell>
          <cell r="N6791">
            <v>28</v>
          </cell>
          <cell r="O6791">
            <v>0</v>
          </cell>
          <cell r="P6791">
            <v>0</v>
          </cell>
          <cell r="Q6791">
            <v>0</v>
          </cell>
          <cell r="R6791">
            <v>0</v>
          </cell>
          <cell r="S6791">
            <v>0</v>
          </cell>
          <cell r="T6791">
            <v>0</v>
          </cell>
          <cell r="U6791">
            <v>0</v>
          </cell>
          <cell r="V6791">
            <v>0</v>
          </cell>
          <cell r="W6791">
            <v>0</v>
          </cell>
          <cell r="X6791">
            <v>0</v>
          </cell>
          <cell r="Y6791">
            <v>0</v>
          </cell>
          <cell r="Z6791">
            <v>0</v>
          </cell>
        </row>
        <row r="6792">
          <cell r="D6792">
            <v>305284</v>
          </cell>
          <cell r="E6792" t="str">
            <v>Joaquin Smith National High School</v>
          </cell>
          <cell r="F6792">
            <v>0</v>
          </cell>
          <cell r="G6792">
            <v>0</v>
          </cell>
          <cell r="H6792">
            <v>0</v>
          </cell>
          <cell r="I6792">
            <v>0</v>
          </cell>
          <cell r="J6792">
            <v>0</v>
          </cell>
          <cell r="K6792">
            <v>0</v>
          </cell>
          <cell r="L6792">
            <v>0</v>
          </cell>
          <cell r="M6792">
            <v>0</v>
          </cell>
          <cell r="N6792">
            <v>0</v>
          </cell>
          <cell r="O6792">
            <v>0</v>
          </cell>
          <cell r="P6792">
            <v>0</v>
          </cell>
          <cell r="Q6792">
            <v>0</v>
          </cell>
          <cell r="R6792">
            <v>0</v>
          </cell>
          <cell r="S6792">
            <v>0</v>
          </cell>
          <cell r="T6792">
            <v>0</v>
          </cell>
          <cell r="U6792">
            <v>0</v>
          </cell>
          <cell r="V6792">
            <v>0</v>
          </cell>
          <cell r="W6792">
            <v>0</v>
          </cell>
          <cell r="X6792">
            <v>0</v>
          </cell>
          <cell r="Y6792">
            <v>0</v>
          </cell>
          <cell r="Z6792">
            <v>0</v>
          </cell>
        </row>
        <row r="6793">
          <cell r="D6793">
            <v>305279</v>
          </cell>
          <cell r="E6793" t="str">
            <v>Sto. Tomas National High School</v>
          </cell>
          <cell r="F6793">
            <v>0</v>
          </cell>
          <cell r="G6793">
            <v>0</v>
          </cell>
          <cell r="H6793">
            <v>0</v>
          </cell>
          <cell r="I6793">
            <v>0</v>
          </cell>
          <cell r="J6793">
            <v>0</v>
          </cell>
          <cell r="K6793">
            <v>0</v>
          </cell>
          <cell r="L6793">
            <v>0</v>
          </cell>
          <cell r="M6793">
            <v>0</v>
          </cell>
          <cell r="N6793">
            <v>0</v>
          </cell>
          <cell r="O6793">
            <v>0</v>
          </cell>
          <cell r="P6793">
            <v>0</v>
          </cell>
          <cell r="Q6793">
            <v>0</v>
          </cell>
          <cell r="R6793">
            <v>0</v>
          </cell>
          <cell r="S6793">
            <v>0</v>
          </cell>
          <cell r="T6793">
            <v>0</v>
          </cell>
          <cell r="U6793">
            <v>0</v>
          </cell>
          <cell r="V6793">
            <v>0</v>
          </cell>
          <cell r="W6793">
            <v>0</v>
          </cell>
          <cell r="X6793">
            <v>0</v>
          </cell>
          <cell r="Y6793">
            <v>0</v>
          </cell>
          <cell r="Z6793">
            <v>0</v>
          </cell>
        </row>
        <row r="6794">
          <cell r="D6794">
            <v>305281</v>
          </cell>
          <cell r="E6794" t="str">
            <v>Pines City National High School</v>
          </cell>
          <cell r="F6794">
            <v>102</v>
          </cell>
          <cell r="G6794">
            <v>67</v>
          </cell>
          <cell r="H6794">
            <v>169</v>
          </cell>
          <cell r="I6794">
            <v>67</v>
          </cell>
          <cell r="J6794">
            <v>42</v>
          </cell>
          <cell r="K6794">
            <v>109</v>
          </cell>
          <cell r="L6794">
            <v>715</v>
          </cell>
          <cell r="M6794">
            <v>484</v>
          </cell>
          <cell r="N6794">
            <v>1199</v>
          </cell>
          <cell r="O6794">
            <v>0</v>
          </cell>
          <cell r="P6794">
            <v>0</v>
          </cell>
          <cell r="Q6794">
            <v>0</v>
          </cell>
          <cell r="R6794">
            <v>0</v>
          </cell>
          <cell r="S6794">
            <v>0</v>
          </cell>
          <cell r="T6794">
            <v>0</v>
          </cell>
          <cell r="U6794">
            <v>15</v>
          </cell>
          <cell r="V6794">
            <v>12</v>
          </cell>
          <cell r="W6794">
            <v>27</v>
          </cell>
          <cell r="X6794">
            <v>10</v>
          </cell>
          <cell r="Y6794">
            <v>15</v>
          </cell>
          <cell r="Z6794">
            <v>25</v>
          </cell>
        </row>
        <row r="6795">
          <cell r="D6795">
            <v>305269</v>
          </cell>
          <cell r="E6795" t="str">
            <v>Baguio City High School - Main</v>
          </cell>
          <cell r="F6795">
            <v>258</v>
          </cell>
          <cell r="G6795">
            <v>108</v>
          </cell>
          <cell r="H6795">
            <v>366</v>
          </cell>
          <cell r="I6795">
            <v>236</v>
          </cell>
          <cell r="J6795">
            <v>86</v>
          </cell>
          <cell r="K6795">
            <v>322</v>
          </cell>
          <cell r="L6795">
            <v>1016</v>
          </cell>
          <cell r="M6795">
            <v>275</v>
          </cell>
          <cell r="N6795">
            <v>1291</v>
          </cell>
          <cell r="O6795">
            <v>0</v>
          </cell>
          <cell r="P6795">
            <v>0</v>
          </cell>
          <cell r="Q6795">
            <v>0</v>
          </cell>
          <cell r="R6795">
            <v>0</v>
          </cell>
          <cell r="S6795">
            <v>0</v>
          </cell>
          <cell r="T6795">
            <v>0</v>
          </cell>
          <cell r="U6795">
            <v>0</v>
          </cell>
          <cell r="V6795">
            <v>0</v>
          </cell>
          <cell r="W6795">
            <v>0</v>
          </cell>
          <cell r="X6795">
            <v>0</v>
          </cell>
          <cell r="Y6795">
            <v>0</v>
          </cell>
          <cell r="Z6795">
            <v>0</v>
          </cell>
        </row>
        <row r="6796">
          <cell r="D6796">
            <v>305282</v>
          </cell>
          <cell r="E6796" t="str">
            <v>Guisad Valley National High School</v>
          </cell>
          <cell r="F6796">
            <v>0</v>
          </cell>
          <cell r="G6796">
            <v>0</v>
          </cell>
          <cell r="H6796">
            <v>0</v>
          </cell>
          <cell r="I6796">
            <v>0</v>
          </cell>
          <cell r="J6796">
            <v>0</v>
          </cell>
          <cell r="K6796">
            <v>0</v>
          </cell>
          <cell r="L6796">
            <v>0</v>
          </cell>
          <cell r="M6796">
            <v>0</v>
          </cell>
          <cell r="N6796">
            <v>0</v>
          </cell>
          <cell r="O6796">
            <v>0</v>
          </cell>
          <cell r="P6796">
            <v>0</v>
          </cell>
          <cell r="Q6796">
            <v>0</v>
          </cell>
          <cell r="R6796">
            <v>0</v>
          </cell>
          <cell r="S6796">
            <v>0</v>
          </cell>
          <cell r="T6796">
            <v>0</v>
          </cell>
          <cell r="U6796">
            <v>0</v>
          </cell>
          <cell r="V6796">
            <v>0</v>
          </cell>
          <cell r="W6796">
            <v>0</v>
          </cell>
          <cell r="X6796">
            <v>0</v>
          </cell>
          <cell r="Y6796">
            <v>0</v>
          </cell>
          <cell r="Z6796">
            <v>0</v>
          </cell>
        </row>
        <row r="6797">
          <cell r="D6797">
            <v>303115</v>
          </cell>
          <cell r="E6797" t="str">
            <v>PHILIPPINE SCIENCE HIGH SCHOOL - CORDILLERA ADMINISTRATIVE REGION</v>
          </cell>
          <cell r="F6797">
            <v>0</v>
          </cell>
          <cell r="G6797">
            <v>0</v>
          </cell>
          <cell r="H6797">
            <v>0</v>
          </cell>
          <cell r="I6797">
            <v>0</v>
          </cell>
          <cell r="J6797">
            <v>0</v>
          </cell>
          <cell r="K6797">
            <v>0</v>
          </cell>
          <cell r="L6797">
            <v>0</v>
          </cell>
          <cell r="M6797">
            <v>0</v>
          </cell>
          <cell r="N6797">
            <v>0</v>
          </cell>
          <cell r="O6797">
            <v>0</v>
          </cell>
          <cell r="P6797">
            <v>0</v>
          </cell>
          <cell r="Q6797">
            <v>0</v>
          </cell>
          <cell r="R6797">
            <v>0</v>
          </cell>
          <cell r="S6797">
            <v>0</v>
          </cell>
          <cell r="T6797">
            <v>0</v>
          </cell>
          <cell r="U6797">
            <v>0</v>
          </cell>
          <cell r="V6797">
            <v>0</v>
          </cell>
          <cell r="W6797">
            <v>0</v>
          </cell>
          <cell r="X6797">
            <v>0</v>
          </cell>
          <cell r="Y6797">
            <v>0</v>
          </cell>
          <cell r="Z6797">
            <v>0</v>
          </cell>
        </row>
        <row r="6798">
          <cell r="D6798">
            <v>305205</v>
          </cell>
          <cell r="E6798" t="str">
            <v>Kalinga National High School</v>
          </cell>
          <cell r="F6798">
            <v>0</v>
          </cell>
          <cell r="G6798">
            <v>0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>
            <v>0</v>
          </cell>
          <cell r="M6798">
            <v>0</v>
          </cell>
          <cell r="N6798">
            <v>0</v>
          </cell>
          <cell r="O6798">
            <v>0</v>
          </cell>
          <cell r="P6798">
            <v>0</v>
          </cell>
          <cell r="Q6798">
            <v>0</v>
          </cell>
          <cell r="R6798">
            <v>0</v>
          </cell>
          <cell r="S6798">
            <v>0</v>
          </cell>
          <cell r="T6798">
            <v>0</v>
          </cell>
          <cell r="U6798">
            <v>0</v>
          </cell>
          <cell r="V6798">
            <v>0</v>
          </cell>
          <cell r="W6798">
            <v>0</v>
          </cell>
          <cell r="X6798">
            <v>0</v>
          </cell>
          <cell r="Y6798">
            <v>0</v>
          </cell>
          <cell r="Z6798">
            <v>0</v>
          </cell>
        </row>
        <row r="6799">
          <cell r="D6799">
            <v>305226</v>
          </cell>
          <cell r="E6799" t="str">
            <v>TUGA NATIONAL HIGH SCHOOL</v>
          </cell>
          <cell r="F6799">
            <v>0</v>
          </cell>
          <cell r="G6799">
            <v>0</v>
          </cell>
          <cell r="H6799">
            <v>0</v>
          </cell>
          <cell r="I6799">
            <v>0</v>
          </cell>
          <cell r="J6799">
            <v>0</v>
          </cell>
          <cell r="K6799">
            <v>0</v>
          </cell>
          <cell r="L6799">
            <v>0</v>
          </cell>
          <cell r="M6799">
            <v>0</v>
          </cell>
          <cell r="N6799">
            <v>0</v>
          </cell>
          <cell r="O6799">
            <v>0</v>
          </cell>
          <cell r="P6799">
            <v>0</v>
          </cell>
          <cell r="Q6799">
            <v>0</v>
          </cell>
          <cell r="R6799">
            <v>0</v>
          </cell>
          <cell r="S6799">
            <v>0</v>
          </cell>
          <cell r="T6799">
            <v>0</v>
          </cell>
          <cell r="U6799">
            <v>0</v>
          </cell>
          <cell r="V6799">
            <v>0</v>
          </cell>
          <cell r="W6799">
            <v>0</v>
          </cell>
          <cell r="X6799">
            <v>0</v>
          </cell>
          <cell r="Y6799">
            <v>0</v>
          </cell>
          <cell r="Z6799">
            <v>0</v>
          </cell>
        </row>
        <row r="6800">
          <cell r="D6800">
            <v>305212</v>
          </cell>
          <cell r="E6800" t="str">
            <v>Nambaran Agro-Industrial National High School</v>
          </cell>
          <cell r="F6800">
            <v>0</v>
          </cell>
          <cell r="G6800">
            <v>0</v>
          </cell>
          <cell r="H6800">
            <v>0</v>
          </cell>
          <cell r="I6800">
            <v>0</v>
          </cell>
          <cell r="J6800">
            <v>0</v>
          </cell>
          <cell r="K6800">
            <v>0</v>
          </cell>
          <cell r="L6800">
            <v>0</v>
          </cell>
          <cell r="M6800">
            <v>0</v>
          </cell>
          <cell r="N6800">
            <v>0</v>
          </cell>
          <cell r="O6800">
            <v>0</v>
          </cell>
          <cell r="P6800">
            <v>0</v>
          </cell>
          <cell r="Q6800">
            <v>0</v>
          </cell>
          <cell r="R6800">
            <v>0</v>
          </cell>
          <cell r="S6800">
            <v>0</v>
          </cell>
          <cell r="T6800">
            <v>0</v>
          </cell>
          <cell r="U6800">
            <v>0</v>
          </cell>
          <cell r="V6800">
            <v>0</v>
          </cell>
          <cell r="W6800">
            <v>0</v>
          </cell>
          <cell r="X6800">
            <v>0</v>
          </cell>
          <cell r="Y6800">
            <v>0</v>
          </cell>
          <cell r="Z6800">
            <v>0</v>
          </cell>
        </row>
        <row r="6801">
          <cell r="D6801">
            <v>319104</v>
          </cell>
          <cell r="E6801" t="str">
            <v>Bado Dangwa National High School</v>
          </cell>
          <cell r="F6801">
            <v>0</v>
          </cell>
          <cell r="G6801">
            <v>0</v>
          </cell>
          <cell r="H6801">
            <v>0</v>
          </cell>
          <cell r="I6801">
            <v>0</v>
          </cell>
          <cell r="J6801">
            <v>0</v>
          </cell>
          <cell r="K6801">
            <v>0</v>
          </cell>
          <cell r="L6801">
            <v>0</v>
          </cell>
          <cell r="M6801">
            <v>0</v>
          </cell>
          <cell r="N6801">
            <v>0</v>
          </cell>
          <cell r="O6801">
            <v>0</v>
          </cell>
          <cell r="P6801">
            <v>0</v>
          </cell>
          <cell r="Q6801">
            <v>0</v>
          </cell>
          <cell r="R6801">
            <v>0</v>
          </cell>
          <cell r="S6801">
            <v>0</v>
          </cell>
          <cell r="T6801">
            <v>0</v>
          </cell>
          <cell r="U6801">
            <v>0</v>
          </cell>
          <cell r="V6801">
            <v>0</v>
          </cell>
          <cell r="W6801">
            <v>0</v>
          </cell>
          <cell r="X6801">
            <v>0</v>
          </cell>
          <cell r="Y6801">
            <v>0</v>
          </cell>
          <cell r="Z6801">
            <v>0</v>
          </cell>
        </row>
        <row r="6802">
          <cell r="D6802">
            <v>305203</v>
          </cell>
          <cell r="E6802" t="str">
            <v>Cudal National High School</v>
          </cell>
          <cell r="F6802">
            <v>17</v>
          </cell>
          <cell r="G6802">
            <v>7</v>
          </cell>
          <cell r="H6802">
            <v>24</v>
          </cell>
          <cell r="I6802">
            <v>17</v>
          </cell>
          <cell r="J6802">
            <v>7</v>
          </cell>
          <cell r="K6802">
            <v>24</v>
          </cell>
          <cell r="L6802">
            <v>22</v>
          </cell>
          <cell r="M6802">
            <v>10</v>
          </cell>
          <cell r="N6802">
            <v>32</v>
          </cell>
          <cell r="O6802">
            <v>0</v>
          </cell>
          <cell r="P6802">
            <v>0</v>
          </cell>
          <cell r="Q6802">
            <v>0</v>
          </cell>
          <cell r="R6802">
            <v>0</v>
          </cell>
          <cell r="S6802">
            <v>0</v>
          </cell>
          <cell r="T6802">
            <v>0</v>
          </cell>
          <cell r="U6802">
            <v>0</v>
          </cell>
          <cell r="V6802">
            <v>0</v>
          </cell>
          <cell r="W6802">
            <v>0</v>
          </cell>
          <cell r="X6802">
            <v>0</v>
          </cell>
          <cell r="Y6802">
            <v>0</v>
          </cell>
          <cell r="Z6802">
            <v>0</v>
          </cell>
        </row>
        <row r="6803">
          <cell r="D6803">
            <v>305222</v>
          </cell>
          <cell r="E6803" t="str">
            <v>New Tanglag National High School</v>
          </cell>
          <cell r="F6803">
            <v>0</v>
          </cell>
          <cell r="G6803">
            <v>0</v>
          </cell>
          <cell r="H6803">
            <v>0</v>
          </cell>
          <cell r="I6803">
            <v>0</v>
          </cell>
          <cell r="J6803">
            <v>0</v>
          </cell>
          <cell r="K6803">
            <v>0</v>
          </cell>
          <cell r="L6803">
            <v>0</v>
          </cell>
          <cell r="M6803">
            <v>0</v>
          </cell>
          <cell r="N6803">
            <v>0</v>
          </cell>
          <cell r="O6803">
            <v>0</v>
          </cell>
          <cell r="P6803">
            <v>0</v>
          </cell>
          <cell r="Q6803">
            <v>0</v>
          </cell>
          <cell r="R6803">
            <v>0</v>
          </cell>
          <cell r="S6803">
            <v>0</v>
          </cell>
          <cell r="T6803">
            <v>0</v>
          </cell>
          <cell r="U6803">
            <v>0</v>
          </cell>
          <cell r="V6803">
            <v>0</v>
          </cell>
          <cell r="W6803">
            <v>0</v>
          </cell>
          <cell r="X6803">
            <v>0</v>
          </cell>
          <cell r="Y6803">
            <v>0</v>
          </cell>
          <cell r="Z6803">
            <v>0</v>
          </cell>
        </row>
        <row r="6804">
          <cell r="D6804">
            <v>305195</v>
          </cell>
          <cell r="E6804" t="str">
            <v>Agbannawag National High School</v>
          </cell>
          <cell r="F6804">
            <v>0</v>
          </cell>
          <cell r="G6804">
            <v>0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>
            <v>0</v>
          </cell>
          <cell r="M6804">
            <v>0</v>
          </cell>
          <cell r="N6804">
            <v>0</v>
          </cell>
          <cell r="O6804">
            <v>0</v>
          </cell>
          <cell r="P6804">
            <v>0</v>
          </cell>
          <cell r="Q6804">
            <v>0</v>
          </cell>
          <cell r="R6804">
            <v>0</v>
          </cell>
          <cell r="S6804">
            <v>0</v>
          </cell>
          <cell r="T6804">
            <v>0</v>
          </cell>
          <cell r="U6804">
            <v>0</v>
          </cell>
          <cell r="V6804">
            <v>0</v>
          </cell>
          <cell r="W6804">
            <v>0</v>
          </cell>
          <cell r="X6804">
            <v>0</v>
          </cell>
          <cell r="Y6804">
            <v>0</v>
          </cell>
          <cell r="Z6804">
            <v>0</v>
          </cell>
        </row>
        <row r="6805">
          <cell r="D6805">
            <v>305221</v>
          </cell>
          <cell r="E6805" t="str">
            <v>Tabuk City National High School</v>
          </cell>
          <cell r="F6805">
            <v>0</v>
          </cell>
          <cell r="G6805">
            <v>0</v>
          </cell>
          <cell r="H6805">
            <v>0</v>
          </cell>
          <cell r="I6805">
            <v>0</v>
          </cell>
          <cell r="J6805">
            <v>0</v>
          </cell>
          <cell r="K6805">
            <v>0</v>
          </cell>
          <cell r="L6805">
            <v>0</v>
          </cell>
          <cell r="M6805">
            <v>0</v>
          </cell>
          <cell r="N6805">
            <v>0</v>
          </cell>
          <cell r="O6805">
            <v>0</v>
          </cell>
          <cell r="P6805">
            <v>0</v>
          </cell>
          <cell r="Q6805">
            <v>0</v>
          </cell>
          <cell r="R6805">
            <v>0</v>
          </cell>
          <cell r="S6805">
            <v>0</v>
          </cell>
          <cell r="T6805">
            <v>0</v>
          </cell>
          <cell r="U6805">
            <v>0</v>
          </cell>
          <cell r="V6805">
            <v>0</v>
          </cell>
          <cell r="W6805">
            <v>0</v>
          </cell>
          <cell r="X6805">
            <v>0</v>
          </cell>
          <cell r="Y6805">
            <v>0</v>
          </cell>
          <cell r="Z6805">
            <v>0</v>
          </cell>
        </row>
        <row r="6806">
          <cell r="D6806">
            <v>305198</v>
          </cell>
          <cell r="E6806" t="str">
            <v>Balawag National High School</v>
          </cell>
          <cell r="F6806">
            <v>0</v>
          </cell>
          <cell r="G6806">
            <v>0</v>
          </cell>
          <cell r="H6806">
            <v>0</v>
          </cell>
          <cell r="I6806">
            <v>0</v>
          </cell>
          <cell r="J6806">
            <v>0</v>
          </cell>
          <cell r="K6806">
            <v>0</v>
          </cell>
          <cell r="L6806">
            <v>0</v>
          </cell>
          <cell r="M6806">
            <v>0</v>
          </cell>
          <cell r="N6806">
            <v>0</v>
          </cell>
          <cell r="O6806">
            <v>0</v>
          </cell>
          <cell r="P6806">
            <v>0</v>
          </cell>
          <cell r="Q6806">
            <v>0</v>
          </cell>
          <cell r="R6806">
            <v>0</v>
          </cell>
          <cell r="S6806">
            <v>0</v>
          </cell>
          <cell r="T6806">
            <v>0</v>
          </cell>
          <cell r="U6806">
            <v>0</v>
          </cell>
          <cell r="V6806">
            <v>0</v>
          </cell>
          <cell r="W6806">
            <v>0</v>
          </cell>
          <cell r="X6806">
            <v>0</v>
          </cell>
          <cell r="Y6806">
            <v>0</v>
          </cell>
          <cell r="Z6806">
            <v>0</v>
          </cell>
        </row>
        <row r="6807">
          <cell r="D6807">
            <v>305401</v>
          </cell>
          <cell r="E6807" t="str">
            <v>Marikina Science HS</v>
          </cell>
          <cell r="F6807">
            <v>0</v>
          </cell>
          <cell r="G6807">
            <v>0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>
            <v>0</v>
          </cell>
          <cell r="M6807">
            <v>0</v>
          </cell>
          <cell r="N6807">
            <v>0</v>
          </cell>
          <cell r="O6807">
            <v>0</v>
          </cell>
          <cell r="P6807">
            <v>0</v>
          </cell>
          <cell r="Q6807">
            <v>0</v>
          </cell>
          <cell r="R6807">
            <v>0</v>
          </cell>
          <cell r="S6807">
            <v>0</v>
          </cell>
          <cell r="T6807">
            <v>0</v>
          </cell>
          <cell r="U6807">
            <v>0</v>
          </cell>
          <cell r="V6807">
            <v>0</v>
          </cell>
          <cell r="W6807">
            <v>0</v>
          </cell>
          <cell r="X6807">
            <v>0</v>
          </cell>
          <cell r="Y6807">
            <v>0</v>
          </cell>
          <cell r="Z6807">
            <v>0</v>
          </cell>
        </row>
        <row r="6808">
          <cell r="D6808">
            <v>500052</v>
          </cell>
          <cell r="E6808" t="str">
            <v>Concepcion Integrated School</v>
          </cell>
          <cell r="F6808">
            <v>0</v>
          </cell>
          <cell r="G6808">
            <v>0</v>
          </cell>
          <cell r="H6808">
            <v>0</v>
          </cell>
          <cell r="I6808">
            <v>0</v>
          </cell>
          <cell r="J6808">
            <v>0</v>
          </cell>
          <cell r="K6808">
            <v>0</v>
          </cell>
          <cell r="L6808">
            <v>0</v>
          </cell>
          <cell r="M6808">
            <v>0</v>
          </cell>
          <cell r="N6808">
            <v>0</v>
          </cell>
          <cell r="O6808">
            <v>0</v>
          </cell>
          <cell r="P6808">
            <v>0</v>
          </cell>
          <cell r="Q6808">
            <v>0</v>
          </cell>
          <cell r="R6808">
            <v>0</v>
          </cell>
          <cell r="S6808">
            <v>0</v>
          </cell>
          <cell r="T6808">
            <v>0</v>
          </cell>
          <cell r="U6808">
            <v>0</v>
          </cell>
          <cell r="V6808">
            <v>0</v>
          </cell>
          <cell r="W6808">
            <v>0</v>
          </cell>
          <cell r="X6808">
            <v>0</v>
          </cell>
          <cell r="Y6808">
            <v>0</v>
          </cell>
          <cell r="Z6808">
            <v>0</v>
          </cell>
        </row>
        <row r="6809">
          <cell r="D6809">
            <v>319901</v>
          </cell>
          <cell r="E6809" t="str">
            <v>Nangka HS</v>
          </cell>
          <cell r="F6809">
            <v>0</v>
          </cell>
          <cell r="G6809">
            <v>0</v>
          </cell>
          <cell r="H6809">
            <v>0</v>
          </cell>
          <cell r="I6809">
            <v>0</v>
          </cell>
          <cell r="J6809">
            <v>0</v>
          </cell>
          <cell r="K6809">
            <v>0</v>
          </cell>
          <cell r="L6809">
            <v>0</v>
          </cell>
          <cell r="M6809">
            <v>0</v>
          </cell>
          <cell r="N6809">
            <v>0</v>
          </cell>
          <cell r="O6809">
            <v>0</v>
          </cell>
          <cell r="P6809">
            <v>0</v>
          </cell>
          <cell r="Q6809">
            <v>0</v>
          </cell>
          <cell r="R6809">
            <v>0</v>
          </cell>
          <cell r="S6809">
            <v>0</v>
          </cell>
          <cell r="T6809">
            <v>0</v>
          </cell>
          <cell r="U6809">
            <v>0</v>
          </cell>
          <cell r="V6809">
            <v>0</v>
          </cell>
          <cell r="W6809">
            <v>0</v>
          </cell>
          <cell r="X6809">
            <v>0</v>
          </cell>
          <cell r="Y6809">
            <v>0</v>
          </cell>
          <cell r="Z6809">
            <v>0</v>
          </cell>
        </row>
        <row r="6810">
          <cell r="D6810">
            <v>305398</v>
          </cell>
          <cell r="E6810" t="str">
            <v>Marikina HS</v>
          </cell>
          <cell r="F6810">
            <v>0</v>
          </cell>
          <cell r="G6810">
            <v>0</v>
          </cell>
          <cell r="H6810">
            <v>0</v>
          </cell>
          <cell r="I6810">
            <v>0</v>
          </cell>
          <cell r="J6810">
            <v>0</v>
          </cell>
          <cell r="K6810">
            <v>0</v>
          </cell>
          <cell r="L6810">
            <v>0</v>
          </cell>
          <cell r="M6810">
            <v>0</v>
          </cell>
          <cell r="N6810">
            <v>0</v>
          </cell>
          <cell r="O6810">
            <v>0</v>
          </cell>
          <cell r="P6810">
            <v>0</v>
          </cell>
          <cell r="Q6810">
            <v>0</v>
          </cell>
          <cell r="R6810">
            <v>0</v>
          </cell>
          <cell r="S6810">
            <v>0</v>
          </cell>
          <cell r="T6810">
            <v>0</v>
          </cell>
          <cell r="U6810">
            <v>0</v>
          </cell>
          <cell r="V6810">
            <v>0</v>
          </cell>
          <cell r="W6810">
            <v>0</v>
          </cell>
          <cell r="X6810">
            <v>0</v>
          </cell>
          <cell r="Y6810">
            <v>0</v>
          </cell>
          <cell r="Z6810">
            <v>0</v>
          </cell>
        </row>
        <row r="6811">
          <cell r="D6811">
            <v>305404</v>
          </cell>
          <cell r="E6811" t="str">
            <v>Parang HS</v>
          </cell>
          <cell r="F6811">
            <v>0</v>
          </cell>
          <cell r="G6811">
            <v>0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0</v>
          </cell>
          <cell r="M6811">
            <v>0</v>
          </cell>
          <cell r="N6811">
            <v>0</v>
          </cell>
          <cell r="O6811">
            <v>0</v>
          </cell>
          <cell r="P6811">
            <v>0</v>
          </cell>
          <cell r="Q6811">
            <v>0</v>
          </cell>
          <cell r="R6811">
            <v>0</v>
          </cell>
          <cell r="S6811">
            <v>0</v>
          </cell>
          <cell r="T6811">
            <v>0</v>
          </cell>
          <cell r="U6811">
            <v>0</v>
          </cell>
          <cell r="V6811">
            <v>0</v>
          </cell>
          <cell r="W6811">
            <v>0</v>
          </cell>
          <cell r="X6811">
            <v>0</v>
          </cell>
          <cell r="Y6811">
            <v>0</v>
          </cell>
          <cell r="Z6811">
            <v>0</v>
          </cell>
        </row>
        <row r="6812">
          <cell r="D6812">
            <v>320101</v>
          </cell>
          <cell r="E6812" t="str">
            <v>Pasig City Science HS</v>
          </cell>
          <cell r="F6812">
            <v>200</v>
          </cell>
          <cell r="G6812">
            <v>144</v>
          </cell>
          <cell r="H6812">
            <v>344</v>
          </cell>
          <cell r="I6812">
            <v>3</v>
          </cell>
          <cell r="J6812">
            <v>2</v>
          </cell>
          <cell r="K6812">
            <v>5</v>
          </cell>
          <cell r="L6812">
            <v>3</v>
          </cell>
          <cell r="M6812">
            <v>2</v>
          </cell>
          <cell r="N6812">
            <v>5</v>
          </cell>
          <cell r="O6812">
            <v>0</v>
          </cell>
          <cell r="P6812">
            <v>0</v>
          </cell>
          <cell r="Q6812">
            <v>0</v>
          </cell>
          <cell r="R6812">
            <v>0</v>
          </cell>
          <cell r="S6812">
            <v>0</v>
          </cell>
          <cell r="T6812">
            <v>0</v>
          </cell>
          <cell r="U6812">
            <v>0</v>
          </cell>
          <cell r="V6812">
            <v>0</v>
          </cell>
          <cell r="W6812">
            <v>0</v>
          </cell>
          <cell r="X6812">
            <v>0</v>
          </cell>
          <cell r="Y6812">
            <v>0</v>
          </cell>
          <cell r="Z6812">
            <v>0</v>
          </cell>
        </row>
        <row r="6813">
          <cell r="D6813">
            <v>320001</v>
          </cell>
          <cell r="E6813" t="str">
            <v>Pitogo HS</v>
          </cell>
          <cell r="F6813">
            <v>0</v>
          </cell>
          <cell r="G6813">
            <v>0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>
            <v>0</v>
          </cell>
          <cell r="M6813">
            <v>0</v>
          </cell>
          <cell r="N6813">
            <v>0</v>
          </cell>
          <cell r="O6813">
            <v>0</v>
          </cell>
          <cell r="P6813">
            <v>0</v>
          </cell>
          <cell r="Q6813">
            <v>0</v>
          </cell>
          <cell r="R6813">
            <v>0</v>
          </cell>
          <cell r="S6813">
            <v>0</v>
          </cell>
          <cell r="T6813">
            <v>0</v>
          </cell>
          <cell r="U6813">
            <v>0</v>
          </cell>
          <cell r="V6813">
            <v>0</v>
          </cell>
          <cell r="W6813">
            <v>0</v>
          </cell>
          <cell r="X6813">
            <v>0</v>
          </cell>
          <cell r="Y6813">
            <v>0</v>
          </cell>
          <cell r="Z6813">
            <v>0</v>
          </cell>
        </row>
        <row r="6814">
          <cell r="D6814">
            <v>305405</v>
          </cell>
          <cell r="E6814" t="str">
            <v>Sta. Elena HS</v>
          </cell>
          <cell r="F6814">
            <v>0</v>
          </cell>
          <cell r="G6814">
            <v>0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>
            <v>0</v>
          </cell>
          <cell r="M6814">
            <v>0</v>
          </cell>
          <cell r="N6814">
            <v>0</v>
          </cell>
          <cell r="O6814">
            <v>0</v>
          </cell>
          <cell r="P6814">
            <v>0</v>
          </cell>
          <cell r="Q6814">
            <v>0</v>
          </cell>
          <cell r="R6814">
            <v>0</v>
          </cell>
          <cell r="S6814">
            <v>0</v>
          </cell>
          <cell r="T6814">
            <v>0</v>
          </cell>
          <cell r="U6814">
            <v>0</v>
          </cell>
          <cell r="V6814">
            <v>0</v>
          </cell>
          <cell r="W6814">
            <v>0</v>
          </cell>
          <cell r="X6814">
            <v>0</v>
          </cell>
          <cell r="Y6814">
            <v>0</v>
          </cell>
          <cell r="Z6814">
            <v>0</v>
          </cell>
        </row>
        <row r="6815">
          <cell r="D6815">
            <v>340554</v>
          </cell>
          <cell r="E6815" t="str">
            <v>SHS within Nemesio Yabut ES</v>
          </cell>
          <cell r="F6815">
            <v>0</v>
          </cell>
          <cell r="G6815">
            <v>0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>
            <v>0</v>
          </cell>
          <cell r="M6815">
            <v>0</v>
          </cell>
          <cell r="N6815">
            <v>0</v>
          </cell>
          <cell r="O6815">
            <v>0</v>
          </cell>
          <cell r="P6815">
            <v>0</v>
          </cell>
          <cell r="Q6815">
            <v>0</v>
          </cell>
          <cell r="R6815">
            <v>0</v>
          </cell>
          <cell r="S6815">
            <v>0</v>
          </cell>
          <cell r="T6815">
            <v>0</v>
          </cell>
          <cell r="U6815">
            <v>0</v>
          </cell>
          <cell r="V6815">
            <v>0</v>
          </cell>
          <cell r="W6815">
            <v>0</v>
          </cell>
          <cell r="X6815">
            <v>0</v>
          </cell>
          <cell r="Y6815">
            <v>0</v>
          </cell>
          <cell r="Z6815">
            <v>0</v>
          </cell>
        </row>
        <row r="6816">
          <cell r="D6816">
            <v>319907</v>
          </cell>
          <cell r="E6816" t="str">
            <v>Jesus Dela Peña National High School</v>
          </cell>
          <cell r="F6816">
            <v>82</v>
          </cell>
          <cell r="G6816">
            <v>0</v>
          </cell>
          <cell r="H6816">
            <v>82</v>
          </cell>
          <cell r="I6816">
            <v>0</v>
          </cell>
          <cell r="J6816">
            <v>0</v>
          </cell>
          <cell r="K6816">
            <v>0</v>
          </cell>
          <cell r="L6816">
            <v>0</v>
          </cell>
          <cell r="M6816">
            <v>0</v>
          </cell>
          <cell r="N6816">
            <v>0</v>
          </cell>
          <cell r="O6816">
            <v>0</v>
          </cell>
          <cell r="P6816">
            <v>0</v>
          </cell>
          <cell r="Q6816">
            <v>0</v>
          </cell>
          <cell r="R6816">
            <v>0</v>
          </cell>
          <cell r="S6816">
            <v>0</v>
          </cell>
          <cell r="T6816">
            <v>0</v>
          </cell>
          <cell r="U6816">
            <v>0</v>
          </cell>
          <cell r="V6816">
            <v>0</v>
          </cell>
          <cell r="W6816">
            <v>0</v>
          </cell>
          <cell r="X6816">
            <v>0</v>
          </cell>
          <cell r="Y6816">
            <v>0</v>
          </cell>
          <cell r="Z6816">
            <v>0</v>
          </cell>
        </row>
        <row r="6817">
          <cell r="D6817">
            <v>305411</v>
          </cell>
          <cell r="E6817" t="str">
            <v>Fort Bonifacio HS</v>
          </cell>
          <cell r="F6817">
            <v>101</v>
          </cell>
          <cell r="G6817">
            <v>0</v>
          </cell>
          <cell r="H6817">
            <v>101</v>
          </cell>
          <cell r="I6817">
            <v>158</v>
          </cell>
          <cell r="J6817">
            <v>0</v>
          </cell>
          <cell r="K6817">
            <v>158</v>
          </cell>
          <cell r="L6817">
            <v>300</v>
          </cell>
          <cell r="M6817">
            <v>0</v>
          </cell>
          <cell r="N6817">
            <v>300</v>
          </cell>
          <cell r="O6817">
            <v>0</v>
          </cell>
          <cell r="P6817">
            <v>0</v>
          </cell>
          <cell r="Q6817">
            <v>0</v>
          </cell>
          <cell r="R6817">
            <v>0</v>
          </cell>
          <cell r="S6817">
            <v>0</v>
          </cell>
          <cell r="T6817">
            <v>0</v>
          </cell>
          <cell r="U6817">
            <v>0</v>
          </cell>
          <cell r="V6817">
            <v>0</v>
          </cell>
          <cell r="W6817">
            <v>0</v>
          </cell>
          <cell r="X6817">
            <v>0</v>
          </cell>
          <cell r="Y6817">
            <v>0</v>
          </cell>
          <cell r="Z6817">
            <v>0</v>
          </cell>
        </row>
        <row r="6818">
          <cell r="D6818">
            <v>340568</v>
          </cell>
          <cell r="E6818" t="str">
            <v>SHS within Ninoy Aquino ES</v>
          </cell>
          <cell r="F6818">
            <v>0</v>
          </cell>
          <cell r="G6818">
            <v>0</v>
          </cell>
          <cell r="H6818">
            <v>0</v>
          </cell>
          <cell r="I6818">
            <v>0</v>
          </cell>
          <cell r="J6818">
            <v>0</v>
          </cell>
          <cell r="K6818">
            <v>0</v>
          </cell>
          <cell r="L6818">
            <v>0</v>
          </cell>
          <cell r="M6818">
            <v>0</v>
          </cell>
          <cell r="N6818">
            <v>0</v>
          </cell>
          <cell r="O6818">
            <v>0</v>
          </cell>
          <cell r="P6818">
            <v>0</v>
          </cell>
          <cell r="Q6818">
            <v>0</v>
          </cell>
          <cell r="R6818">
            <v>0</v>
          </cell>
          <cell r="S6818">
            <v>0</v>
          </cell>
          <cell r="T6818">
            <v>0</v>
          </cell>
          <cell r="U6818">
            <v>0</v>
          </cell>
          <cell r="V6818">
            <v>0</v>
          </cell>
          <cell r="W6818">
            <v>0</v>
          </cell>
          <cell r="X6818">
            <v>0</v>
          </cell>
          <cell r="Y6818">
            <v>0</v>
          </cell>
          <cell r="Z6818">
            <v>0</v>
          </cell>
        </row>
        <row r="6819">
          <cell r="D6819">
            <v>305367</v>
          </cell>
          <cell r="E6819" t="str">
            <v>Pasay City East HS</v>
          </cell>
          <cell r="F6819">
            <v>0</v>
          </cell>
          <cell r="G6819">
            <v>0</v>
          </cell>
          <cell r="H6819">
            <v>0</v>
          </cell>
          <cell r="I6819">
            <v>0</v>
          </cell>
          <cell r="J6819">
            <v>0</v>
          </cell>
          <cell r="K6819">
            <v>0</v>
          </cell>
          <cell r="L6819">
            <v>0</v>
          </cell>
          <cell r="M6819">
            <v>0</v>
          </cell>
          <cell r="N6819">
            <v>0</v>
          </cell>
          <cell r="O6819">
            <v>0</v>
          </cell>
          <cell r="P6819">
            <v>0</v>
          </cell>
          <cell r="Q6819">
            <v>0</v>
          </cell>
          <cell r="R6819">
            <v>0</v>
          </cell>
          <cell r="S6819">
            <v>0</v>
          </cell>
          <cell r="T6819">
            <v>0</v>
          </cell>
          <cell r="U6819">
            <v>0</v>
          </cell>
          <cell r="V6819">
            <v>0</v>
          </cell>
          <cell r="W6819">
            <v>0</v>
          </cell>
          <cell r="X6819">
            <v>0</v>
          </cell>
          <cell r="Y6819">
            <v>0</v>
          </cell>
          <cell r="Z6819">
            <v>0</v>
          </cell>
        </row>
        <row r="6820">
          <cell r="D6820">
            <v>340694</v>
          </cell>
          <cell r="E6820" t="str">
            <v>SHS within E. Abada ES</v>
          </cell>
          <cell r="F6820">
            <v>0</v>
          </cell>
          <cell r="G6820">
            <v>0</v>
          </cell>
          <cell r="H6820">
            <v>0</v>
          </cell>
          <cell r="I6820">
            <v>0</v>
          </cell>
          <cell r="J6820">
            <v>0</v>
          </cell>
          <cell r="K6820">
            <v>0</v>
          </cell>
          <cell r="L6820">
            <v>0</v>
          </cell>
          <cell r="M6820">
            <v>0</v>
          </cell>
          <cell r="N6820">
            <v>0</v>
          </cell>
          <cell r="O6820">
            <v>0</v>
          </cell>
          <cell r="P6820">
            <v>0</v>
          </cell>
          <cell r="Q6820">
            <v>0</v>
          </cell>
          <cell r="R6820">
            <v>0</v>
          </cell>
          <cell r="S6820">
            <v>0</v>
          </cell>
          <cell r="T6820">
            <v>0</v>
          </cell>
          <cell r="U6820">
            <v>0</v>
          </cell>
          <cell r="V6820">
            <v>0</v>
          </cell>
          <cell r="W6820">
            <v>0</v>
          </cell>
          <cell r="X6820">
            <v>0</v>
          </cell>
          <cell r="Y6820">
            <v>0</v>
          </cell>
          <cell r="Z6820">
            <v>0</v>
          </cell>
        </row>
        <row r="6821">
          <cell r="D6821">
            <v>319501</v>
          </cell>
          <cell r="E6821" t="str">
            <v>Holy Spirit National High School</v>
          </cell>
          <cell r="F6821">
            <v>0</v>
          </cell>
          <cell r="G6821">
            <v>0</v>
          </cell>
          <cell r="H6821">
            <v>0</v>
          </cell>
          <cell r="I6821">
            <v>0</v>
          </cell>
          <cell r="J6821">
            <v>0</v>
          </cell>
          <cell r="K6821">
            <v>0</v>
          </cell>
          <cell r="L6821">
            <v>0</v>
          </cell>
          <cell r="M6821">
            <v>0</v>
          </cell>
          <cell r="N6821">
            <v>0</v>
          </cell>
          <cell r="O6821">
            <v>0</v>
          </cell>
          <cell r="P6821">
            <v>0</v>
          </cell>
          <cell r="Q6821">
            <v>0</v>
          </cell>
          <cell r="R6821">
            <v>0</v>
          </cell>
          <cell r="S6821">
            <v>0</v>
          </cell>
          <cell r="T6821">
            <v>0</v>
          </cell>
          <cell r="U6821">
            <v>0</v>
          </cell>
          <cell r="V6821">
            <v>0</v>
          </cell>
          <cell r="W6821">
            <v>0</v>
          </cell>
          <cell r="X6821">
            <v>0</v>
          </cell>
          <cell r="Y6821">
            <v>0</v>
          </cell>
          <cell r="Z6821">
            <v>0</v>
          </cell>
        </row>
        <row r="6822">
          <cell r="D6822">
            <v>305412</v>
          </cell>
          <cell r="E6822" t="str">
            <v>Benigno "Ninoy" S. Aquino HS</v>
          </cell>
          <cell r="F6822">
            <v>0</v>
          </cell>
          <cell r="G6822">
            <v>0</v>
          </cell>
          <cell r="H6822">
            <v>0</v>
          </cell>
          <cell r="I6822">
            <v>0</v>
          </cell>
          <cell r="J6822">
            <v>0</v>
          </cell>
          <cell r="K6822">
            <v>0</v>
          </cell>
          <cell r="L6822">
            <v>0</v>
          </cell>
          <cell r="M6822">
            <v>0</v>
          </cell>
          <cell r="N6822">
            <v>0</v>
          </cell>
          <cell r="O6822">
            <v>0</v>
          </cell>
          <cell r="P6822">
            <v>0</v>
          </cell>
          <cell r="Q6822">
            <v>0</v>
          </cell>
          <cell r="R6822">
            <v>0</v>
          </cell>
          <cell r="S6822">
            <v>0</v>
          </cell>
          <cell r="T6822">
            <v>0</v>
          </cell>
          <cell r="U6822">
            <v>0</v>
          </cell>
          <cell r="V6822">
            <v>0</v>
          </cell>
          <cell r="W6822">
            <v>0</v>
          </cell>
          <cell r="X6822">
            <v>0</v>
          </cell>
          <cell r="Y6822">
            <v>0</v>
          </cell>
          <cell r="Z6822">
            <v>0</v>
          </cell>
        </row>
        <row r="6823">
          <cell r="D6823">
            <v>305466</v>
          </cell>
          <cell r="E6823" t="str">
            <v>Pateros National High School</v>
          </cell>
          <cell r="F6823">
            <v>0</v>
          </cell>
          <cell r="G6823">
            <v>0</v>
          </cell>
          <cell r="H6823">
            <v>0</v>
          </cell>
          <cell r="I6823">
            <v>0</v>
          </cell>
          <cell r="J6823">
            <v>0</v>
          </cell>
          <cell r="K6823">
            <v>0</v>
          </cell>
          <cell r="L6823">
            <v>0</v>
          </cell>
          <cell r="M6823">
            <v>0</v>
          </cell>
          <cell r="N6823">
            <v>0</v>
          </cell>
          <cell r="O6823">
            <v>0</v>
          </cell>
          <cell r="P6823">
            <v>0</v>
          </cell>
          <cell r="Q6823">
            <v>0</v>
          </cell>
          <cell r="R6823">
            <v>0</v>
          </cell>
          <cell r="S6823">
            <v>0</v>
          </cell>
          <cell r="T6823">
            <v>0</v>
          </cell>
          <cell r="U6823">
            <v>0</v>
          </cell>
          <cell r="V6823">
            <v>0</v>
          </cell>
          <cell r="W6823">
            <v>0</v>
          </cell>
          <cell r="X6823">
            <v>0</v>
          </cell>
          <cell r="Y6823">
            <v>0</v>
          </cell>
          <cell r="Z6823">
            <v>0</v>
          </cell>
        </row>
        <row r="6824">
          <cell r="D6824">
            <v>305308</v>
          </cell>
          <cell r="E6824" t="str">
            <v>Valeriano E. Fugoso Memorial High School</v>
          </cell>
          <cell r="F6824">
            <v>0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>
            <v>0</v>
          </cell>
          <cell r="M6824">
            <v>0</v>
          </cell>
          <cell r="N6824">
            <v>0</v>
          </cell>
          <cell r="O6824">
            <v>0</v>
          </cell>
          <cell r="P6824">
            <v>0</v>
          </cell>
          <cell r="Q6824">
            <v>0</v>
          </cell>
          <cell r="R6824">
            <v>0</v>
          </cell>
          <cell r="S6824">
            <v>0</v>
          </cell>
          <cell r="T6824">
            <v>0</v>
          </cell>
          <cell r="U6824">
            <v>0</v>
          </cell>
          <cell r="V6824">
            <v>0</v>
          </cell>
          <cell r="W6824">
            <v>0</v>
          </cell>
          <cell r="X6824">
            <v>0</v>
          </cell>
          <cell r="Y6824">
            <v>0</v>
          </cell>
          <cell r="Z6824">
            <v>0</v>
          </cell>
        </row>
        <row r="6825">
          <cell r="D6825">
            <v>305410</v>
          </cell>
          <cell r="E6825" t="str">
            <v>Makati West HS (Makati Science HS)</v>
          </cell>
          <cell r="F6825">
            <v>220</v>
          </cell>
          <cell r="G6825">
            <v>173</v>
          </cell>
          <cell r="H6825">
            <v>393</v>
          </cell>
          <cell r="I6825">
            <v>75</v>
          </cell>
          <cell r="J6825">
            <v>60</v>
          </cell>
          <cell r="K6825">
            <v>135</v>
          </cell>
          <cell r="L6825">
            <v>110</v>
          </cell>
          <cell r="M6825">
            <v>102</v>
          </cell>
          <cell r="N6825">
            <v>212</v>
          </cell>
          <cell r="O6825">
            <v>15</v>
          </cell>
          <cell r="P6825">
            <v>10</v>
          </cell>
          <cell r="Q6825">
            <v>25</v>
          </cell>
          <cell r="R6825">
            <v>10</v>
          </cell>
          <cell r="S6825">
            <v>5</v>
          </cell>
          <cell r="T6825">
            <v>15</v>
          </cell>
          <cell r="U6825">
            <v>0</v>
          </cell>
          <cell r="V6825">
            <v>0</v>
          </cell>
          <cell r="W6825">
            <v>0</v>
          </cell>
          <cell r="X6825">
            <v>0</v>
          </cell>
          <cell r="Y6825">
            <v>0</v>
          </cell>
          <cell r="Z6825">
            <v>0</v>
          </cell>
        </row>
        <row r="6826">
          <cell r="D6826">
            <v>319505</v>
          </cell>
          <cell r="E6826" t="str">
            <v>Judge Feliciano Belmonte, Sr. HS</v>
          </cell>
          <cell r="F6826">
            <v>0</v>
          </cell>
          <cell r="G6826">
            <v>0</v>
          </cell>
          <cell r="H6826">
            <v>0</v>
          </cell>
          <cell r="I6826">
            <v>0</v>
          </cell>
          <cell r="J6826">
            <v>0</v>
          </cell>
          <cell r="K6826">
            <v>0</v>
          </cell>
          <cell r="L6826">
            <v>0</v>
          </cell>
          <cell r="M6826">
            <v>0</v>
          </cell>
          <cell r="N6826">
            <v>0</v>
          </cell>
          <cell r="O6826">
            <v>0</v>
          </cell>
          <cell r="P6826">
            <v>0</v>
          </cell>
          <cell r="Q6826">
            <v>0</v>
          </cell>
          <cell r="R6826">
            <v>0</v>
          </cell>
          <cell r="S6826">
            <v>0</v>
          </cell>
          <cell r="T6826">
            <v>0</v>
          </cell>
          <cell r="U6826">
            <v>0</v>
          </cell>
          <cell r="V6826">
            <v>0</v>
          </cell>
          <cell r="W6826">
            <v>0</v>
          </cell>
          <cell r="X6826">
            <v>0</v>
          </cell>
          <cell r="Y6826">
            <v>0</v>
          </cell>
          <cell r="Z6826">
            <v>0</v>
          </cell>
        </row>
        <row r="6827">
          <cell r="D6827">
            <v>305462</v>
          </cell>
          <cell r="E6827" t="str">
            <v>Gen. Ricardo G. Papa, Sr. Memorial HS Annex</v>
          </cell>
          <cell r="F6827">
            <v>133</v>
          </cell>
          <cell r="G6827">
            <v>139</v>
          </cell>
          <cell r="H6827">
            <v>272</v>
          </cell>
          <cell r="I6827">
            <v>120</v>
          </cell>
          <cell r="J6827">
            <v>132</v>
          </cell>
          <cell r="K6827">
            <v>252</v>
          </cell>
          <cell r="L6827">
            <v>1151</v>
          </cell>
          <cell r="M6827">
            <v>1129</v>
          </cell>
          <cell r="N6827">
            <v>2280</v>
          </cell>
          <cell r="O6827">
            <v>0</v>
          </cell>
          <cell r="P6827">
            <v>0</v>
          </cell>
          <cell r="Q6827">
            <v>0</v>
          </cell>
          <cell r="R6827">
            <v>0</v>
          </cell>
          <cell r="S6827">
            <v>0</v>
          </cell>
          <cell r="T6827">
            <v>0</v>
          </cell>
          <cell r="U6827">
            <v>12</v>
          </cell>
          <cell r="V6827">
            <v>7</v>
          </cell>
          <cell r="W6827">
            <v>19</v>
          </cell>
          <cell r="X6827">
            <v>0</v>
          </cell>
          <cell r="Y6827">
            <v>0</v>
          </cell>
          <cell r="Z6827">
            <v>0</v>
          </cell>
        </row>
        <row r="6828">
          <cell r="D6828">
            <v>340710</v>
          </cell>
          <cell r="E6828" t="str">
            <v>SHS within Taguig ES</v>
          </cell>
          <cell r="F6828">
            <v>38</v>
          </cell>
          <cell r="G6828">
            <v>29</v>
          </cell>
          <cell r="H6828">
            <v>67</v>
          </cell>
          <cell r="I6828">
            <v>37</v>
          </cell>
          <cell r="J6828">
            <v>29</v>
          </cell>
          <cell r="K6828">
            <v>66</v>
          </cell>
          <cell r="L6828">
            <v>379</v>
          </cell>
          <cell r="M6828">
            <v>121</v>
          </cell>
          <cell r="N6828">
            <v>500</v>
          </cell>
          <cell r="O6828">
            <v>1</v>
          </cell>
          <cell r="P6828">
            <v>0</v>
          </cell>
          <cell r="Q6828">
            <v>1</v>
          </cell>
          <cell r="R6828">
            <v>1</v>
          </cell>
          <cell r="S6828">
            <v>0</v>
          </cell>
          <cell r="T6828">
            <v>1</v>
          </cell>
          <cell r="U6828">
            <v>0</v>
          </cell>
          <cell r="V6828">
            <v>5</v>
          </cell>
          <cell r="W6828">
            <v>5</v>
          </cell>
          <cell r="X6828">
            <v>0</v>
          </cell>
          <cell r="Y6828">
            <v>14</v>
          </cell>
          <cell r="Z6828">
            <v>14</v>
          </cell>
        </row>
        <row r="6829">
          <cell r="D6829">
            <v>305459</v>
          </cell>
          <cell r="E6829" t="str">
            <v>Bagumbayan National High School</v>
          </cell>
          <cell r="F6829">
            <v>7</v>
          </cell>
          <cell r="G6829">
            <v>3</v>
          </cell>
          <cell r="H6829">
            <v>10</v>
          </cell>
          <cell r="I6829">
            <v>7</v>
          </cell>
          <cell r="J6829">
            <v>3</v>
          </cell>
          <cell r="K6829">
            <v>10</v>
          </cell>
          <cell r="L6829">
            <v>73</v>
          </cell>
          <cell r="M6829">
            <v>24</v>
          </cell>
          <cell r="N6829">
            <v>97</v>
          </cell>
          <cell r="O6829">
            <v>0</v>
          </cell>
          <cell r="P6829">
            <v>0</v>
          </cell>
          <cell r="Q6829">
            <v>0</v>
          </cell>
          <cell r="R6829">
            <v>0</v>
          </cell>
          <cell r="S6829">
            <v>0</v>
          </cell>
          <cell r="T6829">
            <v>0</v>
          </cell>
          <cell r="U6829">
            <v>0</v>
          </cell>
          <cell r="V6829">
            <v>0</v>
          </cell>
          <cell r="W6829">
            <v>0</v>
          </cell>
          <cell r="X6829">
            <v>1</v>
          </cell>
          <cell r="Y6829">
            <v>0</v>
          </cell>
          <cell r="Z6829">
            <v>1</v>
          </cell>
        </row>
        <row r="6830">
          <cell r="D6830">
            <v>320601</v>
          </cell>
          <cell r="E6830" t="str">
            <v>Taguig Science High School</v>
          </cell>
          <cell r="F6830">
            <v>252</v>
          </cell>
          <cell r="G6830">
            <v>235</v>
          </cell>
          <cell r="H6830">
            <v>487</v>
          </cell>
          <cell r="I6830">
            <v>53</v>
          </cell>
          <cell r="J6830">
            <v>0</v>
          </cell>
          <cell r="K6830">
            <v>53</v>
          </cell>
          <cell r="L6830">
            <v>193</v>
          </cell>
          <cell r="M6830">
            <v>0</v>
          </cell>
          <cell r="N6830">
            <v>193</v>
          </cell>
          <cell r="O6830">
            <v>0</v>
          </cell>
          <cell r="P6830">
            <v>0</v>
          </cell>
          <cell r="Q6830">
            <v>0</v>
          </cell>
          <cell r="R6830">
            <v>0</v>
          </cell>
          <cell r="S6830">
            <v>0</v>
          </cell>
          <cell r="T6830">
            <v>0</v>
          </cell>
          <cell r="U6830">
            <v>2</v>
          </cell>
          <cell r="V6830">
            <v>0</v>
          </cell>
          <cell r="W6830">
            <v>2</v>
          </cell>
          <cell r="X6830">
            <v>0</v>
          </cell>
          <cell r="Y6830">
            <v>0</v>
          </cell>
          <cell r="Z6830">
            <v>0</v>
          </cell>
        </row>
        <row r="6831">
          <cell r="D6831">
            <v>304946</v>
          </cell>
          <cell r="E6831" t="str">
            <v>SHS in Barangay Fort Bonifacio</v>
          </cell>
          <cell r="F6831">
            <v>0</v>
          </cell>
          <cell r="G6831">
            <v>26</v>
          </cell>
          <cell r="H6831">
            <v>26</v>
          </cell>
          <cell r="I6831">
            <v>0</v>
          </cell>
          <cell r="J6831">
            <v>23</v>
          </cell>
          <cell r="K6831">
            <v>23</v>
          </cell>
          <cell r="L6831">
            <v>0</v>
          </cell>
          <cell r="M6831">
            <v>286</v>
          </cell>
          <cell r="N6831">
            <v>286</v>
          </cell>
          <cell r="O6831">
            <v>0</v>
          </cell>
          <cell r="P6831">
            <v>0</v>
          </cell>
          <cell r="Q6831">
            <v>0</v>
          </cell>
          <cell r="R6831">
            <v>0</v>
          </cell>
          <cell r="S6831">
            <v>0</v>
          </cell>
          <cell r="T6831">
            <v>0</v>
          </cell>
          <cell r="U6831">
            <v>0</v>
          </cell>
          <cell r="V6831">
            <v>23</v>
          </cell>
          <cell r="W6831">
            <v>23</v>
          </cell>
          <cell r="X6831">
            <v>0</v>
          </cell>
          <cell r="Y6831">
            <v>0</v>
          </cell>
          <cell r="Z6831">
            <v>0</v>
          </cell>
        </row>
        <row r="6832">
          <cell r="D6832">
            <v>320604</v>
          </cell>
          <cell r="E6832" t="str">
            <v>Sen. Renato "Compañero" Cayetano Memorial Science &amp; Technology High School</v>
          </cell>
          <cell r="F6832">
            <v>0</v>
          </cell>
          <cell r="G6832">
            <v>0</v>
          </cell>
          <cell r="H6832">
            <v>0</v>
          </cell>
          <cell r="I6832">
            <v>0</v>
          </cell>
          <cell r="J6832">
            <v>0</v>
          </cell>
          <cell r="K6832">
            <v>0</v>
          </cell>
          <cell r="L6832">
            <v>0</v>
          </cell>
          <cell r="M6832">
            <v>0</v>
          </cell>
          <cell r="N6832">
            <v>0</v>
          </cell>
          <cell r="O6832">
            <v>0</v>
          </cell>
          <cell r="P6832">
            <v>0</v>
          </cell>
          <cell r="Q6832">
            <v>0</v>
          </cell>
          <cell r="R6832">
            <v>0</v>
          </cell>
          <cell r="S6832">
            <v>0</v>
          </cell>
          <cell r="T6832">
            <v>0</v>
          </cell>
          <cell r="U6832">
            <v>0</v>
          </cell>
          <cell r="V6832">
            <v>0</v>
          </cell>
          <cell r="W6832">
            <v>0</v>
          </cell>
          <cell r="X6832">
            <v>0</v>
          </cell>
          <cell r="Y6832">
            <v>0</v>
          </cell>
          <cell r="Z6832">
            <v>0</v>
          </cell>
        </row>
        <row r="6833">
          <cell r="D6833">
            <v>320607</v>
          </cell>
          <cell r="E6833" t="str">
            <v>Mayor Simplicio Manalo National HS</v>
          </cell>
          <cell r="F6833">
            <v>21</v>
          </cell>
          <cell r="G6833">
            <v>0</v>
          </cell>
          <cell r="H6833">
            <v>21</v>
          </cell>
          <cell r="I6833">
            <v>2</v>
          </cell>
          <cell r="J6833">
            <v>0</v>
          </cell>
          <cell r="K6833">
            <v>2</v>
          </cell>
          <cell r="L6833">
            <v>2</v>
          </cell>
          <cell r="M6833">
            <v>0</v>
          </cell>
          <cell r="N6833">
            <v>2</v>
          </cell>
          <cell r="O6833">
            <v>1</v>
          </cell>
          <cell r="P6833">
            <v>0</v>
          </cell>
          <cell r="Q6833">
            <v>1</v>
          </cell>
          <cell r="R6833">
            <v>1</v>
          </cell>
          <cell r="S6833">
            <v>0</v>
          </cell>
          <cell r="T6833">
            <v>1</v>
          </cell>
          <cell r="U6833">
            <v>0</v>
          </cell>
          <cell r="V6833">
            <v>0</v>
          </cell>
          <cell r="W6833">
            <v>0</v>
          </cell>
          <cell r="X6833">
            <v>0</v>
          </cell>
          <cell r="Y6833">
            <v>0</v>
          </cell>
          <cell r="Z6833">
            <v>0</v>
          </cell>
        </row>
        <row r="6834">
          <cell r="D6834">
            <v>305464</v>
          </cell>
          <cell r="E6834" t="str">
            <v>Tipas National High School</v>
          </cell>
          <cell r="F6834">
            <v>0</v>
          </cell>
          <cell r="G6834">
            <v>0</v>
          </cell>
          <cell r="H6834">
            <v>0</v>
          </cell>
          <cell r="I6834">
            <v>0</v>
          </cell>
          <cell r="J6834">
            <v>0</v>
          </cell>
          <cell r="K6834">
            <v>0</v>
          </cell>
          <cell r="L6834">
            <v>0</v>
          </cell>
          <cell r="M6834">
            <v>0</v>
          </cell>
          <cell r="N6834">
            <v>0</v>
          </cell>
          <cell r="O6834">
            <v>0</v>
          </cell>
          <cell r="P6834">
            <v>0</v>
          </cell>
          <cell r="Q6834">
            <v>0</v>
          </cell>
          <cell r="R6834">
            <v>0</v>
          </cell>
          <cell r="S6834">
            <v>0</v>
          </cell>
          <cell r="T6834">
            <v>0</v>
          </cell>
          <cell r="U6834">
            <v>0</v>
          </cell>
          <cell r="V6834">
            <v>0</v>
          </cell>
          <cell r="W6834">
            <v>0</v>
          </cell>
          <cell r="X6834">
            <v>0</v>
          </cell>
          <cell r="Y6834">
            <v>0</v>
          </cell>
          <cell r="Z6834">
            <v>0</v>
          </cell>
        </row>
        <row r="6835">
          <cell r="D6835">
            <v>320602</v>
          </cell>
          <cell r="E6835" t="str">
            <v>Maria Asuncion Rodriguez Tiñga High School</v>
          </cell>
          <cell r="F6835">
            <v>0</v>
          </cell>
          <cell r="G6835">
            <v>0</v>
          </cell>
          <cell r="H6835">
            <v>0</v>
          </cell>
          <cell r="I6835">
            <v>0</v>
          </cell>
          <cell r="J6835">
            <v>0</v>
          </cell>
          <cell r="K6835">
            <v>0</v>
          </cell>
          <cell r="L6835">
            <v>0</v>
          </cell>
          <cell r="M6835">
            <v>0</v>
          </cell>
          <cell r="N6835">
            <v>0</v>
          </cell>
          <cell r="O6835">
            <v>0</v>
          </cell>
          <cell r="P6835">
            <v>0</v>
          </cell>
          <cell r="Q6835">
            <v>0</v>
          </cell>
          <cell r="R6835">
            <v>0</v>
          </cell>
          <cell r="S6835">
            <v>0</v>
          </cell>
          <cell r="T6835">
            <v>0</v>
          </cell>
          <cell r="U6835">
            <v>0</v>
          </cell>
          <cell r="V6835">
            <v>0</v>
          </cell>
          <cell r="W6835">
            <v>0</v>
          </cell>
          <cell r="X6835">
            <v>0</v>
          </cell>
          <cell r="Y6835">
            <v>0</v>
          </cell>
          <cell r="Z6835">
            <v>0</v>
          </cell>
        </row>
        <row r="6836">
          <cell r="D6836">
            <v>340558</v>
          </cell>
          <cell r="E6836" t="str">
            <v>SHS within Maximo Estrella ES</v>
          </cell>
          <cell r="F6836">
            <v>15</v>
          </cell>
          <cell r="G6836">
            <v>12</v>
          </cell>
          <cell r="H6836">
            <v>27</v>
          </cell>
          <cell r="I6836">
            <v>20</v>
          </cell>
          <cell r="J6836">
            <v>13</v>
          </cell>
          <cell r="K6836">
            <v>33</v>
          </cell>
          <cell r="L6836">
            <v>205</v>
          </cell>
          <cell r="M6836">
            <v>80</v>
          </cell>
          <cell r="N6836">
            <v>285</v>
          </cell>
          <cell r="O6836">
            <v>1</v>
          </cell>
          <cell r="P6836">
            <v>1</v>
          </cell>
          <cell r="Q6836">
            <v>2</v>
          </cell>
          <cell r="R6836">
            <v>1</v>
          </cell>
          <cell r="S6836">
            <v>1</v>
          </cell>
          <cell r="T6836">
            <v>2</v>
          </cell>
          <cell r="U6836">
            <v>0</v>
          </cell>
          <cell r="V6836">
            <v>0</v>
          </cell>
          <cell r="W6836">
            <v>0</v>
          </cell>
          <cell r="X6836">
            <v>5</v>
          </cell>
          <cell r="Y6836">
            <v>4</v>
          </cell>
          <cell r="Z6836">
            <v>9</v>
          </cell>
        </row>
        <row r="6837">
          <cell r="D6837">
            <v>320605</v>
          </cell>
          <cell r="E6837" t="str">
            <v>Upper Bicutan National High School</v>
          </cell>
          <cell r="F6837">
            <v>11</v>
          </cell>
          <cell r="G6837">
            <v>8</v>
          </cell>
          <cell r="H6837">
            <v>19</v>
          </cell>
          <cell r="I6837">
            <v>11</v>
          </cell>
          <cell r="J6837">
            <v>8</v>
          </cell>
          <cell r="K6837">
            <v>19</v>
          </cell>
          <cell r="L6837">
            <v>67</v>
          </cell>
          <cell r="M6837">
            <v>42</v>
          </cell>
          <cell r="N6837">
            <v>109</v>
          </cell>
          <cell r="O6837">
            <v>0</v>
          </cell>
          <cell r="P6837">
            <v>0</v>
          </cell>
          <cell r="Q6837">
            <v>0</v>
          </cell>
          <cell r="R6837">
            <v>0</v>
          </cell>
          <cell r="S6837">
            <v>0</v>
          </cell>
          <cell r="T6837">
            <v>0</v>
          </cell>
          <cell r="U6837">
            <v>0</v>
          </cell>
          <cell r="V6837">
            <v>0</v>
          </cell>
          <cell r="W6837">
            <v>0</v>
          </cell>
          <cell r="X6837">
            <v>0</v>
          </cell>
          <cell r="Y6837">
            <v>0</v>
          </cell>
          <cell r="Z6837">
            <v>0</v>
          </cell>
        </row>
        <row r="6838">
          <cell r="D6838">
            <v>305465</v>
          </cell>
          <cell r="E6838" t="str">
            <v>Western Bicutan NHS</v>
          </cell>
          <cell r="F6838">
            <v>173</v>
          </cell>
          <cell r="G6838">
            <v>130</v>
          </cell>
          <cell r="H6838">
            <v>303</v>
          </cell>
          <cell r="I6838">
            <v>160</v>
          </cell>
          <cell r="J6838">
            <v>125</v>
          </cell>
          <cell r="K6838">
            <v>285</v>
          </cell>
          <cell r="L6838">
            <v>471</v>
          </cell>
          <cell r="M6838">
            <v>202</v>
          </cell>
          <cell r="N6838">
            <v>673</v>
          </cell>
          <cell r="O6838">
            <v>0</v>
          </cell>
          <cell r="P6838">
            <v>0</v>
          </cell>
          <cell r="Q6838">
            <v>0</v>
          </cell>
          <cell r="R6838">
            <v>0</v>
          </cell>
          <cell r="S6838">
            <v>0</v>
          </cell>
          <cell r="T6838">
            <v>0</v>
          </cell>
          <cell r="U6838">
            <v>24</v>
          </cell>
          <cell r="V6838">
            <v>12</v>
          </cell>
          <cell r="W6838">
            <v>36</v>
          </cell>
          <cell r="X6838">
            <v>0</v>
          </cell>
          <cell r="Y6838">
            <v>0</v>
          </cell>
          <cell r="Z6838">
            <v>0</v>
          </cell>
        </row>
        <row r="6839">
          <cell r="D6839">
            <v>500340</v>
          </cell>
          <cell r="E6839" t="str">
            <v>Kapitan Eddie T. Reyes Integrated School</v>
          </cell>
          <cell r="F6839">
            <v>0</v>
          </cell>
          <cell r="G6839">
            <v>0</v>
          </cell>
          <cell r="H6839">
            <v>0</v>
          </cell>
          <cell r="I6839">
            <v>0</v>
          </cell>
          <cell r="J6839">
            <v>0</v>
          </cell>
          <cell r="K6839">
            <v>0</v>
          </cell>
          <cell r="L6839">
            <v>0</v>
          </cell>
          <cell r="M6839">
            <v>0</v>
          </cell>
          <cell r="N6839">
            <v>0</v>
          </cell>
          <cell r="O6839">
            <v>0</v>
          </cell>
          <cell r="P6839">
            <v>0</v>
          </cell>
          <cell r="Q6839">
            <v>0</v>
          </cell>
          <cell r="R6839">
            <v>0</v>
          </cell>
          <cell r="S6839">
            <v>0</v>
          </cell>
          <cell r="T6839">
            <v>0</v>
          </cell>
          <cell r="U6839">
            <v>0</v>
          </cell>
          <cell r="V6839">
            <v>0</v>
          </cell>
          <cell r="W6839">
            <v>0</v>
          </cell>
          <cell r="X6839">
            <v>0</v>
          </cell>
          <cell r="Y6839">
            <v>0</v>
          </cell>
          <cell r="Z6839">
            <v>0</v>
          </cell>
        </row>
        <row r="6840">
          <cell r="D6840">
            <v>305460</v>
          </cell>
          <cell r="E6840" t="str">
            <v>Taguig National High School</v>
          </cell>
          <cell r="F6840">
            <v>0</v>
          </cell>
          <cell r="G6840">
            <v>0</v>
          </cell>
          <cell r="H6840">
            <v>0</v>
          </cell>
          <cell r="I6840">
            <v>0</v>
          </cell>
          <cell r="J6840">
            <v>0</v>
          </cell>
          <cell r="K6840">
            <v>0</v>
          </cell>
          <cell r="L6840">
            <v>0</v>
          </cell>
          <cell r="M6840">
            <v>0</v>
          </cell>
          <cell r="N6840">
            <v>0</v>
          </cell>
          <cell r="O6840">
            <v>0</v>
          </cell>
          <cell r="P6840">
            <v>0</v>
          </cell>
          <cell r="Q6840">
            <v>0</v>
          </cell>
          <cell r="R6840">
            <v>0</v>
          </cell>
          <cell r="S6840">
            <v>0</v>
          </cell>
          <cell r="T6840">
            <v>0</v>
          </cell>
          <cell r="U6840">
            <v>0</v>
          </cell>
          <cell r="V6840">
            <v>0</v>
          </cell>
          <cell r="W6840">
            <v>0</v>
          </cell>
          <cell r="X6840">
            <v>0</v>
          </cell>
          <cell r="Y6840">
            <v>0</v>
          </cell>
          <cell r="Z6840">
            <v>0</v>
          </cell>
        </row>
        <row r="6841">
          <cell r="D6841">
            <v>320606</v>
          </cell>
          <cell r="E6841" t="str">
            <v>President Diosdado Macapagal HS - Signal VNHS Annex</v>
          </cell>
          <cell r="F6841">
            <v>0</v>
          </cell>
          <cell r="G6841">
            <v>0</v>
          </cell>
          <cell r="H6841">
            <v>0</v>
          </cell>
          <cell r="I6841">
            <v>0</v>
          </cell>
          <cell r="J6841">
            <v>0</v>
          </cell>
          <cell r="K6841">
            <v>0</v>
          </cell>
          <cell r="L6841">
            <v>0</v>
          </cell>
          <cell r="M6841">
            <v>0</v>
          </cell>
          <cell r="N6841">
            <v>0</v>
          </cell>
          <cell r="O6841">
            <v>0</v>
          </cell>
          <cell r="P6841">
            <v>0</v>
          </cell>
          <cell r="Q6841">
            <v>0</v>
          </cell>
          <cell r="R6841">
            <v>0</v>
          </cell>
          <cell r="S6841">
            <v>0</v>
          </cell>
          <cell r="T6841">
            <v>0</v>
          </cell>
          <cell r="U6841">
            <v>0</v>
          </cell>
          <cell r="V6841">
            <v>0</v>
          </cell>
          <cell r="W6841">
            <v>0</v>
          </cell>
          <cell r="X6841">
            <v>0</v>
          </cell>
          <cell r="Y6841">
            <v>0</v>
          </cell>
          <cell r="Z6841">
            <v>0</v>
          </cell>
        </row>
        <row r="6842">
          <cell r="D6842">
            <v>340656</v>
          </cell>
          <cell r="E6842" t="str">
            <v>San Lorenzo Ruiz Senior High School</v>
          </cell>
          <cell r="F6842">
            <v>41</v>
          </cell>
          <cell r="G6842">
            <v>32</v>
          </cell>
          <cell r="H6842">
            <v>73</v>
          </cell>
          <cell r="I6842">
            <v>41</v>
          </cell>
          <cell r="J6842">
            <v>32</v>
          </cell>
          <cell r="K6842">
            <v>73</v>
          </cell>
          <cell r="L6842">
            <v>0</v>
          </cell>
          <cell r="M6842">
            <v>0</v>
          </cell>
          <cell r="N6842">
            <v>0</v>
          </cell>
          <cell r="O6842">
            <v>0</v>
          </cell>
          <cell r="P6842">
            <v>0</v>
          </cell>
          <cell r="Q6842">
            <v>0</v>
          </cell>
          <cell r="R6842">
            <v>0</v>
          </cell>
          <cell r="S6842">
            <v>0</v>
          </cell>
          <cell r="T6842">
            <v>0</v>
          </cell>
          <cell r="U6842">
            <v>0</v>
          </cell>
          <cell r="V6842">
            <v>0</v>
          </cell>
          <cell r="W6842">
            <v>0</v>
          </cell>
          <cell r="X6842">
            <v>0</v>
          </cell>
          <cell r="Y6842">
            <v>0</v>
          </cell>
          <cell r="Z6842">
            <v>0</v>
          </cell>
        </row>
        <row r="6843">
          <cell r="D6843">
            <v>500334</v>
          </cell>
          <cell r="E6843" t="str">
            <v>Jose Fabella Memorial School</v>
          </cell>
          <cell r="F6843">
            <v>48</v>
          </cell>
          <cell r="G6843">
            <v>29</v>
          </cell>
          <cell r="H6843">
            <v>77</v>
          </cell>
          <cell r="I6843">
            <v>43</v>
          </cell>
          <cell r="J6843">
            <v>24</v>
          </cell>
          <cell r="K6843">
            <v>67</v>
          </cell>
          <cell r="L6843">
            <v>90</v>
          </cell>
          <cell r="M6843">
            <v>77</v>
          </cell>
          <cell r="N6843">
            <v>167</v>
          </cell>
          <cell r="O6843">
            <v>3</v>
          </cell>
          <cell r="P6843">
            <v>2</v>
          </cell>
          <cell r="Q6843">
            <v>5</v>
          </cell>
          <cell r="R6843">
            <v>6</v>
          </cell>
          <cell r="S6843">
            <v>2</v>
          </cell>
          <cell r="T6843">
            <v>8</v>
          </cell>
          <cell r="U6843">
            <v>10</v>
          </cell>
          <cell r="V6843">
            <v>5</v>
          </cell>
          <cell r="W6843">
            <v>15</v>
          </cell>
          <cell r="X6843">
            <v>20</v>
          </cell>
          <cell r="Y6843">
            <v>12</v>
          </cell>
          <cell r="Z6843">
            <v>32</v>
          </cell>
        </row>
        <row r="6844">
          <cell r="D6844">
            <v>305406</v>
          </cell>
          <cell r="E6844" t="str">
            <v>Makati High School</v>
          </cell>
          <cell r="F6844">
            <v>447</v>
          </cell>
          <cell r="G6844">
            <v>303</v>
          </cell>
          <cell r="H6844">
            <v>750</v>
          </cell>
          <cell r="I6844">
            <v>362</v>
          </cell>
          <cell r="J6844">
            <v>254</v>
          </cell>
          <cell r="K6844">
            <v>616</v>
          </cell>
          <cell r="L6844">
            <v>1531</v>
          </cell>
          <cell r="M6844">
            <v>1185</v>
          </cell>
          <cell r="N6844">
            <v>2716</v>
          </cell>
          <cell r="O6844">
            <v>0</v>
          </cell>
          <cell r="P6844">
            <v>0</v>
          </cell>
          <cell r="Q6844">
            <v>0</v>
          </cell>
          <cell r="R6844">
            <v>0</v>
          </cell>
          <cell r="S6844">
            <v>0</v>
          </cell>
          <cell r="T6844">
            <v>0</v>
          </cell>
          <cell r="U6844">
            <v>2</v>
          </cell>
          <cell r="V6844">
            <v>2</v>
          </cell>
          <cell r="W6844">
            <v>4</v>
          </cell>
          <cell r="X6844">
            <v>1</v>
          </cell>
          <cell r="Y6844">
            <v>1</v>
          </cell>
          <cell r="Z6844">
            <v>2</v>
          </cell>
        </row>
        <row r="6845">
          <cell r="D6845">
            <v>305364</v>
          </cell>
          <cell r="E6845" t="str">
            <v>Pasay City North HS - Tramo Campus</v>
          </cell>
          <cell r="F6845">
            <v>0</v>
          </cell>
          <cell r="G6845">
            <v>0</v>
          </cell>
          <cell r="H6845">
            <v>0</v>
          </cell>
          <cell r="I6845">
            <v>0</v>
          </cell>
          <cell r="J6845">
            <v>0</v>
          </cell>
          <cell r="K6845">
            <v>0</v>
          </cell>
          <cell r="L6845">
            <v>0</v>
          </cell>
          <cell r="M6845">
            <v>0</v>
          </cell>
          <cell r="N6845">
            <v>0</v>
          </cell>
          <cell r="O6845">
            <v>0</v>
          </cell>
          <cell r="P6845">
            <v>0</v>
          </cell>
          <cell r="Q6845">
            <v>0</v>
          </cell>
          <cell r="R6845">
            <v>0</v>
          </cell>
          <cell r="S6845">
            <v>0</v>
          </cell>
          <cell r="T6845">
            <v>0</v>
          </cell>
          <cell r="U6845">
            <v>0</v>
          </cell>
          <cell r="V6845">
            <v>0</v>
          </cell>
          <cell r="W6845">
            <v>0</v>
          </cell>
          <cell r="X6845">
            <v>0</v>
          </cell>
          <cell r="Y6845">
            <v>0</v>
          </cell>
          <cell r="Z6845">
            <v>0</v>
          </cell>
        </row>
        <row r="6846">
          <cell r="D6846">
            <v>305422</v>
          </cell>
          <cell r="E6846" t="str">
            <v>Rizal Experimental Station And Pilot School for Cottage Industries (RESPSCI)</v>
          </cell>
          <cell r="F6846">
            <v>0</v>
          </cell>
          <cell r="G6846">
            <v>0</v>
          </cell>
          <cell r="H6846">
            <v>0</v>
          </cell>
          <cell r="I6846">
            <v>0</v>
          </cell>
          <cell r="J6846">
            <v>0</v>
          </cell>
          <cell r="K6846">
            <v>0</v>
          </cell>
          <cell r="L6846">
            <v>0</v>
          </cell>
          <cell r="M6846">
            <v>0</v>
          </cell>
          <cell r="N6846">
            <v>0</v>
          </cell>
          <cell r="O6846">
            <v>0</v>
          </cell>
          <cell r="P6846">
            <v>0</v>
          </cell>
          <cell r="Q6846">
            <v>0</v>
          </cell>
          <cell r="R6846">
            <v>0</v>
          </cell>
          <cell r="S6846">
            <v>0</v>
          </cell>
          <cell r="T6846">
            <v>0</v>
          </cell>
          <cell r="U6846">
            <v>0</v>
          </cell>
          <cell r="V6846">
            <v>0</v>
          </cell>
          <cell r="W6846">
            <v>0</v>
          </cell>
          <cell r="X6846">
            <v>0</v>
          </cell>
          <cell r="Y6846">
            <v>0</v>
          </cell>
          <cell r="Z6846">
            <v>0</v>
          </cell>
        </row>
        <row r="6847">
          <cell r="D6847">
            <v>305463</v>
          </cell>
          <cell r="E6847" t="str">
            <v>Signal Village National High School</v>
          </cell>
          <cell r="F6847">
            <v>389</v>
          </cell>
          <cell r="G6847">
            <v>372</v>
          </cell>
          <cell r="H6847">
            <v>761</v>
          </cell>
          <cell r="I6847">
            <v>5</v>
          </cell>
          <cell r="J6847">
            <v>8</v>
          </cell>
          <cell r="K6847">
            <v>13</v>
          </cell>
          <cell r="L6847">
            <v>5</v>
          </cell>
          <cell r="M6847">
            <v>8</v>
          </cell>
          <cell r="N6847">
            <v>13</v>
          </cell>
          <cell r="O6847">
            <v>6</v>
          </cell>
          <cell r="P6847">
            <v>11</v>
          </cell>
          <cell r="Q6847">
            <v>17</v>
          </cell>
          <cell r="R6847">
            <v>6</v>
          </cell>
          <cell r="S6847">
            <v>11</v>
          </cell>
          <cell r="T6847">
            <v>17</v>
          </cell>
          <cell r="U6847">
            <v>0</v>
          </cell>
          <cell r="V6847">
            <v>0</v>
          </cell>
          <cell r="W6847">
            <v>0</v>
          </cell>
          <cell r="X6847">
            <v>0</v>
          </cell>
          <cell r="Y6847">
            <v>0</v>
          </cell>
          <cell r="Z6847">
            <v>0</v>
          </cell>
        </row>
        <row r="6848">
          <cell r="D6848">
            <v>305296</v>
          </cell>
          <cell r="E6848" t="str">
            <v>Pres. Sergio Osmena, Sr. High School</v>
          </cell>
          <cell r="F6848">
            <v>0</v>
          </cell>
          <cell r="G6848">
            <v>0</v>
          </cell>
          <cell r="H6848">
            <v>0</v>
          </cell>
          <cell r="I6848">
            <v>0</v>
          </cell>
          <cell r="J6848">
            <v>0</v>
          </cell>
          <cell r="K6848">
            <v>0</v>
          </cell>
          <cell r="L6848">
            <v>0</v>
          </cell>
          <cell r="M6848">
            <v>0</v>
          </cell>
          <cell r="N6848">
            <v>0</v>
          </cell>
          <cell r="O6848">
            <v>0</v>
          </cell>
          <cell r="P6848">
            <v>0</v>
          </cell>
          <cell r="Q6848">
            <v>0</v>
          </cell>
          <cell r="R6848">
            <v>0</v>
          </cell>
          <cell r="S6848">
            <v>0</v>
          </cell>
          <cell r="T6848">
            <v>0</v>
          </cell>
          <cell r="U6848">
            <v>0</v>
          </cell>
          <cell r="V6848">
            <v>0</v>
          </cell>
          <cell r="W6848">
            <v>0</v>
          </cell>
          <cell r="X6848">
            <v>0</v>
          </cell>
          <cell r="Y6848">
            <v>0</v>
          </cell>
          <cell r="Z6848">
            <v>0</v>
          </cell>
        </row>
        <row r="6849">
          <cell r="D6849">
            <v>305368</v>
          </cell>
          <cell r="E6849" t="str">
            <v>Pasay City West HS</v>
          </cell>
          <cell r="F6849">
            <v>481</v>
          </cell>
          <cell r="G6849">
            <v>267</v>
          </cell>
          <cell r="H6849">
            <v>748</v>
          </cell>
          <cell r="I6849">
            <v>450</v>
          </cell>
          <cell r="J6849">
            <v>256</v>
          </cell>
          <cell r="K6849">
            <v>706</v>
          </cell>
          <cell r="L6849">
            <v>1962</v>
          </cell>
          <cell r="M6849">
            <v>81</v>
          </cell>
          <cell r="N6849">
            <v>2043</v>
          </cell>
          <cell r="O6849">
            <v>560</v>
          </cell>
          <cell r="P6849">
            <v>256</v>
          </cell>
          <cell r="Q6849">
            <v>816</v>
          </cell>
          <cell r="R6849">
            <v>0</v>
          </cell>
          <cell r="S6849">
            <v>0</v>
          </cell>
          <cell r="T6849">
            <v>0</v>
          </cell>
          <cell r="U6849">
            <v>2</v>
          </cell>
          <cell r="V6849">
            <v>2</v>
          </cell>
          <cell r="W6849">
            <v>4</v>
          </cell>
          <cell r="X6849">
            <v>5</v>
          </cell>
          <cell r="Y6849">
            <v>2</v>
          </cell>
          <cell r="Z6849">
            <v>7</v>
          </cell>
        </row>
        <row r="6850">
          <cell r="D6850">
            <v>319903</v>
          </cell>
          <cell r="E6850" t="str">
            <v>Barangka NHS</v>
          </cell>
          <cell r="F6850">
            <v>0</v>
          </cell>
          <cell r="G6850">
            <v>0</v>
          </cell>
          <cell r="H6850">
            <v>0</v>
          </cell>
          <cell r="I6850">
            <v>0</v>
          </cell>
          <cell r="J6850">
            <v>0</v>
          </cell>
          <cell r="K6850">
            <v>0</v>
          </cell>
          <cell r="L6850">
            <v>0</v>
          </cell>
          <cell r="M6850">
            <v>0</v>
          </cell>
          <cell r="N6850">
            <v>0</v>
          </cell>
          <cell r="O6850">
            <v>0</v>
          </cell>
          <cell r="P6850">
            <v>0</v>
          </cell>
          <cell r="Q6850">
            <v>0</v>
          </cell>
          <cell r="R6850">
            <v>0</v>
          </cell>
          <cell r="S6850">
            <v>0</v>
          </cell>
          <cell r="T6850">
            <v>0</v>
          </cell>
          <cell r="U6850">
            <v>0</v>
          </cell>
          <cell r="V6850">
            <v>0</v>
          </cell>
          <cell r="W6850">
            <v>0</v>
          </cell>
          <cell r="X6850">
            <v>0</v>
          </cell>
          <cell r="Y6850">
            <v>0</v>
          </cell>
          <cell r="Z6850">
            <v>0</v>
          </cell>
        </row>
        <row r="6851">
          <cell r="D6851">
            <v>305297</v>
          </cell>
          <cell r="E6851" t="str">
            <v>Manuel L. Quezon High School</v>
          </cell>
          <cell r="F6851">
            <v>0</v>
          </cell>
          <cell r="G6851">
            <v>0</v>
          </cell>
          <cell r="H6851">
            <v>0</v>
          </cell>
          <cell r="I6851">
            <v>0</v>
          </cell>
          <cell r="J6851">
            <v>0</v>
          </cell>
          <cell r="K6851">
            <v>0</v>
          </cell>
          <cell r="L6851">
            <v>0</v>
          </cell>
          <cell r="M6851">
            <v>0</v>
          </cell>
          <cell r="N6851">
            <v>0</v>
          </cell>
          <cell r="O6851">
            <v>0</v>
          </cell>
          <cell r="P6851">
            <v>0</v>
          </cell>
          <cell r="Q6851">
            <v>0</v>
          </cell>
          <cell r="R6851">
            <v>0</v>
          </cell>
          <cell r="S6851">
            <v>0</v>
          </cell>
          <cell r="T6851">
            <v>0</v>
          </cell>
          <cell r="U6851">
            <v>0</v>
          </cell>
          <cell r="V6851">
            <v>0</v>
          </cell>
          <cell r="W6851">
            <v>0</v>
          </cell>
          <cell r="X6851">
            <v>0</v>
          </cell>
          <cell r="Y6851">
            <v>0</v>
          </cell>
          <cell r="Z6851">
            <v>0</v>
          </cell>
        </row>
        <row r="6852">
          <cell r="D6852">
            <v>340655</v>
          </cell>
          <cell r="E6852" t="str">
            <v>Ugong Pasig National High School</v>
          </cell>
          <cell r="F6852">
            <v>0</v>
          </cell>
          <cell r="G6852">
            <v>0</v>
          </cell>
          <cell r="H6852">
            <v>0</v>
          </cell>
          <cell r="I6852">
            <v>0</v>
          </cell>
          <cell r="J6852">
            <v>0</v>
          </cell>
          <cell r="K6852">
            <v>0</v>
          </cell>
          <cell r="L6852">
            <v>0</v>
          </cell>
          <cell r="M6852">
            <v>0</v>
          </cell>
          <cell r="N6852">
            <v>0</v>
          </cell>
          <cell r="O6852">
            <v>0</v>
          </cell>
          <cell r="P6852">
            <v>0</v>
          </cell>
          <cell r="Q6852">
            <v>0</v>
          </cell>
          <cell r="R6852">
            <v>0</v>
          </cell>
          <cell r="S6852">
            <v>0</v>
          </cell>
          <cell r="T6852">
            <v>0</v>
          </cell>
          <cell r="U6852">
            <v>0</v>
          </cell>
          <cell r="V6852">
            <v>0</v>
          </cell>
          <cell r="W6852">
            <v>0</v>
          </cell>
          <cell r="X6852">
            <v>0</v>
          </cell>
          <cell r="Y6852">
            <v>0</v>
          </cell>
          <cell r="Z6852">
            <v>0</v>
          </cell>
        </row>
        <row r="6853">
          <cell r="D6853">
            <v>305420</v>
          </cell>
          <cell r="E6853" t="str">
            <v>Sta. Lucia HS</v>
          </cell>
          <cell r="F6853">
            <v>210</v>
          </cell>
          <cell r="G6853">
            <v>253</v>
          </cell>
          <cell r="H6853">
            <v>463</v>
          </cell>
          <cell r="I6853">
            <v>102</v>
          </cell>
          <cell r="J6853">
            <v>90</v>
          </cell>
          <cell r="K6853">
            <v>192</v>
          </cell>
          <cell r="L6853">
            <v>0</v>
          </cell>
          <cell r="M6853">
            <v>0</v>
          </cell>
          <cell r="N6853">
            <v>0</v>
          </cell>
          <cell r="O6853">
            <v>0</v>
          </cell>
          <cell r="P6853">
            <v>0</v>
          </cell>
          <cell r="Q6853">
            <v>0</v>
          </cell>
          <cell r="R6853">
            <v>0</v>
          </cell>
          <cell r="S6853">
            <v>0</v>
          </cell>
          <cell r="T6853">
            <v>0</v>
          </cell>
          <cell r="U6853">
            <v>0</v>
          </cell>
          <cell r="V6853">
            <v>0</v>
          </cell>
          <cell r="W6853">
            <v>0</v>
          </cell>
          <cell r="X6853">
            <v>0</v>
          </cell>
          <cell r="Y6853">
            <v>0</v>
          </cell>
          <cell r="Z6853">
            <v>0</v>
          </cell>
        </row>
        <row r="6854">
          <cell r="D6854">
            <v>320102</v>
          </cell>
          <cell r="E6854" t="str">
            <v>Nagpayong High School</v>
          </cell>
          <cell r="F6854">
            <v>0</v>
          </cell>
          <cell r="G6854">
            <v>128</v>
          </cell>
          <cell r="H6854">
            <v>128</v>
          </cell>
          <cell r="I6854">
            <v>0</v>
          </cell>
          <cell r="J6854">
            <v>127</v>
          </cell>
          <cell r="K6854">
            <v>127</v>
          </cell>
          <cell r="L6854">
            <v>0</v>
          </cell>
          <cell r="M6854">
            <v>808</v>
          </cell>
          <cell r="N6854">
            <v>808</v>
          </cell>
          <cell r="O6854">
            <v>0</v>
          </cell>
          <cell r="P6854">
            <v>0</v>
          </cell>
          <cell r="Q6854">
            <v>0</v>
          </cell>
          <cell r="R6854">
            <v>0</v>
          </cell>
          <cell r="S6854">
            <v>0</v>
          </cell>
          <cell r="T6854">
            <v>0</v>
          </cell>
          <cell r="U6854">
            <v>0</v>
          </cell>
          <cell r="V6854">
            <v>0</v>
          </cell>
          <cell r="W6854">
            <v>0</v>
          </cell>
          <cell r="X6854">
            <v>0</v>
          </cell>
          <cell r="Y6854">
            <v>0</v>
          </cell>
          <cell r="Z6854">
            <v>0</v>
          </cell>
        </row>
        <row r="6855">
          <cell r="D6855">
            <v>305416</v>
          </cell>
          <cell r="E6855" t="str">
            <v>Eusebio HS</v>
          </cell>
          <cell r="F6855">
            <v>0</v>
          </cell>
          <cell r="G6855">
            <v>0</v>
          </cell>
          <cell r="H6855">
            <v>0</v>
          </cell>
          <cell r="I6855">
            <v>0</v>
          </cell>
          <cell r="J6855">
            <v>0</v>
          </cell>
          <cell r="K6855">
            <v>0</v>
          </cell>
          <cell r="L6855">
            <v>0</v>
          </cell>
          <cell r="M6855">
            <v>0</v>
          </cell>
          <cell r="N6855">
            <v>0</v>
          </cell>
          <cell r="O6855">
            <v>0</v>
          </cell>
          <cell r="P6855">
            <v>0</v>
          </cell>
          <cell r="Q6855">
            <v>0</v>
          </cell>
          <cell r="R6855">
            <v>0</v>
          </cell>
          <cell r="S6855">
            <v>0</v>
          </cell>
          <cell r="T6855">
            <v>0</v>
          </cell>
          <cell r="U6855">
            <v>0</v>
          </cell>
          <cell r="V6855">
            <v>0</v>
          </cell>
          <cell r="W6855">
            <v>0</v>
          </cell>
          <cell r="X6855">
            <v>0</v>
          </cell>
          <cell r="Y6855">
            <v>0</v>
          </cell>
          <cell r="Z6855">
            <v>0</v>
          </cell>
        </row>
        <row r="6856">
          <cell r="D6856">
            <v>360867</v>
          </cell>
          <cell r="E6856" t="str">
            <v>SHS in Kaligayahan (Rivera Property - bask of Kaligayahan ES)</v>
          </cell>
          <cell r="F6856">
            <v>0</v>
          </cell>
          <cell r="G6856">
            <v>0</v>
          </cell>
          <cell r="H6856">
            <v>0</v>
          </cell>
          <cell r="I6856">
            <v>0</v>
          </cell>
          <cell r="J6856">
            <v>0</v>
          </cell>
          <cell r="K6856">
            <v>0</v>
          </cell>
          <cell r="L6856">
            <v>0</v>
          </cell>
          <cell r="M6856">
            <v>0</v>
          </cell>
          <cell r="N6856">
            <v>0</v>
          </cell>
          <cell r="O6856">
            <v>0</v>
          </cell>
          <cell r="P6856">
            <v>0</v>
          </cell>
          <cell r="Q6856">
            <v>0</v>
          </cell>
          <cell r="R6856">
            <v>0</v>
          </cell>
          <cell r="S6856">
            <v>0</v>
          </cell>
          <cell r="T6856">
            <v>0</v>
          </cell>
          <cell r="U6856">
            <v>0</v>
          </cell>
          <cell r="V6856">
            <v>0</v>
          </cell>
          <cell r="W6856">
            <v>0</v>
          </cell>
          <cell r="X6856">
            <v>0</v>
          </cell>
          <cell r="Y6856">
            <v>0</v>
          </cell>
          <cell r="Z6856">
            <v>0</v>
          </cell>
        </row>
        <row r="6857">
          <cell r="D6857">
            <v>305369</v>
          </cell>
          <cell r="E6857" t="str">
            <v>Pasay City Science High School</v>
          </cell>
          <cell r="F6857">
            <v>116</v>
          </cell>
          <cell r="G6857">
            <v>89</v>
          </cell>
          <cell r="H6857">
            <v>205</v>
          </cell>
          <cell r="I6857">
            <v>109</v>
          </cell>
          <cell r="J6857">
            <v>84</v>
          </cell>
          <cell r="K6857">
            <v>193</v>
          </cell>
          <cell r="L6857">
            <v>588</v>
          </cell>
          <cell r="M6857">
            <v>671</v>
          </cell>
          <cell r="N6857">
            <v>1259</v>
          </cell>
          <cell r="O6857">
            <v>109</v>
          </cell>
          <cell r="P6857">
            <v>84</v>
          </cell>
          <cell r="Q6857">
            <v>193</v>
          </cell>
          <cell r="R6857">
            <v>63</v>
          </cell>
          <cell r="S6857">
            <v>44</v>
          </cell>
          <cell r="T6857">
            <v>107</v>
          </cell>
          <cell r="U6857">
            <v>16</v>
          </cell>
          <cell r="V6857">
            <v>29</v>
          </cell>
          <cell r="W6857">
            <v>45</v>
          </cell>
          <cell r="X6857">
            <v>92</v>
          </cell>
          <cell r="Y6857">
            <v>63</v>
          </cell>
          <cell r="Z6857">
            <v>155</v>
          </cell>
        </row>
        <row r="6858">
          <cell r="D6858">
            <v>305301</v>
          </cell>
          <cell r="E6858" t="str">
            <v>Ramon Q. Avancena High School</v>
          </cell>
          <cell r="F6858">
            <v>0</v>
          </cell>
          <cell r="G6858">
            <v>0</v>
          </cell>
          <cell r="H6858">
            <v>0</v>
          </cell>
          <cell r="I6858">
            <v>0</v>
          </cell>
          <cell r="J6858">
            <v>0</v>
          </cell>
          <cell r="K6858">
            <v>0</v>
          </cell>
          <cell r="L6858">
            <v>0</v>
          </cell>
          <cell r="M6858">
            <v>0</v>
          </cell>
          <cell r="N6858">
            <v>0</v>
          </cell>
          <cell r="O6858">
            <v>0</v>
          </cell>
          <cell r="P6858">
            <v>0</v>
          </cell>
          <cell r="Q6858">
            <v>0</v>
          </cell>
          <cell r="R6858">
            <v>0</v>
          </cell>
          <cell r="S6858">
            <v>0</v>
          </cell>
          <cell r="T6858">
            <v>0</v>
          </cell>
          <cell r="U6858">
            <v>0</v>
          </cell>
          <cell r="V6858">
            <v>0</v>
          </cell>
          <cell r="W6858">
            <v>0</v>
          </cell>
          <cell r="X6858">
            <v>0</v>
          </cell>
          <cell r="Y6858">
            <v>0</v>
          </cell>
          <cell r="Z6858">
            <v>0</v>
          </cell>
        </row>
        <row r="6859">
          <cell r="D6859">
            <v>319604</v>
          </cell>
          <cell r="E6859" t="str">
            <v>President Corazon C. Aquino National High School</v>
          </cell>
          <cell r="F6859">
            <v>0</v>
          </cell>
          <cell r="G6859">
            <v>0</v>
          </cell>
          <cell r="H6859">
            <v>0</v>
          </cell>
          <cell r="I6859">
            <v>0</v>
          </cell>
          <cell r="J6859">
            <v>0</v>
          </cell>
          <cell r="K6859">
            <v>0</v>
          </cell>
          <cell r="L6859">
            <v>0</v>
          </cell>
          <cell r="M6859">
            <v>0</v>
          </cell>
          <cell r="N6859">
            <v>0</v>
          </cell>
          <cell r="O6859">
            <v>0</v>
          </cell>
          <cell r="P6859">
            <v>0</v>
          </cell>
          <cell r="Q6859">
            <v>0</v>
          </cell>
          <cell r="R6859">
            <v>0</v>
          </cell>
          <cell r="S6859">
            <v>0</v>
          </cell>
          <cell r="T6859">
            <v>0</v>
          </cell>
          <cell r="U6859">
            <v>0</v>
          </cell>
          <cell r="V6859">
            <v>0</v>
          </cell>
          <cell r="W6859">
            <v>0</v>
          </cell>
          <cell r="X6859">
            <v>0</v>
          </cell>
          <cell r="Y6859">
            <v>0</v>
          </cell>
          <cell r="Z6859">
            <v>0</v>
          </cell>
        </row>
        <row r="6860">
          <cell r="D6860">
            <v>305415</v>
          </cell>
          <cell r="E6860" t="str">
            <v>Kapitolyo HS</v>
          </cell>
          <cell r="F6860">
            <v>0</v>
          </cell>
          <cell r="G6860">
            <v>0</v>
          </cell>
          <cell r="H6860">
            <v>0</v>
          </cell>
          <cell r="I6860">
            <v>0</v>
          </cell>
          <cell r="J6860">
            <v>0</v>
          </cell>
          <cell r="K6860">
            <v>0</v>
          </cell>
          <cell r="L6860">
            <v>0</v>
          </cell>
          <cell r="M6860">
            <v>0</v>
          </cell>
          <cell r="N6860">
            <v>0</v>
          </cell>
          <cell r="O6860">
            <v>0</v>
          </cell>
          <cell r="P6860">
            <v>0</v>
          </cell>
          <cell r="Q6860">
            <v>0</v>
          </cell>
          <cell r="R6860">
            <v>0</v>
          </cell>
          <cell r="S6860">
            <v>0</v>
          </cell>
          <cell r="T6860">
            <v>0</v>
          </cell>
          <cell r="U6860">
            <v>0</v>
          </cell>
          <cell r="V6860">
            <v>0</v>
          </cell>
          <cell r="W6860">
            <v>0</v>
          </cell>
          <cell r="X6860">
            <v>0</v>
          </cell>
          <cell r="Y6860">
            <v>0</v>
          </cell>
          <cell r="Z6860">
            <v>0</v>
          </cell>
        </row>
        <row r="6861">
          <cell r="D6861">
            <v>305426</v>
          </cell>
          <cell r="E6861" t="str">
            <v>Paranaque National High School - Baclaran</v>
          </cell>
          <cell r="F6861">
            <v>25</v>
          </cell>
          <cell r="G6861">
            <v>16</v>
          </cell>
          <cell r="H6861">
            <v>41</v>
          </cell>
          <cell r="I6861">
            <v>3</v>
          </cell>
          <cell r="J6861">
            <v>8</v>
          </cell>
          <cell r="K6861">
            <v>11</v>
          </cell>
          <cell r="L6861">
            <v>2</v>
          </cell>
          <cell r="M6861">
            <v>4</v>
          </cell>
          <cell r="N6861">
            <v>6</v>
          </cell>
          <cell r="O6861">
            <v>0</v>
          </cell>
          <cell r="P6861">
            <v>0</v>
          </cell>
          <cell r="Q6861">
            <v>0</v>
          </cell>
          <cell r="R6861">
            <v>0</v>
          </cell>
          <cell r="S6861">
            <v>0</v>
          </cell>
          <cell r="T6861">
            <v>0</v>
          </cell>
          <cell r="U6861">
            <v>0</v>
          </cell>
          <cell r="V6861">
            <v>0</v>
          </cell>
          <cell r="W6861">
            <v>0</v>
          </cell>
          <cell r="X6861">
            <v>0</v>
          </cell>
          <cell r="Y6861">
            <v>0</v>
          </cell>
          <cell r="Z6861">
            <v>0</v>
          </cell>
        </row>
        <row r="6862">
          <cell r="D6862">
            <v>360871</v>
          </cell>
          <cell r="E6862" t="str">
            <v>SHS within P. Tuazon ES</v>
          </cell>
          <cell r="F6862">
            <v>0</v>
          </cell>
          <cell r="G6862">
            <v>0</v>
          </cell>
          <cell r="H6862">
            <v>0</v>
          </cell>
          <cell r="I6862">
            <v>0</v>
          </cell>
          <cell r="J6862">
            <v>0</v>
          </cell>
          <cell r="K6862">
            <v>0</v>
          </cell>
          <cell r="L6862">
            <v>0</v>
          </cell>
          <cell r="M6862">
            <v>0</v>
          </cell>
          <cell r="N6862">
            <v>0</v>
          </cell>
          <cell r="O6862">
            <v>0</v>
          </cell>
          <cell r="P6862">
            <v>0</v>
          </cell>
          <cell r="Q6862">
            <v>0</v>
          </cell>
          <cell r="R6862">
            <v>0</v>
          </cell>
          <cell r="S6862">
            <v>0</v>
          </cell>
          <cell r="T6862">
            <v>0</v>
          </cell>
          <cell r="U6862">
            <v>0</v>
          </cell>
          <cell r="V6862">
            <v>0</v>
          </cell>
          <cell r="W6862">
            <v>0</v>
          </cell>
          <cell r="X6862">
            <v>0</v>
          </cell>
          <cell r="Y6862">
            <v>0</v>
          </cell>
          <cell r="Z6862">
            <v>0</v>
          </cell>
        </row>
        <row r="6863">
          <cell r="D6863">
            <v>340635</v>
          </cell>
          <cell r="E6863" t="str">
            <v>Sto. Niño Senior High School</v>
          </cell>
          <cell r="F6863">
            <v>0</v>
          </cell>
          <cell r="G6863">
            <v>0</v>
          </cell>
          <cell r="H6863">
            <v>0</v>
          </cell>
          <cell r="I6863">
            <v>0</v>
          </cell>
          <cell r="J6863">
            <v>0</v>
          </cell>
          <cell r="K6863">
            <v>0</v>
          </cell>
          <cell r="L6863">
            <v>0</v>
          </cell>
          <cell r="M6863">
            <v>0</v>
          </cell>
          <cell r="N6863">
            <v>0</v>
          </cell>
          <cell r="O6863">
            <v>0</v>
          </cell>
          <cell r="P6863">
            <v>0</v>
          </cell>
          <cell r="Q6863">
            <v>0</v>
          </cell>
          <cell r="R6863">
            <v>0</v>
          </cell>
          <cell r="S6863">
            <v>0</v>
          </cell>
          <cell r="T6863">
            <v>0</v>
          </cell>
          <cell r="U6863">
            <v>0</v>
          </cell>
          <cell r="V6863">
            <v>0</v>
          </cell>
          <cell r="W6863">
            <v>0</v>
          </cell>
          <cell r="X6863">
            <v>0</v>
          </cell>
          <cell r="Y6863">
            <v>0</v>
          </cell>
          <cell r="Z6863">
            <v>0</v>
          </cell>
        </row>
        <row r="6864">
          <cell r="D6864">
            <v>500051</v>
          </cell>
          <cell r="E6864" t="str">
            <v>Andres Bonifacio Integrated School</v>
          </cell>
          <cell r="F6864">
            <v>0</v>
          </cell>
          <cell r="G6864">
            <v>0</v>
          </cell>
          <cell r="H6864">
            <v>0</v>
          </cell>
          <cell r="I6864">
            <v>0</v>
          </cell>
          <cell r="J6864">
            <v>0</v>
          </cell>
          <cell r="K6864">
            <v>0</v>
          </cell>
          <cell r="L6864">
            <v>0</v>
          </cell>
          <cell r="M6864">
            <v>0</v>
          </cell>
          <cell r="N6864">
            <v>0</v>
          </cell>
          <cell r="O6864">
            <v>0</v>
          </cell>
          <cell r="P6864">
            <v>0</v>
          </cell>
          <cell r="Q6864">
            <v>0</v>
          </cell>
          <cell r="R6864">
            <v>0</v>
          </cell>
          <cell r="S6864">
            <v>0</v>
          </cell>
          <cell r="T6864">
            <v>0</v>
          </cell>
          <cell r="U6864">
            <v>0</v>
          </cell>
          <cell r="V6864">
            <v>0</v>
          </cell>
          <cell r="W6864">
            <v>0</v>
          </cell>
          <cell r="X6864">
            <v>0</v>
          </cell>
          <cell r="Y6864">
            <v>0</v>
          </cell>
          <cell r="Z6864">
            <v>0</v>
          </cell>
        </row>
        <row r="6865">
          <cell r="D6865">
            <v>305307</v>
          </cell>
          <cell r="E6865" t="str">
            <v>Claro M. Recto High School</v>
          </cell>
          <cell r="F6865">
            <v>0</v>
          </cell>
          <cell r="G6865">
            <v>0</v>
          </cell>
          <cell r="H6865">
            <v>0</v>
          </cell>
          <cell r="I6865">
            <v>0</v>
          </cell>
          <cell r="J6865">
            <v>0</v>
          </cell>
          <cell r="K6865">
            <v>0</v>
          </cell>
          <cell r="L6865">
            <v>0</v>
          </cell>
          <cell r="M6865">
            <v>0</v>
          </cell>
          <cell r="N6865">
            <v>0</v>
          </cell>
          <cell r="O6865">
            <v>0</v>
          </cell>
          <cell r="P6865">
            <v>0</v>
          </cell>
          <cell r="Q6865">
            <v>0</v>
          </cell>
          <cell r="R6865">
            <v>0</v>
          </cell>
          <cell r="S6865">
            <v>0</v>
          </cell>
          <cell r="T6865">
            <v>0</v>
          </cell>
          <cell r="U6865">
            <v>0</v>
          </cell>
          <cell r="V6865">
            <v>0</v>
          </cell>
          <cell r="W6865">
            <v>0</v>
          </cell>
          <cell r="X6865">
            <v>0</v>
          </cell>
          <cell r="Y6865">
            <v>0</v>
          </cell>
          <cell r="Z6865">
            <v>0</v>
          </cell>
        </row>
        <row r="6866">
          <cell r="D6866">
            <v>319401</v>
          </cell>
          <cell r="E6866" t="str">
            <v>Pres. Corazon C. Aquino High School/Manila HS Annex</v>
          </cell>
          <cell r="F6866">
            <v>0</v>
          </cell>
          <cell r="G6866">
            <v>0</v>
          </cell>
          <cell r="H6866">
            <v>0</v>
          </cell>
          <cell r="I6866">
            <v>0</v>
          </cell>
          <cell r="J6866">
            <v>0</v>
          </cell>
          <cell r="K6866">
            <v>0</v>
          </cell>
          <cell r="L6866">
            <v>0</v>
          </cell>
          <cell r="M6866">
            <v>0</v>
          </cell>
          <cell r="N6866">
            <v>0</v>
          </cell>
          <cell r="O6866">
            <v>0</v>
          </cell>
          <cell r="P6866">
            <v>0</v>
          </cell>
          <cell r="Q6866">
            <v>0</v>
          </cell>
          <cell r="R6866">
            <v>0</v>
          </cell>
          <cell r="S6866">
            <v>0</v>
          </cell>
          <cell r="T6866">
            <v>0</v>
          </cell>
          <cell r="U6866">
            <v>0</v>
          </cell>
          <cell r="V6866">
            <v>0</v>
          </cell>
          <cell r="W6866">
            <v>0</v>
          </cell>
          <cell r="X6866">
            <v>0</v>
          </cell>
          <cell r="Y6866">
            <v>0</v>
          </cell>
          <cell r="Z6866">
            <v>0</v>
          </cell>
        </row>
        <row r="6867">
          <cell r="D6867">
            <v>340599</v>
          </cell>
          <cell r="E6867" t="str">
            <v>SHS within A.Maceda Intg. Sch.-Elem.</v>
          </cell>
          <cell r="F6867">
            <v>0</v>
          </cell>
          <cell r="G6867">
            <v>0</v>
          </cell>
          <cell r="H6867">
            <v>0</v>
          </cell>
          <cell r="I6867">
            <v>0</v>
          </cell>
          <cell r="J6867">
            <v>0</v>
          </cell>
          <cell r="K6867">
            <v>0</v>
          </cell>
          <cell r="L6867">
            <v>0</v>
          </cell>
          <cell r="M6867">
            <v>0</v>
          </cell>
          <cell r="N6867">
            <v>0</v>
          </cell>
          <cell r="O6867">
            <v>0</v>
          </cell>
          <cell r="P6867">
            <v>0</v>
          </cell>
          <cell r="Q6867">
            <v>0</v>
          </cell>
          <cell r="R6867">
            <v>0</v>
          </cell>
          <cell r="S6867">
            <v>0</v>
          </cell>
          <cell r="T6867">
            <v>0</v>
          </cell>
          <cell r="U6867">
            <v>0</v>
          </cell>
          <cell r="V6867">
            <v>0</v>
          </cell>
          <cell r="W6867">
            <v>0</v>
          </cell>
          <cell r="X6867">
            <v>0</v>
          </cell>
          <cell r="Y6867">
            <v>0</v>
          </cell>
          <cell r="Z6867">
            <v>0</v>
          </cell>
        </row>
        <row r="6868">
          <cell r="D6868">
            <v>305298</v>
          </cell>
          <cell r="E6868" t="str">
            <v>Florentino Torres High School</v>
          </cell>
          <cell r="F6868">
            <v>0</v>
          </cell>
          <cell r="G6868">
            <v>0</v>
          </cell>
          <cell r="H6868">
            <v>0</v>
          </cell>
          <cell r="I6868">
            <v>0</v>
          </cell>
          <cell r="J6868">
            <v>0</v>
          </cell>
          <cell r="K6868">
            <v>0</v>
          </cell>
          <cell r="L6868">
            <v>0</v>
          </cell>
          <cell r="M6868">
            <v>0</v>
          </cell>
          <cell r="N6868">
            <v>0</v>
          </cell>
          <cell r="O6868">
            <v>0</v>
          </cell>
          <cell r="P6868">
            <v>0</v>
          </cell>
          <cell r="Q6868">
            <v>0</v>
          </cell>
          <cell r="R6868">
            <v>0</v>
          </cell>
          <cell r="S6868">
            <v>0</v>
          </cell>
          <cell r="T6868">
            <v>0</v>
          </cell>
          <cell r="U6868">
            <v>0</v>
          </cell>
          <cell r="V6868">
            <v>0</v>
          </cell>
          <cell r="W6868">
            <v>0</v>
          </cell>
          <cell r="X6868">
            <v>0</v>
          </cell>
          <cell r="Y6868">
            <v>0</v>
          </cell>
          <cell r="Z6868">
            <v>0</v>
          </cell>
        </row>
        <row r="6869">
          <cell r="D6869">
            <v>320402</v>
          </cell>
          <cell r="E6869" t="str">
            <v>Vicente Trinidad National High School (Punturin NHS)</v>
          </cell>
          <cell r="F6869">
            <v>0</v>
          </cell>
          <cell r="G6869">
            <v>0</v>
          </cell>
          <cell r="H6869">
            <v>0</v>
          </cell>
          <cell r="I6869">
            <v>0</v>
          </cell>
          <cell r="J6869">
            <v>0</v>
          </cell>
          <cell r="K6869">
            <v>0</v>
          </cell>
          <cell r="L6869">
            <v>0</v>
          </cell>
          <cell r="M6869">
            <v>0</v>
          </cell>
          <cell r="N6869">
            <v>0</v>
          </cell>
          <cell r="O6869">
            <v>0</v>
          </cell>
          <cell r="P6869">
            <v>0</v>
          </cell>
          <cell r="Q6869">
            <v>0</v>
          </cell>
          <cell r="R6869">
            <v>0</v>
          </cell>
          <cell r="S6869">
            <v>0</v>
          </cell>
          <cell r="T6869">
            <v>0</v>
          </cell>
          <cell r="U6869">
            <v>0</v>
          </cell>
          <cell r="V6869">
            <v>0</v>
          </cell>
          <cell r="W6869">
            <v>0</v>
          </cell>
          <cell r="X6869">
            <v>0</v>
          </cell>
          <cell r="Y6869">
            <v>0</v>
          </cell>
          <cell r="Z6869">
            <v>0</v>
          </cell>
        </row>
        <row r="6870">
          <cell r="D6870">
            <v>305428</v>
          </cell>
          <cell r="E6870" t="str">
            <v>Dr. Arcadio Santos NHS - Main</v>
          </cell>
          <cell r="F6870">
            <v>0</v>
          </cell>
          <cell r="G6870">
            <v>0</v>
          </cell>
          <cell r="H6870">
            <v>0</v>
          </cell>
          <cell r="I6870">
            <v>0</v>
          </cell>
          <cell r="J6870">
            <v>0</v>
          </cell>
          <cell r="K6870">
            <v>0</v>
          </cell>
          <cell r="L6870">
            <v>0</v>
          </cell>
          <cell r="M6870">
            <v>0</v>
          </cell>
          <cell r="N6870">
            <v>0</v>
          </cell>
          <cell r="O6870">
            <v>0</v>
          </cell>
          <cell r="P6870">
            <v>0</v>
          </cell>
          <cell r="Q6870">
            <v>0</v>
          </cell>
          <cell r="R6870">
            <v>0</v>
          </cell>
          <cell r="S6870">
            <v>0</v>
          </cell>
          <cell r="T6870">
            <v>0</v>
          </cell>
          <cell r="U6870">
            <v>0</v>
          </cell>
          <cell r="V6870">
            <v>0</v>
          </cell>
          <cell r="W6870">
            <v>0</v>
          </cell>
          <cell r="X6870">
            <v>0</v>
          </cell>
          <cell r="Y6870">
            <v>0</v>
          </cell>
          <cell r="Z6870">
            <v>0</v>
          </cell>
        </row>
        <row r="6871">
          <cell r="D6871">
            <v>340690</v>
          </cell>
          <cell r="E6871" t="str">
            <v>Sta. Lucia Senior High School</v>
          </cell>
          <cell r="F6871">
            <v>0</v>
          </cell>
          <cell r="G6871">
            <v>0</v>
          </cell>
          <cell r="H6871">
            <v>0</v>
          </cell>
          <cell r="I6871">
            <v>0</v>
          </cell>
          <cell r="J6871">
            <v>0</v>
          </cell>
          <cell r="K6871">
            <v>0</v>
          </cell>
          <cell r="L6871">
            <v>0</v>
          </cell>
          <cell r="M6871">
            <v>0</v>
          </cell>
          <cell r="N6871">
            <v>0</v>
          </cell>
          <cell r="O6871">
            <v>0</v>
          </cell>
          <cell r="P6871">
            <v>0</v>
          </cell>
          <cell r="Q6871">
            <v>0</v>
          </cell>
          <cell r="R6871">
            <v>0</v>
          </cell>
          <cell r="S6871">
            <v>0</v>
          </cell>
          <cell r="T6871">
            <v>0</v>
          </cell>
          <cell r="U6871">
            <v>0</v>
          </cell>
          <cell r="V6871">
            <v>0</v>
          </cell>
          <cell r="W6871">
            <v>0</v>
          </cell>
          <cell r="X6871">
            <v>0</v>
          </cell>
          <cell r="Y6871">
            <v>0</v>
          </cell>
          <cell r="Z6871">
            <v>0</v>
          </cell>
        </row>
        <row r="6872">
          <cell r="D6872">
            <v>305302</v>
          </cell>
          <cell r="E6872" t="str">
            <v>Jose Abad Santos High School</v>
          </cell>
          <cell r="F6872">
            <v>0</v>
          </cell>
          <cell r="G6872">
            <v>0</v>
          </cell>
          <cell r="H6872">
            <v>0</v>
          </cell>
          <cell r="I6872">
            <v>0</v>
          </cell>
          <cell r="J6872">
            <v>0</v>
          </cell>
          <cell r="K6872">
            <v>0</v>
          </cell>
          <cell r="L6872">
            <v>0</v>
          </cell>
          <cell r="M6872">
            <v>0</v>
          </cell>
          <cell r="N6872">
            <v>0</v>
          </cell>
          <cell r="O6872">
            <v>0</v>
          </cell>
          <cell r="P6872">
            <v>0</v>
          </cell>
          <cell r="Q6872">
            <v>0</v>
          </cell>
          <cell r="R6872">
            <v>0</v>
          </cell>
          <cell r="S6872">
            <v>0</v>
          </cell>
          <cell r="T6872">
            <v>0</v>
          </cell>
          <cell r="U6872">
            <v>0</v>
          </cell>
          <cell r="V6872">
            <v>0</v>
          </cell>
          <cell r="W6872">
            <v>0</v>
          </cell>
          <cell r="X6872">
            <v>0</v>
          </cell>
          <cell r="Y6872">
            <v>0</v>
          </cell>
          <cell r="Z6872">
            <v>0</v>
          </cell>
        </row>
        <row r="6873">
          <cell r="D6873">
            <v>305309</v>
          </cell>
          <cell r="E6873" t="str">
            <v>M.Araullo High School</v>
          </cell>
          <cell r="F6873">
            <v>0</v>
          </cell>
          <cell r="G6873">
            <v>0</v>
          </cell>
          <cell r="H6873">
            <v>0</v>
          </cell>
          <cell r="I6873">
            <v>0</v>
          </cell>
          <cell r="J6873">
            <v>0</v>
          </cell>
          <cell r="K6873">
            <v>0</v>
          </cell>
          <cell r="L6873">
            <v>0</v>
          </cell>
          <cell r="M6873">
            <v>0</v>
          </cell>
          <cell r="N6873">
            <v>0</v>
          </cell>
          <cell r="O6873">
            <v>0</v>
          </cell>
          <cell r="P6873">
            <v>0</v>
          </cell>
          <cell r="Q6873">
            <v>0</v>
          </cell>
          <cell r="R6873">
            <v>0</v>
          </cell>
          <cell r="S6873">
            <v>0</v>
          </cell>
          <cell r="T6873">
            <v>0</v>
          </cell>
          <cell r="U6873">
            <v>0</v>
          </cell>
          <cell r="V6873">
            <v>0</v>
          </cell>
          <cell r="W6873">
            <v>0</v>
          </cell>
          <cell r="X6873">
            <v>0</v>
          </cell>
          <cell r="Y6873">
            <v>0</v>
          </cell>
          <cell r="Z6873">
            <v>0</v>
          </cell>
        </row>
        <row r="6874">
          <cell r="D6874">
            <v>340697</v>
          </cell>
          <cell r="E6874" t="str">
            <v>Jose Maria Panganiban Senior High School</v>
          </cell>
          <cell r="F6874">
            <v>0</v>
          </cell>
          <cell r="G6874">
            <v>0</v>
          </cell>
          <cell r="H6874">
            <v>0</v>
          </cell>
          <cell r="I6874">
            <v>0</v>
          </cell>
          <cell r="J6874">
            <v>0</v>
          </cell>
          <cell r="K6874">
            <v>0</v>
          </cell>
          <cell r="L6874">
            <v>0</v>
          </cell>
          <cell r="M6874">
            <v>0</v>
          </cell>
          <cell r="N6874">
            <v>0</v>
          </cell>
          <cell r="O6874">
            <v>0</v>
          </cell>
          <cell r="P6874">
            <v>0</v>
          </cell>
          <cell r="Q6874">
            <v>0</v>
          </cell>
          <cell r="R6874">
            <v>0</v>
          </cell>
          <cell r="S6874">
            <v>0</v>
          </cell>
          <cell r="T6874">
            <v>0</v>
          </cell>
          <cell r="U6874">
            <v>0</v>
          </cell>
          <cell r="V6874">
            <v>0</v>
          </cell>
          <cell r="W6874">
            <v>0</v>
          </cell>
          <cell r="X6874">
            <v>0</v>
          </cell>
          <cell r="Y6874">
            <v>0</v>
          </cell>
          <cell r="Z6874">
            <v>0</v>
          </cell>
        </row>
        <row r="6875">
          <cell r="D6875">
            <v>305394</v>
          </cell>
          <cell r="E6875" t="str">
            <v>Mataas na Paaralang Neptali A. Gonzales</v>
          </cell>
          <cell r="F6875">
            <v>0</v>
          </cell>
          <cell r="G6875">
            <v>0</v>
          </cell>
          <cell r="H6875">
            <v>0</v>
          </cell>
          <cell r="I6875">
            <v>0</v>
          </cell>
          <cell r="J6875">
            <v>0</v>
          </cell>
          <cell r="K6875">
            <v>0</v>
          </cell>
          <cell r="L6875">
            <v>0</v>
          </cell>
          <cell r="M6875">
            <v>0</v>
          </cell>
          <cell r="N6875">
            <v>0</v>
          </cell>
          <cell r="O6875">
            <v>0</v>
          </cell>
          <cell r="P6875">
            <v>0</v>
          </cell>
          <cell r="Q6875">
            <v>0</v>
          </cell>
          <cell r="R6875">
            <v>0</v>
          </cell>
          <cell r="S6875">
            <v>0</v>
          </cell>
          <cell r="T6875">
            <v>0</v>
          </cell>
          <cell r="U6875">
            <v>0</v>
          </cell>
          <cell r="V6875">
            <v>0</v>
          </cell>
          <cell r="W6875">
            <v>0</v>
          </cell>
          <cell r="X6875">
            <v>0</v>
          </cell>
          <cell r="Y6875">
            <v>0</v>
          </cell>
          <cell r="Z6875">
            <v>0</v>
          </cell>
        </row>
        <row r="6876">
          <cell r="D6876">
            <v>319601</v>
          </cell>
          <cell r="E6876" t="str">
            <v>Kalayaan NHS</v>
          </cell>
          <cell r="F6876">
            <v>0</v>
          </cell>
          <cell r="G6876">
            <v>0</v>
          </cell>
          <cell r="H6876">
            <v>0</v>
          </cell>
          <cell r="I6876">
            <v>0</v>
          </cell>
          <cell r="J6876">
            <v>0</v>
          </cell>
          <cell r="K6876">
            <v>0</v>
          </cell>
          <cell r="L6876">
            <v>0</v>
          </cell>
          <cell r="M6876">
            <v>0</v>
          </cell>
          <cell r="N6876">
            <v>0</v>
          </cell>
          <cell r="O6876">
            <v>0</v>
          </cell>
          <cell r="P6876">
            <v>0</v>
          </cell>
          <cell r="Q6876">
            <v>0</v>
          </cell>
          <cell r="R6876">
            <v>0</v>
          </cell>
          <cell r="S6876">
            <v>0</v>
          </cell>
          <cell r="T6876">
            <v>0</v>
          </cell>
          <cell r="U6876">
            <v>0</v>
          </cell>
          <cell r="V6876">
            <v>0</v>
          </cell>
          <cell r="W6876">
            <v>0</v>
          </cell>
          <cell r="X6876">
            <v>0</v>
          </cell>
          <cell r="Y6876">
            <v>0</v>
          </cell>
          <cell r="Z6876">
            <v>0</v>
          </cell>
        </row>
        <row r="6877">
          <cell r="D6877">
            <v>305363</v>
          </cell>
          <cell r="E6877" t="str">
            <v>Pasay City North High School - Main, M. Dela Cruz Campus</v>
          </cell>
          <cell r="F6877">
            <v>33</v>
          </cell>
          <cell r="G6877">
            <v>0</v>
          </cell>
          <cell r="H6877">
            <v>33</v>
          </cell>
          <cell r="I6877">
            <v>32</v>
          </cell>
          <cell r="J6877">
            <v>0</v>
          </cell>
          <cell r="K6877">
            <v>32</v>
          </cell>
          <cell r="L6877">
            <v>233</v>
          </cell>
          <cell r="M6877">
            <v>0</v>
          </cell>
          <cell r="N6877">
            <v>233</v>
          </cell>
          <cell r="O6877">
            <v>0</v>
          </cell>
          <cell r="P6877">
            <v>0</v>
          </cell>
          <cell r="Q6877">
            <v>0</v>
          </cell>
          <cell r="R6877">
            <v>0</v>
          </cell>
          <cell r="S6877">
            <v>0</v>
          </cell>
          <cell r="T6877">
            <v>0</v>
          </cell>
          <cell r="U6877">
            <v>0</v>
          </cell>
          <cell r="V6877">
            <v>0</v>
          </cell>
          <cell r="W6877">
            <v>0</v>
          </cell>
          <cell r="X6877">
            <v>0</v>
          </cell>
          <cell r="Y6877">
            <v>0</v>
          </cell>
          <cell r="Z6877">
            <v>0</v>
          </cell>
        </row>
        <row r="6878">
          <cell r="D6878">
            <v>305449</v>
          </cell>
          <cell r="E6878" t="str">
            <v>Potrero NHS</v>
          </cell>
          <cell r="F6878">
            <v>126</v>
          </cell>
          <cell r="G6878">
            <v>91</v>
          </cell>
          <cell r="H6878">
            <v>217</v>
          </cell>
          <cell r="I6878">
            <v>22</v>
          </cell>
          <cell r="J6878">
            <v>30</v>
          </cell>
          <cell r="K6878">
            <v>52</v>
          </cell>
          <cell r="L6878">
            <v>22</v>
          </cell>
          <cell r="M6878">
            <v>30</v>
          </cell>
          <cell r="N6878">
            <v>52</v>
          </cell>
          <cell r="O6878">
            <v>104</v>
          </cell>
          <cell r="P6878">
            <v>61</v>
          </cell>
          <cell r="Q6878">
            <v>165</v>
          </cell>
          <cell r="R6878">
            <v>104</v>
          </cell>
          <cell r="S6878">
            <v>61</v>
          </cell>
          <cell r="T6878">
            <v>165</v>
          </cell>
          <cell r="U6878">
            <v>11</v>
          </cell>
          <cell r="V6878">
            <v>5</v>
          </cell>
          <cell r="W6878">
            <v>16</v>
          </cell>
          <cell r="X6878">
            <v>8</v>
          </cell>
          <cell r="Y6878">
            <v>5</v>
          </cell>
          <cell r="Z6878">
            <v>13</v>
          </cell>
        </row>
        <row r="6879">
          <cell r="D6879">
            <v>500329</v>
          </cell>
          <cell r="E6879" t="str">
            <v>Philippine School for the Deaf</v>
          </cell>
          <cell r="F6879">
            <v>117</v>
          </cell>
          <cell r="G6879">
            <v>62</v>
          </cell>
          <cell r="H6879">
            <v>179</v>
          </cell>
          <cell r="I6879">
            <v>112</v>
          </cell>
          <cell r="J6879">
            <v>62</v>
          </cell>
          <cell r="K6879">
            <v>174</v>
          </cell>
          <cell r="L6879">
            <v>993</v>
          </cell>
          <cell r="M6879">
            <v>553</v>
          </cell>
          <cell r="N6879">
            <v>1546</v>
          </cell>
          <cell r="O6879">
            <v>0</v>
          </cell>
          <cell r="P6879">
            <v>0</v>
          </cell>
          <cell r="Q6879">
            <v>0</v>
          </cell>
          <cell r="R6879">
            <v>0</v>
          </cell>
          <cell r="S6879">
            <v>0</v>
          </cell>
          <cell r="T6879">
            <v>0</v>
          </cell>
          <cell r="U6879">
            <v>0</v>
          </cell>
          <cell r="V6879">
            <v>0</v>
          </cell>
          <cell r="W6879">
            <v>0</v>
          </cell>
          <cell r="X6879">
            <v>0</v>
          </cell>
          <cell r="Y6879">
            <v>0</v>
          </cell>
          <cell r="Z6879">
            <v>0</v>
          </cell>
        </row>
        <row r="6880">
          <cell r="D6880">
            <v>305316</v>
          </cell>
          <cell r="E6880" t="str">
            <v>Mariano Marcos Memorial High School</v>
          </cell>
          <cell r="F6880">
            <v>0</v>
          </cell>
          <cell r="G6880">
            <v>0</v>
          </cell>
          <cell r="H6880">
            <v>0</v>
          </cell>
          <cell r="I6880">
            <v>0</v>
          </cell>
          <cell r="J6880">
            <v>0</v>
          </cell>
          <cell r="K6880">
            <v>0</v>
          </cell>
          <cell r="L6880">
            <v>0</v>
          </cell>
          <cell r="M6880">
            <v>0</v>
          </cell>
          <cell r="N6880">
            <v>0</v>
          </cell>
          <cell r="O6880">
            <v>0</v>
          </cell>
          <cell r="P6880">
            <v>0</v>
          </cell>
          <cell r="Q6880">
            <v>0</v>
          </cell>
          <cell r="R6880">
            <v>0</v>
          </cell>
          <cell r="S6880">
            <v>0</v>
          </cell>
          <cell r="T6880">
            <v>0</v>
          </cell>
          <cell r="U6880">
            <v>0</v>
          </cell>
          <cell r="V6880">
            <v>0</v>
          </cell>
          <cell r="W6880">
            <v>0</v>
          </cell>
          <cell r="X6880">
            <v>0</v>
          </cell>
          <cell r="Y6880">
            <v>0</v>
          </cell>
          <cell r="Z6880">
            <v>0</v>
          </cell>
        </row>
        <row r="6881">
          <cell r="D6881">
            <v>302149</v>
          </cell>
          <cell r="E6881" t="str">
            <v>Santiago Syjuco Memorial Integrated Secondary School</v>
          </cell>
          <cell r="F6881">
            <v>0</v>
          </cell>
          <cell r="G6881">
            <v>0</v>
          </cell>
          <cell r="H6881">
            <v>0</v>
          </cell>
          <cell r="I6881">
            <v>0</v>
          </cell>
          <cell r="J6881">
            <v>0</v>
          </cell>
          <cell r="K6881">
            <v>0</v>
          </cell>
          <cell r="L6881">
            <v>0</v>
          </cell>
          <cell r="M6881">
            <v>0</v>
          </cell>
          <cell r="N6881">
            <v>0</v>
          </cell>
          <cell r="O6881">
            <v>0</v>
          </cell>
          <cell r="P6881">
            <v>0</v>
          </cell>
          <cell r="Q6881">
            <v>0</v>
          </cell>
          <cell r="R6881">
            <v>0</v>
          </cell>
          <cell r="S6881">
            <v>0</v>
          </cell>
          <cell r="T6881">
            <v>0</v>
          </cell>
          <cell r="U6881">
            <v>0</v>
          </cell>
          <cell r="V6881">
            <v>0</v>
          </cell>
          <cell r="W6881">
            <v>0</v>
          </cell>
          <cell r="X6881">
            <v>0</v>
          </cell>
          <cell r="Y6881">
            <v>0</v>
          </cell>
          <cell r="Z6881">
            <v>0</v>
          </cell>
        </row>
        <row r="6882">
          <cell r="D6882">
            <v>305299</v>
          </cell>
          <cell r="E6882" t="str">
            <v>Dona Teodora Alonzo HS</v>
          </cell>
          <cell r="F6882">
            <v>0</v>
          </cell>
          <cell r="G6882">
            <v>0</v>
          </cell>
          <cell r="H6882">
            <v>0</v>
          </cell>
          <cell r="I6882">
            <v>0</v>
          </cell>
          <cell r="J6882">
            <v>0</v>
          </cell>
          <cell r="K6882">
            <v>0</v>
          </cell>
          <cell r="L6882">
            <v>0</v>
          </cell>
          <cell r="M6882">
            <v>0</v>
          </cell>
          <cell r="N6882">
            <v>0</v>
          </cell>
          <cell r="O6882">
            <v>0</v>
          </cell>
          <cell r="P6882">
            <v>0</v>
          </cell>
          <cell r="Q6882">
            <v>0</v>
          </cell>
          <cell r="R6882">
            <v>0</v>
          </cell>
          <cell r="S6882">
            <v>0</v>
          </cell>
          <cell r="T6882">
            <v>0</v>
          </cell>
          <cell r="U6882">
            <v>0</v>
          </cell>
          <cell r="V6882">
            <v>0</v>
          </cell>
          <cell r="W6882">
            <v>0</v>
          </cell>
          <cell r="X6882">
            <v>0</v>
          </cell>
          <cell r="Y6882">
            <v>0</v>
          </cell>
          <cell r="Z6882">
            <v>0</v>
          </cell>
        </row>
        <row r="6883">
          <cell r="D6883">
            <v>320307</v>
          </cell>
          <cell r="E6883" t="str">
            <v>Las Piñas City Technical-Vocational High School</v>
          </cell>
          <cell r="F6883">
            <v>0</v>
          </cell>
          <cell r="G6883">
            <v>0</v>
          </cell>
          <cell r="H6883">
            <v>0</v>
          </cell>
          <cell r="I6883">
            <v>0</v>
          </cell>
          <cell r="J6883">
            <v>0</v>
          </cell>
          <cell r="K6883">
            <v>0</v>
          </cell>
          <cell r="L6883">
            <v>0</v>
          </cell>
          <cell r="M6883">
            <v>0</v>
          </cell>
          <cell r="N6883">
            <v>0</v>
          </cell>
          <cell r="O6883">
            <v>0</v>
          </cell>
          <cell r="P6883">
            <v>0</v>
          </cell>
          <cell r="Q6883">
            <v>0</v>
          </cell>
          <cell r="R6883">
            <v>0</v>
          </cell>
          <cell r="S6883">
            <v>0</v>
          </cell>
          <cell r="T6883">
            <v>0</v>
          </cell>
          <cell r="U6883">
            <v>0</v>
          </cell>
          <cell r="V6883">
            <v>0</v>
          </cell>
          <cell r="W6883">
            <v>0</v>
          </cell>
          <cell r="X6883">
            <v>0</v>
          </cell>
          <cell r="Y6883">
            <v>0</v>
          </cell>
          <cell r="Z6883">
            <v>0</v>
          </cell>
        </row>
        <row r="6884">
          <cell r="D6884">
            <v>500328</v>
          </cell>
          <cell r="E6884" t="str">
            <v>Philippine National School for the Blind</v>
          </cell>
          <cell r="F6884">
            <v>16</v>
          </cell>
          <cell r="G6884">
            <v>17</v>
          </cell>
          <cell r="H6884">
            <v>33</v>
          </cell>
          <cell r="I6884">
            <v>16</v>
          </cell>
          <cell r="J6884">
            <v>17</v>
          </cell>
          <cell r="K6884">
            <v>33</v>
          </cell>
          <cell r="L6884">
            <v>79</v>
          </cell>
          <cell r="M6884">
            <v>47</v>
          </cell>
          <cell r="N6884">
            <v>126</v>
          </cell>
          <cell r="O6884">
            <v>0</v>
          </cell>
          <cell r="P6884">
            <v>0</v>
          </cell>
          <cell r="Q6884">
            <v>0</v>
          </cell>
          <cell r="R6884">
            <v>0</v>
          </cell>
          <cell r="S6884">
            <v>0</v>
          </cell>
          <cell r="T6884">
            <v>0</v>
          </cell>
          <cell r="U6884">
            <v>0</v>
          </cell>
          <cell r="V6884">
            <v>0</v>
          </cell>
          <cell r="W6884">
            <v>0</v>
          </cell>
          <cell r="X6884">
            <v>0</v>
          </cell>
          <cell r="Y6884">
            <v>0</v>
          </cell>
          <cell r="Z6884">
            <v>0</v>
          </cell>
        </row>
        <row r="6885">
          <cell r="D6885">
            <v>305430</v>
          </cell>
          <cell r="E6885" t="str">
            <v>Las Piñas National High School</v>
          </cell>
          <cell r="F6885">
            <v>0</v>
          </cell>
          <cell r="G6885">
            <v>0</v>
          </cell>
          <cell r="H6885">
            <v>0</v>
          </cell>
          <cell r="I6885">
            <v>0</v>
          </cell>
          <cell r="J6885">
            <v>0</v>
          </cell>
          <cell r="K6885">
            <v>0</v>
          </cell>
          <cell r="L6885">
            <v>0</v>
          </cell>
          <cell r="M6885">
            <v>0</v>
          </cell>
          <cell r="N6885">
            <v>0</v>
          </cell>
          <cell r="O6885">
            <v>0</v>
          </cell>
          <cell r="P6885">
            <v>0</v>
          </cell>
          <cell r="Q6885">
            <v>0</v>
          </cell>
          <cell r="R6885">
            <v>0</v>
          </cell>
          <cell r="S6885">
            <v>0</v>
          </cell>
          <cell r="T6885">
            <v>0</v>
          </cell>
          <cell r="U6885">
            <v>0</v>
          </cell>
          <cell r="V6885">
            <v>0</v>
          </cell>
          <cell r="W6885">
            <v>0</v>
          </cell>
          <cell r="X6885">
            <v>0</v>
          </cell>
          <cell r="Y6885">
            <v>0</v>
          </cell>
          <cell r="Z6885">
            <v>0</v>
          </cell>
        </row>
        <row r="6886">
          <cell r="D6886">
            <v>305345</v>
          </cell>
          <cell r="E6886" t="str">
            <v>Balara HS</v>
          </cell>
          <cell r="F6886">
            <v>110</v>
          </cell>
          <cell r="G6886">
            <v>117</v>
          </cell>
          <cell r="H6886">
            <v>227</v>
          </cell>
          <cell r="I6886">
            <v>98</v>
          </cell>
          <cell r="J6886">
            <v>85</v>
          </cell>
          <cell r="K6886">
            <v>183</v>
          </cell>
          <cell r="L6886">
            <v>0</v>
          </cell>
          <cell r="M6886">
            <v>0</v>
          </cell>
          <cell r="N6886">
            <v>0</v>
          </cell>
          <cell r="O6886">
            <v>12</v>
          </cell>
          <cell r="P6886">
            <v>32</v>
          </cell>
          <cell r="Q6886">
            <v>44</v>
          </cell>
          <cell r="R6886">
            <v>10</v>
          </cell>
          <cell r="S6886">
            <v>28</v>
          </cell>
          <cell r="T6886">
            <v>38</v>
          </cell>
          <cell r="U6886">
            <v>0</v>
          </cell>
          <cell r="V6886">
            <v>0</v>
          </cell>
          <cell r="W6886">
            <v>0</v>
          </cell>
          <cell r="X6886">
            <v>0</v>
          </cell>
          <cell r="Y6886">
            <v>0</v>
          </cell>
          <cell r="Z6886">
            <v>0</v>
          </cell>
        </row>
        <row r="6887">
          <cell r="D6887">
            <v>305419</v>
          </cell>
          <cell r="E6887" t="str">
            <v>Santolan HS</v>
          </cell>
          <cell r="F6887">
            <v>0</v>
          </cell>
          <cell r="G6887">
            <v>0</v>
          </cell>
          <cell r="H6887">
            <v>0</v>
          </cell>
          <cell r="I6887">
            <v>0</v>
          </cell>
          <cell r="J6887">
            <v>0</v>
          </cell>
          <cell r="K6887">
            <v>0</v>
          </cell>
          <cell r="L6887">
            <v>0</v>
          </cell>
          <cell r="M6887">
            <v>0</v>
          </cell>
          <cell r="N6887">
            <v>0</v>
          </cell>
          <cell r="O6887">
            <v>0</v>
          </cell>
          <cell r="P6887">
            <v>0</v>
          </cell>
          <cell r="Q6887">
            <v>0</v>
          </cell>
          <cell r="R6887">
            <v>0</v>
          </cell>
          <cell r="S6887">
            <v>0</v>
          </cell>
          <cell r="T6887">
            <v>0</v>
          </cell>
          <cell r="U6887">
            <v>0</v>
          </cell>
          <cell r="V6887">
            <v>0</v>
          </cell>
          <cell r="W6887">
            <v>0</v>
          </cell>
          <cell r="X6887">
            <v>0</v>
          </cell>
          <cell r="Y6887">
            <v>0</v>
          </cell>
          <cell r="Z6887">
            <v>0</v>
          </cell>
        </row>
        <row r="6888">
          <cell r="D6888">
            <v>305440</v>
          </cell>
          <cell r="E6888" t="str">
            <v>Lawang Bato National High School</v>
          </cell>
          <cell r="F6888">
            <v>0</v>
          </cell>
          <cell r="G6888">
            <v>0</v>
          </cell>
          <cell r="H6888">
            <v>0</v>
          </cell>
          <cell r="I6888">
            <v>0</v>
          </cell>
          <cell r="J6888">
            <v>0</v>
          </cell>
          <cell r="K6888">
            <v>0</v>
          </cell>
          <cell r="L6888">
            <v>0</v>
          </cell>
          <cell r="M6888">
            <v>0</v>
          </cell>
          <cell r="N6888">
            <v>0</v>
          </cell>
          <cell r="O6888">
            <v>0</v>
          </cell>
          <cell r="P6888">
            <v>0</v>
          </cell>
          <cell r="Q6888">
            <v>0</v>
          </cell>
          <cell r="R6888">
            <v>0</v>
          </cell>
          <cell r="S6888">
            <v>0</v>
          </cell>
          <cell r="T6888">
            <v>0</v>
          </cell>
          <cell r="U6888">
            <v>0</v>
          </cell>
          <cell r="V6888">
            <v>0</v>
          </cell>
          <cell r="W6888">
            <v>0</v>
          </cell>
          <cell r="X6888">
            <v>0</v>
          </cell>
          <cell r="Y6888">
            <v>0</v>
          </cell>
          <cell r="Z6888">
            <v>0</v>
          </cell>
        </row>
        <row r="6889">
          <cell r="D6889">
            <v>340729</v>
          </cell>
          <cell r="E6889" t="str">
            <v>Paso de Blas Senior High School</v>
          </cell>
          <cell r="F6889">
            <v>129</v>
          </cell>
          <cell r="G6889">
            <v>0</v>
          </cell>
          <cell r="H6889">
            <v>129</v>
          </cell>
          <cell r="I6889">
            <v>0</v>
          </cell>
          <cell r="J6889">
            <v>0</v>
          </cell>
          <cell r="K6889">
            <v>0</v>
          </cell>
          <cell r="L6889">
            <v>0</v>
          </cell>
          <cell r="M6889">
            <v>0</v>
          </cell>
          <cell r="N6889">
            <v>0</v>
          </cell>
          <cell r="O6889">
            <v>0</v>
          </cell>
          <cell r="P6889">
            <v>0</v>
          </cell>
          <cell r="Q6889">
            <v>0</v>
          </cell>
          <cell r="R6889">
            <v>0</v>
          </cell>
          <cell r="S6889">
            <v>0</v>
          </cell>
          <cell r="T6889">
            <v>0</v>
          </cell>
          <cell r="U6889">
            <v>54</v>
          </cell>
          <cell r="V6889">
            <v>0</v>
          </cell>
          <cell r="W6889">
            <v>54</v>
          </cell>
          <cell r="X6889">
            <v>54</v>
          </cell>
          <cell r="Y6889">
            <v>0</v>
          </cell>
          <cell r="Z6889">
            <v>54</v>
          </cell>
        </row>
        <row r="6890">
          <cell r="D6890">
            <v>305370</v>
          </cell>
          <cell r="E6890" t="str">
            <v>Pasay City South High School</v>
          </cell>
          <cell r="F6890">
            <v>520</v>
          </cell>
          <cell r="G6890">
            <v>398</v>
          </cell>
          <cell r="H6890">
            <v>918</v>
          </cell>
          <cell r="I6890">
            <v>394</v>
          </cell>
          <cell r="J6890">
            <v>455</v>
          </cell>
          <cell r="K6890">
            <v>849</v>
          </cell>
          <cell r="L6890">
            <v>2649</v>
          </cell>
          <cell r="M6890">
            <v>1875</v>
          </cell>
          <cell r="N6890">
            <v>4524</v>
          </cell>
          <cell r="O6890">
            <v>394</v>
          </cell>
          <cell r="P6890">
            <v>455</v>
          </cell>
          <cell r="Q6890">
            <v>849</v>
          </cell>
          <cell r="R6890">
            <v>0</v>
          </cell>
          <cell r="S6890">
            <v>0</v>
          </cell>
          <cell r="T6890">
            <v>0</v>
          </cell>
          <cell r="U6890">
            <v>2</v>
          </cell>
          <cell r="V6890">
            <v>4</v>
          </cell>
          <cell r="W6890">
            <v>6</v>
          </cell>
          <cell r="X6890">
            <v>8</v>
          </cell>
          <cell r="Y6890">
            <v>6</v>
          </cell>
          <cell r="Z6890">
            <v>14</v>
          </cell>
        </row>
        <row r="6891">
          <cell r="D6891">
            <v>305446</v>
          </cell>
          <cell r="E6891" t="str">
            <v>Sitero Francisco Mem. NHS</v>
          </cell>
          <cell r="F6891">
            <v>0</v>
          </cell>
          <cell r="G6891">
            <v>0</v>
          </cell>
          <cell r="H6891">
            <v>0</v>
          </cell>
          <cell r="I6891">
            <v>0</v>
          </cell>
          <cell r="J6891">
            <v>0</v>
          </cell>
          <cell r="K6891">
            <v>0</v>
          </cell>
          <cell r="L6891">
            <v>0</v>
          </cell>
          <cell r="M6891">
            <v>0</v>
          </cell>
          <cell r="N6891">
            <v>0</v>
          </cell>
          <cell r="O6891">
            <v>0</v>
          </cell>
          <cell r="P6891">
            <v>0</v>
          </cell>
          <cell r="Q6891">
            <v>0</v>
          </cell>
          <cell r="R6891">
            <v>0</v>
          </cell>
          <cell r="S6891">
            <v>0</v>
          </cell>
          <cell r="T6891">
            <v>0</v>
          </cell>
          <cell r="U6891">
            <v>0</v>
          </cell>
          <cell r="V6891">
            <v>0</v>
          </cell>
          <cell r="W6891">
            <v>0</v>
          </cell>
          <cell r="X6891">
            <v>0</v>
          </cell>
          <cell r="Y6891">
            <v>0</v>
          </cell>
          <cell r="Z6891">
            <v>0</v>
          </cell>
        </row>
        <row r="6892">
          <cell r="D6892">
            <v>305442</v>
          </cell>
          <cell r="E6892" t="str">
            <v>Parada NHS</v>
          </cell>
          <cell r="F6892">
            <v>120</v>
          </cell>
          <cell r="G6892">
            <v>58</v>
          </cell>
          <cell r="H6892">
            <v>178</v>
          </cell>
          <cell r="I6892">
            <v>120</v>
          </cell>
          <cell r="J6892">
            <v>58</v>
          </cell>
          <cell r="K6892">
            <v>178</v>
          </cell>
          <cell r="L6892">
            <v>580</v>
          </cell>
          <cell r="M6892">
            <v>311</v>
          </cell>
          <cell r="N6892">
            <v>891</v>
          </cell>
          <cell r="O6892">
            <v>0</v>
          </cell>
          <cell r="P6892">
            <v>0</v>
          </cell>
          <cell r="Q6892">
            <v>0</v>
          </cell>
          <cell r="R6892">
            <v>0</v>
          </cell>
          <cell r="S6892">
            <v>0</v>
          </cell>
          <cell r="T6892">
            <v>0</v>
          </cell>
          <cell r="U6892">
            <v>0</v>
          </cell>
          <cell r="V6892">
            <v>0</v>
          </cell>
          <cell r="W6892">
            <v>0</v>
          </cell>
          <cell r="X6892">
            <v>15</v>
          </cell>
          <cell r="Y6892">
            <v>11</v>
          </cell>
          <cell r="Z6892">
            <v>26</v>
          </cell>
        </row>
        <row r="6893">
          <cell r="D6893">
            <v>305591</v>
          </cell>
          <cell r="E6893" t="str">
            <v>Vito L. Belarmino Senior High School</v>
          </cell>
          <cell r="F6893">
            <v>22</v>
          </cell>
          <cell r="G6893">
            <v>30</v>
          </cell>
          <cell r="H6893">
            <v>52</v>
          </cell>
          <cell r="I6893">
            <v>14</v>
          </cell>
          <cell r="J6893">
            <v>17</v>
          </cell>
          <cell r="K6893">
            <v>31</v>
          </cell>
          <cell r="L6893">
            <v>8</v>
          </cell>
          <cell r="M6893">
            <v>13</v>
          </cell>
          <cell r="N6893">
            <v>21</v>
          </cell>
          <cell r="O6893">
            <v>0</v>
          </cell>
          <cell r="P6893">
            <v>0</v>
          </cell>
          <cell r="Q6893">
            <v>0</v>
          </cell>
          <cell r="R6893">
            <v>0</v>
          </cell>
          <cell r="S6893">
            <v>0</v>
          </cell>
          <cell r="T6893">
            <v>0</v>
          </cell>
          <cell r="U6893">
            <v>0</v>
          </cell>
          <cell r="V6893">
            <v>0</v>
          </cell>
          <cell r="W6893">
            <v>0</v>
          </cell>
          <cell r="X6893">
            <v>0</v>
          </cell>
          <cell r="Y6893">
            <v>0</v>
          </cell>
          <cell r="Z6893">
            <v>0</v>
          </cell>
        </row>
        <row r="6894">
          <cell r="D6894">
            <v>305300</v>
          </cell>
          <cell r="E6894" t="str">
            <v>Cayetano Arellano High School</v>
          </cell>
          <cell r="F6894">
            <v>0</v>
          </cell>
          <cell r="G6894">
            <v>0</v>
          </cell>
          <cell r="H6894">
            <v>0</v>
          </cell>
          <cell r="I6894">
            <v>0</v>
          </cell>
          <cell r="J6894">
            <v>0</v>
          </cell>
          <cell r="K6894">
            <v>0</v>
          </cell>
          <cell r="L6894">
            <v>0</v>
          </cell>
          <cell r="M6894">
            <v>0</v>
          </cell>
          <cell r="N6894">
            <v>0</v>
          </cell>
          <cell r="O6894">
            <v>0</v>
          </cell>
          <cell r="P6894">
            <v>0</v>
          </cell>
          <cell r="Q6894">
            <v>0</v>
          </cell>
          <cell r="R6894">
            <v>0</v>
          </cell>
          <cell r="S6894">
            <v>0</v>
          </cell>
          <cell r="T6894">
            <v>0</v>
          </cell>
          <cell r="U6894">
            <v>0</v>
          </cell>
          <cell r="V6894">
            <v>0</v>
          </cell>
          <cell r="W6894">
            <v>0</v>
          </cell>
          <cell r="X6894">
            <v>0</v>
          </cell>
          <cell r="Y6894">
            <v>0</v>
          </cell>
          <cell r="Z6894">
            <v>0</v>
          </cell>
        </row>
        <row r="6895">
          <cell r="D6895">
            <v>305458</v>
          </cell>
          <cell r="E6895" t="str">
            <v>San Roque National High School</v>
          </cell>
          <cell r="F6895">
            <v>42</v>
          </cell>
          <cell r="G6895">
            <v>25</v>
          </cell>
          <cell r="H6895">
            <v>67</v>
          </cell>
          <cell r="I6895">
            <v>5</v>
          </cell>
          <cell r="J6895">
            <v>6</v>
          </cell>
          <cell r="K6895">
            <v>11</v>
          </cell>
          <cell r="L6895">
            <v>10</v>
          </cell>
          <cell r="M6895">
            <v>8</v>
          </cell>
          <cell r="N6895">
            <v>18</v>
          </cell>
          <cell r="O6895">
            <v>0</v>
          </cell>
          <cell r="P6895">
            <v>0</v>
          </cell>
          <cell r="Q6895">
            <v>0</v>
          </cell>
          <cell r="R6895">
            <v>0</v>
          </cell>
          <cell r="S6895">
            <v>0</v>
          </cell>
          <cell r="T6895">
            <v>0</v>
          </cell>
          <cell r="U6895">
            <v>2</v>
          </cell>
          <cell r="V6895">
            <v>2</v>
          </cell>
          <cell r="W6895">
            <v>4</v>
          </cell>
          <cell r="X6895">
            <v>6</v>
          </cell>
          <cell r="Y6895">
            <v>6</v>
          </cell>
          <cell r="Z6895">
            <v>12</v>
          </cell>
        </row>
        <row r="6896">
          <cell r="D6896">
            <v>305319</v>
          </cell>
          <cell r="E6896" t="str">
            <v>Eulogio Rodriguez Vocational High School</v>
          </cell>
          <cell r="F6896">
            <v>0</v>
          </cell>
          <cell r="G6896">
            <v>0</v>
          </cell>
          <cell r="H6896">
            <v>0</v>
          </cell>
          <cell r="I6896">
            <v>0</v>
          </cell>
          <cell r="J6896">
            <v>0</v>
          </cell>
          <cell r="K6896">
            <v>0</v>
          </cell>
          <cell r="L6896">
            <v>0</v>
          </cell>
          <cell r="M6896">
            <v>0</v>
          </cell>
          <cell r="N6896">
            <v>0</v>
          </cell>
          <cell r="O6896">
            <v>0</v>
          </cell>
          <cell r="P6896">
            <v>0</v>
          </cell>
          <cell r="Q6896">
            <v>0</v>
          </cell>
          <cell r="R6896">
            <v>0</v>
          </cell>
          <cell r="S6896">
            <v>0</v>
          </cell>
          <cell r="T6896">
            <v>0</v>
          </cell>
          <cell r="U6896">
            <v>0</v>
          </cell>
          <cell r="V6896">
            <v>0</v>
          </cell>
          <cell r="W6896">
            <v>0</v>
          </cell>
          <cell r="X6896">
            <v>0</v>
          </cell>
          <cell r="Y6896">
            <v>0</v>
          </cell>
          <cell r="Z6896">
            <v>0</v>
          </cell>
        </row>
        <row r="6897">
          <cell r="D6897">
            <v>320502</v>
          </cell>
          <cell r="E6897" t="str">
            <v>Concepcion Technical - Vocational School</v>
          </cell>
          <cell r="F6897">
            <v>0</v>
          </cell>
          <cell r="G6897">
            <v>0</v>
          </cell>
          <cell r="H6897">
            <v>0</v>
          </cell>
          <cell r="I6897">
            <v>0</v>
          </cell>
          <cell r="J6897">
            <v>0</v>
          </cell>
          <cell r="K6897">
            <v>0</v>
          </cell>
          <cell r="L6897">
            <v>0</v>
          </cell>
          <cell r="M6897">
            <v>0</v>
          </cell>
          <cell r="N6897">
            <v>0</v>
          </cell>
          <cell r="O6897">
            <v>0</v>
          </cell>
          <cell r="P6897">
            <v>0</v>
          </cell>
          <cell r="Q6897">
            <v>0</v>
          </cell>
          <cell r="R6897">
            <v>0</v>
          </cell>
          <cell r="S6897">
            <v>0</v>
          </cell>
          <cell r="T6897">
            <v>0</v>
          </cell>
          <cell r="U6897">
            <v>0</v>
          </cell>
          <cell r="V6897">
            <v>0</v>
          </cell>
          <cell r="W6897">
            <v>0</v>
          </cell>
          <cell r="X6897">
            <v>0</v>
          </cell>
          <cell r="Y6897">
            <v>0</v>
          </cell>
          <cell r="Z6897">
            <v>0</v>
          </cell>
        </row>
        <row r="6898">
          <cell r="D6898">
            <v>305399</v>
          </cell>
          <cell r="E6898" t="str">
            <v>Tañong HS</v>
          </cell>
          <cell r="F6898">
            <v>0</v>
          </cell>
          <cell r="G6898">
            <v>0</v>
          </cell>
          <cell r="H6898">
            <v>0</v>
          </cell>
          <cell r="I6898">
            <v>0</v>
          </cell>
          <cell r="J6898">
            <v>0</v>
          </cell>
          <cell r="K6898">
            <v>0</v>
          </cell>
          <cell r="L6898">
            <v>0</v>
          </cell>
          <cell r="M6898">
            <v>0</v>
          </cell>
          <cell r="N6898">
            <v>0</v>
          </cell>
          <cell r="O6898">
            <v>0</v>
          </cell>
          <cell r="P6898">
            <v>0</v>
          </cell>
          <cell r="Q6898">
            <v>0</v>
          </cell>
          <cell r="R6898">
            <v>0</v>
          </cell>
          <cell r="S6898">
            <v>0</v>
          </cell>
          <cell r="T6898">
            <v>0</v>
          </cell>
          <cell r="U6898">
            <v>0</v>
          </cell>
          <cell r="V6898">
            <v>0</v>
          </cell>
          <cell r="W6898">
            <v>0</v>
          </cell>
          <cell r="X6898">
            <v>0</v>
          </cell>
          <cell r="Y6898">
            <v>0</v>
          </cell>
          <cell r="Z6898">
            <v>0</v>
          </cell>
        </row>
        <row r="6899">
          <cell r="D6899">
            <v>305447</v>
          </cell>
          <cell r="E6899" t="str">
            <v>Malabon National High School</v>
          </cell>
          <cell r="F6899">
            <v>0</v>
          </cell>
          <cell r="G6899">
            <v>0</v>
          </cell>
          <cell r="H6899">
            <v>0</v>
          </cell>
          <cell r="I6899">
            <v>0</v>
          </cell>
          <cell r="J6899">
            <v>0</v>
          </cell>
          <cell r="K6899">
            <v>0</v>
          </cell>
          <cell r="L6899">
            <v>0</v>
          </cell>
          <cell r="M6899">
            <v>0</v>
          </cell>
          <cell r="N6899">
            <v>0</v>
          </cell>
          <cell r="O6899">
            <v>0</v>
          </cell>
          <cell r="P6899">
            <v>0</v>
          </cell>
          <cell r="Q6899">
            <v>0</v>
          </cell>
          <cell r="R6899">
            <v>0</v>
          </cell>
          <cell r="S6899">
            <v>0</v>
          </cell>
          <cell r="T6899">
            <v>0</v>
          </cell>
          <cell r="U6899">
            <v>0</v>
          </cell>
          <cell r="V6899">
            <v>0</v>
          </cell>
          <cell r="W6899">
            <v>0</v>
          </cell>
          <cell r="X6899">
            <v>0</v>
          </cell>
          <cell r="Y6899">
            <v>0</v>
          </cell>
          <cell r="Z6899">
            <v>0</v>
          </cell>
        </row>
        <row r="6900">
          <cell r="D6900">
            <v>320504</v>
          </cell>
          <cell r="E6900" t="str">
            <v>Acacia National High School</v>
          </cell>
          <cell r="F6900">
            <v>79</v>
          </cell>
          <cell r="G6900">
            <v>81</v>
          </cell>
          <cell r="H6900">
            <v>160</v>
          </cell>
          <cell r="I6900">
            <v>0</v>
          </cell>
          <cell r="J6900">
            <v>0</v>
          </cell>
          <cell r="K6900">
            <v>0</v>
          </cell>
          <cell r="L6900">
            <v>0</v>
          </cell>
          <cell r="M6900">
            <v>0</v>
          </cell>
          <cell r="N6900">
            <v>0</v>
          </cell>
          <cell r="O6900">
            <v>0</v>
          </cell>
          <cell r="P6900">
            <v>0</v>
          </cell>
          <cell r="Q6900">
            <v>0</v>
          </cell>
          <cell r="R6900">
            <v>0</v>
          </cell>
          <cell r="S6900">
            <v>0</v>
          </cell>
          <cell r="T6900">
            <v>0</v>
          </cell>
          <cell r="U6900">
            <v>0</v>
          </cell>
          <cell r="V6900">
            <v>0</v>
          </cell>
          <cell r="W6900">
            <v>0</v>
          </cell>
          <cell r="X6900">
            <v>0</v>
          </cell>
          <cell r="Y6900">
            <v>0</v>
          </cell>
          <cell r="Z6900">
            <v>0</v>
          </cell>
        </row>
        <row r="6901">
          <cell r="D6901">
            <v>305303</v>
          </cell>
          <cell r="E6901" t="str">
            <v>Raja Soliman Science and Technology High School</v>
          </cell>
          <cell r="F6901">
            <v>419</v>
          </cell>
          <cell r="G6901">
            <v>287</v>
          </cell>
          <cell r="H6901">
            <v>706</v>
          </cell>
          <cell r="I6901">
            <v>282</v>
          </cell>
          <cell r="J6901">
            <v>209</v>
          </cell>
          <cell r="K6901">
            <v>491</v>
          </cell>
          <cell r="L6901">
            <v>840</v>
          </cell>
          <cell r="M6901">
            <v>776</v>
          </cell>
          <cell r="N6901">
            <v>1616</v>
          </cell>
          <cell r="O6901">
            <v>0</v>
          </cell>
          <cell r="P6901">
            <v>0</v>
          </cell>
          <cell r="Q6901">
            <v>0</v>
          </cell>
          <cell r="R6901">
            <v>0</v>
          </cell>
          <cell r="S6901">
            <v>0</v>
          </cell>
          <cell r="T6901">
            <v>0</v>
          </cell>
          <cell r="U6901">
            <v>0</v>
          </cell>
          <cell r="V6901">
            <v>0</v>
          </cell>
          <cell r="W6901">
            <v>0</v>
          </cell>
          <cell r="X6901">
            <v>1</v>
          </cell>
          <cell r="Y6901">
            <v>2</v>
          </cell>
          <cell r="Z6901">
            <v>3</v>
          </cell>
        </row>
        <row r="6902">
          <cell r="D6902">
            <v>305291</v>
          </cell>
          <cell r="E6902" t="str">
            <v>Tondo High School</v>
          </cell>
          <cell r="F6902">
            <v>0</v>
          </cell>
          <cell r="G6902">
            <v>0</v>
          </cell>
          <cell r="H6902">
            <v>0</v>
          </cell>
          <cell r="I6902">
            <v>0</v>
          </cell>
          <cell r="J6902">
            <v>0</v>
          </cell>
          <cell r="K6902">
            <v>0</v>
          </cell>
          <cell r="L6902">
            <v>0</v>
          </cell>
          <cell r="M6902">
            <v>0</v>
          </cell>
          <cell r="N6902">
            <v>0</v>
          </cell>
          <cell r="O6902">
            <v>0</v>
          </cell>
          <cell r="P6902">
            <v>0</v>
          </cell>
          <cell r="Q6902">
            <v>0</v>
          </cell>
          <cell r="R6902">
            <v>0</v>
          </cell>
          <cell r="S6902">
            <v>0</v>
          </cell>
          <cell r="T6902">
            <v>0</v>
          </cell>
          <cell r="U6902">
            <v>0</v>
          </cell>
          <cell r="V6902">
            <v>0</v>
          </cell>
          <cell r="W6902">
            <v>0</v>
          </cell>
          <cell r="X6902">
            <v>0</v>
          </cell>
          <cell r="Y6902">
            <v>0</v>
          </cell>
          <cell r="Z6902">
            <v>0</v>
          </cell>
        </row>
        <row r="6903">
          <cell r="D6903">
            <v>340552</v>
          </cell>
          <cell r="E6903" t="str">
            <v>Las Piñas City National Senior High School- Talon Dos Campus</v>
          </cell>
          <cell r="F6903">
            <v>0</v>
          </cell>
          <cell r="G6903">
            <v>0</v>
          </cell>
          <cell r="H6903">
            <v>0</v>
          </cell>
          <cell r="I6903">
            <v>0</v>
          </cell>
          <cell r="J6903">
            <v>0</v>
          </cell>
          <cell r="K6903">
            <v>0</v>
          </cell>
          <cell r="L6903">
            <v>0</v>
          </cell>
          <cell r="M6903">
            <v>0</v>
          </cell>
          <cell r="N6903">
            <v>0</v>
          </cell>
          <cell r="O6903">
            <v>0</v>
          </cell>
          <cell r="P6903">
            <v>0</v>
          </cell>
          <cell r="Q6903">
            <v>0</v>
          </cell>
          <cell r="R6903">
            <v>0</v>
          </cell>
          <cell r="S6903">
            <v>0</v>
          </cell>
          <cell r="T6903">
            <v>0</v>
          </cell>
          <cell r="U6903">
            <v>0</v>
          </cell>
          <cell r="V6903">
            <v>0</v>
          </cell>
          <cell r="W6903">
            <v>0</v>
          </cell>
          <cell r="X6903">
            <v>0</v>
          </cell>
          <cell r="Y6903">
            <v>0</v>
          </cell>
          <cell r="Z6903">
            <v>0</v>
          </cell>
        </row>
        <row r="6904">
          <cell r="D6904">
            <v>305432</v>
          </cell>
          <cell r="E6904" t="str">
            <v>Golden Acres NHS</v>
          </cell>
          <cell r="F6904">
            <v>0</v>
          </cell>
          <cell r="G6904">
            <v>0</v>
          </cell>
          <cell r="H6904">
            <v>0</v>
          </cell>
          <cell r="I6904">
            <v>0</v>
          </cell>
          <cell r="J6904">
            <v>0</v>
          </cell>
          <cell r="K6904">
            <v>0</v>
          </cell>
          <cell r="L6904">
            <v>0</v>
          </cell>
          <cell r="M6904">
            <v>0</v>
          </cell>
          <cell r="N6904">
            <v>0</v>
          </cell>
          <cell r="O6904">
            <v>0</v>
          </cell>
          <cell r="P6904">
            <v>0</v>
          </cell>
          <cell r="Q6904">
            <v>0</v>
          </cell>
          <cell r="R6904">
            <v>0</v>
          </cell>
          <cell r="S6904">
            <v>0</v>
          </cell>
          <cell r="T6904">
            <v>0</v>
          </cell>
          <cell r="U6904">
            <v>0</v>
          </cell>
          <cell r="V6904">
            <v>0</v>
          </cell>
          <cell r="W6904">
            <v>0</v>
          </cell>
          <cell r="X6904">
            <v>0</v>
          </cell>
          <cell r="Y6904">
            <v>0</v>
          </cell>
          <cell r="Z6904">
            <v>0</v>
          </cell>
        </row>
        <row r="6905">
          <cell r="D6905">
            <v>340698</v>
          </cell>
          <cell r="E6905" t="str">
            <v>SHS within Toro Hills ES</v>
          </cell>
          <cell r="F6905">
            <v>0</v>
          </cell>
          <cell r="G6905">
            <v>0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>
            <v>0</v>
          </cell>
          <cell r="M6905">
            <v>0</v>
          </cell>
          <cell r="N6905">
            <v>0</v>
          </cell>
          <cell r="O6905">
            <v>0</v>
          </cell>
          <cell r="P6905">
            <v>0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  <cell r="U6905">
            <v>0</v>
          </cell>
          <cell r="V6905">
            <v>0</v>
          </cell>
          <cell r="W6905">
            <v>0</v>
          </cell>
          <cell r="X6905">
            <v>0</v>
          </cell>
          <cell r="Y6905">
            <v>0</v>
          </cell>
          <cell r="Z6905">
            <v>0</v>
          </cell>
        </row>
        <row r="6906">
          <cell r="D6906">
            <v>340550</v>
          </cell>
          <cell r="E6906" t="str">
            <v>Las Piñas City National Senior High School - CAA Campus</v>
          </cell>
          <cell r="F6906">
            <v>0</v>
          </cell>
          <cell r="G6906">
            <v>0</v>
          </cell>
          <cell r="H6906">
            <v>0</v>
          </cell>
          <cell r="I6906">
            <v>0</v>
          </cell>
          <cell r="J6906">
            <v>0</v>
          </cell>
          <cell r="K6906">
            <v>0</v>
          </cell>
          <cell r="L6906">
            <v>0</v>
          </cell>
          <cell r="M6906">
            <v>0</v>
          </cell>
          <cell r="N6906">
            <v>0</v>
          </cell>
          <cell r="O6906">
            <v>0</v>
          </cell>
          <cell r="P6906">
            <v>0</v>
          </cell>
          <cell r="Q6906">
            <v>0</v>
          </cell>
          <cell r="R6906">
            <v>0</v>
          </cell>
          <cell r="S6906">
            <v>0</v>
          </cell>
          <cell r="T6906">
            <v>0</v>
          </cell>
          <cell r="U6906">
            <v>0</v>
          </cell>
          <cell r="V6906">
            <v>0</v>
          </cell>
          <cell r="W6906">
            <v>0</v>
          </cell>
          <cell r="X6906">
            <v>0</v>
          </cell>
          <cell r="Y6906">
            <v>0</v>
          </cell>
          <cell r="Z6906">
            <v>0</v>
          </cell>
        </row>
        <row r="6907">
          <cell r="D6907">
            <v>340602</v>
          </cell>
          <cell r="E6907" t="str">
            <v>E. QUIRINO Senior High School within Bacood</v>
          </cell>
          <cell r="F6907">
            <v>99</v>
          </cell>
          <cell r="G6907">
            <v>87</v>
          </cell>
          <cell r="H6907">
            <v>186</v>
          </cell>
          <cell r="I6907">
            <v>80</v>
          </cell>
          <cell r="J6907">
            <v>43</v>
          </cell>
          <cell r="K6907">
            <v>123</v>
          </cell>
          <cell r="L6907">
            <v>248</v>
          </cell>
          <cell r="M6907">
            <v>170</v>
          </cell>
          <cell r="N6907">
            <v>418</v>
          </cell>
          <cell r="O6907">
            <v>0</v>
          </cell>
          <cell r="P6907">
            <v>0</v>
          </cell>
          <cell r="Q6907">
            <v>0</v>
          </cell>
          <cell r="R6907">
            <v>0</v>
          </cell>
          <cell r="S6907">
            <v>0</v>
          </cell>
          <cell r="T6907">
            <v>0</v>
          </cell>
          <cell r="U6907">
            <v>0</v>
          </cell>
          <cell r="V6907">
            <v>0</v>
          </cell>
          <cell r="W6907">
            <v>0</v>
          </cell>
          <cell r="X6907">
            <v>0</v>
          </cell>
          <cell r="Y6907">
            <v>0</v>
          </cell>
          <cell r="Z6907">
            <v>0</v>
          </cell>
        </row>
        <row r="6908">
          <cell r="D6908">
            <v>340695</v>
          </cell>
          <cell r="E6908" t="str">
            <v>SHS within Kamuning ES - A&amp;D</v>
          </cell>
          <cell r="F6908">
            <v>0</v>
          </cell>
          <cell r="G6908">
            <v>0</v>
          </cell>
          <cell r="H6908">
            <v>0</v>
          </cell>
          <cell r="I6908">
            <v>0</v>
          </cell>
          <cell r="J6908">
            <v>0</v>
          </cell>
          <cell r="K6908">
            <v>0</v>
          </cell>
          <cell r="L6908">
            <v>0</v>
          </cell>
          <cell r="M6908">
            <v>0</v>
          </cell>
          <cell r="N6908">
            <v>0</v>
          </cell>
          <cell r="O6908">
            <v>0</v>
          </cell>
          <cell r="P6908">
            <v>0</v>
          </cell>
          <cell r="Q6908">
            <v>0</v>
          </cell>
          <cell r="R6908">
            <v>0</v>
          </cell>
          <cell r="S6908">
            <v>0</v>
          </cell>
          <cell r="T6908">
            <v>0</v>
          </cell>
          <cell r="U6908">
            <v>0</v>
          </cell>
          <cell r="V6908">
            <v>0</v>
          </cell>
          <cell r="W6908">
            <v>0</v>
          </cell>
          <cell r="X6908">
            <v>0</v>
          </cell>
          <cell r="Y6908">
            <v>0</v>
          </cell>
          <cell r="Z6908">
            <v>0</v>
          </cell>
        </row>
        <row r="6909">
          <cell r="D6909">
            <v>305437</v>
          </cell>
          <cell r="E6909" t="str">
            <v>Dalandanan National High School</v>
          </cell>
          <cell r="F6909">
            <v>0</v>
          </cell>
          <cell r="G6909">
            <v>0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>
            <v>0</v>
          </cell>
          <cell r="M6909">
            <v>0</v>
          </cell>
          <cell r="N6909">
            <v>0</v>
          </cell>
          <cell r="O6909">
            <v>0</v>
          </cell>
          <cell r="P6909">
            <v>0</v>
          </cell>
          <cell r="Q6909">
            <v>0</v>
          </cell>
          <cell r="R6909">
            <v>0</v>
          </cell>
          <cell r="S6909">
            <v>0</v>
          </cell>
          <cell r="T6909">
            <v>0</v>
          </cell>
          <cell r="U6909">
            <v>0</v>
          </cell>
          <cell r="V6909">
            <v>0</v>
          </cell>
          <cell r="W6909">
            <v>0</v>
          </cell>
          <cell r="X6909">
            <v>0</v>
          </cell>
          <cell r="Y6909">
            <v>0</v>
          </cell>
          <cell r="Z6909">
            <v>0</v>
          </cell>
        </row>
        <row r="6910">
          <cell r="D6910">
            <v>305354</v>
          </cell>
          <cell r="E6910" t="str">
            <v>Flora A. Ylagan HS</v>
          </cell>
          <cell r="F6910">
            <v>0</v>
          </cell>
          <cell r="G6910">
            <v>0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>
            <v>0</v>
          </cell>
          <cell r="M6910">
            <v>0</v>
          </cell>
          <cell r="N6910">
            <v>0</v>
          </cell>
          <cell r="O6910">
            <v>0</v>
          </cell>
          <cell r="P6910">
            <v>0</v>
          </cell>
          <cell r="Q6910">
            <v>0</v>
          </cell>
          <cell r="R6910">
            <v>0</v>
          </cell>
          <cell r="S6910">
            <v>0</v>
          </cell>
          <cell r="T6910">
            <v>0</v>
          </cell>
          <cell r="U6910">
            <v>0</v>
          </cell>
          <cell r="V6910">
            <v>0</v>
          </cell>
          <cell r="W6910">
            <v>0</v>
          </cell>
          <cell r="X6910">
            <v>0</v>
          </cell>
          <cell r="Y6910">
            <v>0</v>
          </cell>
          <cell r="Z6910">
            <v>0</v>
          </cell>
        </row>
        <row r="6911">
          <cell r="D6911">
            <v>305331</v>
          </cell>
          <cell r="E6911" t="str">
            <v>Commonwealth HS</v>
          </cell>
          <cell r="F6911">
            <v>0</v>
          </cell>
          <cell r="G6911">
            <v>0</v>
          </cell>
          <cell r="H6911">
            <v>0</v>
          </cell>
          <cell r="I6911">
            <v>0</v>
          </cell>
          <cell r="J6911">
            <v>0</v>
          </cell>
          <cell r="K6911">
            <v>0</v>
          </cell>
          <cell r="L6911">
            <v>0</v>
          </cell>
          <cell r="M6911">
            <v>0</v>
          </cell>
          <cell r="N6911">
            <v>0</v>
          </cell>
          <cell r="O6911">
            <v>0</v>
          </cell>
          <cell r="P6911">
            <v>0</v>
          </cell>
          <cell r="Q6911">
            <v>0</v>
          </cell>
          <cell r="R6911">
            <v>0</v>
          </cell>
          <cell r="S6911">
            <v>0</v>
          </cell>
          <cell r="T6911">
            <v>0</v>
          </cell>
          <cell r="U6911">
            <v>0</v>
          </cell>
          <cell r="V6911">
            <v>0</v>
          </cell>
          <cell r="W6911">
            <v>0</v>
          </cell>
          <cell r="X6911">
            <v>0</v>
          </cell>
          <cell r="Y6911">
            <v>0</v>
          </cell>
          <cell r="Z6911">
            <v>0</v>
          </cell>
        </row>
        <row r="6912">
          <cell r="D6912">
            <v>305413</v>
          </cell>
          <cell r="E6912" t="str">
            <v>Rizal High School</v>
          </cell>
          <cell r="F6912">
            <v>75</v>
          </cell>
          <cell r="G6912">
            <v>89</v>
          </cell>
          <cell r="H6912">
            <v>164</v>
          </cell>
          <cell r="I6912">
            <v>75</v>
          </cell>
          <cell r="J6912">
            <v>89</v>
          </cell>
          <cell r="K6912">
            <v>164</v>
          </cell>
          <cell r="L6912">
            <v>75</v>
          </cell>
          <cell r="M6912">
            <v>89</v>
          </cell>
          <cell r="N6912">
            <v>164</v>
          </cell>
          <cell r="O6912">
            <v>0</v>
          </cell>
          <cell r="P6912">
            <v>0</v>
          </cell>
          <cell r="Q6912">
            <v>0</v>
          </cell>
          <cell r="R6912">
            <v>0</v>
          </cell>
          <cell r="S6912">
            <v>0</v>
          </cell>
          <cell r="T6912">
            <v>0</v>
          </cell>
          <cell r="U6912">
            <v>3</v>
          </cell>
          <cell r="V6912">
            <v>5</v>
          </cell>
          <cell r="W6912">
            <v>8</v>
          </cell>
          <cell r="X6912">
            <v>0</v>
          </cell>
          <cell r="Y6912">
            <v>0</v>
          </cell>
          <cell r="Z6912">
            <v>0</v>
          </cell>
        </row>
        <row r="6913">
          <cell r="D6913">
            <v>320304</v>
          </cell>
          <cell r="E6913" t="str">
            <v>Las Pinas City National Science High School</v>
          </cell>
          <cell r="F6913">
            <v>0</v>
          </cell>
          <cell r="G6913">
            <v>0</v>
          </cell>
          <cell r="H6913">
            <v>0</v>
          </cell>
          <cell r="I6913">
            <v>0</v>
          </cell>
          <cell r="J6913">
            <v>0</v>
          </cell>
          <cell r="K6913">
            <v>0</v>
          </cell>
          <cell r="L6913">
            <v>0</v>
          </cell>
          <cell r="M6913">
            <v>0</v>
          </cell>
          <cell r="N6913">
            <v>0</v>
          </cell>
          <cell r="O6913">
            <v>0</v>
          </cell>
          <cell r="P6913">
            <v>0</v>
          </cell>
          <cell r="Q6913">
            <v>0</v>
          </cell>
          <cell r="R6913">
            <v>0</v>
          </cell>
          <cell r="S6913">
            <v>0</v>
          </cell>
          <cell r="T6913">
            <v>0</v>
          </cell>
          <cell r="U6913">
            <v>0</v>
          </cell>
          <cell r="V6913">
            <v>0</v>
          </cell>
          <cell r="W6913">
            <v>0</v>
          </cell>
          <cell r="X6913">
            <v>0</v>
          </cell>
          <cell r="Y6913">
            <v>0</v>
          </cell>
          <cell r="Z6913">
            <v>0</v>
          </cell>
        </row>
        <row r="6914">
          <cell r="D6914">
            <v>305312</v>
          </cell>
          <cell r="E6914" t="str">
            <v>Manila Science High School</v>
          </cell>
          <cell r="F6914">
            <v>0</v>
          </cell>
          <cell r="G6914">
            <v>0</v>
          </cell>
          <cell r="H6914">
            <v>0</v>
          </cell>
          <cell r="I6914">
            <v>0</v>
          </cell>
          <cell r="J6914">
            <v>0</v>
          </cell>
          <cell r="K6914">
            <v>0</v>
          </cell>
          <cell r="L6914">
            <v>0</v>
          </cell>
          <cell r="M6914">
            <v>0</v>
          </cell>
          <cell r="N6914">
            <v>0</v>
          </cell>
          <cell r="O6914">
            <v>0</v>
          </cell>
          <cell r="P6914">
            <v>0</v>
          </cell>
          <cell r="Q6914">
            <v>0</v>
          </cell>
          <cell r="R6914">
            <v>0</v>
          </cell>
          <cell r="S6914">
            <v>0</v>
          </cell>
          <cell r="T6914">
            <v>0</v>
          </cell>
          <cell r="U6914">
            <v>0</v>
          </cell>
          <cell r="V6914">
            <v>0</v>
          </cell>
          <cell r="W6914">
            <v>0</v>
          </cell>
          <cell r="X6914">
            <v>0</v>
          </cell>
          <cell r="Y6914">
            <v>0</v>
          </cell>
          <cell r="Z6914">
            <v>0</v>
          </cell>
        </row>
        <row r="6915">
          <cell r="D6915">
            <v>302387</v>
          </cell>
          <cell r="E6915" t="str">
            <v>Malabon City Techvoc and Entrepreneurship Senior High School (CMPI Campus)</v>
          </cell>
          <cell r="F6915">
            <v>0</v>
          </cell>
          <cell r="G6915">
            <v>0</v>
          </cell>
          <cell r="H6915">
            <v>0</v>
          </cell>
          <cell r="I6915">
            <v>0</v>
          </cell>
          <cell r="J6915">
            <v>0</v>
          </cell>
          <cell r="K6915">
            <v>0</v>
          </cell>
          <cell r="L6915">
            <v>0</v>
          </cell>
          <cell r="M6915">
            <v>0</v>
          </cell>
          <cell r="N6915">
            <v>0</v>
          </cell>
          <cell r="O6915">
            <v>0</v>
          </cell>
          <cell r="P6915">
            <v>0</v>
          </cell>
          <cell r="Q6915">
            <v>0</v>
          </cell>
          <cell r="R6915">
            <v>0</v>
          </cell>
          <cell r="S6915">
            <v>0</v>
          </cell>
          <cell r="T6915">
            <v>0</v>
          </cell>
          <cell r="U6915">
            <v>0</v>
          </cell>
          <cell r="V6915">
            <v>0</v>
          </cell>
          <cell r="W6915">
            <v>0</v>
          </cell>
          <cell r="X6915">
            <v>0</v>
          </cell>
          <cell r="Y6915">
            <v>0</v>
          </cell>
          <cell r="Z6915">
            <v>0</v>
          </cell>
        </row>
        <row r="6916">
          <cell r="D6916">
            <v>305450</v>
          </cell>
          <cell r="E6916" t="str">
            <v>Panghulo NHS</v>
          </cell>
          <cell r="F6916">
            <v>0</v>
          </cell>
          <cell r="G6916">
            <v>0</v>
          </cell>
          <cell r="H6916">
            <v>0</v>
          </cell>
          <cell r="I6916">
            <v>0</v>
          </cell>
          <cell r="J6916">
            <v>0</v>
          </cell>
          <cell r="K6916">
            <v>0</v>
          </cell>
          <cell r="L6916">
            <v>0</v>
          </cell>
          <cell r="M6916">
            <v>0</v>
          </cell>
          <cell r="N6916">
            <v>0</v>
          </cell>
          <cell r="O6916">
            <v>0</v>
          </cell>
          <cell r="P6916">
            <v>0</v>
          </cell>
          <cell r="Q6916">
            <v>0</v>
          </cell>
          <cell r="R6916">
            <v>0</v>
          </cell>
          <cell r="S6916">
            <v>0</v>
          </cell>
          <cell r="T6916">
            <v>0</v>
          </cell>
          <cell r="U6916">
            <v>0</v>
          </cell>
          <cell r="V6916">
            <v>0</v>
          </cell>
          <cell r="W6916">
            <v>0</v>
          </cell>
          <cell r="X6916">
            <v>0</v>
          </cell>
          <cell r="Y6916">
            <v>0</v>
          </cell>
          <cell r="Z6916">
            <v>0</v>
          </cell>
        </row>
        <row r="6917">
          <cell r="D6917">
            <v>340629</v>
          </cell>
          <cell r="E6917" t="str">
            <v>SHS in Bangkulasi, Navotas City</v>
          </cell>
          <cell r="F6917">
            <v>0</v>
          </cell>
          <cell r="G6917">
            <v>0</v>
          </cell>
          <cell r="H6917">
            <v>0</v>
          </cell>
          <cell r="I6917">
            <v>0</v>
          </cell>
          <cell r="J6917">
            <v>0</v>
          </cell>
          <cell r="K6917">
            <v>0</v>
          </cell>
          <cell r="L6917">
            <v>0</v>
          </cell>
          <cell r="M6917">
            <v>0</v>
          </cell>
          <cell r="N6917">
            <v>0</v>
          </cell>
          <cell r="O6917">
            <v>0</v>
          </cell>
          <cell r="P6917">
            <v>0</v>
          </cell>
          <cell r="Q6917">
            <v>0</v>
          </cell>
          <cell r="R6917">
            <v>0</v>
          </cell>
          <cell r="S6917">
            <v>0</v>
          </cell>
          <cell r="T6917">
            <v>0</v>
          </cell>
          <cell r="U6917">
            <v>0</v>
          </cell>
          <cell r="V6917">
            <v>0</v>
          </cell>
          <cell r="W6917">
            <v>0</v>
          </cell>
          <cell r="X6917">
            <v>0</v>
          </cell>
          <cell r="Y6917">
            <v>0</v>
          </cell>
          <cell r="Z6917">
            <v>0</v>
          </cell>
        </row>
        <row r="6918">
          <cell r="D6918">
            <v>340551</v>
          </cell>
          <cell r="E6918" t="str">
            <v>Las Piñas City National Senior High School - Dona Josefa Campus</v>
          </cell>
          <cell r="F6918">
            <v>498</v>
          </cell>
          <cell r="G6918">
            <v>0</v>
          </cell>
          <cell r="H6918">
            <v>498</v>
          </cell>
          <cell r="I6918">
            <v>200</v>
          </cell>
          <cell r="J6918">
            <v>0</v>
          </cell>
          <cell r="K6918">
            <v>200</v>
          </cell>
          <cell r="L6918">
            <v>3481</v>
          </cell>
          <cell r="M6918">
            <v>0</v>
          </cell>
          <cell r="N6918">
            <v>3481</v>
          </cell>
          <cell r="O6918">
            <v>0</v>
          </cell>
          <cell r="P6918">
            <v>0</v>
          </cell>
          <cell r="Q6918">
            <v>0</v>
          </cell>
          <cell r="R6918">
            <v>0</v>
          </cell>
          <cell r="S6918">
            <v>0</v>
          </cell>
          <cell r="T6918">
            <v>0</v>
          </cell>
          <cell r="U6918">
            <v>0</v>
          </cell>
          <cell r="V6918">
            <v>0</v>
          </cell>
          <cell r="W6918">
            <v>0</v>
          </cell>
          <cell r="X6918">
            <v>0</v>
          </cell>
          <cell r="Y6918">
            <v>0</v>
          </cell>
          <cell r="Z6918">
            <v>0</v>
          </cell>
        </row>
        <row r="6919">
          <cell r="D6919">
            <v>320205</v>
          </cell>
          <cell r="E6919" t="str">
            <v>Don Bosco High School Parañaque</v>
          </cell>
          <cell r="F6919">
            <v>0</v>
          </cell>
          <cell r="G6919">
            <v>0</v>
          </cell>
          <cell r="H6919">
            <v>0</v>
          </cell>
          <cell r="I6919">
            <v>0</v>
          </cell>
          <cell r="J6919">
            <v>0</v>
          </cell>
          <cell r="K6919">
            <v>0</v>
          </cell>
          <cell r="L6919">
            <v>0</v>
          </cell>
          <cell r="M6919">
            <v>0</v>
          </cell>
          <cell r="N6919">
            <v>0</v>
          </cell>
          <cell r="O6919">
            <v>0</v>
          </cell>
          <cell r="P6919">
            <v>0</v>
          </cell>
          <cell r="Q6919">
            <v>0</v>
          </cell>
          <cell r="R6919">
            <v>0</v>
          </cell>
          <cell r="S6919">
            <v>0</v>
          </cell>
          <cell r="T6919">
            <v>0</v>
          </cell>
          <cell r="U6919">
            <v>0</v>
          </cell>
          <cell r="V6919">
            <v>0</v>
          </cell>
          <cell r="W6919">
            <v>0</v>
          </cell>
          <cell r="X6919">
            <v>0</v>
          </cell>
          <cell r="Y6919">
            <v>0</v>
          </cell>
          <cell r="Z6919">
            <v>0</v>
          </cell>
        </row>
        <row r="6920">
          <cell r="D6920">
            <v>305452</v>
          </cell>
          <cell r="E6920" t="str">
            <v>Tinajeros NHS</v>
          </cell>
          <cell r="F6920">
            <v>80</v>
          </cell>
          <cell r="G6920">
            <v>60</v>
          </cell>
          <cell r="H6920">
            <v>140</v>
          </cell>
          <cell r="I6920">
            <v>62</v>
          </cell>
          <cell r="J6920">
            <v>43</v>
          </cell>
          <cell r="K6920">
            <v>105</v>
          </cell>
          <cell r="L6920">
            <v>62</v>
          </cell>
          <cell r="M6920">
            <v>43</v>
          </cell>
          <cell r="N6920">
            <v>105</v>
          </cell>
          <cell r="O6920">
            <v>0</v>
          </cell>
          <cell r="P6920">
            <v>0</v>
          </cell>
          <cell r="Q6920">
            <v>0</v>
          </cell>
          <cell r="R6920">
            <v>0</v>
          </cell>
          <cell r="S6920">
            <v>0</v>
          </cell>
          <cell r="T6920">
            <v>0</v>
          </cell>
          <cell r="U6920">
            <v>0</v>
          </cell>
          <cell r="V6920">
            <v>0</v>
          </cell>
          <cell r="W6920">
            <v>0</v>
          </cell>
          <cell r="X6920">
            <v>0</v>
          </cell>
          <cell r="Y6920">
            <v>0</v>
          </cell>
          <cell r="Z6920">
            <v>0</v>
          </cell>
        </row>
        <row r="6921">
          <cell r="D6921">
            <v>340548</v>
          </cell>
          <cell r="E6921" t="str">
            <v>Las Piñas City National Senior High School-Manuyo Campus</v>
          </cell>
          <cell r="F6921">
            <v>166</v>
          </cell>
          <cell r="G6921">
            <v>158</v>
          </cell>
          <cell r="H6921">
            <v>324</v>
          </cell>
          <cell r="I6921">
            <v>0</v>
          </cell>
          <cell r="J6921">
            <v>0</v>
          </cell>
          <cell r="K6921">
            <v>0</v>
          </cell>
          <cell r="L6921">
            <v>0</v>
          </cell>
          <cell r="M6921">
            <v>0</v>
          </cell>
          <cell r="N6921">
            <v>0</v>
          </cell>
          <cell r="O6921">
            <v>0</v>
          </cell>
          <cell r="P6921">
            <v>0</v>
          </cell>
          <cell r="Q6921">
            <v>0</v>
          </cell>
          <cell r="R6921">
            <v>0</v>
          </cell>
          <cell r="S6921">
            <v>0</v>
          </cell>
          <cell r="T6921">
            <v>0</v>
          </cell>
          <cell r="U6921">
            <v>0</v>
          </cell>
          <cell r="V6921">
            <v>0</v>
          </cell>
          <cell r="W6921">
            <v>0</v>
          </cell>
          <cell r="X6921">
            <v>0</v>
          </cell>
          <cell r="Y6921">
            <v>0</v>
          </cell>
          <cell r="Z6921">
            <v>0</v>
          </cell>
        </row>
        <row r="6922">
          <cell r="D6922">
            <v>320404</v>
          </cell>
          <cell r="E6922" t="str">
            <v>Bignay National High School</v>
          </cell>
          <cell r="F6922">
            <v>0</v>
          </cell>
          <cell r="G6922">
            <v>0</v>
          </cell>
          <cell r="H6922">
            <v>0</v>
          </cell>
          <cell r="I6922">
            <v>0</v>
          </cell>
          <cell r="J6922">
            <v>0</v>
          </cell>
          <cell r="K6922">
            <v>0</v>
          </cell>
          <cell r="L6922">
            <v>0</v>
          </cell>
          <cell r="M6922">
            <v>0</v>
          </cell>
          <cell r="N6922">
            <v>0</v>
          </cell>
          <cell r="O6922">
            <v>0</v>
          </cell>
          <cell r="P6922">
            <v>0</v>
          </cell>
          <cell r="Q6922">
            <v>0</v>
          </cell>
          <cell r="R6922">
            <v>0</v>
          </cell>
          <cell r="S6922">
            <v>0</v>
          </cell>
          <cell r="T6922">
            <v>0</v>
          </cell>
          <cell r="U6922">
            <v>0</v>
          </cell>
          <cell r="V6922">
            <v>0</v>
          </cell>
          <cell r="W6922">
            <v>0</v>
          </cell>
          <cell r="X6922">
            <v>0</v>
          </cell>
          <cell r="Y6922">
            <v>0</v>
          </cell>
          <cell r="Z6922">
            <v>0</v>
          </cell>
        </row>
        <row r="6923">
          <cell r="D6923">
            <v>305576</v>
          </cell>
          <cell r="E6923" t="str">
            <v>Ugong Senior High School</v>
          </cell>
          <cell r="F6923">
            <v>0</v>
          </cell>
          <cell r="G6923">
            <v>0</v>
          </cell>
          <cell r="H6923">
            <v>0</v>
          </cell>
          <cell r="I6923">
            <v>0</v>
          </cell>
          <cell r="J6923">
            <v>0</v>
          </cell>
          <cell r="K6923">
            <v>0</v>
          </cell>
          <cell r="L6923">
            <v>0</v>
          </cell>
          <cell r="M6923">
            <v>0</v>
          </cell>
          <cell r="N6923">
            <v>0</v>
          </cell>
          <cell r="O6923">
            <v>0</v>
          </cell>
          <cell r="P6923">
            <v>0</v>
          </cell>
          <cell r="Q6923">
            <v>0</v>
          </cell>
          <cell r="R6923">
            <v>0</v>
          </cell>
          <cell r="S6923">
            <v>0</v>
          </cell>
          <cell r="T6923">
            <v>0</v>
          </cell>
          <cell r="U6923">
            <v>0</v>
          </cell>
          <cell r="V6923">
            <v>0</v>
          </cell>
          <cell r="W6923">
            <v>0</v>
          </cell>
          <cell r="X6923">
            <v>0</v>
          </cell>
          <cell r="Y6923">
            <v>0</v>
          </cell>
          <cell r="Z6923">
            <v>0</v>
          </cell>
        </row>
        <row r="6924">
          <cell r="D6924">
            <v>340567</v>
          </cell>
          <cell r="E6924" t="str">
            <v>Imelda Integrated Secondary School</v>
          </cell>
          <cell r="F6924">
            <v>0</v>
          </cell>
          <cell r="G6924">
            <v>0</v>
          </cell>
          <cell r="H6924">
            <v>0</v>
          </cell>
          <cell r="I6924">
            <v>0</v>
          </cell>
          <cell r="J6924">
            <v>0</v>
          </cell>
          <cell r="K6924">
            <v>0</v>
          </cell>
          <cell r="L6924">
            <v>0</v>
          </cell>
          <cell r="M6924">
            <v>0</v>
          </cell>
          <cell r="N6924">
            <v>0</v>
          </cell>
          <cell r="O6924">
            <v>0</v>
          </cell>
          <cell r="P6924">
            <v>0</v>
          </cell>
          <cell r="Q6924">
            <v>0</v>
          </cell>
          <cell r="R6924">
            <v>0</v>
          </cell>
          <cell r="S6924">
            <v>0</v>
          </cell>
          <cell r="T6924">
            <v>0</v>
          </cell>
          <cell r="U6924">
            <v>0</v>
          </cell>
          <cell r="V6924">
            <v>0</v>
          </cell>
          <cell r="W6924">
            <v>0</v>
          </cell>
          <cell r="X6924">
            <v>0</v>
          </cell>
          <cell r="Y6924">
            <v>0</v>
          </cell>
          <cell r="Z6924">
            <v>0</v>
          </cell>
        </row>
        <row r="6925">
          <cell r="D6925">
            <v>305441</v>
          </cell>
          <cell r="E6925" t="str">
            <v>Valenzuela NHS</v>
          </cell>
          <cell r="F6925">
            <v>0</v>
          </cell>
          <cell r="G6925">
            <v>0</v>
          </cell>
          <cell r="H6925">
            <v>0</v>
          </cell>
          <cell r="I6925">
            <v>0</v>
          </cell>
          <cell r="J6925">
            <v>0</v>
          </cell>
          <cell r="K6925">
            <v>0</v>
          </cell>
          <cell r="L6925">
            <v>0</v>
          </cell>
          <cell r="M6925">
            <v>0</v>
          </cell>
          <cell r="N6925">
            <v>0</v>
          </cell>
          <cell r="O6925">
            <v>0</v>
          </cell>
          <cell r="P6925">
            <v>0</v>
          </cell>
          <cell r="Q6925">
            <v>0</v>
          </cell>
          <cell r="R6925">
            <v>0</v>
          </cell>
          <cell r="S6925">
            <v>0</v>
          </cell>
          <cell r="T6925">
            <v>0</v>
          </cell>
          <cell r="U6925">
            <v>0</v>
          </cell>
          <cell r="V6925">
            <v>0</v>
          </cell>
          <cell r="W6925">
            <v>0</v>
          </cell>
          <cell r="X6925">
            <v>0</v>
          </cell>
          <cell r="Y6925">
            <v>0</v>
          </cell>
          <cell r="Z6925">
            <v>0</v>
          </cell>
        </row>
        <row r="6926">
          <cell r="D6926">
            <v>320204</v>
          </cell>
          <cell r="E6926" t="str">
            <v>Sun Valley National High School</v>
          </cell>
          <cell r="F6926">
            <v>0</v>
          </cell>
          <cell r="G6926">
            <v>0</v>
          </cell>
          <cell r="H6926">
            <v>0</v>
          </cell>
          <cell r="I6926">
            <v>0</v>
          </cell>
          <cell r="J6926">
            <v>0</v>
          </cell>
          <cell r="K6926">
            <v>0</v>
          </cell>
          <cell r="L6926">
            <v>0</v>
          </cell>
          <cell r="M6926">
            <v>0</v>
          </cell>
          <cell r="N6926">
            <v>0</v>
          </cell>
          <cell r="O6926">
            <v>0</v>
          </cell>
          <cell r="P6926">
            <v>0</v>
          </cell>
          <cell r="Q6926">
            <v>0</v>
          </cell>
          <cell r="R6926">
            <v>0</v>
          </cell>
          <cell r="S6926">
            <v>0</v>
          </cell>
          <cell r="T6926">
            <v>0</v>
          </cell>
          <cell r="U6926">
            <v>0</v>
          </cell>
          <cell r="V6926">
            <v>0</v>
          </cell>
          <cell r="W6926">
            <v>0</v>
          </cell>
          <cell r="X6926">
            <v>0</v>
          </cell>
          <cell r="Y6926">
            <v>0</v>
          </cell>
          <cell r="Z6926">
            <v>0</v>
          </cell>
        </row>
        <row r="6927">
          <cell r="D6927">
            <v>340654</v>
          </cell>
          <cell r="E6927" t="str">
            <v>SHS in Buting, Pasig City</v>
          </cell>
          <cell r="F6927">
            <v>0</v>
          </cell>
          <cell r="G6927">
            <v>0</v>
          </cell>
          <cell r="H6927">
            <v>0</v>
          </cell>
          <cell r="I6927">
            <v>0</v>
          </cell>
          <cell r="J6927">
            <v>0</v>
          </cell>
          <cell r="K6927">
            <v>0</v>
          </cell>
          <cell r="L6927">
            <v>0</v>
          </cell>
          <cell r="M6927">
            <v>0</v>
          </cell>
          <cell r="N6927">
            <v>0</v>
          </cell>
          <cell r="O6927">
            <v>0</v>
          </cell>
          <cell r="P6927">
            <v>0</v>
          </cell>
          <cell r="Q6927">
            <v>0</v>
          </cell>
          <cell r="R6927">
            <v>0</v>
          </cell>
          <cell r="S6927">
            <v>0</v>
          </cell>
          <cell r="T6927">
            <v>0</v>
          </cell>
          <cell r="U6927">
            <v>0</v>
          </cell>
          <cell r="V6927">
            <v>0</v>
          </cell>
          <cell r="W6927">
            <v>0</v>
          </cell>
          <cell r="X6927">
            <v>0</v>
          </cell>
          <cell r="Y6927">
            <v>0</v>
          </cell>
          <cell r="Z6927">
            <v>0</v>
          </cell>
        </row>
        <row r="6928">
          <cell r="D6928">
            <v>305445</v>
          </cell>
          <cell r="E6928" t="str">
            <v>Caruhatan National High School</v>
          </cell>
          <cell r="F6928">
            <v>97</v>
          </cell>
          <cell r="G6928">
            <v>64</v>
          </cell>
          <cell r="H6928">
            <v>161</v>
          </cell>
          <cell r="I6928">
            <v>81</v>
          </cell>
          <cell r="J6928">
            <v>64</v>
          </cell>
          <cell r="K6928">
            <v>145</v>
          </cell>
          <cell r="L6928">
            <v>16</v>
          </cell>
          <cell r="M6928">
            <v>0</v>
          </cell>
          <cell r="N6928">
            <v>16</v>
          </cell>
          <cell r="O6928">
            <v>0</v>
          </cell>
          <cell r="P6928">
            <v>0</v>
          </cell>
          <cell r="Q6928">
            <v>0</v>
          </cell>
          <cell r="R6928">
            <v>97</v>
          </cell>
          <cell r="S6928">
            <v>64</v>
          </cell>
          <cell r="T6928">
            <v>161</v>
          </cell>
          <cell r="U6928">
            <v>0</v>
          </cell>
          <cell r="V6928">
            <v>0</v>
          </cell>
          <cell r="W6928">
            <v>0</v>
          </cell>
          <cell r="X6928">
            <v>0</v>
          </cell>
          <cell r="Y6928">
            <v>0</v>
          </cell>
          <cell r="Z6928">
            <v>0</v>
          </cell>
        </row>
        <row r="6929">
          <cell r="D6929">
            <v>320401</v>
          </cell>
          <cell r="E6929" t="str">
            <v>Valenzuela City School of Mathematics and Science</v>
          </cell>
          <cell r="F6929">
            <v>0</v>
          </cell>
          <cell r="G6929">
            <v>0</v>
          </cell>
          <cell r="H6929">
            <v>0</v>
          </cell>
          <cell r="I6929">
            <v>0</v>
          </cell>
          <cell r="J6929">
            <v>0</v>
          </cell>
          <cell r="K6929">
            <v>0</v>
          </cell>
          <cell r="L6929">
            <v>0</v>
          </cell>
          <cell r="M6929">
            <v>0</v>
          </cell>
          <cell r="N6929">
            <v>0</v>
          </cell>
          <cell r="O6929">
            <v>0</v>
          </cell>
          <cell r="P6929">
            <v>0</v>
          </cell>
          <cell r="Q6929">
            <v>0</v>
          </cell>
          <cell r="R6929">
            <v>0</v>
          </cell>
          <cell r="S6929">
            <v>0</v>
          </cell>
          <cell r="T6929">
            <v>0</v>
          </cell>
          <cell r="U6929">
            <v>0</v>
          </cell>
          <cell r="V6929">
            <v>0</v>
          </cell>
          <cell r="W6929">
            <v>0</v>
          </cell>
          <cell r="X6929">
            <v>0</v>
          </cell>
          <cell r="Y6929">
            <v>0</v>
          </cell>
          <cell r="Z6929">
            <v>0</v>
          </cell>
        </row>
        <row r="6930">
          <cell r="D6930">
            <v>305438</v>
          </cell>
          <cell r="E6930" t="str">
            <v>Malinta National High School</v>
          </cell>
          <cell r="F6930">
            <v>412</v>
          </cell>
          <cell r="G6930">
            <v>422</v>
          </cell>
          <cell r="H6930">
            <v>834</v>
          </cell>
          <cell r="I6930">
            <v>0</v>
          </cell>
          <cell r="J6930">
            <v>0</v>
          </cell>
          <cell r="K6930">
            <v>0</v>
          </cell>
          <cell r="L6930">
            <v>0</v>
          </cell>
          <cell r="M6930">
            <v>0</v>
          </cell>
          <cell r="N6930">
            <v>0</v>
          </cell>
          <cell r="O6930">
            <v>0</v>
          </cell>
          <cell r="P6930">
            <v>0</v>
          </cell>
          <cell r="Q6930">
            <v>0</v>
          </cell>
          <cell r="R6930">
            <v>0</v>
          </cell>
          <cell r="S6930">
            <v>0</v>
          </cell>
          <cell r="T6930">
            <v>0</v>
          </cell>
          <cell r="U6930">
            <v>0</v>
          </cell>
          <cell r="V6930">
            <v>0</v>
          </cell>
          <cell r="W6930">
            <v>0</v>
          </cell>
          <cell r="X6930">
            <v>0</v>
          </cell>
          <cell r="Y6930">
            <v>0</v>
          </cell>
          <cell r="Z6930">
            <v>0</v>
          </cell>
        </row>
        <row r="6931">
          <cell r="D6931">
            <v>340636</v>
          </cell>
          <cell r="E6931" t="str">
            <v>PARAÑAQUE SENIOR HIGH SCHOOL</v>
          </cell>
          <cell r="F6931">
            <v>0</v>
          </cell>
          <cell r="G6931">
            <v>0</v>
          </cell>
          <cell r="H6931">
            <v>0</v>
          </cell>
          <cell r="I6931">
            <v>0</v>
          </cell>
          <cell r="J6931">
            <v>0</v>
          </cell>
          <cell r="K6931">
            <v>0</v>
          </cell>
          <cell r="L6931">
            <v>0</v>
          </cell>
          <cell r="M6931">
            <v>0</v>
          </cell>
          <cell r="N6931">
            <v>0</v>
          </cell>
          <cell r="O6931">
            <v>0</v>
          </cell>
          <cell r="P6931">
            <v>0</v>
          </cell>
          <cell r="Q6931">
            <v>0</v>
          </cell>
          <cell r="R6931">
            <v>0</v>
          </cell>
          <cell r="S6931">
            <v>0</v>
          </cell>
          <cell r="T6931">
            <v>0</v>
          </cell>
          <cell r="U6931">
            <v>0</v>
          </cell>
          <cell r="V6931">
            <v>0</v>
          </cell>
          <cell r="W6931">
            <v>0</v>
          </cell>
          <cell r="X6931">
            <v>0</v>
          </cell>
          <cell r="Y6931">
            <v>0</v>
          </cell>
          <cell r="Z6931">
            <v>0</v>
          </cell>
        </row>
        <row r="6932">
          <cell r="D6932">
            <v>305565</v>
          </cell>
          <cell r="E6932" t="str">
            <v>Punturin Senior High School</v>
          </cell>
          <cell r="F6932">
            <v>0</v>
          </cell>
          <cell r="G6932">
            <v>0</v>
          </cell>
          <cell r="H6932">
            <v>0</v>
          </cell>
          <cell r="I6932">
            <v>0</v>
          </cell>
          <cell r="J6932">
            <v>0</v>
          </cell>
          <cell r="K6932">
            <v>0</v>
          </cell>
          <cell r="L6932">
            <v>0</v>
          </cell>
          <cell r="M6932">
            <v>0</v>
          </cell>
          <cell r="N6932">
            <v>0</v>
          </cell>
          <cell r="O6932">
            <v>0</v>
          </cell>
          <cell r="P6932">
            <v>0</v>
          </cell>
          <cell r="Q6932">
            <v>0</v>
          </cell>
          <cell r="R6932">
            <v>0</v>
          </cell>
          <cell r="S6932">
            <v>0</v>
          </cell>
          <cell r="T6932">
            <v>0</v>
          </cell>
          <cell r="U6932">
            <v>0</v>
          </cell>
          <cell r="V6932">
            <v>0</v>
          </cell>
          <cell r="W6932">
            <v>0</v>
          </cell>
          <cell r="X6932">
            <v>0</v>
          </cell>
          <cell r="Y6932">
            <v>0</v>
          </cell>
          <cell r="Z6932">
            <v>0</v>
          </cell>
        </row>
        <row r="6933">
          <cell r="D6933">
            <v>320407</v>
          </cell>
          <cell r="E6933" t="str">
            <v>Wawang Pulo National High School</v>
          </cell>
          <cell r="F6933">
            <v>0</v>
          </cell>
          <cell r="G6933">
            <v>0</v>
          </cell>
          <cell r="H6933">
            <v>0</v>
          </cell>
          <cell r="I6933">
            <v>0</v>
          </cell>
          <cell r="J6933">
            <v>0</v>
          </cell>
          <cell r="K6933">
            <v>0</v>
          </cell>
          <cell r="L6933">
            <v>0</v>
          </cell>
          <cell r="M6933">
            <v>0</v>
          </cell>
          <cell r="N6933">
            <v>0</v>
          </cell>
          <cell r="O6933">
            <v>0</v>
          </cell>
          <cell r="P6933">
            <v>0</v>
          </cell>
          <cell r="Q6933">
            <v>0</v>
          </cell>
          <cell r="R6933">
            <v>0</v>
          </cell>
          <cell r="S6933">
            <v>0</v>
          </cell>
          <cell r="T6933">
            <v>0</v>
          </cell>
          <cell r="U6933">
            <v>0</v>
          </cell>
          <cell r="V6933">
            <v>0</v>
          </cell>
          <cell r="W6933">
            <v>0</v>
          </cell>
          <cell r="X6933">
            <v>0</v>
          </cell>
          <cell r="Y6933">
            <v>0</v>
          </cell>
          <cell r="Z6933">
            <v>0</v>
          </cell>
        </row>
        <row r="6934">
          <cell r="D6934">
            <v>305456</v>
          </cell>
          <cell r="E6934" t="str">
            <v>Kaunlaran High School</v>
          </cell>
          <cell r="F6934">
            <v>25</v>
          </cell>
          <cell r="G6934">
            <v>0</v>
          </cell>
          <cell r="H6934">
            <v>25</v>
          </cell>
          <cell r="I6934">
            <v>151</v>
          </cell>
          <cell r="J6934">
            <v>0</v>
          </cell>
          <cell r="K6934">
            <v>151</v>
          </cell>
          <cell r="L6934">
            <v>151</v>
          </cell>
          <cell r="M6934">
            <v>0</v>
          </cell>
          <cell r="N6934">
            <v>151</v>
          </cell>
          <cell r="O6934">
            <v>4</v>
          </cell>
          <cell r="P6934">
            <v>0</v>
          </cell>
          <cell r="Q6934">
            <v>4</v>
          </cell>
          <cell r="R6934">
            <v>4</v>
          </cell>
          <cell r="S6934">
            <v>0</v>
          </cell>
          <cell r="T6934">
            <v>4</v>
          </cell>
          <cell r="U6934">
            <v>0</v>
          </cell>
          <cell r="V6934">
            <v>0</v>
          </cell>
          <cell r="W6934">
            <v>0</v>
          </cell>
          <cell r="X6934">
            <v>0</v>
          </cell>
          <cell r="Y6934">
            <v>0</v>
          </cell>
          <cell r="Z6934">
            <v>0</v>
          </cell>
        </row>
        <row r="6935">
          <cell r="D6935">
            <v>303450</v>
          </cell>
          <cell r="E6935" t="str">
            <v>Cupang Senior High School</v>
          </cell>
          <cell r="F6935">
            <v>88</v>
          </cell>
          <cell r="G6935">
            <v>0</v>
          </cell>
          <cell r="H6935">
            <v>88</v>
          </cell>
          <cell r="I6935">
            <v>87</v>
          </cell>
          <cell r="J6935">
            <v>0</v>
          </cell>
          <cell r="K6935">
            <v>87</v>
          </cell>
          <cell r="L6935">
            <v>686</v>
          </cell>
          <cell r="M6935">
            <v>0</v>
          </cell>
          <cell r="N6935">
            <v>686</v>
          </cell>
          <cell r="O6935">
            <v>87</v>
          </cell>
          <cell r="P6935">
            <v>0</v>
          </cell>
          <cell r="Q6935">
            <v>87</v>
          </cell>
          <cell r="R6935">
            <v>1</v>
          </cell>
          <cell r="S6935">
            <v>0</v>
          </cell>
          <cell r="T6935">
            <v>1</v>
          </cell>
          <cell r="U6935">
            <v>21</v>
          </cell>
          <cell r="V6935">
            <v>0</v>
          </cell>
          <cell r="W6935">
            <v>21</v>
          </cell>
          <cell r="X6935">
            <v>1</v>
          </cell>
          <cell r="Y6935">
            <v>0</v>
          </cell>
          <cell r="Z6935">
            <v>1</v>
          </cell>
        </row>
        <row r="6936">
          <cell r="D6936">
            <v>320203</v>
          </cell>
          <cell r="E6936" t="str">
            <v>Moonwalk National High School</v>
          </cell>
          <cell r="F6936">
            <v>0</v>
          </cell>
          <cell r="G6936">
            <v>0</v>
          </cell>
          <cell r="H6936">
            <v>0</v>
          </cell>
          <cell r="I6936">
            <v>0</v>
          </cell>
          <cell r="J6936">
            <v>0</v>
          </cell>
          <cell r="K6936">
            <v>0</v>
          </cell>
          <cell r="L6936">
            <v>0</v>
          </cell>
          <cell r="M6936">
            <v>0</v>
          </cell>
          <cell r="N6936">
            <v>0</v>
          </cell>
          <cell r="O6936">
            <v>0</v>
          </cell>
          <cell r="P6936">
            <v>0</v>
          </cell>
          <cell r="Q6936">
            <v>0</v>
          </cell>
          <cell r="R6936">
            <v>0</v>
          </cell>
          <cell r="S6936">
            <v>0</v>
          </cell>
          <cell r="T6936">
            <v>0</v>
          </cell>
          <cell r="U6936">
            <v>0</v>
          </cell>
          <cell r="V6936">
            <v>0</v>
          </cell>
          <cell r="W6936">
            <v>0</v>
          </cell>
          <cell r="X6936">
            <v>0</v>
          </cell>
          <cell r="Y6936">
            <v>0</v>
          </cell>
          <cell r="Z6936">
            <v>0</v>
          </cell>
        </row>
        <row r="6937">
          <cell r="D6937">
            <v>305436</v>
          </cell>
          <cell r="E6937" t="str">
            <v>Polo National High School</v>
          </cell>
          <cell r="F6937">
            <v>0</v>
          </cell>
          <cell r="G6937">
            <v>0</v>
          </cell>
          <cell r="H6937">
            <v>0</v>
          </cell>
          <cell r="I6937">
            <v>0</v>
          </cell>
          <cell r="J6937">
            <v>0</v>
          </cell>
          <cell r="K6937">
            <v>0</v>
          </cell>
          <cell r="L6937">
            <v>0</v>
          </cell>
          <cell r="M6937">
            <v>0</v>
          </cell>
          <cell r="N6937">
            <v>0</v>
          </cell>
          <cell r="O6937">
            <v>0</v>
          </cell>
          <cell r="P6937">
            <v>0</v>
          </cell>
          <cell r="Q6937">
            <v>0</v>
          </cell>
          <cell r="R6937">
            <v>0</v>
          </cell>
          <cell r="S6937">
            <v>0</v>
          </cell>
          <cell r="T6937">
            <v>0</v>
          </cell>
          <cell r="U6937">
            <v>0</v>
          </cell>
          <cell r="V6937">
            <v>0</v>
          </cell>
          <cell r="W6937">
            <v>0</v>
          </cell>
          <cell r="X6937">
            <v>0</v>
          </cell>
          <cell r="Y6937">
            <v>0</v>
          </cell>
          <cell r="Z6937">
            <v>0</v>
          </cell>
        </row>
        <row r="6938">
          <cell r="D6938">
            <v>320704</v>
          </cell>
          <cell r="E6938" t="str">
            <v>Muntinlupa NHS -Tunasan Annex</v>
          </cell>
          <cell r="F6938">
            <v>0</v>
          </cell>
          <cell r="G6938">
            <v>0</v>
          </cell>
          <cell r="H6938">
            <v>0</v>
          </cell>
          <cell r="I6938">
            <v>0</v>
          </cell>
          <cell r="J6938">
            <v>0</v>
          </cell>
          <cell r="K6938">
            <v>0</v>
          </cell>
          <cell r="L6938">
            <v>0</v>
          </cell>
          <cell r="M6938">
            <v>0</v>
          </cell>
          <cell r="N6938">
            <v>0</v>
          </cell>
          <cell r="O6938">
            <v>0</v>
          </cell>
          <cell r="P6938">
            <v>0</v>
          </cell>
          <cell r="Q6938">
            <v>0</v>
          </cell>
          <cell r="R6938">
            <v>0</v>
          </cell>
          <cell r="S6938">
            <v>0</v>
          </cell>
          <cell r="T6938">
            <v>0</v>
          </cell>
          <cell r="U6938">
            <v>0</v>
          </cell>
          <cell r="V6938">
            <v>0</v>
          </cell>
          <cell r="W6938">
            <v>0</v>
          </cell>
          <cell r="X6938">
            <v>0</v>
          </cell>
          <cell r="Y6938">
            <v>0</v>
          </cell>
          <cell r="Z6938">
            <v>0</v>
          </cell>
        </row>
        <row r="6939">
          <cell r="D6939">
            <v>305320</v>
          </cell>
          <cell r="E6939" t="str">
            <v>Balingasa HS</v>
          </cell>
          <cell r="F6939">
            <v>0</v>
          </cell>
          <cell r="G6939">
            <v>0</v>
          </cell>
          <cell r="H6939">
            <v>0</v>
          </cell>
          <cell r="I6939">
            <v>0</v>
          </cell>
          <cell r="J6939">
            <v>0</v>
          </cell>
          <cell r="K6939">
            <v>0</v>
          </cell>
          <cell r="L6939">
            <v>0</v>
          </cell>
          <cell r="M6939">
            <v>0</v>
          </cell>
          <cell r="N6939">
            <v>0</v>
          </cell>
          <cell r="O6939">
            <v>0</v>
          </cell>
          <cell r="P6939">
            <v>0</v>
          </cell>
          <cell r="Q6939">
            <v>0</v>
          </cell>
          <cell r="R6939">
            <v>0</v>
          </cell>
          <cell r="S6939">
            <v>0</v>
          </cell>
          <cell r="T6939">
            <v>0</v>
          </cell>
          <cell r="U6939">
            <v>0</v>
          </cell>
          <cell r="V6939">
            <v>0</v>
          </cell>
          <cell r="W6939">
            <v>0</v>
          </cell>
          <cell r="X6939">
            <v>0</v>
          </cell>
          <cell r="Y6939">
            <v>0</v>
          </cell>
          <cell r="Z6939">
            <v>0</v>
          </cell>
        </row>
        <row r="6940">
          <cell r="D6940">
            <v>319906</v>
          </cell>
          <cell r="E6940" t="str">
            <v>Sto. Nino National High School</v>
          </cell>
          <cell r="F6940">
            <v>17</v>
          </cell>
          <cell r="G6940">
            <v>15</v>
          </cell>
          <cell r="H6940">
            <v>32</v>
          </cell>
          <cell r="I6940">
            <v>17</v>
          </cell>
          <cell r="J6940">
            <v>15</v>
          </cell>
          <cell r="K6940">
            <v>32</v>
          </cell>
          <cell r="L6940">
            <v>196</v>
          </cell>
          <cell r="M6940">
            <v>173</v>
          </cell>
          <cell r="N6940">
            <v>369</v>
          </cell>
          <cell r="O6940">
            <v>3</v>
          </cell>
          <cell r="P6940">
            <v>4</v>
          </cell>
          <cell r="Q6940">
            <v>7</v>
          </cell>
          <cell r="R6940">
            <v>26</v>
          </cell>
          <cell r="S6940">
            <v>33</v>
          </cell>
          <cell r="T6940">
            <v>59</v>
          </cell>
          <cell r="U6940">
            <v>4</v>
          </cell>
          <cell r="V6940">
            <v>2</v>
          </cell>
          <cell r="W6940">
            <v>6</v>
          </cell>
          <cell r="X6940">
            <v>2</v>
          </cell>
          <cell r="Y6940">
            <v>3</v>
          </cell>
          <cell r="Z6940">
            <v>5</v>
          </cell>
        </row>
        <row r="6941">
          <cell r="D6941">
            <v>305715</v>
          </cell>
          <cell r="E6941" t="str">
            <v>Vicente Malapitan (North Caloocan) Senior High School</v>
          </cell>
          <cell r="F6941">
            <v>0</v>
          </cell>
          <cell r="G6941">
            <v>0</v>
          </cell>
          <cell r="H6941">
            <v>0</v>
          </cell>
          <cell r="I6941">
            <v>0</v>
          </cell>
          <cell r="J6941">
            <v>0</v>
          </cell>
          <cell r="K6941">
            <v>0</v>
          </cell>
          <cell r="L6941">
            <v>0</v>
          </cell>
          <cell r="M6941">
            <v>0</v>
          </cell>
          <cell r="N6941">
            <v>0</v>
          </cell>
          <cell r="O6941">
            <v>0</v>
          </cell>
          <cell r="P6941">
            <v>0</v>
          </cell>
          <cell r="Q6941">
            <v>0</v>
          </cell>
          <cell r="R6941">
            <v>0</v>
          </cell>
          <cell r="S6941">
            <v>0</v>
          </cell>
          <cell r="T6941">
            <v>0</v>
          </cell>
          <cell r="U6941">
            <v>0</v>
          </cell>
          <cell r="V6941">
            <v>0</v>
          </cell>
          <cell r="W6941">
            <v>0</v>
          </cell>
          <cell r="X6941">
            <v>0</v>
          </cell>
          <cell r="Y6941">
            <v>0</v>
          </cell>
          <cell r="Z6941">
            <v>0</v>
          </cell>
        </row>
        <row r="6942">
          <cell r="D6942">
            <v>305402</v>
          </cell>
          <cell r="E6942" t="str">
            <v>Malanday NHS</v>
          </cell>
          <cell r="F6942">
            <v>0</v>
          </cell>
          <cell r="G6942">
            <v>0</v>
          </cell>
          <cell r="H6942">
            <v>0</v>
          </cell>
          <cell r="I6942">
            <v>0</v>
          </cell>
          <cell r="J6942">
            <v>0</v>
          </cell>
          <cell r="K6942">
            <v>0</v>
          </cell>
          <cell r="L6942">
            <v>0</v>
          </cell>
          <cell r="M6942">
            <v>0</v>
          </cell>
          <cell r="N6942">
            <v>0</v>
          </cell>
          <cell r="O6942">
            <v>0</v>
          </cell>
          <cell r="P6942">
            <v>0</v>
          </cell>
          <cell r="Q6942">
            <v>0</v>
          </cell>
          <cell r="R6942">
            <v>0</v>
          </cell>
          <cell r="S6942">
            <v>0</v>
          </cell>
          <cell r="T6942">
            <v>0</v>
          </cell>
          <cell r="U6942">
            <v>0</v>
          </cell>
          <cell r="V6942">
            <v>0</v>
          </cell>
          <cell r="W6942">
            <v>0</v>
          </cell>
          <cell r="X6942">
            <v>0</v>
          </cell>
          <cell r="Y6942">
            <v>0</v>
          </cell>
          <cell r="Z6942">
            <v>0</v>
          </cell>
        </row>
        <row r="6943">
          <cell r="D6943">
            <v>305457</v>
          </cell>
          <cell r="E6943" t="str">
            <v>Tangos National High School</v>
          </cell>
          <cell r="F6943">
            <v>0</v>
          </cell>
          <cell r="G6943">
            <v>0</v>
          </cell>
          <cell r="H6943">
            <v>0</v>
          </cell>
          <cell r="I6943">
            <v>0</v>
          </cell>
          <cell r="J6943">
            <v>0</v>
          </cell>
          <cell r="K6943">
            <v>0</v>
          </cell>
          <cell r="L6943">
            <v>0</v>
          </cell>
          <cell r="M6943">
            <v>0</v>
          </cell>
          <cell r="N6943">
            <v>0</v>
          </cell>
          <cell r="O6943">
            <v>0</v>
          </cell>
          <cell r="P6943">
            <v>0</v>
          </cell>
          <cell r="Q6943">
            <v>0</v>
          </cell>
          <cell r="R6943">
            <v>0</v>
          </cell>
          <cell r="S6943">
            <v>0</v>
          </cell>
          <cell r="T6943">
            <v>0</v>
          </cell>
          <cell r="U6943">
            <v>0</v>
          </cell>
          <cell r="V6943">
            <v>0</v>
          </cell>
          <cell r="W6943">
            <v>0</v>
          </cell>
          <cell r="X6943">
            <v>0</v>
          </cell>
          <cell r="Y6943">
            <v>0</v>
          </cell>
          <cell r="Z6943">
            <v>0</v>
          </cell>
        </row>
        <row r="6944">
          <cell r="D6944">
            <v>319905</v>
          </cell>
          <cell r="E6944" t="str">
            <v>San Roque National High School</v>
          </cell>
          <cell r="F6944">
            <v>0</v>
          </cell>
          <cell r="G6944">
            <v>0</v>
          </cell>
          <cell r="H6944">
            <v>0</v>
          </cell>
          <cell r="I6944">
            <v>0</v>
          </cell>
          <cell r="J6944">
            <v>0</v>
          </cell>
          <cell r="K6944">
            <v>0</v>
          </cell>
          <cell r="L6944">
            <v>0</v>
          </cell>
          <cell r="M6944">
            <v>0</v>
          </cell>
          <cell r="N6944">
            <v>0</v>
          </cell>
          <cell r="O6944">
            <v>0</v>
          </cell>
          <cell r="P6944">
            <v>0</v>
          </cell>
          <cell r="Q6944">
            <v>0</v>
          </cell>
          <cell r="R6944">
            <v>0</v>
          </cell>
          <cell r="S6944">
            <v>0</v>
          </cell>
          <cell r="T6944">
            <v>0</v>
          </cell>
          <cell r="U6944">
            <v>0</v>
          </cell>
          <cell r="V6944">
            <v>0</v>
          </cell>
          <cell r="W6944">
            <v>0</v>
          </cell>
          <cell r="X6944">
            <v>0</v>
          </cell>
          <cell r="Y6944">
            <v>0</v>
          </cell>
          <cell r="Z6944">
            <v>0</v>
          </cell>
        </row>
        <row r="6945">
          <cell r="D6945">
            <v>319902</v>
          </cell>
          <cell r="E6945" t="str">
            <v>Fortune High School</v>
          </cell>
          <cell r="F6945">
            <v>0</v>
          </cell>
          <cell r="G6945">
            <v>0</v>
          </cell>
          <cell r="H6945">
            <v>0</v>
          </cell>
          <cell r="I6945">
            <v>0</v>
          </cell>
          <cell r="J6945">
            <v>0</v>
          </cell>
          <cell r="K6945">
            <v>0</v>
          </cell>
          <cell r="L6945">
            <v>0</v>
          </cell>
          <cell r="M6945">
            <v>0</v>
          </cell>
          <cell r="N6945">
            <v>0</v>
          </cell>
          <cell r="O6945">
            <v>0</v>
          </cell>
          <cell r="P6945">
            <v>0</v>
          </cell>
          <cell r="Q6945">
            <v>0</v>
          </cell>
          <cell r="R6945">
            <v>0</v>
          </cell>
          <cell r="S6945">
            <v>0</v>
          </cell>
          <cell r="T6945">
            <v>0</v>
          </cell>
          <cell r="U6945">
            <v>0</v>
          </cell>
          <cell r="V6945">
            <v>0</v>
          </cell>
          <cell r="W6945">
            <v>0</v>
          </cell>
          <cell r="X6945">
            <v>0</v>
          </cell>
          <cell r="Y6945">
            <v>0</v>
          </cell>
          <cell r="Z6945">
            <v>0</v>
          </cell>
        </row>
        <row r="6946">
          <cell r="D6946">
            <v>305376</v>
          </cell>
          <cell r="E6946" t="str">
            <v>Amparo High School</v>
          </cell>
          <cell r="F6946">
            <v>0</v>
          </cell>
          <cell r="G6946">
            <v>0</v>
          </cell>
          <cell r="H6946">
            <v>0</v>
          </cell>
          <cell r="I6946">
            <v>0</v>
          </cell>
          <cell r="J6946">
            <v>0</v>
          </cell>
          <cell r="K6946">
            <v>0</v>
          </cell>
          <cell r="L6946">
            <v>0</v>
          </cell>
          <cell r="M6946">
            <v>0</v>
          </cell>
          <cell r="N6946">
            <v>0</v>
          </cell>
          <cell r="O6946">
            <v>0</v>
          </cell>
          <cell r="P6946">
            <v>0</v>
          </cell>
          <cell r="Q6946">
            <v>0</v>
          </cell>
          <cell r="R6946">
            <v>0</v>
          </cell>
          <cell r="S6946">
            <v>0</v>
          </cell>
          <cell r="T6946">
            <v>0</v>
          </cell>
          <cell r="U6946">
            <v>0</v>
          </cell>
          <cell r="V6946">
            <v>0</v>
          </cell>
          <cell r="W6946">
            <v>0</v>
          </cell>
          <cell r="X6946">
            <v>0</v>
          </cell>
          <cell r="Y6946">
            <v>0</v>
          </cell>
          <cell r="Z6946">
            <v>0</v>
          </cell>
        </row>
        <row r="6947">
          <cell r="D6947">
            <v>305469</v>
          </cell>
          <cell r="E6947" t="str">
            <v>Muntinlupa Science High School</v>
          </cell>
          <cell r="F6947">
            <v>0</v>
          </cell>
          <cell r="G6947">
            <v>0</v>
          </cell>
          <cell r="H6947">
            <v>0</v>
          </cell>
          <cell r="I6947">
            <v>0</v>
          </cell>
          <cell r="J6947">
            <v>0</v>
          </cell>
          <cell r="K6947">
            <v>0</v>
          </cell>
          <cell r="L6947">
            <v>0</v>
          </cell>
          <cell r="M6947">
            <v>0</v>
          </cell>
          <cell r="N6947">
            <v>0</v>
          </cell>
          <cell r="O6947">
            <v>0</v>
          </cell>
          <cell r="P6947">
            <v>0</v>
          </cell>
          <cell r="Q6947">
            <v>0</v>
          </cell>
          <cell r="R6947">
            <v>0</v>
          </cell>
          <cell r="S6947">
            <v>0</v>
          </cell>
          <cell r="T6947">
            <v>0</v>
          </cell>
          <cell r="U6947">
            <v>0</v>
          </cell>
          <cell r="V6947">
            <v>0</v>
          </cell>
          <cell r="W6947">
            <v>0</v>
          </cell>
          <cell r="X6947">
            <v>0</v>
          </cell>
          <cell r="Y6947">
            <v>0</v>
          </cell>
          <cell r="Z6947">
            <v>0</v>
          </cell>
        </row>
        <row r="6948">
          <cell r="D6948">
            <v>305468</v>
          </cell>
          <cell r="E6948" t="str">
            <v>Muntinlupa NHS</v>
          </cell>
          <cell r="F6948">
            <v>0</v>
          </cell>
          <cell r="G6948">
            <v>0</v>
          </cell>
          <cell r="H6948">
            <v>0</v>
          </cell>
          <cell r="I6948">
            <v>0</v>
          </cell>
          <cell r="J6948">
            <v>0</v>
          </cell>
          <cell r="K6948">
            <v>0</v>
          </cell>
          <cell r="L6948">
            <v>0</v>
          </cell>
          <cell r="M6948">
            <v>0</v>
          </cell>
          <cell r="N6948">
            <v>0</v>
          </cell>
          <cell r="O6948">
            <v>0</v>
          </cell>
          <cell r="P6948">
            <v>0</v>
          </cell>
          <cell r="Q6948">
            <v>0</v>
          </cell>
          <cell r="R6948">
            <v>0</v>
          </cell>
          <cell r="S6948">
            <v>0</v>
          </cell>
          <cell r="T6948">
            <v>0</v>
          </cell>
          <cell r="U6948">
            <v>0</v>
          </cell>
          <cell r="V6948">
            <v>0</v>
          </cell>
          <cell r="W6948">
            <v>0</v>
          </cell>
          <cell r="X6948">
            <v>0</v>
          </cell>
          <cell r="Y6948">
            <v>0</v>
          </cell>
          <cell r="Z6948">
            <v>0</v>
          </cell>
        </row>
        <row r="6949">
          <cell r="D6949">
            <v>320201</v>
          </cell>
          <cell r="E6949" t="str">
            <v>Paranaque Science HS</v>
          </cell>
          <cell r="F6949">
            <v>0</v>
          </cell>
          <cell r="G6949">
            <v>0</v>
          </cell>
          <cell r="H6949">
            <v>0</v>
          </cell>
          <cell r="I6949">
            <v>0</v>
          </cell>
          <cell r="J6949">
            <v>0</v>
          </cell>
          <cell r="K6949">
            <v>0</v>
          </cell>
          <cell r="L6949">
            <v>0</v>
          </cell>
          <cell r="M6949">
            <v>0</v>
          </cell>
          <cell r="N6949">
            <v>0</v>
          </cell>
          <cell r="O6949">
            <v>0</v>
          </cell>
          <cell r="P6949">
            <v>0</v>
          </cell>
          <cell r="Q6949">
            <v>0</v>
          </cell>
          <cell r="R6949">
            <v>0</v>
          </cell>
          <cell r="S6949">
            <v>0</v>
          </cell>
          <cell r="T6949">
            <v>0</v>
          </cell>
          <cell r="U6949">
            <v>0</v>
          </cell>
          <cell r="V6949">
            <v>0</v>
          </cell>
          <cell r="W6949">
            <v>0</v>
          </cell>
          <cell r="X6949">
            <v>0</v>
          </cell>
          <cell r="Y6949">
            <v>0</v>
          </cell>
          <cell r="Z6949">
            <v>0</v>
          </cell>
        </row>
        <row r="6950">
          <cell r="D6950">
            <v>305424</v>
          </cell>
          <cell r="E6950" t="str">
            <v>Paranaque National High School Main</v>
          </cell>
          <cell r="F6950">
            <v>21</v>
          </cell>
          <cell r="G6950">
            <v>10</v>
          </cell>
          <cell r="H6950">
            <v>31</v>
          </cell>
          <cell r="I6950">
            <v>17</v>
          </cell>
          <cell r="J6950">
            <v>10</v>
          </cell>
          <cell r="K6950">
            <v>27</v>
          </cell>
          <cell r="L6950">
            <v>85</v>
          </cell>
          <cell r="M6950">
            <v>50</v>
          </cell>
          <cell r="N6950">
            <v>135</v>
          </cell>
          <cell r="O6950">
            <v>0</v>
          </cell>
          <cell r="P6950">
            <v>0</v>
          </cell>
          <cell r="Q6950">
            <v>0</v>
          </cell>
          <cell r="R6950">
            <v>0</v>
          </cell>
          <cell r="S6950">
            <v>0</v>
          </cell>
          <cell r="T6950">
            <v>0</v>
          </cell>
          <cell r="U6950">
            <v>3</v>
          </cell>
          <cell r="V6950">
            <v>1</v>
          </cell>
          <cell r="W6950">
            <v>4</v>
          </cell>
          <cell r="X6950">
            <v>0</v>
          </cell>
          <cell r="Y6950">
            <v>0</v>
          </cell>
          <cell r="Z6950">
            <v>0</v>
          </cell>
        </row>
        <row r="6951">
          <cell r="D6951">
            <v>305708</v>
          </cell>
          <cell r="E6951" t="str">
            <v>Lingunan Senior High School</v>
          </cell>
          <cell r="F6951">
            <v>0</v>
          </cell>
          <cell r="G6951">
            <v>0</v>
          </cell>
          <cell r="H6951">
            <v>0</v>
          </cell>
          <cell r="I6951">
            <v>0</v>
          </cell>
          <cell r="J6951">
            <v>0</v>
          </cell>
          <cell r="K6951">
            <v>0</v>
          </cell>
          <cell r="L6951">
            <v>0</v>
          </cell>
          <cell r="M6951">
            <v>0</v>
          </cell>
          <cell r="N6951">
            <v>0</v>
          </cell>
          <cell r="O6951">
            <v>0</v>
          </cell>
          <cell r="P6951">
            <v>0</v>
          </cell>
          <cell r="Q6951">
            <v>0</v>
          </cell>
          <cell r="R6951">
            <v>0</v>
          </cell>
          <cell r="S6951">
            <v>0</v>
          </cell>
          <cell r="T6951">
            <v>0</v>
          </cell>
          <cell r="U6951">
            <v>0</v>
          </cell>
          <cell r="V6951">
            <v>0</v>
          </cell>
          <cell r="W6951">
            <v>0</v>
          </cell>
          <cell r="X6951">
            <v>0</v>
          </cell>
          <cell r="Y6951">
            <v>0</v>
          </cell>
          <cell r="Z6951">
            <v>0</v>
          </cell>
        </row>
        <row r="6952">
          <cell r="D6952">
            <v>319711</v>
          </cell>
          <cell r="E6952" t="str">
            <v>Caloocan National Science and Technology High School</v>
          </cell>
          <cell r="F6952">
            <v>0</v>
          </cell>
          <cell r="G6952">
            <v>0</v>
          </cell>
          <cell r="H6952">
            <v>0</v>
          </cell>
          <cell r="I6952">
            <v>0</v>
          </cell>
          <cell r="J6952">
            <v>0</v>
          </cell>
          <cell r="K6952">
            <v>0</v>
          </cell>
          <cell r="L6952">
            <v>0</v>
          </cell>
          <cell r="M6952">
            <v>0</v>
          </cell>
          <cell r="N6952">
            <v>0</v>
          </cell>
          <cell r="O6952">
            <v>0</v>
          </cell>
          <cell r="P6952">
            <v>0</v>
          </cell>
          <cell r="Q6952">
            <v>0</v>
          </cell>
          <cell r="R6952">
            <v>0</v>
          </cell>
          <cell r="S6952">
            <v>0</v>
          </cell>
          <cell r="T6952">
            <v>0</v>
          </cell>
          <cell r="U6952">
            <v>0</v>
          </cell>
          <cell r="V6952">
            <v>0</v>
          </cell>
          <cell r="W6952">
            <v>0</v>
          </cell>
          <cell r="X6952">
            <v>0</v>
          </cell>
          <cell r="Y6952">
            <v>0</v>
          </cell>
          <cell r="Z6952">
            <v>0</v>
          </cell>
        </row>
        <row r="6953">
          <cell r="D6953">
            <v>305333</v>
          </cell>
          <cell r="E6953" t="str">
            <v>Culiat High School</v>
          </cell>
          <cell r="F6953">
            <v>0</v>
          </cell>
          <cell r="G6953">
            <v>0</v>
          </cell>
          <cell r="H6953">
            <v>0</v>
          </cell>
          <cell r="I6953">
            <v>0</v>
          </cell>
          <cell r="J6953">
            <v>0</v>
          </cell>
          <cell r="K6953">
            <v>0</v>
          </cell>
          <cell r="L6953">
            <v>0</v>
          </cell>
          <cell r="M6953">
            <v>0</v>
          </cell>
          <cell r="N6953">
            <v>0</v>
          </cell>
          <cell r="O6953">
            <v>0</v>
          </cell>
          <cell r="P6953">
            <v>0</v>
          </cell>
          <cell r="Q6953">
            <v>0</v>
          </cell>
          <cell r="R6953">
            <v>0</v>
          </cell>
          <cell r="S6953">
            <v>0</v>
          </cell>
          <cell r="T6953">
            <v>0</v>
          </cell>
          <cell r="U6953">
            <v>0</v>
          </cell>
          <cell r="V6953">
            <v>0</v>
          </cell>
          <cell r="W6953">
            <v>0</v>
          </cell>
          <cell r="X6953">
            <v>0</v>
          </cell>
          <cell r="Y6953">
            <v>0</v>
          </cell>
          <cell r="Z6953">
            <v>0</v>
          </cell>
        </row>
        <row r="6954">
          <cell r="D6954">
            <v>305392</v>
          </cell>
          <cell r="E6954" t="str">
            <v>M. B. Asistio Sr. HS Unit 1</v>
          </cell>
          <cell r="F6954">
            <v>0</v>
          </cell>
          <cell r="G6954">
            <v>0</v>
          </cell>
          <cell r="H6954">
            <v>0</v>
          </cell>
          <cell r="I6954">
            <v>0</v>
          </cell>
          <cell r="J6954">
            <v>0</v>
          </cell>
          <cell r="K6954">
            <v>0</v>
          </cell>
          <cell r="L6954">
            <v>0</v>
          </cell>
          <cell r="M6954">
            <v>0</v>
          </cell>
          <cell r="N6954">
            <v>0</v>
          </cell>
          <cell r="O6954">
            <v>0</v>
          </cell>
          <cell r="P6954">
            <v>0</v>
          </cell>
          <cell r="Q6954">
            <v>0</v>
          </cell>
          <cell r="R6954">
            <v>0</v>
          </cell>
          <cell r="S6954">
            <v>0</v>
          </cell>
          <cell r="T6954">
            <v>0</v>
          </cell>
          <cell r="U6954">
            <v>0</v>
          </cell>
          <cell r="V6954">
            <v>0</v>
          </cell>
          <cell r="W6954">
            <v>0</v>
          </cell>
          <cell r="X6954">
            <v>0</v>
          </cell>
          <cell r="Y6954">
            <v>0</v>
          </cell>
          <cell r="Z6954">
            <v>0</v>
          </cell>
        </row>
        <row r="6955">
          <cell r="D6955">
            <v>319904</v>
          </cell>
          <cell r="E6955" t="str">
            <v>Kalumpang National High School</v>
          </cell>
          <cell r="F6955">
            <v>0</v>
          </cell>
          <cell r="G6955">
            <v>0</v>
          </cell>
          <cell r="H6955">
            <v>0</v>
          </cell>
          <cell r="I6955">
            <v>0</v>
          </cell>
          <cell r="J6955">
            <v>0</v>
          </cell>
          <cell r="K6955">
            <v>0</v>
          </cell>
          <cell r="L6955">
            <v>0</v>
          </cell>
          <cell r="M6955">
            <v>0</v>
          </cell>
          <cell r="N6955">
            <v>0</v>
          </cell>
          <cell r="O6955">
            <v>0</v>
          </cell>
          <cell r="P6955">
            <v>0</v>
          </cell>
          <cell r="Q6955">
            <v>0</v>
          </cell>
          <cell r="R6955">
            <v>0</v>
          </cell>
          <cell r="S6955">
            <v>0</v>
          </cell>
          <cell r="T6955">
            <v>0</v>
          </cell>
          <cell r="U6955">
            <v>0</v>
          </cell>
          <cell r="V6955">
            <v>0</v>
          </cell>
          <cell r="W6955">
            <v>0</v>
          </cell>
          <cell r="X6955">
            <v>0</v>
          </cell>
          <cell r="Y6955">
            <v>0</v>
          </cell>
          <cell r="Z6955">
            <v>0</v>
          </cell>
        </row>
        <row r="6956">
          <cell r="D6956">
            <v>305381</v>
          </cell>
          <cell r="E6956" t="str">
            <v>Bagong Silang HS</v>
          </cell>
          <cell r="F6956">
            <v>0</v>
          </cell>
          <cell r="G6956">
            <v>0</v>
          </cell>
          <cell r="H6956">
            <v>0</v>
          </cell>
          <cell r="I6956">
            <v>0</v>
          </cell>
          <cell r="J6956">
            <v>0</v>
          </cell>
          <cell r="K6956">
            <v>0</v>
          </cell>
          <cell r="L6956">
            <v>0</v>
          </cell>
          <cell r="M6956">
            <v>0</v>
          </cell>
          <cell r="N6956">
            <v>0</v>
          </cell>
          <cell r="O6956">
            <v>0</v>
          </cell>
          <cell r="P6956">
            <v>0</v>
          </cell>
          <cell r="Q6956">
            <v>0</v>
          </cell>
          <cell r="R6956">
            <v>0</v>
          </cell>
          <cell r="S6956">
            <v>0</v>
          </cell>
          <cell r="T6956">
            <v>0</v>
          </cell>
          <cell r="U6956">
            <v>0</v>
          </cell>
          <cell r="V6956">
            <v>0</v>
          </cell>
          <cell r="W6956">
            <v>0</v>
          </cell>
          <cell r="X6956">
            <v>0</v>
          </cell>
          <cell r="Y6956">
            <v>0</v>
          </cell>
          <cell r="Z6956">
            <v>0</v>
          </cell>
        </row>
        <row r="6957">
          <cell r="D6957">
            <v>500335</v>
          </cell>
          <cell r="E6957" t="str">
            <v>Ilaya Barangka Integrated School</v>
          </cell>
          <cell r="F6957">
            <v>0</v>
          </cell>
          <cell r="G6957">
            <v>0</v>
          </cell>
          <cell r="H6957">
            <v>0</v>
          </cell>
          <cell r="I6957">
            <v>0</v>
          </cell>
          <cell r="J6957">
            <v>0</v>
          </cell>
          <cell r="K6957">
            <v>0</v>
          </cell>
          <cell r="L6957">
            <v>0</v>
          </cell>
          <cell r="M6957">
            <v>0</v>
          </cell>
          <cell r="N6957">
            <v>0</v>
          </cell>
          <cell r="O6957">
            <v>0</v>
          </cell>
          <cell r="P6957">
            <v>0</v>
          </cell>
          <cell r="Q6957">
            <v>0</v>
          </cell>
          <cell r="R6957">
            <v>0</v>
          </cell>
          <cell r="S6957">
            <v>0</v>
          </cell>
          <cell r="T6957">
            <v>0</v>
          </cell>
          <cell r="U6957">
            <v>0</v>
          </cell>
          <cell r="V6957">
            <v>0</v>
          </cell>
          <cell r="W6957">
            <v>0</v>
          </cell>
          <cell r="X6957">
            <v>0</v>
          </cell>
          <cell r="Y6957">
            <v>0</v>
          </cell>
          <cell r="Z6957">
            <v>0</v>
          </cell>
        </row>
        <row r="6958">
          <cell r="D6958">
            <v>305378</v>
          </cell>
          <cell r="E6958" t="str">
            <v>NHC HS</v>
          </cell>
          <cell r="F6958">
            <v>0</v>
          </cell>
          <cell r="G6958">
            <v>0</v>
          </cell>
          <cell r="H6958">
            <v>0</v>
          </cell>
          <cell r="I6958">
            <v>0</v>
          </cell>
          <cell r="J6958">
            <v>0</v>
          </cell>
          <cell r="K6958">
            <v>0</v>
          </cell>
          <cell r="L6958">
            <v>0</v>
          </cell>
          <cell r="M6958">
            <v>0</v>
          </cell>
          <cell r="N6958">
            <v>0</v>
          </cell>
          <cell r="O6958">
            <v>0</v>
          </cell>
          <cell r="P6958">
            <v>0</v>
          </cell>
          <cell r="Q6958">
            <v>0</v>
          </cell>
          <cell r="R6958">
            <v>0</v>
          </cell>
          <cell r="S6958">
            <v>0</v>
          </cell>
          <cell r="T6958">
            <v>0</v>
          </cell>
          <cell r="U6958">
            <v>0</v>
          </cell>
          <cell r="V6958">
            <v>0</v>
          </cell>
          <cell r="W6958">
            <v>0</v>
          </cell>
          <cell r="X6958">
            <v>0</v>
          </cell>
          <cell r="Y6958">
            <v>0</v>
          </cell>
          <cell r="Z6958">
            <v>0</v>
          </cell>
        </row>
        <row r="6959">
          <cell r="D6959">
            <v>500330</v>
          </cell>
          <cell r="E6959" t="str">
            <v>Tandang Sora IS</v>
          </cell>
          <cell r="F6959">
            <v>0</v>
          </cell>
          <cell r="G6959">
            <v>0</v>
          </cell>
          <cell r="H6959">
            <v>0</v>
          </cell>
          <cell r="I6959">
            <v>0</v>
          </cell>
          <cell r="J6959">
            <v>0</v>
          </cell>
          <cell r="K6959">
            <v>0</v>
          </cell>
          <cell r="L6959">
            <v>0</v>
          </cell>
          <cell r="M6959">
            <v>0</v>
          </cell>
          <cell r="N6959">
            <v>0</v>
          </cell>
          <cell r="O6959">
            <v>0</v>
          </cell>
          <cell r="P6959">
            <v>0</v>
          </cell>
          <cell r="Q6959">
            <v>0</v>
          </cell>
          <cell r="R6959">
            <v>0</v>
          </cell>
          <cell r="S6959">
            <v>0</v>
          </cell>
          <cell r="T6959">
            <v>0</v>
          </cell>
          <cell r="U6959">
            <v>0</v>
          </cell>
          <cell r="V6959">
            <v>0</v>
          </cell>
          <cell r="W6959">
            <v>0</v>
          </cell>
          <cell r="X6959">
            <v>0</v>
          </cell>
          <cell r="Y6959">
            <v>0</v>
          </cell>
          <cell r="Z6959">
            <v>0</v>
          </cell>
        </row>
        <row r="6960">
          <cell r="D6960">
            <v>305389</v>
          </cell>
          <cell r="E6960" t="str">
            <v>Caloocan City Science HS</v>
          </cell>
          <cell r="F6960">
            <v>0</v>
          </cell>
          <cell r="G6960">
            <v>0</v>
          </cell>
          <cell r="H6960">
            <v>0</v>
          </cell>
          <cell r="I6960">
            <v>0</v>
          </cell>
          <cell r="J6960">
            <v>0</v>
          </cell>
          <cell r="K6960">
            <v>0</v>
          </cell>
          <cell r="L6960">
            <v>0</v>
          </cell>
          <cell r="M6960">
            <v>0</v>
          </cell>
          <cell r="N6960">
            <v>0</v>
          </cell>
          <cell r="O6960">
            <v>0</v>
          </cell>
          <cell r="P6960">
            <v>0</v>
          </cell>
          <cell r="Q6960">
            <v>0</v>
          </cell>
          <cell r="R6960">
            <v>0</v>
          </cell>
          <cell r="S6960">
            <v>0</v>
          </cell>
          <cell r="T6960">
            <v>0</v>
          </cell>
          <cell r="U6960">
            <v>0</v>
          </cell>
          <cell r="V6960">
            <v>0</v>
          </cell>
          <cell r="W6960">
            <v>0</v>
          </cell>
          <cell r="X6960">
            <v>0</v>
          </cell>
          <cell r="Y6960">
            <v>0</v>
          </cell>
          <cell r="Z6960">
            <v>0</v>
          </cell>
        </row>
        <row r="6961">
          <cell r="D6961">
            <v>305380</v>
          </cell>
          <cell r="E6961" t="str">
            <v>Tala High School</v>
          </cell>
          <cell r="F6961">
            <v>0</v>
          </cell>
          <cell r="G6961">
            <v>0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>
            <v>0</v>
          </cell>
          <cell r="M6961">
            <v>0</v>
          </cell>
          <cell r="N6961">
            <v>0</v>
          </cell>
          <cell r="O6961">
            <v>0</v>
          </cell>
          <cell r="P6961">
            <v>0</v>
          </cell>
          <cell r="Q6961">
            <v>0</v>
          </cell>
          <cell r="R6961">
            <v>0</v>
          </cell>
          <cell r="S6961">
            <v>0</v>
          </cell>
          <cell r="T6961">
            <v>0</v>
          </cell>
          <cell r="U6961">
            <v>0</v>
          </cell>
          <cell r="V6961">
            <v>0</v>
          </cell>
          <cell r="W6961">
            <v>0</v>
          </cell>
          <cell r="X6961">
            <v>0</v>
          </cell>
          <cell r="Y6961">
            <v>0</v>
          </cell>
          <cell r="Z6961">
            <v>0</v>
          </cell>
        </row>
        <row r="6962">
          <cell r="D6962">
            <v>305388</v>
          </cell>
          <cell r="E6962" t="str">
            <v>Caloocan HS</v>
          </cell>
          <cell r="F6962">
            <v>374</v>
          </cell>
          <cell r="G6962">
            <v>0</v>
          </cell>
          <cell r="H6962">
            <v>374</v>
          </cell>
          <cell r="I6962">
            <v>301</v>
          </cell>
          <cell r="J6962">
            <v>0</v>
          </cell>
          <cell r="K6962">
            <v>301</v>
          </cell>
          <cell r="L6962">
            <v>928</v>
          </cell>
          <cell r="M6962">
            <v>0</v>
          </cell>
          <cell r="N6962">
            <v>928</v>
          </cell>
          <cell r="O6962">
            <v>98</v>
          </cell>
          <cell r="P6962">
            <v>0</v>
          </cell>
          <cell r="Q6962">
            <v>98</v>
          </cell>
          <cell r="R6962">
            <v>113</v>
          </cell>
          <cell r="S6962">
            <v>0</v>
          </cell>
          <cell r="T6962">
            <v>113</v>
          </cell>
          <cell r="U6962">
            <v>170</v>
          </cell>
          <cell r="V6962">
            <v>0</v>
          </cell>
          <cell r="W6962">
            <v>170</v>
          </cell>
          <cell r="X6962">
            <v>14</v>
          </cell>
          <cell r="Y6962">
            <v>0</v>
          </cell>
          <cell r="Z6962">
            <v>14</v>
          </cell>
        </row>
        <row r="6963">
          <cell r="D6963">
            <v>305327</v>
          </cell>
          <cell r="E6963" t="str">
            <v>San Francisco High School</v>
          </cell>
          <cell r="F6963">
            <v>0</v>
          </cell>
          <cell r="G6963">
            <v>0</v>
          </cell>
          <cell r="H6963">
            <v>0</v>
          </cell>
          <cell r="I6963">
            <v>0</v>
          </cell>
          <cell r="J6963">
            <v>0</v>
          </cell>
          <cell r="K6963">
            <v>0</v>
          </cell>
          <cell r="L6963">
            <v>0</v>
          </cell>
          <cell r="M6963">
            <v>0</v>
          </cell>
          <cell r="N6963">
            <v>0</v>
          </cell>
          <cell r="O6963">
            <v>0</v>
          </cell>
          <cell r="P6963">
            <v>0</v>
          </cell>
          <cell r="Q6963">
            <v>0</v>
          </cell>
          <cell r="R6963">
            <v>0</v>
          </cell>
          <cell r="S6963">
            <v>0</v>
          </cell>
          <cell r="T6963">
            <v>0</v>
          </cell>
          <cell r="U6963">
            <v>0</v>
          </cell>
          <cell r="V6963">
            <v>0</v>
          </cell>
          <cell r="W6963">
            <v>0</v>
          </cell>
          <cell r="X6963">
            <v>0</v>
          </cell>
          <cell r="Y6963">
            <v>0</v>
          </cell>
          <cell r="Z6963">
            <v>0</v>
          </cell>
        </row>
        <row r="6964">
          <cell r="D6964">
            <v>500331</v>
          </cell>
          <cell r="E6964" t="str">
            <v>Isaac Lopez Integrated School (Isaac Lopez ES)</v>
          </cell>
          <cell r="F6964">
            <v>51</v>
          </cell>
          <cell r="G6964">
            <v>61</v>
          </cell>
          <cell r="H6964">
            <v>112</v>
          </cell>
          <cell r="I6964">
            <v>27</v>
          </cell>
          <cell r="J6964">
            <v>31</v>
          </cell>
          <cell r="K6964">
            <v>58</v>
          </cell>
          <cell r="L6964">
            <v>7</v>
          </cell>
          <cell r="M6964">
            <v>10</v>
          </cell>
          <cell r="N6964">
            <v>17</v>
          </cell>
          <cell r="O6964">
            <v>10</v>
          </cell>
          <cell r="P6964">
            <v>15</v>
          </cell>
          <cell r="Q6964">
            <v>25</v>
          </cell>
          <cell r="R6964">
            <v>7</v>
          </cell>
          <cell r="S6964">
            <v>5</v>
          </cell>
          <cell r="T6964">
            <v>12</v>
          </cell>
          <cell r="U6964">
            <v>0</v>
          </cell>
          <cell r="V6964">
            <v>0</v>
          </cell>
          <cell r="W6964">
            <v>0</v>
          </cell>
          <cell r="X6964">
            <v>0</v>
          </cell>
          <cell r="Y6964">
            <v>0</v>
          </cell>
          <cell r="Z6964">
            <v>0</v>
          </cell>
        </row>
        <row r="6965">
          <cell r="D6965">
            <v>500336</v>
          </cell>
          <cell r="E6965" t="str">
            <v>Addition Hills Integrated School</v>
          </cell>
          <cell r="F6965">
            <v>0</v>
          </cell>
          <cell r="G6965">
            <v>0</v>
          </cell>
          <cell r="H6965">
            <v>0</v>
          </cell>
          <cell r="I6965">
            <v>0</v>
          </cell>
          <cell r="J6965">
            <v>0</v>
          </cell>
          <cell r="K6965">
            <v>0</v>
          </cell>
          <cell r="L6965">
            <v>0</v>
          </cell>
          <cell r="M6965">
            <v>0</v>
          </cell>
          <cell r="N6965">
            <v>0</v>
          </cell>
          <cell r="O6965">
            <v>0</v>
          </cell>
          <cell r="P6965">
            <v>0</v>
          </cell>
          <cell r="Q6965">
            <v>0</v>
          </cell>
          <cell r="R6965">
            <v>0</v>
          </cell>
          <cell r="S6965">
            <v>0</v>
          </cell>
          <cell r="T6965">
            <v>0</v>
          </cell>
          <cell r="U6965">
            <v>0</v>
          </cell>
          <cell r="V6965">
            <v>0</v>
          </cell>
          <cell r="W6965">
            <v>0</v>
          </cell>
          <cell r="X6965">
            <v>0</v>
          </cell>
          <cell r="Y6965">
            <v>0</v>
          </cell>
          <cell r="Z6965">
            <v>0</v>
          </cell>
        </row>
        <row r="6966">
          <cell r="D6966">
            <v>305454</v>
          </cell>
          <cell r="E6966" t="str">
            <v>San Rafael Technological and Vocational High School</v>
          </cell>
          <cell r="F6966">
            <v>62</v>
          </cell>
          <cell r="G6966">
            <v>45</v>
          </cell>
          <cell r="H6966">
            <v>107</v>
          </cell>
          <cell r="I6966">
            <v>0</v>
          </cell>
          <cell r="J6966">
            <v>0</v>
          </cell>
          <cell r="K6966">
            <v>0</v>
          </cell>
          <cell r="L6966">
            <v>0</v>
          </cell>
          <cell r="M6966">
            <v>0</v>
          </cell>
          <cell r="N6966">
            <v>0</v>
          </cell>
          <cell r="O6966">
            <v>0</v>
          </cell>
          <cell r="P6966">
            <v>0</v>
          </cell>
          <cell r="Q6966">
            <v>0</v>
          </cell>
          <cell r="R6966">
            <v>0</v>
          </cell>
          <cell r="S6966">
            <v>0</v>
          </cell>
          <cell r="T6966">
            <v>0</v>
          </cell>
          <cell r="U6966">
            <v>30</v>
          </cell>
          <cell r="V6966">
            <v>9</v>
          </cell>
          <cell r="W6966">
            <v>39</v>
          </cell>
          <cell r="X6966">
            <v>0</v>
          </cell>
          <cell r="Y6966">
            <v>0</v>
          </cell>
          <cell r="Z6966">
            <v>0</v>
          </cell>
        </row>
        <row r="6967">
          <cell r="D6967">
            <v>305395</v>
          </cell>
          <cell r="E6967" t="str">
            <v>City of Mandaluyong Science HS</v>
          </cell>
          <cell r="F6967">
            <v>0</v>
          </cell>
          <cell r="G6967">
            <v>0</v>
          </cell>
          <cell r="H6967">
            <v>0</v>
          </cell>
          <cell r="I6967">
            <v>0</v>
          </cell>
          <cell r="J6967">
            <v>0</v>
          </cell>
          <cell r="K6967">
            <v>0</v>
          </cell>
          <cell r="L6967">
            <v>0</v>
          </cell>
          <cell r="M6967">
            <v>0</v>
          </cell>
          <cell r="N6967">
            <v>0</v>
          </cell>
          <cell r="O6967">
            <v>0</v>
          </cell>
          <cell r="P6967">
            <v>0</v>
          </cell>
          <cell r="Q6967">
            <v>0</v>
          </cell>
          <cell r="R6967">
            <v>0</v>
          </cell>
          <cell r="S6967">
            <v>0</v>
          </cell>
          <cell r="T6967">
            <v>0</v>
          </cell>
          <cell r="U6967">
            <v>0</v>
          </cell>
          <cell r="V6967">
            <v>0</v>
          </cell>
          <cell r="W6967">
            <v>0</v>
          </cell>
          <cell r="X6967">
            <v>0</v>
          </cell>
          <cell r="Y6967">
            <v>0</v>
          </cell>
          <cell r="Z6967">
            <v>0</v>
          </cell>
        </row>
        <row r="6968">
          <cell r="D6968">
            <v>340628</v>
          </cell>
          <cell r="E6968" t="str">
            <v>SHS in Lisan, Navotas City</v>
          </cell>
          <cell r="F6968">
            <v>22</v>
          </cell>
          <cell r="G6968">
            <v>0</v>
          </cell>
          <cell r="H6968">
            <v>22</v>
          </cell>
          <cell r="I6968">
            <v>22</v>
          </cell>
          <cell r="J6968">
            <v>0</v>
          </cell>
          <cell r="K6968">
            <v>22</v>
          </cell>
          <cell r="L6968">
            <v>202</v>
          </cell>
          <cell r="M6968">
            <v>0</v>
          </cell>
          <cell r="N6968">
            <v>202</v>
          </cell>
          <cell r="O6968">
            <v>22</v>
          </cell>
          <cell r="P6968">
            <v>0</v>
          </cell>
          <cell r="Q6968">
            <v>22</v>
          </cell>
          <cell r="R6968">
            <v>0</v>
          </cell>
          <cell r="S6968">
            <v>0</v>
          </cell>
          <cell r="T6968">
            <v>0</v>
          </cell>
          <cell r="U6968">
            <v>0</v>
          </cell>
          <cell r="V6968">
            <v>0</v>
          </cell>
          <cell r="W6968">
            <v>0</v>
          </cell>
          <cell r="X6968">
            <v>0</v>
          </cell>
          <cell r="Y6968">
            <v>0</v>
          </cell>
          <cell r="Z6968">
            <v>0</v>
          </cell>
        </row>
        <row r="6969">
          <cell r="D6969">
            <v>305724</v>
          </cell>
          <cell r="E6969" t="str">
            <v>Bagong Barrio Senior High School</v>
          </cell>
          <cell r="F6969">
            <v>0</v>
          </cell>
          <cell r="G6969">
            <v>0</v>
          </cell>
          <cell r="H6969">
            <v>0</v>
          </cell>
          <cell r="I6969">
            <v>0</v>
          </cell>
          <cell r="J6969">
            <v>0</v>
          </cell>
          <cell r="K6969">
            <v>0</v>
          </cell>
          <cell r="L6969">
            <v>0</v>
          </cell>
          <cell r="M6969">
            <v>0</v>
          </cell>
          <cell r="N6969">
            <v>0</v>
          </cell>
          <cell r="O6969">
            <v>0</v>
          </cell>
          <cell r="P6969">
            <v>0</v>
          </cell>
          <cell r="Q6969">
            <v>0</v>
          </cell>
          <cell r="R6969">
            <v>0</v>
          </cell>
          <cell r="S6969">
            <v>0</v>
          </cell>
          <cell r="T6969">
            <v>0</v>
          </cell>
          <cell r="U6969">
            <v>0</v>
          </cell>
          <cell r="V6969">
            <v>0</v>
          </cell>
          <cell r="W6969">
            <v>0</v>
          </cell>
          <cell r="X6969">
            <v>0</v>
          </cell>
          <cell r="Y6969">
            <v>0</v>
          </cell>
          <cell r="Z6969">
            <v>0</v>
          </cell>
        </row>
        <row r="6970">
          <cell r="D6970">
            <v>319707</v>
          </cell>
          <cell r="E6970" t="str">
            <v>Caloocan City Business High School</v>
          </cell>
          <cell r="F6970">
            <v>0</v>
          </cell>
          <cell r="G6970">
            <v>0</v>
          </cell>
          <cell r="H6970">
            <v>0</v>
          </cell>
          <cell r="I6970">
            <v>0</v>
          </cell>
          <cell r="J6970">
            <v>0</v>
          </cell>
          <cell r="K6970">
            <v>0</v>
          </cell>
          <cell r="L6970">
            <v>0</v>
          </cell>
          <cell r="M6970">
            <v>0</v>
          </cell>
          <cell r="N6970">
            <v>0</v>
          </cell>
          <cell r="O6970">
            <v>0</v>
          </cell>
          <cell r="P6970">
            <v>0</v>
          </cell>
          <cell r="Q6970">
            <v>0</v>
          </cell>
          <cell r="R6970">
            <v>0</v>
          </cell>
          <cell r="S6970">
            <v>0</v>
          </cell>
          <cell r="T6970">
            <v>0</v>
          </cell>
          <cell r="U6970">
            <v>0</v>
          </cell>
          <cell r="V6970">
            <v>0</v>
          </cell>
          <cell r="W6970">
            <v>0</v>
          </cell>
          <cell r="X6970">
            <v>0</v>
          </cell>
          <cell r="Y6970">
            <v>0</v>
          </cell>
          <cell r="Z6970">
            <v>0</v>
          </cell>
        </row>
        <row r="6971">
          <cell r="D6971">
            <v>305375</v>
          </cell>
          <cell r="E6971" t="str">
            <v>Cielito Zamora Senior High School</v>
          </cell>
          <cell r="F6971">
            <v>100</v>
          </cell>
          <cell r="G6971">
            <v>100</v>
          </cell>
          <cell r="H6971">
            <v>200</v>
          </cell>
          <cell r="I6971">
            <v>85</v>
          </cell>
          <cell r="J6971">
            <v>75</v>
          </cell>
          <cell r="K6971">
            <v>160</v>
          </cell>
          <cell r="L6971">
            <v>2</v>
          </cell>
          <cell r="M6971">
            <v>2</v>
          </cell>
          <cell r="N6971">
            <v>4</v>
          </cell>
          <cell r="O6971">
            <v>0</v>
          </cell>
          <cell r="P6971">
            <v>0</v>
          </cell>
          <cell r="Q6971">
            <v>0</v>
          </cell>
          <cell r="R6971">
            <v>0</v>
          </cell>
          <cell r="S6971">
            <v>0</v>
          </cell>
          <cell r="T6971">
            <v>0</v>
          </cell>
          <cell r="U6971">
            <v>0</v>
          </cell>
          <cell r="V6971">
            <v>0</v>
          </cell>
          <cell r="W6971">
            <v>0</v>
          </cell>
          <cell r="X6971">
            <v>0</v>
          </cell>
          <cell r="Y6971">
            <v>0</v>
          </cell>
          <cell r="Z6971">
            <v>0</v>
          </cell>
        </row>
        <row r="6972">
          <cell r="D6972">
            <v>305396</v>
          </cell>
          <cell r="E6972" t="str">
            <v>Bonifacio Javier National High School</v>
          </cell>
          <cell r="F6972">
            <v>0</v>
          </cell>
          <cell r="G6972">
            <v>0</v>
          </cell>
          <cell r="H6972">
            <v>0</v>
          </cell>
          <cell r="I6972">
            <v>0</v>
          </cell>
          <cell r="J6972">
            <v>0</v>
          </cell>
          <cell r="K6972">
            <v>0</v>
          </cell>
          <cell r="L6972">
            <v>0</v>
          </cell>
          <cell r="M6972">
            <v>0</v>
          </cell>
          <cell r="N6972">
            <v>0</v>
          </cell>
          <cell r="O6972">
            <v>0</v>
          </cell>
          <cell r="P6972">
            <v>0</v>
          </cell>
          <cell r="Q6972">
            <v>0</v>
          </cell>
          <cell r="R6972">
            <v>0</v>
          </cell>
          <cell r="S6972">
            <v>0</v>
          </cell>
          <cell r="T6972">
            <v>0</v>
          </cell>
          <cell r="U6972">
            <v>0</v>
          </cell>
          <cell r="V6972">
            <v>0</v>
          </cell>
          <cell r="W6972">
            <v>0</v>
          </cell>
          <cell r="X6972">
            <v>0</v>
          </cell>
          <cell r="Y6972">
            <v>0</v>
          </cell>
          <cell r="Z6972">
            <v>0</v>
          </cell>
        </row>
        <row r="6973">
          <cell r="D6973">
            <v>305729</v>
          </cell>
          <cell r="E6973" t="str">
            <v>Samaria Senior High School</v>
          </cell>
          <cell r="F6973">
            <v>0</v>
          </cell>
          <cell r="G6973">
            <v>0</v>
          </cell>
          <cell r="H6973">
            <v>0</v>
          </cell>
          <cell r="I6973">
            <v>0</v>
          </cell>
          <cell r="J6973">
            <v>0</v>
          </cell>
          <cell r="K6973">
            <v>0</v>
          </cell>
          <cell r="L6973">
            <v>0</v>
          </cell>
          <cell r="M6973">
            <v>0</v>
          </cell>
          <cell r="N6973">
            <v>0</v>
          </cell>
          <cell r="O6973">
            <v>0</v>
          </cell>
          <cell r="P6973">
            <v>0</v>
          </cell>
          <cell r="Q6973">
            <v>0</v>
          </cell>
          <cell r="R6973">
            <v>0</v>
          </cell>
          <cell r="S6973">
            <v>0</v>
          </cell>
          <cell r="T6973">
            <v>0</v>
          </cell>
          <cell r="U6973">
            <v>0</v>
          </cell>
          <cell r="V6973">
            <v>0</v>
          </cell>
          <cell r="W6973">
            <v>0</v>
          </cell>
          <cell r="X6973">
            <v>0</v>
          </cell>
          <cell r="Y6973">
            <v>0</v>
          </cell>
          <cell r="Z6973">
            <v>0</v>
          </cell>
        </row>
        <row r="6974">
          <cell r="D6974">
            <v>319708</v>
          </cell>
          <cell r="E6974" t="str">
            <v>Horacio Dela Costa High School</v>
          </cell>
          <cell r="F6974">
            <v>0</v>
          </cell>
          <cell r="G6974">
            <v>0</v>
          </cell>
          <cell r="H6974">
            <v>0</v>
          </cell>
          <cell r="I6974">
            <v>0</v>
          </cell>
          <cell r="J6974">
            <v>0</v>
          </cell>
          <cell r="K6974">
            <v>0</v>
          </cell>
          <cell r="L6974">
            <v>0</v>
          </cell>
          <cell r="M6974">
            <v>0</v>
          </cell>
          <cell r="N6974">
            <v>0</v>
          </cell>
          <cell r="O6974">
            <v>0</v>
          </cell>
          <cell r="P6974">
            <v>0</v>
          </cell>
          <cell r="Q6974">
            <v>0</v>
          </cell>
          <cell r="R6974">
            <v>0</v>
          </cell>
          <cell r="S6974">
            <v>0</v>
          </cell>
          <cell r="T6974">
            <v>0</v>
          </cell>
          <cell r="U6974">
            <v>0</v>
          </cell>
          <cell r="V6974">
            <v>0</v>
          </cell>
          <cell r="W6974">
            <v>0</v>
          </cell>
          <cell r="X6974">
            <v>0</v>
          </cell>
          <cell r="Y6974">
            <v>0</v>
          </cell>
          <cell r="Z6974">
            <v>0</v>
          </cell>
        </row>
        <row r="6975">
          <cell r="D6975">
            <v>305717</v>
          </cell>
          <cell r="E6975" t="str">
            <v>Brixton Senior High School</v>
          </cell>
          <cell r="F6975">
            <v>0</v>
          </cell>
          <cell r="G6975">
            <v>0</v>
          </cell>
          <cell r="H6975">
            <v>0</v>
          </cell>
          <cell r="I6975">
            <v>0</v>
          </cell>
          <cell r="J6975">
            <v>0</v>
          </cell>
          <cell r="K6975">
            <v>0</v>
          </cell>
          <cell r="L6975">
            <v>0</v>
          </cell>
          <cell r="M6975">
            <v>0</v>
          </cell>
          <cell r="N6975">
            <v>0</v>
          </cell>
          <cell r="O6975">
            <v>0</v>
          </cell>
          <cell r="P6975">
            <v>0</v>
          </cell>
          <cell r="Q6975">
            <v>0</v>
          </cell>
          <cell r="R6975">
            <v>0</v>
          </cell>
          <cell r="S6975">
            <v>0</v>
          </cell>
          <cell r="T6975">
            <v>0</v>
          </cell>
          <cell r="U6975">
            <v>0</v>
          </cell>
          <cell r="V6975">
            <v>0</v>
          </cell>
          <cell r="W6975">
            <v>0</v>
          </cell>
          <cell r="X6975">
            <v>0</v>
          </cell>
          <cell r="Y6975">
            <v>0</v>
          </cell>
          <cell r="Z6975">
            <v>0</v>
          </cell>
        </row>
        <row r="6976">
          <cell r="D6976">
            <v>305318</v>
          </cell>
          <cell r="E6976" t="str">
            <v>Manuel A. Roxas High School</v>
          </cell>
          <cell r="F6976">
            <v>0</v>
          </cell>
          <cell r="G6976">
            <v>0</v>
          </cell>
          <cell r="H6976">
            <v>0</v>
          </cell>
          <cell r="I6976">
            <v>0</v>
          </cell>
          <cell r="J6976">
            <v>0</v>
          </cell>
          <cell r="K6976">
            <v>0</v>
          </cell>
          <cell r="L6976">
            <v>0</v>
          </cell>
          <cell r="M6976">
            <v>0</v>
          </cell>
          <cell r="N6976">
            <v>0</v>
          </cell>
          <cell r="O6976">
            <v>0</v>
          </cell>
          <cell r="P6976">
            <v>0</v>
          </cell>
          <cell r="Q6976">
            <v>0</v>
          </cell>
          <cell r="R6976">
            <v>0</v>
          </cell>
          <cell r="S6976">
            <v>0</v>
          </cell>
          <cell r="T6976">
            <v>0</v>
          </cell>
          <cell r="U6976">
            <v>0</v>
          </cell>
          <cell r="V6976">
            <v>0</v>
          </cell>
          <cell r="W6976">
            <v>0</v>
          </cell>
          <cell r="X6976">
            <v>0</v>
          </cell>
          <cell r="Y6976">
            <v>0</v>
          </cell>
          <cell r="Z6976">
            <v>0</v>
          </cell>
        </row>
        <row r="6977">
          <cell r="D6977">
            <v>305336</v>
          </cell>
          <cell r="E6977" t="str">
            <v>Lagro HS</v>
          </cell>
          <cell r="F6977">
            <v>0</v>
          </cell>
          <cell r="G6977">
            <v>0</v>
          </cell>
          <cell r="H6977">
            <v>0</v>
          </cell>
          <cell r="I6977">
            <v>0</v>
          </cell>
          <cell r="J6977">
            <v>0</v>
          </cell>
          <cell r="K6977">
            <v>0</v>
          </cell>
          <cell r="L6977">
            <v>0</v>
          </cell>
          <cell r="M6977">
            <v>0</v>
          </cell>
          <cell r="N6977">
            <v>0</v>
          </cell>
          <cell r="O6977">
            <v>0</v>
          </cell>
          <cell r="P6977">
            <v>0</v>
          </cell>
          <cell r="Q6977">
            <v>0</v>
          </cell>
          <cell r="R6977">
            <v>0</v>
          </cell>
          <cell r="S6977">
            <v>0</v>
          </cell>
          <cell r="T6977">
            <v>0</v>
          </cell>
          <cell r="U6977">
            <v>0</v>
          </cell>
          <cell r="V6977">
            <v>0</v>
          </cell>
          <cell r="W6977">
            <v>0</v>
          </cell>
          <cell r="X6977">
            <v>0</v>
          </cell>
          <cell r="Y6977">
            <v>0</v>
          </cell>
          <cell r="Z6977">
            <v>0</v>
          </cell>
        </row>
        <row r="6978">
          <cell r="D6978">
            <v>319705</v>
          </cell>
          <cell r="E6978" t="str">
            <v>Maypajo High School</v>
          </cell>
          <cell r="F6978">
            <v>0</v>
          </cell>
          <cell r="G6978">
            <v>0</v>
          </cell>
          <cell r="H6978">
            <v>0</v>
          </cell>
          <cell r="I6978">
            <v>0</v>
          </cell>
          <cell r="J6978">
            <v>0</v>
          </cell>
          <cell r="K6978">
            <v>0</v>
          </cell>
          <cell r="L6978">
            <v>0</v>
          </cell>
          <cell r="M6978">
            <v>0</v>
          </cell>
          <cell r="N6978">
            <v>0</v>
          </cell>
          <cell r="O6978">
            <v>0</v>
          </cell>
          <cell r="P6978">
            <v>0</v>
          </cell>
          <cell r="Q6978">
            <v>0</v>
          </cell>
          <cell r="R6978">
            <v>0</v>
          </cell>
          <cell r="S6978">
            <v>0</v>
          </cell>
          <cell r="T6978">
            <v>0</v>
          </cell>
          <cell r="U6978">
            <v>0</v>
          </cell>
          <cell r="V6978">
            <v>0</v>
          </cell>
          <cell r="W6978">
            <v>0</v>
          </cell>
          <cell r="X6978">
            <v>0</v>
          </cell>
          <cell r="Y6978">
            <v>0</v>
          </cell>
          <cell r="Z6978">
            <v>0</v>
          </cell>
        </row>
        <row r="6979">
          <cell r="D6979">
            <v>305393</v>
          </cell>
          <cell r="E6979" t="str">
            <v>Mandaluyong High School</v>
          </cell>
          <cell r="F6979">
            <v>0</v>
          </cell>
          <cell r="G6979">
            <v>0</v>
          </cell>
          <cell r="H6979">
            <v>0</v>
          </cell>
          <cell r="I6979">
            <v>0</v>
          </cell>
          <cell r="J6979">
            <v>0</v>
          </cell>
          <cell r="K6979">
            <v>0</v>
          </cell>
          <cell r="L6979">
            <v>0</v>
          </cell>
          <cell r="M6979">
            <v>0</v>
          </cell>
          <cell r="N6979">
            <v>0</v>
          </cell>
          <cell r="O6979">
            <v>0</v>
          </cell>
          <cell r="P6979">
            <v>0</v>
          </cell>
          <cell r="Q6979">
            <v>0</v>
          </cell>
          <cell r="R6979">
            <v>0</v>
          </cell>
          <cell r="S6979">
            <v>0</v>
          </cell>
          <cell r="T6979">
            <v>0</v>
          </cell>
          <cell r="U6979">
            <v>0</v>
          </cell>
          <cell r="V6979">
            <v>0</v>
          </cell>
          <cell r="W6979">
            <v>0</v>
          </cell>
          <cell r="X6979">
            <v>0</v>
          </cell>
          <cell r="Y6979">
            <v>0</v>
          </cell>
          <cell r="Z6979">
            <v>0</v>
          </cell>
        </row>
        <row r="6980">
          <cell r="D6980">
            <v>500333</v>
          </cell>
          <cell r="E6980" t="str">
            <v>Eulogio Rodriguez Integrated School</v>
          </cell>
          <cell r="F6980">
            <v>0</v>
          </cell>
          <cell r="G6980">
            <v>0</v>
          </cell>
          <cell r="H6980">
            <v>0</v>
          </cell>
          <cell r="I6980">
            <v>0</v>
          </cell>
          <cell r="J6980">
            <v>0</v>
          </cell>
          <cell r="K6980">
            <v>0</v>
          </cell>
          <cell r="L6980">
            <v>0</v>
          </cell>
          <cell r="M6980">
            <v>0</v>
          </cell>
          <cell r="N6980">
            <v>0</v>
          </cell>
          <cell r="O6980">
            <v>0</v>
          </cell>
          <cell r="P6980">
            <v>0</v>
          </cell>
          <cell r="Q6980">
            <v>0</v>
          </cell>
          <cell r="R6980">
            <v>0</v>
          </cell>
          <cell r="S6980">
            <v>0</v>
          </cell>
          <cell r="T6980">
            <v>0</v>
          </cell>
          <cell r="U6980">
            <v>0</v>
          </cell>
          <cell r="V6980">
            <v>0</v>
          </cell>
          <cell r="W6980">
            <v>0</v>
          </cell>
          <cell r="X6980">
            <v>0</v>
          </cell>
          <cell r="Y6980">
            <v>0</v>
          </cell>
          <cell r="Z6980">
            <v>0</v>
          </cell>
        </row>
        <row r="6981">
          <cell r="D6981">
            <v>500332</v>
          </cell>
          <cell r="E6981" t="str">
            <v>Highway Hills Integrated School</v>
          </cell>
          <cell r="F6981">
            <v>0</v>
          </cell>
          <cell r="G6981">
            <v>0</v>
          </cell>
          <cell r="H6981">
            <v>0</v>
          </cell>
          <cell r="I6981">
            <v>0</v>
          </cell>
          <cell r="J6981">
            <v>0</v>
          </cell>
          <cell r="K6981">
            <v>0</v>
          </cell>
          <cell r="L6981">
            <v>0</v>
          </cell>
          <cell r="M6981">
            <v>0</v>
          </cell>
          <cell r="N6981">
            <v>0</v>
          </cell>
          <cell r="O6981">
            <v>0</v>
          </cell>
          <cell r="P6981">
            <v>0</v>
          </cell>
          <cell r="Q6981">
            <v>0</v>
          </cell>
          <cell r="R6981">
            <v>0</v>
          </cell>
          <cell r="S6981">
            <v>0</v>
          </cell>
          <cell r="T6981">
            <v>0</v>
          </cell>
          <cell r="U6981">
            <v>0</v>
          </cell>
          <cell r="V6981">
            <v>0</v>
          </cell>
          <cell r="W6981">
            <v>0</v>
          </cell>
          <cell r="X6981">
            <v>0</v>
          </cell>
          <cell r="Y6981">
            <v>0</v>
          </cell>
          <cell r="Z6981">
            <v>0</v>
          </cell>
        </row>
        <row r="6982">
          <cell r="D6982">
            <v>305310</v>
          </cell>
          <cell r="E6982" t="str">
            <v>Carlos P. Garcia High School</v>
          </cell>
          <cell r="F6982">
            <v>0</v>
          </cell>
          <cell r="G6982">
            <v>0</v>
          </cell>
          <cell r="H6982">
            <v>0</v>
          </cell>
          <cell r="I6982">
            <v>0</v>
          </cell>
          <cell r="J6982">
            <v>0</v>
          </cell>
          <cell r="K6982">
            <v>0</v>
          </cell>
          <cell r="L6982">
            <v>0</v>
          </cell>
          <cell r="M6982">
            <v>0</v>
          </cell>
          <cell r="N6982">
            <v>0</v>
          </cell>
          <cell r="O6982">
            <v>0</v>
          </cell>
          <cell r="P6982">
            <v>0</v>
          </cell>
          <cell r="Q6982">
            <v>0</v>
          </cell>
          <cell r="R6982">
            <v>0</v>
          </cell>
          <cell r="S6982">
            <v>0</v>
          </cell>
          <cell r="T6982">
            <v>0</v>
          </cell>
          <cell r="U6982">
            <v>0</v>
          </cell>
          <cell r="V6982">
            <v>0</v>
          </cell>
          <cell r="W6982">
            <v>0</v>
          </cell>
          <cell r="X6982">
            <v>0</v>
          </cell>
          <cell r="Y6982">
            <v>0</v>
          </cell>
          <cell r="Z6982">
            <v>0</v>
          </cell>
        </row>
        <row r="6983">
          <cell r="D6983">
            <v>305358</v>
          </cell>
          <cell r="E6983" t="str">
            <v>Ramon Magsaysay (Cubao) HS</v>
          </cell>
          <cell r="F6983">
            <v>0</v>
          </cell>
          <cell r="G6983">
            <v>0</v>
          </cell>
          <cell r="H6983">
            <v>0</v>
          </cell>
          <cell r="I6983">
            <v>0</v>
          </cell>
          <cell r="J6983">
            <v>0</v>
          </cell>
          <cell r="K6983">
            <v>0</v>
          </cell>
          <cell r="L6983">
            <v>0</v>
          </cell>
          <cell r="M6983">
            <v>0</v>
          </cell>
          <cell r="N6983">
            <v>0</v>
          </cell>
          <cell r="O6983">
            <v>0</v>
          </cell>
          <cell r="P6983">
            <v>0</v>
          </cell>
          <cell r="Q6983">
            <v>0</v>
          </cell>
          <cell r="R6983">
            <v>0</v>
          </cell>
          <cell r="S6983">
            <v>0</v>
          </cell>
          <cell r="T6983">
            <v>0</v>
          </cell>
          <cell r="U6983">
            <v>0</v>
          </cell>
          <cell r="V6983">
            <v>0</v>
          </cell>
          <cell r="W6983">
            <v>0</v>
          </cell>
          <cell r="X6983">
            <v>0</v>
          </cell>
          <cell r="Y6983">
            <v>0</v>
          </cell>
          <cell r="Z6983">
            <v>0</v>
          </cell>
        </row>
        <row r="6984">
          <cell r="D6984">
            <v>340601</v>
          </cell>
          <cell r="E6984" t="str">
            <v>SHS within Gen E. Aguinaldo Intg. (Elem)</v>
          </cell>
          <cell r="F6984">
            <v>0</v>
          </cell>
          <cell r="G6984">
            <v>0</v>
          </cell>
          <cell r="H6984">
            <v>0</v>
          </cell>
          <cell r="I6984">
            <v>0</v>
          </cell>
          <cell r="J6984">
            <v>0</v>
          </cell>
          <cell r="K6984">
            <v>0</v>
          </cell>
          <cell r="L6984">
            <v>0</v>
          </cell>
          <cell r="M6984">
            <v>0</v>
          </cell>
          <cell r="N6984">
            <v>0</v>
          </cell>
          <cell r="O6984">
            <v>0</v>
          </cell>
          <cell r="P6984">
            <v>0</v>
          </cell>
          <cell r="Q6984">
            <v>0</v>
          </cell>
          <cell r="R6984">
            <v>0</v>
          </cell>
          <cell r="S6984">
            <v>0</v>
          </cell>
          <cell r="T6984">
            <v>0</v>
          </cell>
          <cell r="U6984">
            <v>0</v>
          </cell>
          <cell r="V6984">
            <v>0</v>
          </cell>
          <cell r="W6984">
            <v>0</v>
          </cell>
          <cell r="X6984">
            <v>0</v>
          </cell>
          <cell r="Y6984">
            <v>0</v>
          </cell>
          <cell r="Z6984">
            <v>0</v>
          </cell>
        </row>
        <row r="6985">
          <cell r="D6985">
            <v>500566</v>
          </cell>
          <cell r="E6985" t="str">
            <v>T. Paez Integrated School</v>
          </cell>
          <cell r="F6985">
            <v>0</v>
          </cell>
          <cell r="G6985">
            <v>0</v>
          </cell>
          <cell r="H6985">
            <v>0</v>
          </cell>
          <cell r="I6985">
            <v>0</v>
          </cell>
          <cell r="J6985">
            <v>0</v>
          </cell>
          <cell r="K6985">
            <v>0</v>
          </cell>
          <cell r="L6985">
            <v>0</v>
          </cell>
          <cell r="M6985">
            <v>0</v>
          </cell>
          <cell r="N6985">
            <v>0</v>
          </cell>
          <cell r="O6985">
            <v>0</v>
          </cell>
          <cell r="P6985">
            <v>0</v>
          </cell>
          <cell r="Q6985">
            <v>0</v>
          </cell>
          <cell r="R6985">
            <v>0</v>
          </cell>
          <cell r="S6985">
            <v>0</v>
          </cell>
          <cell r="T6985">
            <v>0</v>
          </cell>
          <cell r="U6985">
            <v>0</v>
          </cell>
          <cell r="V6985">
            <v>0</v>
          </cell>
          <cell r="W6985">
            <v>0</v>
          </cell>
          <cell r="X6985">
            <v>0</v>
          </cell>
          <cell r="Y6985">
            <v>0</v>
          </cell>
          <cell r="Z6985">
            <v>0</v>
          </cell>
        </row>
        <row r="6986">
          <cell r="D6986">
            <v>305609</v>
          </cell>
          <cell r="E6986" t="str">
            <v>San Juan City Technical-Vocational and Livelihood -Senior High School</v>
          </cell>
          <cell r="F6986">
            <v>0</v>
          </cell>
          <cell r="G6986">
            <v>0</v>
          </cell>
          <cell r="H6986">
            <v>0</v>
          </cell>
          <cell r="I6986">
            <v>0</v>
          </cell>
          <cell r="J6986">
            <v>0</v>
          </cell>
          <cell r="K6986">
            <v>0</v>
          </cell>
          <cell r="L6986">
            <v>0</v>
          </cell>
          <cell r="M6986">
            <v>0</v>
          </cell>
          <cell r="N6986">
            <v>0</v>
          </cell>
          <cell r="O6986">
            <v>0</v>
          </cell>
          <cell r="P6986">
            <v>0</v>
          </cell>
          <cell r="Q6986">
            <v>0</v>
          </cell>
          <cell r="R6986">
            <v>0</v>
          </cell>
          <cell r="S6986">
            <v>0</v>
          </cell>
          <cell r="T6986">
            <v>0</v>
          </cell>
          <cell r="U6986">
            <v>0</v>
          </cell>
          <cell r="V6986">
            <v>0</v>
          </cell>
          <cell r="W6986">
            <v>0</v>
          </cell>
          <cell r="X6986">
            <v>0</v>
          </cell>
          <cell r="Y6986">
            <v>0</v>
          </cell>
          <cell r="Z6986">
            <v>0</v>
          </cell>
        </row>
        <row r="6987">
          <cell r="D6987">
            <v>305608</v>
          </cell>
          <cell r="E6987" t="str">
            <v>San Juan City Academic Senior High School</v>
          </cell>
          <cell r="F6987">
            <v>0</v>
          </cell>
          <cell r="G6987">
            <v>0</v>
          </cell>
          <cell r="H6987">
            <v>0</v>
          </cell>
          <cell r="I6987">
            <v>0</v>
          </cell>
          <cell r="J6987">
            <v>0</v>
          </cell>
          <cell r="K6987">
            <v>0</v>
          </cell>
          <cell r="L6987">
            <v>0</v>
          </cell>
          <cell r="M6987">
            <v>0</v>
          </cell>
          <cell r="N6987">
            <v>0</v>
          </cell>
          <cell r="O6987">
            <v>0</v>
          </cell>
          <cell r="P6987">
            <v>0</v>
          </cell>
          <cell r="Q6987">
            <v>0</v>
          </cell>
          <cell r="R6987">
            <v>0</v>
          </cell>
          <cell r="S6987">
            <v>0</v>
          </cell>
          <cell r="T6987">
            <v>0</v>
          </cell>
          <cell r="U6987">
            <v>0</v>
          </cell>
          <cell r="V6987">
            <v>0</v>
          </cell>
          <cell r="W6987">
            <v>0</v>
          </cell>
          <cell r="X6987">
            <v>0</v>
          </cell>
          <cell r="Y6987">
            <v>0</v>
          </cell>
          <cell r="Z6987">
            <v>0</v>
          </cell>
        </row>
        <row r="6988">
          <cell r="D6988">
            <v>360870</v>
          </cell>
          <cell r="E6988" t="str">
            <v>SHS in Apolonio Samson</v>
          </cell>
          <cell r="F6988">
            <v>0</v>
          </cell>
          <cell r="G6988">
            <v>0</v>
          </cell>
          <cell r="H6988">
            <v>0</v>
          </cell>
          <cell r="I6988">
            <v>0</v>
          </cell>
          <cell r="J6988">
            <v>0</v>
          </cell>
          <cell r="K6988">
            <v>0</v>
          </cell>
          <cell r="L6988">
            <v>0</v>
          </cell>
          <cell r="M6988">
            <v>0</v>
          </cell>
          <cell r="N6988">
            <v>0</v>
          </cell>
          <cell r="O6988">
            <v>0</v>
          </cell>
          <cell r="P6988">
            <v>0</v>
          </cell>
          <cell r="Q6988">
            <v>0</v>
          </cell>
          <cell r="R6988">
            <v>0</v>
          </cell>
          <cell r="S6988">
            <v>0</v>
          </cell>
          <cell r="T6988">
            <v>0</v>
          </cell>
          <cell r="U6988">
            <v>0</v>
          </cell>
          <cell r="V6988">
            <v>0</v>
          </cell>
          <cell r="W6988">
            <v>0</v>
          </cell>
          <cell r="X6988">
            <v>0</v>
          </cell>
          <cell r="Y6988">
            <v>0</v>
          </cell>
          <cell r="Z6988">
            <v>0</v>
          </cell>
        </row>
        <row r="6989">
          <cell r="D6989">
            <v>305313</v>
          </cell>
          <cell r="E6989" t="str">
            <v>I. Villamor High School</v>
          </cell>
          <cell r="F6989">
            <v>173</v>
          </cell>
          <cell r="G6989">
            <v>103</v>
          </cell>
          <cell r="H6989">
            <v>276</v>
          </cell>
          <cell r="I6989">
            <v>0</v>
          </cell>
          <cell r="J6989">
            <v>0</v>
          </cell>
          <cell r="K6989">
            <v>0</v>
          </cell>
          <cell r="L6989">
            <v>0</v>
          </cell>
          <cell r="M6989">
            <v>0</v>
          </cell>
          <cell r="N6989">
            <v>0</v>
          </cell>
          <cell r="O6989">
            <v>0</v>
          </cell>
          <cell r="P6989">
            <v>0</v>
          </cell>
          <cell r="Q6989">
            <v>0</v>
          </cell>
          <cell r="R6989">
            <v>0</v>
          </cell>
          <cell r="S6989">
            <v>0</v>
          </cell>
          <cell r="T6989">
            <v>0</v>
          </cell>
          <cell r="U6989">
            <v>0</v>
          </cell>
          <cell r="V6989">
            <v>0</v>
          </cell>
          <cell r="W6989">
            <v>0</v>
          </cell>
          <cell r="X6989">
            <v>0</v>
          </cell>
          <cell r="Y6989">
            <v>0</v>
          </cell>
          <cell r="Z6989">
            <v>0</v>
          </cell>
        </row>
        <row r="6990">
          <cell r="D6990">
            <v>305362</v>
          </cell>
          <cell r="E6990" t="str">
            <v>Dr. Josefa Jara Martinez HS</v>
          </cell>
          <cell r="F6990">
            <v>0</v>
          </cell>
          <cell r="G6990">
            <v>0</v>
          </cell>
          <cell r="H6990">
            <v>0</v>
          </cell>
          <cell r="I6990">
            <v>0</v>
          </cell>
          <cell r="J6990">
            <v>0</v>
          </cell>
          <cell r="K6990">
            <v>0</v>
          </cell>
          <cell r="L6990">
            <v>0</v>
          </cell>
          <cell r="M6990">
            <v>0</v>
          </cell>
          <cell r="N6990">
            <v>0</v>
          </cell>
          <cell r="O6990">
            <v>0</v>
          </cell>
          <cell r="P6990">
            <v>0</v>
          </cell>
          <cell r="Q6990">
            <v>0</v>
          </cell>
          <cell r="R6990">
            <v>0</v>
          </cell>
          <cell r="S6990">
            <v>0</v>
          </cell>
          <cell r="T6990">
            <v>0</v>
          </cell>
          <cell r="U6990">
            <v>0</v>
          </cell>
          <cell r="V6990">
            <v>0</v>
          </cell>
          <cell r="W6990">
            <v>0</v>
          </cell>
          <cell r="X6990">
            <v>0</v>
          </cell>
          <cell r="Y6990">
            <v>0</v>
          </cell>
          <cell r="Z6990">
            <v>0</v>
          </cell>
        </row>
        <row r="6991">
          <cell r="D6991">
            <v>305355</v>
          </cell>
          <cell r="E6991" t="str">
            <v>Carlos L. Albert HS</v>
          </cell>
          <cell r="F6991">
            <v>0</v>
          </cell>
          <cell r="G6991">
            <v>0</v>
          </cell>
          <cell r="H6991">
            <v>0</v>
          </cell>
          <cell r="I6991">
            <v>0</v>
          </cell>
          <cell r="J6991">
            <v>0</v>
          </cell>
          <cell r="K6991">
            <v>0</v>
          </cell>
          <cell r="L6991">
            <v>0</v>
          </cell>
          <cell r="M6991">
            <v>0</v>
          </cell>
          <cell r="N6991">
            <v>0</v>
          </cell>
          <cell r="O6991">
            <v>0</v>
          </cell>
          <cell r="P6991">
            <v>0</v>
          </cell>
          <cell r="Q6991">
            <v>0</v>
          </cell>
          <cell r="R6991">
            <v>0</v>
          </cell>
          <cell r="S6991">
            <v>0</v>
          </cell>
          <cell r="T6991">
            <v>0</v>
          </cell>
          <cell r="U6991">
            <v>0</v>
          </cell>
          <cell r="V6991">
            <v>0</v>
          </cell>
          <cell r="W6991">
            <v>0</v>
          </cell>
          <cell r="X6991">
            <v>0</v>
          </cell>
          <cell r="Y6991">
            <v>0</v>
          </cell>
          <cell r="Z6991">
            <v>0</v>
          </cell>
        </row>
        <row r="6992">
          <cell r="D6992">
            <v>305329</v>
          </cell>
          <cell r="E6992" t="str">
            <v>Quezon City Science HS</v>
          </cell>
          <cell r="F6992">
            <v>0</v>
          </cell>
          <cell r="G6992">
            <v>0</v>
          </cell>
          <cell r="H6992">
            <v>0</v>
          </cell>
          <cell r="I6992">
            <v>0</v>
          </cell>
          <cell r="J6992">
            <v>0</v>
          </cell>
          <cell r="K6992">
            <v>0</v>
          </cell>
          <cell r="L6992">
            <v>0</v>
          </cell>
          <cell r="M6992">
            <v>0</v>
          </cell>
          <cell r="N6992">
            <v>0</v>
          </cell>
          <cell r="O6992">
            <v>0</v>
          </cell>
          <cell r="P6992">
            <v>0</v>
          </cell>
          <cell r="Q6992">
            <v>0</v>
          </cell>
          <cell r="R6992">
            <v>0</v>
          </cell>
          <cell r="S6992">
            <v>0</v>
          </cell>
          <cell r="T6992">
            <v>0</v>
          </cell>
          <cell r="U6992">
            <v>0</v>
          </cell>
          <cell r="V6992">
            <v>0</v>
          </cell>
          <cell r="W6992">
            <v>0</v>
          </cell>
          <cell r="X6992">
            <v>0</v>
          </cell>
          <cell r="Y6992">
            <v>0</v>
          </cell>
          <cell r="Z6992">
            <v>0</v>
          </cell>
        </row>
        <row r="6993">
          <cell r="D6993">
            <v>305353</v>
          </cell>
          <cell r="E6993" t="str">
            <v>Krus na Ligas HS</v>
          </cell>
          <cell r="F6993">
            <v>0</v>
          </cell>
          <cell r="G6993">
            <v>0</v>
          </cell>
          <cell r="H6993">
            <v>0</v>
          </cell>
          <cell r="I6993">
            <v>0</v>
          </cell>
          <cell r="J6993">
            <v>0</v>
          </cell>
          <cell r="K6993">
            <v>0</v>
          </cell>
          <cell r="L6993">
            <v>0</v>
          </cell>
          <cell r="M6993">
            <v>0</v>
          </cell>
          <cell r="N6993">
            <v>0</v>
          </cell>
          <cell r="O6993">
            <v>0</v>
          </cell>
          <cell r="P6993">
            <v>0</v>
          </cell>
          <cell r="Q6993">
            <v>0</v>
          </cell>
          <cell r="R6993">
            <v>0</v>
          </cell>
          <cell r="S6993">
            <v>0</v>
          </cell>
          <cell r="T6993">
            <v>0</v>
          </cell>
          <cell r="U6993">
            <v>0</v>
          </cell>
          <cell r="V6993">
            <v>0</v>
          </cell>
          <cell r="W6993">
            <v>0</v>
          </cell>
          <cell r="X6993">
            <v>0</v>
          </cell>
          <cell r="Y6993">
            <v>0</v>
          </cell>
          <cell r="Z6993">
            <v>0</v>
          </cell>
        </row>
        <row r="6994">
          <cell r="D6994">
            <v>305359</v>
          </cell>
          <cell r="E6994" t="str">
            <v>Quezon City High School</v>
          </cell>
          <cell r="F6994">
            <v>415</v>
          </cell>
          <cell r="G6994">
            <v>265</v>
          </cell>
          <cell r="H6994">
            <v>680</v>
          </cell>
          <cell r="I6994">
            <v>83</v>
          </cell>
          <cell r="J6994">
            <v>10</v>
          </cell>
          <cell r="K6994">
            <v>93</v>
          </cell>
          <cell r="L6994">
            <v>95</v>
          </cell>
          <cell r="M6994">
            <v>75</v>
          </cell>
          <cell r="N6994">
            <v>170</v>
          </cell>
          <cell r="O6994">
            <v>12</v>
          </cell>
          <cell r="P6994">
            <v>11</v>
          </cell>
          <cell r="Q6994">
            <v>23</v>
          </cell>
          <cell r="R6994">
            <v>23</v>
          </cell>
          <cell r="S6994">
            <v>12</v>
          </cell>
          <cell r="T6994">
            <v>35</v>
          </cell>
          <cell r="U6994">
            <v>5</v>
          </cell>
          <cell r="V6994">
            <v>0</v>
          </cell>
          <cell r="W6994">
            <v>5</v>
          </cell>
          <cell r="X6994">
            <v>3</v>
          </cell>
          <cell r="Y6994">
            <v>0</v>
          </cell>
          <cell r="Z6994">
            <v>3</v>
          </cell>
        </row>
        <row r="6995">
          <cell r="D6995">
            <v>305322</v>
          </cell>
          <cell r="E6995" t="str">
            <v>Eulogio Rodriguez, Jr. HS</v>
          </cell>
          <cell r="F6995">
            <v>0</v>
          </cell>
          <cell r="G6995">
            <v>0</v>
          </cell>
          <cell r="H6995">
            <v>0</v>
          </cell>
          <cell r="I6995">
            <v>0</v>
          </cell>
          <cell r="J6995">
            <v>0</v>
          </cell>
          <cell r="K6995">
            <v>0</v>
          </cell>
          <cell r="L6995">
            <v>0</v>
          </cell>
          <cell r="M6995">
            <v>0</v>
          </cell>
          <cell r="N6995">
            <v>0</v>
          </cell>
          <cell r="O6995">
            <v>0</v>
          </cell>
          <cell r="P6995">
            <v>0</v>
          </cell>
          <cell r="Q6995">
            <v>0</v>
          </cell>
          <cell r="R6995">
            <v>0</v>
          </cell>
          <cell r="S6995">
            <v>0</v>
          </cell>
          <cell r="T6995">
            <v>0</v>
          </cell>
          <cell r="U6995">
            <v>0</v>
          </cell>
          <cell r="V6995">
            <v>0</v>
          </cell>
          <cell r="W6995">
            <v>0</v>
          </cell>
          <cell r="X6995">
            <v>0</v>
          </cell>
          <cell r="Y6995">
            <v>0</v>
          </cell>
          <cell r="Z6995">
            <v>0</v>
          </cell>
        </row>
        <row r="6996">
          <cell r="D6996">
            <v>305330</v>
          </cell>
          <cell r="E6996" t="str">
            <v>Batasan Hills National HS</v>
          </cell>
          <cell r="F6996">
            <v>84</v>
          </cell>
          <cell r="G6996">
            <v>144</v>
          </cell>
          <cell r="H6996">
            <v>228</v>
          </cell>
          <cell r="I6996">
            <v>52</v>
          </cell>
          <cell r="J6996">
            <v>121</v>
          </cell>
          <cell r="K6996">
            <v>173</v>
          </cell>
          <cell r="L6996">
            <v>32</v>
          </cell>
          <cell r="M6996">
            <v>23</v>
          </cell>
          <cell r="N6996">
            <v>55</v>
          </cell>
          <cell r="O6996">
            <v>0</v>
          </cell>
          <cell r="P6996">
            <v>0</v>
          </cell>
          <cell r="Q6996">
            <v>0</v>
          </cell>
          <cell r="R6996">
            <v>0</v>
          </cell>
          <cell r="S6996">
            <v>0</v>
          </cell>
          <cell r="T6996">
            <v>0</v>
          </cell>
          <cell r="U6996">
            <v>0</v>
          </cell>
          <cell r="V6996">
            <v>0</v>
          </cell>
          <cell r="W6996">
            <v>0</v>
          </cell>
          <cell r="X6996">
            <v>0</v>
          </cell>
          <cell r="Y6996">
            <v>0</v>
          </cell>
          <cell r="Z6996">
            <v>0</v>
          </cell>
        </row>
        <row r="6997">
          <cell r="D6997">
            <v>305335</v>
          </cell>
          <cell r="E6997" t="str">
            <v>Ismael Mathay Sr. High School</v>
          </cell>
          <cell r="F6997">
            <v>0</v>
          </cell>
          <cell r="G6997">
            <v>0</v>
          </cell>
          <cell r="H6997">
            <v>0</v>
          </cell>
          <cell r="I6997">
            <v>0</v>
          </cell>
          <cell r="J6997">
            <v>0</v>
          </cell>
          <cell r="K6997">
            <v>0</v>
          </cell>
          <cell r="L6997">
            <v>0</v>
          </cell>
          <cell r="M6997">
            <v>0</v>
          </cell>
          <cell r="N6997">
            <v>0</v>
          </cell>
          <cell r="O6997">
            <v>0</v>
          </cell>
          <cell r="P6997">
            <v>0</v>
          </cell>
          <cell r="Q6997">
            <v>0</v>
          </cell>
          <cell r="R6997">
            <v>0</v>
          </cell>
          <cell r="S6997">
            <v>0</v>
          </cell>
          <cell r="T6997">
            <v>0</v>
          </cell>
          <cell r="U6997">
            <v>0</v>
          </cell>
          <cell r="V6997">
            <v>0</v>
          </cell>
          <cell r="W6997">
            <v>0</v>
          </cell>
          <cell r="X6997">
            <v>0</v>
          </cell>
          <cell r="Y6997">
            <v>0</v>
          </cell>
          <cell r="Z6997">
            <v>0</v>
          </cell>
        </row>
        <row r="6998">
          <cell r="D6998">
            <v>340696</v>
          </cell>
          <cell r="E6998" t="str">
            <v>SHS within Pinyahan ES</v>
          </cell>
          <cell r="F6998">
            <v>41</v>
          </cell>
          <cell r="G6998">
            <v>44</v>
          </cell>
          <cell r="H6998">
            <v>85</v>
          </cell>
          <cell r="I6998">
            <v>41</v>
          </cell>
          <cell r="J6998">
            <v>44</v>
          </cell>
          <cell r="K6998">
            <v>85</v>
          </cell>
          <cell r="L6998">
            <v>0</v>
          </cell>
          <cell r="M6998">
            <v>0</v>
          </cell>
          <cell r="N6998">
            <v>0</v>
          </cell>
          <cell r="O6998">
            <v>0</v>
          </cell>
          <cell r="P6998">
            <v>0</v>
          </cell>
          <cell r="Q6998">
            <v>0</v>
          </cell>
          <cell r="R6998">
            <v>0</v>
          </cell>
          <cell r="S6998">
            <v>0</v>
          </cell>
          <cell r="T6998">
            <v>0</v>
          </cell>
          <cell r="U6998">
            <v>0</v>
          </cell>
          <cell r="V6998">
            <v>0</v>
          </cell>
          <cell r="W6998">
            <v>0</v>
          </cell>
          <cell r="X6998">
            <v>0</v>
          </cell>
          <cell r="Y6998">
            <v>0</v>
          </cell>
          <cell r="Z6998">
            <v>0</v>
          </cell>
        </row>
        <row r="6999">
          <cell r="D6999">
            <v>305343</v>
          </cell>
          <cell r="E6999" t="str">
            <v>New Era High School</v>
          </cell>
          <cell r="F6999">
            <v>3</v>
          </cell>
          <cell r="G6999">
            <v>5</v>
          </cell>
          <cell r="H6999">
            <v>8</v>
          </cell>
          <cell r="I6999">
            <v>0</v>
          </cell>
          <cell r="J6999">
            <v>0</v>
          </cell>
          <cell r="K6999">
            <v>0</v>
          </cell>
          <cell r="L6999">
            <v>0</v>
          </cell>
          <cell r="M6999">
            <v>0</v>
          </cell>
          <cell r="N6999">
            <v>0</v>
          </cell>
          <cell r="O6999">
            <v>0</v>
          </cell>
          <cell r="P6999">
            <v>0</v>
          </cell>
          <cell r="Q6999">
            <v>0</v>
          </cell>
          <cell r="R6999">
            <v>0</v>
          </cell>
          <cell r="S6999">
            <v>0</v>
          </cell>
          <cell r="T6999">
            <v>0</v>
          </cell>
          <cell r="U6999">
            <v>0</v>
          </cell>
          <cell r="V6999">
            <v>0</v>
          </cell>
          <cell r="W6999">
            <v>0</v>
          </cell>
          <cell r="X6999">
            <v>0</v>
          </cell>
          <cell r="Y6999">
            <v>0</v>
          </cell>
          <cell r="Z6999">
            <v>0</v>
          </cell>
        </row>
        <row r="7000">
          <cell r="D7000">
            <v>360868</v>
          </cell>
          <cell r="E7000" t="str">
            <v>SHS within MH del Pilar ES</v>
          </cell>
          <cell r="F7000">
            <v>0</v>
          </cell>
          <cell r="G7000">
            <v>0</v>
          </cell>
          <cell r="H7000">
            <v>0</v>
          </cell>
          <cell r="I7000">
            <v>0</v>
          </cell>
          <cell r="J7000">
            <v>0</v>
          </cell>
          <cell r="K7000">
            <v>0</v>
          </cell>
          <cell r="L7000">
            <v>0</v>
          </cell>
          <cell r="M7000">
            <v>0</v>
          </cell>
          <cell r="N7000">
            <v>0</v>
          </cell>
          <cell r="O7000">
            <v>0</v>
          </cell>
          <cell r="P7000">
            <v>0</v>
          </cell>
          <cell r="Q7000">
            <v>0</v>
          </cell>
          <cell r="R7000">
            <v>0</v>
          </cell>
          <cell r="S7000">
            <v>0</v>
          </cell>
          <cell r="T7000">
            <v>0</v>
          </cell>
          <cell r="U7000">
            <v>0</v>
          </cell>
          <cell r="V7000">
            <v>0</v>
          </cell>
          <cell r="W7000">
            <v>0</v>
          </cell>
          <cell r="X7000">
            <v>0</v>
          </cell>
          <cell r="Y7000">
            <v>0</v>
          </cell>
          <cell r="Z7000">
            <v>0</v>
          </cell>
        </row>
        <row r="7001">
          <cell r="D7001">
            <v>305361</v>
          </cell>
          <cell r="E7001" t="str">
            <v>Manuel A. Roxas HS</v>
          </cell>
          <cell r="F7001">
            <v>25</v>
          </cell>
          <cell r="G7001">
            <v>15</v>
          </cell>
          <cell r="H7001">
            <v>40</v>
          </cell>
          <cell r="I7001">
            <v>13</v>
          </cell>
          <cell r="J7001">
            <v>8</v>
          </cell>
          <cell r="K7001">
            <v>21</v>
          </cell>
          <cell r="L7001">
            <v>4</v>
          </cell>
          <cell r="M7001">
            <v>3</v>
          </cell>
          <cell r="N7001">
            <v>7</v>
          </cell>
          <cell r="O7001">
            <v>0</v>
          </cell>
          <cell r="P7001">
            <v>3</v>
          </cell>
          <cell r="Q7001">
            <v>3</v>
          </cell>
          <cell r="R7001">
            <v>11</v>
          </cell>
          <cell r="S7001">
            <v>3</v>
          </cell>
          <cell r="T7001">
            <v>14</v>
          </cell>
          <cell r="U7001">
            <v>3</v>
          </cell>
          <cell r="V7001">
            <v>1</v>
          </cell>
          <cell r="W7001">
            <v>4</v>
          </cell>
          <cell r="X7001">
            <v>0</v>
          </cell>
          <cell r="Y7001">
            <v>0</v>
          </cell>
          <cell r="Z7001">
            <v>0</v>
          </cell>
        </row>
        <row r="7002">
          <cell r="D7002">
            <v>500569</v>
          </cell>
          <cell r="E7002" t="str">
            <v>Gen. Emilio Aguinaldo Integrated School</v>
          </cell>
          <cell r="F7002">
            <v>0</v>
          </cell>
          <cell r="G7002">
            <v>0</v>
          </cell>
          <cell r="H7002">
            <v>0</v>
          </cell>
          <cell r="I7002">
            <v>0</v>
          </cell>
          <cell r="J7002">
            <v>0</v>
          </cell>
          <cell r="K7002">
            <v>0</v>
          </cell>
          <cell r="L7002">
            <v>0</v>
          </cell>
          <cell r="M7002">
            <v>0</v>
          </cell>
          <cell r="N7002">
            <v>0</v>
          </cell>
          <cell r="O7002">
            <v>0</v>
          </cell>
          <cell r="P7002">
            <v>0</v>
          </cell>
          <cell r="Q7002">
            <v>0</v>
          </cell>
          <cell r="R7002">
            <v>0</v>
          </cell>
          <cell r="S7002">
            <v>0</v>
          </cell>
          <cell r="T7002">
            <v>0</v>
          </cell>
          <cell r="U7002">
            <v>0</v>
          </cell>
          <cell r="V7002">
            <v>0</v>
          </cell>
          <cell r="W7002">
            <v>0</v>
          </cell>
          <cell r="X7002">
            <v>0</v>
          </cell>
          <cell r="Y7002">
            <v>0</v>
          </cell>
          <cell r="Z7002">
            <v>0</v>
          </cell>
        </row>
        <row r="7003">
          <cell r="D7003">
            <v>305339</v>
          </cell>
          <cell r="E7003" t="str">
            <v>North Fairview HS</v>
          </cell>
          <cell r="F7003">
            <v>0</v>
          </cell>
          <cell r="G7003">
            <v>0</v>
          </cell>
          <cell r="H7003">
            <v>0</v>
          </cell>
          <cell r="I7003">
            <v>0</v>
          </cell>
          <cell r="J7003">
            <v>0</v>
          </cell>
          <cell r="K7003">
            <v>0</v>
          </cell>
          <cell r="L7003">
            <v>0</v>
          </cell>
          <cell r="M7003">
            <v>0</v>
          </cell>
          <cell r="N7003">
            <v>0</v>
          </cell>
          <cell r="O7003">
            <v>0</v>
          </cell>
          <cell r="P7003">
            <v>0</v>
          </cell>
          <cell r="Q7003">
            <v>0</v>
          </cell>
          <cell r="R7003">
            <v>0</v>
          </cell>
          <cell r="S7003">
            <v>0</v>
          </cell>
          <cell r="T7003">
            <v>0</v>
          </cell>
          <cell r="U7003">
            <v>0</v>
          </cell>
          <cell r="V7003">
            <v>0</v>
          </cell>
          <cell r="W7003">
            <v>0</v>
          </cell>
          <cell r="X7003">
            <v>0</v>
          </cell>
          <cell r="Y7003">
            <v>0</v>
          </cell>
          <cell r="Z7003">
            <v>0</v>
          </cell>
        </row>
        <row r="7004">
          <cell r="D7004">
            <v>305352</v>
          </cell>
          <cell r="E7004" t="str">
            <v>Juan Sumulong High School</v>
          </cell>
          <cell r="F7004">
            <v>0</v>
          </cell>
          <cell r="G7004">
            <v>0</v>
          </cell>
          <cell r="H7004">
            <v>0</v>
          </cell>
          <cell r="I7004">
            <v>0</v>
          </cell>
          <cell r="J7004">
            <v>0</v>
          </cell>
          <cell r="K7004">
            <v>0</v>
          </cell>
          <cell r="L7004">
            <v>0</v>
          </cell>
          <cell r="M7004">
            <v>0</v>
          </cell>
          <cell r="N7004">
            <v>0</v>
          </cell>
          <cell r="O7004">
            <v>0</v>
          </cell>
          <cell r="P7004">
            <v>0</v>
          </cell>
          <cell r="Q7004">
            <v>0</v>
          </cell>
          <cell r="R7004">
            <v>0</v>
          </cell>
          <cell r="S7004">
            <v>0</v>
          </cell>
          <cell r="T7004">
            <v>0</v>
          </cell>
          <cell r="U7004">
            <v>0</v>
          </cell>
          <cell r="V7004">
            <v>0</v>
          </cell>
          <cell r="W7004">
            <v>0</v>
          </cell>
          <cell r="X7004">
            <v>0</v>
          </cell>
          <cell r="Y7004">
            <v>0</v>
          </cell>
          <cell r="Z7004">
            <v>0</v>
          </cell>
        </row>
        <row r="7005">
          <cell r="D7005">
            <v>305326</v>
          </cell>
          <cell r="E7005" t="str">
            <v>Ernesto Rondon HS</v>
          </cell>
          <cell r="F7005">
            <v>3</v>
          </cell>
          <cell r="G7005">
            <v>5</v>
          </cell>
          <cell r="H7005">
            <v>8</v>
          </cell>
          <cell r="I7005">
            <v>3</v>
          </cell>
          <cell r="J7005">
            <v>5</v>
          </cell>
          <cell r="K7005">
            <v>8</v>
          </cell>
          <cell r="L7005">
            <v>6</v>
          </cell>
          <cell r="M7005">
            <v>20</v>
          </cell>
          <cell r="N7005">
            <v>26</v>
          </cell>
          <cell r="O7005">
            <v>0</v>
          </cell>
          <cell r="P7005">
            <v>0</v>
          </cell>
          <cell r="Q7005">
            <v>0</v>
          </cell>
          <cell r="R7005">
            <v>0</v>
          </cell>
          <cell r="S7005">
            <v>0</v>
          </cell>
          <cell r="T7005">
            <v>0</v>
          </cell>
          <cell r="U7005">
            <v>0</v>
          </cell>
          <cell r="V7005">
            <v>0</v>
          </cell>
          <cell r="W7005">
            <v>0</v>
          </cell>
          <cell r="X7005">
            <v>0</v>
          </cell>
          <cell r="Y7005">
            <v>0</v>
          </cell>
          <cell r="Z7005">
            <v>0</v>
          </cell>
        </row>
        <row r="7006">
          <cell r="D7006">
            <v>330510</v>
          </cell>
          <cell r="E7006" t="str">
            <v>Philippine Science High School Main Campus - Metro Manila</v>
          </cell>
          <cell r="F7006">
            <v>0</v>
          </cell>
          <cell r="G7006">
            <v>0</v>
          </cell>
          <cell r="H7006">
            <v>0</v>
          </cell>
          <cell r="I7006">
            <v>0</v>
          </cell>
          <cell r="J7006">
            <v>0</v>
          </cell>
          <cell r="K7006">
            <v>0</v>
          </cell>
          <cell r="L7006">
            <v>0</v>
          </cell>
          <cell r="M7006">
            <v>0</v>
          </cell>
          <cell r="N7006">
            <v>0</v>
          </cell>
          <cell r="O7006">
            <v>0</v>
          </cell>
          <cell r="P7006">
            <v>0</v>
          </cell>
          <cell r="Q7006">
            <v>0</v>
          </cell>
          <cell r="R7006">
            <v>0</v>
          </cell>
          <cell r="S7006">
            <v>0</v>
          </cell>
          <cell r="T7006">
            <v>0</v>
          </cell>
          <cell r="U7006">
            <v>0</v>
          </cell>
          <cell r="V7006">
            <v>0</v>
          </cell>
          <cell r="W7006">
            <v>0</v>
          </cell>
          <cell r="X7006">
            <v>0</v>
          </cell>
          <cell r="Y7006">
            <v>0</v>
          </cell>
          <cell r="Z7006">
            <v>0</v>
          </cell>
        </row>
        <row r="7007">
          <cell r="D7007">
            <v>305340</v>
          </cell>
          <cell r="E7007" t="str">
            <v>Novaliches HS</v>
          </cell>
          <cell r="F7007">
            <v>0</v>
          </cell>
          <cell r="G7007">
            <v>0</v>
          </cell>
          <cell r="H7007">
            <v>0</v>
          </cell>
          <cell r="I7007">
            <v>0</v>
          </cell>
          <cell r="J7007">
            <v>0</v>
          </cell>
          <cell r="K7007">
            <v>0</v>
          </cell>
          <cell r="L7007">
            <v>0</v>
          </cell>
          <cell r="M7007">
            <v>0</v>
          </cell>
          <cell r="N7007">
            <v>0</v>
          </cell>
          <cell r="O7007">
            <v>0</v>
          </cell>
          <cell r="P7007">
            <v>0</v>
          </cell>
          <cell r="Q7007">
            <v>0</v>
          </cell>
          <cell r="R7007">
            <v>0</v>
          </cell>
          <cell r="S7007">
            <v>0</v>
          </cell>
          <cell r="T7007">
            <v>0</v>
          </cell>
          <cell r="U7007">
            <v>0</v>
          </cell>
          <cell r="V7007">
            <v>0</v>
          </cell>
          <cell r="W7007">
            <v>0</v>
          </cell>
          <cell r="X7007">
            <v>0</v>
          </cell>
          <cell r="Y7007">
            <v>0</v>
          </cell>
          <cell r="Z7007">
            <v>0</v>
          </cell>
        </row>
        <row r="7008">
          <cell r="D7008">
            <v>360869</v>
          </cell>
          <cell r="E7008" t="str">
            <v>SHS within Bagong Pag-asa ES</v>
          </cell>
          <cell r="F7008">
            <v>0</v>
          </cell>
          <cell r="G7008">
            <v>0</v>
          </cell>
          <cell r="H7008">
            <v>0</v>
          </cell>
          <cell r="I7008">
            <v>0</v>
          </cell>
          <cell r="J7008">
            <v>0</v>
          </cell>
          <cell r="K7008">
            <v>0</v>
          </cell>
          <cell r="L7008">
            <v>0</v>
          </cell>
          <cell r="M7008">
            <v>0</v>
          </cell>
          <cell r="N7008">
            <v>0</v>
          </cell>
          <cell r="O7008">
            <v>0</v>
          </cell>
          <cell r="P7008">
            <v>0</v>
          </cell>
          <cell r="Q7008">
            <v>0</v>
          </cell>
          <cell r="R7008">
            <v>0</v>
          </cell>
          <cell r="S7008">
            <v>0</v>
          </cell>
          <cell r="T7008">
            <v>0</v>
          </cell>
          <cell r="U7008">
            <v>0</v>
          </cell>
          <cell r="V7008">
            <v>0</v>
          </cell>
          <cell r="W7008">
            <v>0</v>
          </cell>
          <cell r="X7008">
            <v>0</v>
          </cell>
          <cell r="Y7008">
            <v>0</v>
          </cell>
          <cell r="Z7008">
            <v>0</v>
          </cell>
        </row>
        <row r="7009">
          <cell r="D7009">
            <v>319506</v>
          </cell>
          <cell r="E7009" t="str">
            <v>National Orthopedic Hospital School for Crippled Children</v>
          </cell>
          <cell r="F7009">
            <v>13</v>
          </cell>
          <cell r="G7009">
            <v>7</v>
          </cell>
          <cell r="H7009">
            <v>20</v>
          </cell>
          <cell r="I7009">
            <v>2</v>
          </cell>
          <cell r="J7009">
            <v>1</v>
          </cell>
          <cell r="K7009">
            <v>3</v>
          </cell>
          <cell r="L7009">
            <v>2</v>
          </cell>
          <cell r="M7009">
            <v>1</v>
          </cell>
          <cell r="N7009">
            <v>3</v>
          </cell>
          <cell r="O7009">
            <v>0</v>
          </cell>
          <cell r="P7009">
            <v>0</v>
          </cell>
          <cell r="Q7009">
            <v>0</v>
          </cell>
          <cell r="R7009">
            <v>0</v>
          </cell>
          <cell r="S7009">
            <v>0</v>
          </cell>
          <cell r="T7009">
            <v>0</v>
          </cell>
          <cell r="U7009">
            <v>0</v>
          </cell>
          <cell r="V7009">
            <v>0</v>
          </cell>
          <cell r="W7009">
            <v>0</v>
          </cell>
          <cell r="X7009">
            <v>0</v>
          </cell>
          <cell r="Y7009">
            <v>0</v>
          </cell>
          <cell r="Z7009">
            <v>0</v>
          </cell>
        </row>
        <row r="7010">
          <cell r="D7010">
            <v>305615</v>
          </cell>
          <cell r="E7010" t="str">
            <v>Justice Cecilia Muñoz Palma Senior High School</v>
          </cell>
          <cell r="F7010">
            <v>0</v>
          </cell>
          <cell r="G7010">
            <v>0</v>
          </cell>
          <cell r="H7010">
            <v>0</v>
          </cell>
          <cell r="I7010">
            <v>0</v>
          </cell>
          <cell r="J7010">
            <v>0</v>
          </cell>
          <cell r="K7010">
            <v>0</v>
          </cell>
          <cell r="L7010">
            <v>0</v>
          </cell>
          <cell r="M7010">
            <v>0</v>
          </cell>
          <cell r="N7010">
            <v>0</v>
          </cell>
          <cell r="O7010">
            <v>0</v>
          </cell>
          <cell r="P7010">
            <v>0</v>
          </cell>
          <cell r="Q7010">
            <v>0</v>
          </cell>
          <cell r="R7010">
            <v>0</v>
          </cell>
          <cell r="S7010">
            <v>0</v>
          </cell>
          <cell r="T7010">
            <v>0</v>
          </cell>
          <cell r="U7010">
            <v>0</v>
          </cell>
          <cell r="V7010">
            <v>0</v>
          </cell>
          <cell r="W7010">
            <v>0</v>
          </cell>
          <cell r="X7010">
            <v>0</v>
          </cell>
          <cell r="Y7010">
            <v>0</v>
          </cell>
          <cell r="Z7010">
            <v>0</v>
          </cell>
        </row>
        <row r="7011">
          <cell r="D7011">
            <v>305346</v>
          </cell>
          <cell r="E7011" t="str">
            <v>Camp Gen. E. Aguinaldo HS</v>
          </cell>
          <cell r="F7011">
            <v>0</v>
          </cell>
          <cell r="G7011">
            <v>0</v>
          </cell>
          <cell r="H7011">
            <v>0</v>
          </cell>
          <cell r="I7011">
            <v>0</v>
          </cell>
          <cell r="J7011">
            <v>0</v>
          </cell>
          <cell r="K7011">
            <v>0</v>
          </cell>
          <cell r="L7011">
            <v>0</v>
          </cell>
          <cell r="M7011">
            <v>0</v>
          </cell>
          <cell r="N7011">
            <v>0</v>
          </cell>
          <cell r="O7011">
            <v>0</v>
          </cell>
          <cell r="P7011">
            <v>0</v>
          </cell>
          <cell r="Q7011">
            <v>0</v>
          </cell>
          <cell r="R7011">
            <v>0</v>
          </cell>
          <cell r="S7011">
            <v>0</v>
          </cell>
          <cell r="T7011">
            <v>0</v>
          </cell>
          <cell r="U7011">
            <v>0</v>
          </cell>
          <cell r="V7011">
            <v>0</v>
          </cell>
          <cell r="W7011">
            <v>0</v>
          </cell>
          <cell r="X7011">
            <v>0</v>
          </cell>
          <cell r="Y7011">
            <v>0</v>
          </cell>
          <cell r="Z7011">
            <v>0</v>
          </cell>
        </row>
        <row r="7012">
          <cell r="D7012">
            <v>305748</v>
          </cell>
          <cell r="E7012" t="str">
            <v>Antonio Uy Tan Senior High School</v>
          </cell>
          <cell r="F7012">
            <v>0</v>
          </cell>
          <cell r="G7012">
            <v>0</v>
          </cell>
          <cell r="H7012">
            <v>0</v>
          </cell>
          <cell r="I7012">
            <v>0</v>
          </cell>
          <cell r="J7012">
            <v>0</v>
          </cell>
          <cell r="K7012">
            <v>0</v>
          </cell>
          <cell r="L7012">
            <v>0</v>
          </cell>
          <cell r="M7012">
            <v>0</v>
          </cell>
          <cell r="N7012">
            <v>0</v>
          </cell>
          <cell r="O7012">
            <v>0</v>
          </cell>
          <cell r="P7012">
            <v>0</v>
          </cell>
          <cell r="Q7012">
            <v>0</v>
          </cell>
          <cell r="R7012">
            <v>0</v>
          </cell>
          <cell r="S7012">
            <v>0</v>
          </cell>
          <cell r="T7012">
            <v>0</v>
          </cell>
          <cell r="U7012">
            <v>0</v>
          </cell>
          <cell r="V7012">
            <v>0</v>
          </cell>
          <cell r="W7012">
            <v>0</v>
          </cell>
          <cell r="X7012">
            <v>0</v>
          </cell>
          <cell r="Y7012">
            <v>0</v>
          </cell>
          <cell r="Z7012">
            <v>0</v>
          </cell>
        </row>
        <row r="7013">
          <cell r="D7013">
            <v>305360</v>
          </cell>
          <cell r="E7013" t="str">
            <v>Don Alejandro Roces, Sr. Sci. &amp; Tech. HS</v>
          </cell>
          <cell r="F7013">
            <v>135</v>
          </cell>
          <cell r="G7013">
            <v>62</v>
          </cell>
          <cell r="H7013">
            <v>197</v>
          </cell>
          <cell r="I7013">
            <v>0</v>
          </cell>
          <cell r="J7013">
            <v>0</v>
          </cell>
          <cell r="K7013">
            <v>0</v>
          </cell>
          <cell r="L7013">
            <v>0</v>
          </cell>
          <cell r="M7013">
            <v>0</v>
          </cell>
          <cell r="N7013">
            <v>0</v>
          </cell>
          <cell r="O7013">
            <v>0</v>
          </cell>
          <cell r="P7013">
            <v>0</v>
          </cell>
          <cell r="Q7013">
            <v>0</v>
          </cell>
          <cell r="R7013">
            <v>0</v>
          </cell>
          <cell r="S7013">
            <v>0</v>
          </cell>
          <cell r="T7013">
            <v>0</v>
          </cell>
          <cell r="U7013">
            <v>0</v>
          </cell>
          <cell r="V7013">
            <v>0</v>
          </cell>
          <cell r="W7013">
            <v>0</v>
          </cell>
          <cell r="X7013">
            <v>0</v>
          </cell>
          <cell r="Y7013">
            <v>0</v>
          </cell>
          <cell r="Z7013">
            <v>0</v>
          </cell>
        </row>
        <row r="7014">
          <cell r="D7014">
            <v>305350</v>
          </cell>
          <cell r="E7014" t="str">
            <v>Quirino HS</v>
          </cell>
          <cell r="F7014">
            <v>0</v>
          </cell>
          <cell r="G7014">
            <v>0</v>
          </cell>
          <cell r="H7014">
            <v>0</v>
          </cell>
          <cell r="I7014">
            <v>0</v>
          </cell>
          <cell r="J7014">
            <v>0</v>
          </cell>
          <cell r="K7014">
            <v>0</v>
          </cell>
          <cell r="L7014">
            <v>0</v>
          </cell>
          <cell r="M7014">
            <v>0</v>
          </cell>
          <cell r="N7014">
            <v>0</v>
          </cell>
          <cell r="O7014">
            <v>0</v>
          </cell>
          <cell r="P7014">
            <v>0</v>
          </cell>
          <cell r="Q7014">
            <v>0</v>
          </cell>
          <cell r="R7014">
            <v>0</v>
          </cell>
          <cell r="S7014">
            <v>0</v>
          </cell>
          <cell r="T7014">
            <v>0</v>
          </cell>
          <cell r="U7014">
            <v>0</v>
          </cell>
          <cell r="V7014">
            <v>0</v>
          </cell>
          <cell r="W7014">
            <v>0</v>
          </cell>
          <cell r="X7014">
            <v>0</v>
          </cell>
          <cell r="Y7014">
            <v>0</v>
          </cell>
          <cell r="Z70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34BA-78E7-4476-8166-C61A091E4541}">
  <dimension ref="A1:BV62"/>
  <sheetViews>
    <sheetView zoomScale="85" zoomScaleNormal="85" workbookViewId="0">
      <pane xSplit="4" ySplit="8" topLeftCell="E42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3" sqref="A63:XFD232"/>
    </sheetView>
  </sheetViews>
  <sheetFormatPr defaultRowHeight="15" x14ac:dyDescent="0.25"/>
  <cols>
    <col min="2" max="2" width="25.5703125" bestFit="1" customWidth="1"/>
    <col min="13" max="19" width="11.42578125" bestFit="1" customWidth="1"/>
    <col min="20" max="20" width="13.140625" bestFit="1" customWidth="1"/>
    <col min="21" max="27" width="11.42578125" bestFit="1" customWidth="1"/>
    <col min="28" max="28" width="13.140625" bestFit="1" customWidth="1"/>
    <col min="29" max="35" width="11.42578125" bestFit="1" customWidth="1"/>
    <col min="36" max="36" width="13.140625" bestFit="1" customWidth="1"/>
    <col min="37" max="42" width="11.42578125" bestFit="1" customWidth="1"/>
    <col min="43" max="43" width="10.42578125" bestFit="1" customWidth="1"/>
    <col min="44" max="46" width="13.140625" bestFit="1" customWidth="1"/>
    <col min="47" max="51" width="11.42578125" bestFit="1" customWidth="1"/>
    <col min="52" max="52" width="13.140625" bestFit="1" customWidth="1"/>
    <col min="53" max="56" width="10.42578125" bestFit="1" customWidth="1"/>
    <col min="57" max="59" width="9.42578125" bestFit="1" customWidth="1"/>
    <col min="60" max="60" width="10.42578125" bestFit="1" customWidth="1"/>
    <col min="61" max="61" width="9.42578125" bestFit="1" customWidth="1"/>
    <col min="62" max="63" width="10.42578125" bestFit="1" customWidth="1"/>
    <col min="64" max="67" width="9.42578125" bestFit="1" customWidth="1"/>
    <col min="68" max="68" width="10.42578125" bestFit="1" customWidth="1"/>
    <col min="69" max="73" width="11.42578125" bestFit="1" customWidth="1"/>
  </cols>
  <sheetData>
    <row r="1" spans="1:74" x14ac:dyDescent="0.25">
      <c r="A1" s="1" t="s">
        <v>0</v>
      </c>
    </row>
    <row r="2" spans="1:74" x14ac:dyDescent="0.25">
      <c r="A2" s="1" t="s">
        <v>1</v>
      </c>
      <c r="L2" s="2"/>
    </row>
    <row r="3" spans="1:74" x14ac:dyDescent="0.25">
      <c r="A3" s="1" t="s">
        <v>2</v>
      </c>
      <c r="L3" s="2"/>
    </row>
    <row r="4" spans="1:74" x14ac:dyDescent="0.25">
      <c r="A4" s="1"/>
      <c r="L4" s="2"/>
      <c r="M4" s="3" t="s">
        <v>3</v>
      </c>
      <c r="N4" s="4"/>
      <c r="O4" s="4"/>
      <c r="P4" s="4"/>
      <c r="Q4" s="4"/>
      <c r="R4" s="4"/>
      <c r="S4" s="4"/>
      <c r="T4" s="5"/>
      <c r="U4" s="6" t="s">
        <v>4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8"/>
      <c r="AK4" s="6" t="s">
        <v>5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8"/>
      <c r="BA4" s="3" t="s">
        <v>6</v>
      </c>
      <c r="BB4" s="4"/>
      <c r="BC4" s="4"/>
      <c r="BD4" s="4"/>
      <c r="BE4" s="4"/>
      <c r="BF4" s="4"/>
      <c r="BG4" s="4"/>
      <c r="BH4" s="5"/>
      <c r="BI4" s="3" t="s">
        <v>7</v>
      </c>
      <c r="BJ4" s="4"/>
      <c r="BK4" s="4"/>
      <c r="BL4" s="4"/>
      <c r="BM4" s="4"/>
      <c r="BN4" s="4"/>
      <c r="BO4" s="4"/>
      <c r="BP4" s="5"/>
      <c r="BQ4" s="9" t="s">
        <v>8</v>
      </c>
      <c r="BR4" s="9"/>
      <c r="BS4" s="9"/>
      <c r="BT4" s="9"/>
      <c r="BU4" s="9"/>
    </row>
    <row r="5" spans="1:74" ht="14.45" customHeight="1" x14ac:dyDescent="0.25">
      <c r="A5" s="1"/>
      <c r="L5" s="2"/>
      <c r="M5" s="10"/>
      <c r="N5" s="11"/>
      <c r="O5" s="11"/>
      <c r="P5" s="11"/>
      <c r="Q5" s="11"/>
      <c r="R5" s="11"/>
      <c r="S5" s="11"/>
      <c r="T5" s="12"/>
      <c r="U5" s="6" t="s">
        <v>9</v>
      </c>
      <c r="V5" s="7"/>
      <c r="W5" s="7"/>
      <c r="X5" s="7"/>
      <c r="Y5" s="7"/>
      <c r="Z5" s="7"/>
      <c r="AA5" s="7"/>
      <c r="AB5" s="8"/>
      <c r="AC5" s="6" t="s">
        <v>10</v>
      </c>
      <c r="AD5" s="7"/>
      <c r="AE5" s="7"/>
      <c r="AF5" s="7"/>
      <c r="AG5" s="7"/>
      <c r="AH5" s="7"/>
      <c r="AI5" s="7"/>
      <c r="AJ5" s="8"/>
      <c r="AK5" s="6" t="s">
        <v>9</v>
      </c>
      <c r="AL5" s="7"/>
      <c r="AM5" s="7"/>
      <c r="AN5" s="7"/>
      <c r="AO5" s="7"/>
      <c r="AP5" s="7"/>
      <c r="AQ5" s="7"/>
      <c r="AR5" s="8"/>
      <c r="AS5" s="6" t="s">
        <v>10</v>
      </c>
      <c r="AT5" s="7"/>
      <c r="AU5" s="7"/>
      <c r="AV5" s="7"/>
      <c r="AW5" s="7"/>
      <c r="AX5" s="7"/>
      <c r="AY5" s="7"/>
      <c r="AZ5" s="8"/>
      <c r="BA5" s="10"/>
      <c r="BB5" s="11"/>
      <c r="BC5" s="11"/>
      <c r="BD5" s="11"/>
      <c r="BE5" s="11"/>
      <c r="BF5" s="11"/>
      <c r="BG5" s="11"/>
      <c r="BH5" s="12"/>
      <c r="BI5" s="10"/>
      <c r="BJ5" s="11"/>
      <c r="BK5" s="11"/>
      <c r="BL5" s="11"/>
      <c r="BM5" s="11"/>
      <c r="BN5" s="11"/>
      <c r="BO5" s="11"/>
      <c r="BP5" s="12"/>
      <c r="BQ5" s="9"/>
      <c r="BR5" s="9"/>
      <c r="BS5" s="9"/>
      <c r="BT5" s="9"/>
      <c r="BU5" s="9"/>
    </row>
    <row r="6" spans="1:74" x14ac:dyDescent="0.25">
      <c r="M6" s="13" t="s">
        <v>11</v>
      </c>
      <c r="N6" s="13" t="s">
        <v>12</v>
      </c>
      <c r="O6" s="13" t="s">
        <v>13</v>
      </c>
      <c r="P6" s="13" t="s">
        <v>14</v>
      </c>
      <c r="Q6" s="13" t="s">
        <v>15</v>
      </c>
      <c r="R6" s="13" t="s">
        <v>16</v>
      </c>
      <c r="S6" s="13" t="s">
        <v>17</v>
      </c>
      <c r="T6" s="14" t="s">
        <v>18</v>
      </c>
      <c r="U6" s="13" t="s">
        <v>11</v>
      </c>
      <c r="V6" s="13" t="s">
        <v>12</v>
      </c>
      <c r="W6" s="13" t="s">
        <v>13</v>
      </c>
      <c r="X6" s="13" t="s">
        <v>14</v>
      </c>
      <c r="Y6" s="13" t="s">
        <v>15</v>
      </c>
      <c r="Z6" s="13" t="s">
        <v>16</v>
      </c>
      <c r="AA6" s="13" t="s">
        <v>17</v>
      </c>
      <c r="AB6" s="13" t="s">
        <v>18</v>
      </c>
      <c r="AC6" s="13" t="s">
        <v>11</v>
      </c>
      <c r="AD6" s="13" t="s">
        <v>12</v>
      </c>
      <c r="AE6" s="13" t="s">
        <v>13</v>
      </c>
      <c r="AF6" s="13" t="s">
        <v>14</v>
      </c>
      <c r="AG6" s="13" t="s">
        <v>15</v>
      </c>
      <c r="AH6" s="13" t="s">
        <v>16</v>
      </c>
      <c r="AI6" s="13" t="s">
        <v>17</v>
      </c>
      <c r="AJ6" s="13" t="s">
        <v>18</v>
      </c>
      <c r="AK6" s="13" t="s">
        <v>11</v>
      </c>
      <c r="AL6" s="13" t="s">
        <v>12</v>
      </c>
      <c r="AM6" s="13" t="s">
        <v>13</v>
      </c>
      <c r="AN6" s="13" t="s">
        <v>14</v>
      </c>
      <c r="AO6" s="13" t="s">
        <v>15</v>
      </c>
      <c r="AP6" s="13" t="s">
        <v>16</v>
      </c>
      <c r="AQ6" s="13" t="s">
        <v>17</v>
      </c>
      <c r="AR6" s="13" t="s">
        <v>18</v>
      </c>
      <c r="AS6" s="13" t="s">
        <v>11</v>
      </c>
      <c r="AT6" s="13" t="s">
        <v>12</v>
      </c>
      <c r="AU6" s="13" t="s">
        <v>13</v>
      </c>
      <c r="AV6" s="13" t="s">
        <v>14</v>
      </c>
      <c r="AW6" s="13" t="s">
        <v>15</v>
      </c>
      <c r="AX6" s="13" t="s">
        <v>16</v>
      </c>
      <c r="AY6" s="13" t="s">
        <v>17</v>
      </c>
      <c r="AZ6" s="13" t="s">
        <v>18</v>
      </c>
      <c r="BA6" s="13" t="s">
        <v>11</v>
      </c>
      <c r="BB6" s="13" t="s">
        <v>12</v>
      </c>
      <c r="BC6" s="13" t="s">
        <v>13</v>
      </c>
      <c r="BD6" s="13" t="s">
        <v>14</v>
      </c>
      <c r="BE6" s="13" t="s">
        <v>15</v>
      </c>
      <c r="BF6" s="13" t="s">
        <v>16</v>
      </c>
      <c r="BG6" s="13" t="s">
        <v>17</v>
      </c>
      <c r="BH6" s="13" t="s">
        <v>18</v>
      </c>
      <c r="BI6" s="13" t="s">
        <v>11</v>
      </c>
      <c r="BJ6" s="13" t="s">
        <v>12</v>
      </c>
      <c r="BK6" s="13" t="s">
        <v>13</v>
      </c>
      <c r="BL6" s="13" t="s">
        <v>14</v>
      </c>
      <c r="BM6" s="13" t="s">
        <v>15</v>
      </c>
      <c r="BN6" s="13" t="s">
        <v>16</v>
      </c>
      <c r="BO6" s="13" t="s">
        <v>17</v>
      </c>
      <c r="BP6" s="13" t="s">
        <v>18</v>
      </c>
      <c r="BQ6" s="13" t="s">
        <v>11</v>
      </c>
      <c r="BR6" s="13" t="s">
        <v>12</v>
      </c>
      <c r="BS6" s="13" t="s">
        <v>13</v>
      </c>
      <c r="BT6" s="13" t="s">
        <v>14</v>
      </c>
      <c r="BU6" s="15" t="s">
        <v>18</v>
      </c>
    </row>
    <row r="7" spans="1:74" x14ac:dyDescent="0.25">
      <c r="M7" s="16">
        <f>SUM(M9:M62)</f>
        <v>1074</v>
      </c>
      <c r="N7" s="16">
        <f>SUM(N9:N62)</f>
        <v>974</v>
      </c>
      <c r="O7" s="16">
        <f>SUM(O9:O62)</f>
        <v>704</v>
      </c>
      <c r="P7" s="16">
        <f>SUM(P9:P62)</f>
        <v>633</v>
      </c>
      <c r="Q7" s="16">
        <f>SUM(Q9:Q62)</f>
        <v>663</v>
      </c>
      <c r="R7" s="16">
        <f>SUM(R9:R62)</f>
        <v>619</v>
      </c>
      <c r="S7" s="16">
        <f>SUM(S9:S62)</f>
        <v>702</v>
      </c>
      <c r="T7" s="16">
        <f>SUM(T9:T62)</f>
        <v>5369</v>
      </c>
      <c r="U7" s="16">
        <f>SUM(U9:U62)</f>
        <v>148</v>
      </c>
      <c r="V7" s="16">
        <f>SUM(V9:V62)</f>
        <v>159</v>
      </c>
      <c r="W7" s="16">
        <f>SUM(W9:W62)</f>
        <v>158</v>
      </c>
      <c r="X7" s="16">
        <f>SUM(X9:X62)</f>
        <v>156</v>
      </c>
      <c r="Y7" s="16">
        <f>SUM(Y9:Y62)</f>
        <v>143</v>
      </c>
      <c r="Z7" s="16">
        <f>SUM(Z9:Z62)</f>
        <v>168</v>
      </c>
      <c r="AA7" s="16">
        <f>SUM(AA9:AA62)</f>
        <v>199</v>
      </c>
      <c r="AB7" s="16">
        <f>SUM(AB9:AB62)</f>
        <v>1131</v>
      </c>
      <c r="AC7" s="16">
        <f>SUM(AC9:AC62)</f>
        <v>12</v>
      </c>
      <c r="AD7" s="16">
        <f>SUM(AD9:AD62)</f>
        <v>11</v>
      </c>
      <c r="AE7" s="16">
        <f>SUM(AE9:AE62)</f>
        <v>10</v>
      </c>
      <c r="AF7" s="16">
        <f>SUM(AF9:AF62)</f>
        <v>12</v>
      </c>
      <c r="AG7" s="16">
        <f>SUM(AG9:AG62)</f>
        <v>24</v>
      </c>
      <c r="AH7" s="16">
        <f>SUM(AH9:AH62)</f>
        <v>53</v>
      </c>
      <c r="AI7" s="16">
        <f>SUM(AI9:AI62)</f>
        <v>62</v>
      </c>
      <c r="AJ7" s="16">
        <f>SUM(AJ9:AJ62)</f>
        <v>184</v>
      </c>
      <c r="AK7" s="16">
        <f>SUM(AK9:AK62)</f>
        <v>184</v>
      </c>
      <c r="AL7" s="16">
        <f>SUM(AL9:AL62)</f>
        <v>156</v>
      </c>
      <c r="AM7" s="16">
        <f>SUM(AM9:AM62)</f>
        <v>121</v>
      </c>
      <c r="AN7" s="16">
        <f>SUM(AN9:AN62)</f>
        <v>27</v>
      </c>
      <c r="AO7" s="16">
        <f>SUM(AO9:AO62)</f>
        <v>29</v>
      </c>
      <c r="AP7" s="16">
        <f>SUM(AP9:AP62)</f>
        <v>24</v>
      </c>
      <c r="AQ7" s="16">
        <f>SUM(AQ9:AQ62)</f>
        <v>20</v>
      </c>
      <c r="AR7" s="16">
        <f>SUM(AR9:AR62)</f>
        <v>561</v>
      </c>
      <c r="AS7" s="16">
        <f>SUM(AS9:AS62)</f>
        <v>176</v>
      </c>
      <c r="AT7" s="16">
        <f>SUM(AT9:AT62)</f>
        <v>234</v>
      </c>
      <c r="AU7" s="16">
        <f>SUM(AU9:AU62)</f>
        <v>211</v>
      </c>
      <c r="AV7" s="16">
        <f>SUM(AV9:AV62)</f>
        <v>57</v>
      </c>
      <c r="AW7" s="16">
        <f>SUM(AW9:AW62)</f>
        <v>43</v>
      </c>
      <c r="AX7" s="16">
        <f>SUM(AX9:AX62)</f>
        <v>51</v>
      </c>
      <c r="AY7" s="16">
        <f>SUM(AY9:AY62)</f>
        <v>38</v>
      </c>
      <c r="AZ7" s="16">
        <f>SUM(AZ9:AZ62)</f>
        <v>810</v>
      </c>
      <c r="BA7" s="16">
        <f>SUM(BA9:BA62)</f>
        <v>4</v>
      </c>
      <c r="BB7" s="16">
        <f>SUM(BB9:BB62)</f>
        <v>5</v>
      </c>
      <c r="BC7" s="16">
        <f>SUM(BC9:BC62)</f>
        <v>2</v>
      </c>
      <c r="BD7" s="16">
        <f>SUM(BD9:BD62)</f>
        <v>3</v>
      </c>
      <c r="BE7" s="16">
        <f>SUM(BE9:BE62)</f>
        <v>4</v>
      </c>
      <c r="BF7" s="16">
        <f>SUM(BF9:BF62)</f>
        <v>4</v>
      </c>
      <c r="BG7" s="16">
        <f>SUM(BG9:BG62)</f>
        <v>4</v>
      </c>
      <c r="BH7" s="16">
        <f>SUM(BH9:BH62)</f>
        <v>26</v>
      </c>
      <c r="BI7" s="16">
        <f>SUM(BI9:BI62)</f>
        <v>20</v>
      </c>
      <c r="BJ7" s="16">
        <f>SUM(BJ9:BJ62)</f>
        <v>22</v>
      </c>
      <c r="BK7" s="16">
        <f>SUM(BK9:BK62)</f>
        <v>21</v>
      </c>
      <c r="BL7" s="16">
        <f>SUM(BL9:BL62)</f>
        <v>21</v>
      </c>
      <c r="BM7" s="16">
        <f>SUM(BM9:BM62)</f>
        <v>19</v>
      </c>
      <c r="BN7" s="16">
        <f>SUM(BN9:BN62)</f>
        <v>12</v>
      </c>
      <c r="BO7" s="16">
        <f>SUM(BO9:BO62)</f>
        <v>13</v>
      </c>
      <c r="BP7" s="16">
        <f>SUM(BP9:BP62)</f>
        <v>128</v>
      </c>
      <c r="BQ7" s="16">
        <f>SUM(BQ9:BQ62)</f>
        <v>501</v>
      </c>
      <c r="BR7" s="16">
        <f>SUM(BR9:BR62)</f>
        <v>225</v>
      </c>
      <c r="BS7" s="16">
        <f>SUM(BS9:BS62)</f>
        <v>111</v>
      </c>
      <c r="BT7" s="16">
        <f>SUM(BT9:BT62)</f>
        <v>137</v>
      </c>
      <c r="BU7" s="16">
        <f>SUM(BU9:BU62)</f>
        <v>974</v>
      </c>
    </row>
    <row r="8" spans="1:74" x14ac:dyDescent="0.25">
      <c r="A8" s="17" t="s">
        <v>19</v>
      </c>
      <c r="B8" s="17" t="s">
        <v>20</v>
      </c>
      <c r="C8" s="17" t="s">
        <v>21</v>
      </c>
      <c r="D8" s="17" t="s">
        <v>22</v>
      </c>
      <c r="E8" s="17" t="s">
        <v>23</v>
      </c>
      <c r="F8" s="17" t="s">
        <v>24</v>
      </c>
      <c r="G8" s="17" t="s">
        <v>25</v>
      </c>
      <c r="H8" s="17" t="s">
        <v>26</v>
      </c>
      <c r="I8" s="17" t="s">
        <v>27</v>
      </c>
      <c r="J8" s="17" t="s">
        <v>28</v>
      </c>
      <c r="K8" s="17" t="s">
        <v>29</v>
      </c>
      <c r="L8" s="18" t="s">
        <v>30</v>
      </c>
      <c r="M8" s="19" t="s">
        <v>31</v>
      </c>
      <c r="N8" s="19" t="s">
        <v>32</v>
      </c>
      <c r="O8" s="19" t="s">
        <v>33</v>
      </c>
      <c r="P8" s="19" t="s">
        <v>34</v>
      </c>
      <c r="Q8" s="19" t="s">
        <v>35</v>
      </c>
      <c r="R8" s="19" t="s">
        <v>36</v>
      </c>
      <c r="S8" s="19" t="s">
        <v>37</v>
      </c>
      <c r="T8" s="19" t="s">
        <v>18</v>
      </c>
      <c r="U8" s="19" t="s">
        <v>38</v>
      </c>
      <c r="V8" s="19" t="s">
        <v>39</v>
      </c>
      <c r="W8" s="19" t="s">
        <v>40</v>
      </c>
      <c r="X8" s="19" t="s">
        <v>41</v>
      </c>
      <c r="Y8" s="19" t="s">
        <v>42</v>
      </c>
      <c r="Z8" s="19" t="s">
        <v>43</v>
      </c>
      <c r="AA8" s="19" t="s">
        <v>44</v>
      </c>
      <c r="AB8" s="19" t="s">
        <v>18</v>
      </c>
      <c r="AC8" s="19" t="s">
        <v>45</v>
      </c>
      <c r="AD8" s="19" t="s">
        <v>46</v>
      </c>
      <c r="AE8" s="19" t="s">
        <v>47</v>
      </c>
      <c r="AF8" s="19" t="s">
        <v>48</v>
      </c>
      <c r="AG8" s="19" t="s">
        <v>49</v>
      </c>
      <c r="AH8" s="19" t="s">
        <v>50</v>
      </c>
      <c r="AI8" s="19" t="s">
        <v>51</v>
      </c>
      <c r="AJ8" s="19" t="s">
        <v>18</v>
      </c>
      <c r="AK8" s="19" t="s">
        <v>52</v>
      </c>
      <c r="AL8" s="19" t="s">
        <v>53</v>
      </c>
      <c r="AM8" s="19" t="s">
        <v>54</v>
      </c>
      <c r="AN8" s="19" t="s">
        <v>55</v>
      </c>
      <c r="AO8" s="19" t="s">
        <v>56</v>
      </c>
      <c r="AP8" s="19" t="s">
        <v>57</v>
      </c>
      <c r="AQ8" s="19" t="s">
        <v>58</v>
      </c>
      <c r="AR8" s="19" t="s">
        <v>18</v>
      </c>
      <c r="AS8" s="19" t="s">
        <v>59</v>
      </c>
      <c r="AT8" s="19" t="s">
        <v>60</v>
      </c>
      <c r="AU8" s="19" t="s">
        <v>61</v>
      </c>
      <c r="AV8" s="19" t="s">
        <v>62</v>
      </c>
      <c r="AW8" s="19" t="s">
        <v>63</v>
      </c>
      <c r="AX8" s="19" t="s">
        <v>64</v>
      </c>
      <c r="AY8" s="19" t="s">
        <v>65</v>
      </c>
      <c r="AZ8" s="19" t="s">
        <v>18</v>
      </c>
      <c r="BA8" s="19" t="s">
        <v>66</v>
      </c>
      <c r="BB8" s="19" t="s">
        <v>67</v>
      </c>
      <c r="BC8" s="19" t="s">
        <v>68</v>
      </c>
      <c r="BD8" s="19" t="s">
        <v>69</v>
      </c>
      <c r="BE8" s="19" t="s">
        <v>70</v>
      </c>
      <c r="BF8" s="19" t="s">
        <v>71</v>
      </c>
      <c r="BG8" s="19" t="s">
        <v>72</v>
      </c>
      <c r="BH8" s="19" t="s">
        <v>18</v>
      </c>
      <c r="BI8" s="19" t="s">
        <v>73</v>
      </c>
      <c r="BJ8" s="19" t="s">
        <v>74</v>
      </c>
      <c r="BK8" s="19" t="s">
        <v>75</v>
      </c>
      <c r="BL8" s="19" t="s">
        <v>76</v>
      </c>
      <c r="BM8" s="19" t="s">
        <v>77</v>
      </c>
      <c r="BN8" s="19" t="s">
        <v>78</v>
      </c>
      <c r="BO8" s="19" t="s">
        <v>79</v>
      </c>
      <c r="BP8" s="19" t="s">
        <v>18</v>
      </c>
      <c r="BQ8" s="19" t="s">
        <v>80</v>
      </c>
      <c r="BR8" s="19" t="s">
        <v>81</v>
      </c>
      <c r="BS8" s="19" t="s">
        <v>82</v>
      </c>
      <c r="BT8" s="19" t="s">
        <v>83</v>
      </c>
      <c r="BU8" s="19" t="s">
        <v>18</v>
      </c>
      <c r="BV8" s="19" t="s">
        <v>84</v>
      </c>
    </row>
    <row r="9" spans="1:74" x14ac:dyDescent="0.25">
      <c r="A9" t="s">
        <v>85</v>
      </c>
      <c r="B9" t="s">
        <v>91</v>
      </c>
      <c r="C9" t="s">
        <v>92</v>
      </c>
      <c r="D9">
        <v>129374</v>
      </c>
      <c r="E9" t="s">
        <v>93</v>
      </c>
      <c r="F9" t="s">
        <v>94</v>
      </c>
      <c r="G9" t="s">
        <v>95</v>
      </c>
      <c r="H9" t="s">
        <v>96</v>
      </c>
      <c r="I9" t="s">
        <v>86</v>
      </c>
      <c r="J9" t="s">
        <v>97</v>
      </c>
      <c r="K9" t="s">
        <v>87</v>
      </c>
      <c r="L9" s="20" t="s">
        <v>88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4" x14ac:dyDescent="0.25">
      <c r="A10" t="s">
        <v>85</v>
      </c>
      <c r="B10" t="s">
        <v>91</v>
      </c>
      <c r="C10" t="s">
        <v>92</v>
      </c>
      <c r="D10">
        <v>129375</v>
      </c>
      <c r="E10" t="s">
        <v>98</v>
      </c>
      <c r="F10" t="s">
        <v>99</v>
      </c>
      <c r="G10" t="s">
        <v>95</v>
      </c>
      <c r="H10" t="s">
        <v>96</v>
      </c>
      <c r="I10" t="s">
        <v>86</v>
      </c>
      <c r="J10" t="s">
        <v>97</v>
      </c>
      <c r="K10" t="s">
        <v>87</v>
      </c>
      <c r="L10" s="20" t="s">
        <v>88</v>
      </c>
      <c r="M10">
        <v>28</v>
      </c>
      <c r="N10">
        <v>32</v>
      </c>
      <c r="O10">
        <v>31</v>
      </c>
      <c r="P10">
        <v>26</v>
      </c>
      <c r="Q10">
        <v>24</v>
      </c>
      <c r="R10">
        <v>19</v>
      </c>
      <c r="S10">
        <v>18</v>
      </c>
      <c r="T10">
        <v>178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16</v>
      </c>
      <c r="BJ10">
        <v>20</v>
      </c>
      <c r="BK10">
        <v>19</v>
      </c>
      <c r="BL10">
        <v>19</v>
      </c>
      <c r="BM10">
        <v>16</v>
      </c>
      <c r="BN10">
        <v>8</v>
      </c>
      <c r="BO10">
        <v>8</v>
      </c>
      <c r="BP10">
        <v>106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4" x14ac:dyDescent="0.25">
      <c r="A11" t="s">
        <v>85</v>
      </c>
      <c r="B11" t="s">
        <v>91</v>
      </c>
      <c r="C11" t="s">
        <v>92</v>
      </c>
      <c r="D11">
        <v>129376</v>
      </c>
      <c r="E11" t="s">
        <v>100</v>
      </c>
      <c r="F11" t="s">
        <v>101</v>
      </c>
      <c r="G11" t="s">
        <v>95</v>
      </c>
      <c r="H11" t="s">
        <v>96</v>
      </c>
      <c r="I11" t="s">
        <v>86</v>
      </c>
      <c r="J11" t="s">
        <v>102</v>
      </c>
      <c r="K11" t="s">
        <v>87</v>
      </c>
      <c r="L11" s="20" t="s">
        <v>88</v>
      </c>
      <c r="M11">
        <v>38</v>
      </c>
      <c r="N11">
        <v>25</v>
      </c>
      <c r="O11">
        <v>22</v>
      </c>
      <c r="P11">
        <v>0</v>
      </c>
      <c r="Q11">
        <v>0</v>
      </c>
      <c r="R11">
        <v>0</v>
      </c>
      <c r="S11">
        <v>0</v>
      </c>
      <c r="T11">
        <v>85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19</v>
      </c>
      <c r="AL11">
        <v>15</v>
      </c>
      <c r="AM11">
        <v>17</v>
      </c>
      <c r="AN11">
        <v>0</v>
      </c>
      <c r="AO11">
        <v>0</v>
      </c>
      <c r="AP11">
        <v>0</v>
      </c>
      <c r="AQ11">
        <v>0</v>
      </c>
      <c r="AR11">
        <v>51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4" x14ac:dyDescent="0.25">
      <c r="A12" t="s">
        <v>85</v>
      </c>
      <c r="B12" t="s">
        <v>91</v>
      </c>
      <c r="C12" t="s">
        <v>92</v>
      </c>
      <c r="D12">
        <v>129377</v>
      </c>
      <c r="E12" t="s">
        <v>103</v>
      </c>
      <c r="F12" t="s">
        <v>104</v>
      </c>
      <c r="G12" t="s">
        <v>95</v>
      </c>
      <c r="H12" t="s">
        <v>96</v>
      </c>
      <c r="I12" t="s">
        <v>86</v>
      </c>
      <c r="J12" t="s">
        <v>105</v>
      </c>
      <c r="K12" t="s">
        <v>87</v>
      </c>
      <c r="L12" s="20" t="s">
        <v>88</v>
      </c>
      <c r="M12">
        <v>48</v>
      </c>
      <c r="N12">
        <v>51</v>
      </c>
      <c r="O12">
        <v>50</v>
      </c>
      <c r="P12">
        <v>45</v>
      </c>
      <c r="Q12">
        <v>50</v>
      </c>
      <c r="R12">
        <v>52</v>
      </c>
      <c r="S12">
        <v>63</v>
      </c>
      <c r="T12">
        <v>359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4" x14ac:dyDescent="0.25">
      <c r="A13" t="s">
        <v>85</v>
      </c>
      <c r="B13" t="s">
        <v>91</v>
      </c>
      <c r="C13" t="s">
        <v>92</v>
      </c>
      <c r="D13">
        <v>129380</v>
      </c>
      <c r="E13" t="s">
        <v>106</v>
      </c>
      <c r="F13" t="s">
        <v>107</v>
      </c>
      <c r="G13" t="s">
        <v>95</v>
      </c>
      <c r="H13" t="s">
        <v>96</v>
      </c>
      <c r="I13" t="s">
        <v>86</v>
      </c>
      <c r="J13" t="s">
        <v>102</v>
      </c>
      <c r="K13" t="s">
        <v>87</v>
      </c>
      <c r="L13" s="20" t="s">
        <v>88</v>
      </c>
      <c r="M13">
        <v>200</v>
      </c>
      <c r="N13">
        <v>130</v>
      </c>
      <c r="O13">
        <v>0</v>
      </c>
      <c r="P13">
        <v>0</v>
      </c>
      <c r="Q13">
        <v>0</v>
      </c>
      <c r="R13">
        <v>0</v>
      </c>
      <c r="S13">
        <v>0</v>
      </c>
      <c r="T13">
        <v>330</v>
      </c>
      <c r="U13">
        <v>0</v>
      </c>
      <c r="V13">
        <v>0</v>
      </c>
      <c r="W13">
        <v>0</v>
      </c>
      <c r="X13">
        <v>0</v>
      </c>
      <c r="Y13">
        <v>0</v>
      </c>
      <c r="Z13">
        <v>5</v>
      </c>
      <c r="AA13">
        <v>4</v>
      </c>
      <c r="AB13">
        <v>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8</v>
      </c>
      <c r="AI13">
        <v>6</v>
      </c>
      <c r="AJ13">
        <v>14</v>
      </c>
      <c r="AK13">
        <v>6</v>
      </c>
      <c r="AL13">
        <v>5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13</v>
      </c>
      <c r="AS13">
        <v>8</v>
      </c>
      <c r="AT13">
        <v>7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17</v>
      </c>
      <c r="BA13">
        <v>1</v>
      </c>
      <c r="BB13">
        <v>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151</v>
      </c>
      <c r="BR13">
        <v>0</v>
      </c>
      <c r="BS13">
        <v>0</v>
      </c>
      <c r="BT13">
        <v>0</v>
      </c>
      <c r="BU13">
        <v>151</v>
      </c>
    </row>
    <row r="14" spans="1:74" x14ac:dyDescent="0.25">
      <c r="A14" t="s">
        <v>85</v>
      </c>
      <c r="B14" t="s">
        <v>91</v>
      </c>
      <c r="C14" t="s">
        <v>92</v>
      </c>
      <c r="D14">
        <v>129381</v>
      </c>
      <c r="E14" t="s">
        <v>108</v>
      </c>
      <c r="F14" t="s">
        <v>109</v>
      </c>
      <c r="G14" t="s">
        <v>95</v>
      </c>
      <c r="H14" t="s">
        <v>96</v>
      </c>
      <c r="I14" t="s">
        <v>86</v>
      </c>
      <c r="J14" t="s">
        <v>102</v>
      </c>
      <c r="K14" t="s">
        <v>87</v>
      </c>
      <c r="L14" s="20" t="s">
        <v>88</v>
      </c>
      <c r="M14">
        <v>8</v>
      </c>
      <c r="N14">
        <v>20</v>
      </c>
      <c r="O14">
        <v>4</v>
      </c>
      <c r="P14">
        <v>0</v>
      </c>
      <c r="Q14">
        <v>0</v>
      </c>
      <c r="R14">
        <v>0</v>
      </c>
      <c r="S14">
        <v>0</v>
      </c>
      <c r="T14">
        <v>32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28</v>
      </c>
      <c r="AM14">
        <v>1</v>
      </c>
      <c r="AN14">
        <v>3</v>
      </c>
      <c r="AO14">
        <v>0</v>
      </c>
      <c r="AP14">
        <v>0</v>
      </c>
      <c r="AQ14">
        <v>0</v>
      </c>
      <c r="AR14">
        <v>32</v>
      </c>
      <c r="AS14">
        <v>0</v>
      </c>
      <c r="AT14">
        <v>9</v>
      </c>
      <c r="AU14">
        <v>1</v>
      </c>
      <c r="AV14">
        <v>3</v>
      </c>
      <c r="AW14">
        <v>0</v>
      </c>
      <c r="AX14">
        <v>0</v>
      </c>
      <c r="AY14">
        <v>0</v>
      </c>
      <c r="AZ14">
        <v>13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3</v>
      </c>
      <c r="BR14">
        <v>8</v>
      </c>
      <c r="BS14">
        <v>2</v>
      </c>
      <c r="BT14">
        <v>0</v>
      </c>
      <c r="BU14">
        <v>13</v>
      </c>
    </row>
    <row r="15" spans="1:74" x14ac:dyDescent="0.25">
      <c r="A15" t="s">
        <v>85</v>
      </c>
      <c r="B15" t="s">
        <v>91</v>
      </c>
      <c r="C15" t="s">
        <v>92</v>
      </c>
      <c r="D15">
        <v>129382</v>
      </c>
      <c r="E15" t="s">
        <v>110</v>
      </c>
      <c r="F15" t="s">
        <v>111</v>
      </c>
      <c r="G15" t="s">
        <v>95</v>
      </c>
      <c r="H15" t="s">
        <v>96</v>
      </c>
      <c r="I15" t="s">
        <v>86</v>
      </c>
      <c r="J15" t="s">
        <v>102</v>
      </c>
      <c r="K15" t="s">
        <v>87</v>
      </c>
      <c r="L15" s="20" t="s">
        <v>88</v>
      </c>
      <c r="M15">
        <v>132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92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92</v>
      </c>
      <c r="AS15">
        <v>57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132</v>
      </c>
      <c r="BR15">
        <v>0</v>
      </c>
      <c r="BS15">
        <v>0</v>
      </c>
      <c r="BT15">
        <v>0</v>
      </c>
      <c r="BU15">
        <v>132</v>
      </c>
    </row>
    <row r="16" spans="1:74" x14ac:dyDescent="0.25">
      <c r="A16" t="s">
        <v>85</v>
      </c>
      <c r="B16" t="s">
        <v>91</v>
      </c>
      <c r="C16" t="s">
        <v>92</v>
      </c>
      <c r="D16">
        <v>129383</v>
      </c>
      <c r="E16" t="s">
        <v>112</v>
      </c>
      <c r="F16" t="s">
        <v>113</v>
      </c>
      <c r="G16" t="s">
        <v>95</v>
      </c>
      <c r="H16" t="s">
        <v>96</v>
      </c>
      <c r="I16" t="s">
        <v>86</v>
      </c>
      <c r="J16" t="s">
        <v>102</v>
      </c>
      <c r="K16" t="s">
        <v>87</v>
      </c>
      <c r="L16" s="20" t="s">
        <v>88</v>
      </c>
      <c r="M16">
        <v>135</v>
      </c>
      <c r="N16">
        <v>133</v>
      </c>
      <c r="O16">
        <v>109</v>
      </c>
      <c r="P16">
        <v>126</v>
      </c>
      <c r="Q16">
        <v>146</v>
      </c>
      <c r="R16">
        <v>137</v>
      </c>
      <c r="S16">
        <v>148</v>
      </c>
      <c r="T16">
        <v>934</v>
      </c>
      <c r="U16">
        <v>20</v>
      </c>
      <c r="V16">
        <v>11</v>
      </c>
      <c r="W16">
        <v>34</v>
      </c>
      <c r="X16">
        <v>24</v>
      </c>
      <c r="Y16">
        <v>28</v>
      </c>
      <c r="Z16">
        <v>35</v>
      </c>
      <c r="AA16">
        <v>41</v>
      </c>
      <c r="AB16">
        <v>193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2</v>
      </c>
      <c r="BC16">
        <v>0</v>
      </c>
      <c r="BD16">
        <v>0</v>
      </c>
      <c r="BE16">
        <v>3</v>
      </c>
      <c r="BF16">
        <v>0</v>
      </c>
      <c r="BG16">
        <v>0</v>
      </c>
      <c r="BH16">
        <v>6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 t="s">
        <v>85</v>
      </c>
      <c r="B17" t="s">
        <v>91</v>
      </c>
      <c r="C17" t="s">
        <v>92</v>
      </c>
      <c r="D17">
        <v>129384</v>
      </c>
      <c r="E17" t="s">
        <v>114</v>
      </c>
      <c r="F17" t="s">
        <v>115</v>
      </c>
      <c r="G17" t="s">
        <v>95</v>
      </c>
      <c r="H17" t="s">
        <v>96</v>
      </c>
      <c r="I17" t="s">
        <v>86</v>
      </c>
      <c r="J17" t="s">
        <v>102</v>
      </c>
      <c r="K17" t="s">
        <v>87</v>
      </c>
      <c r="L17" s="20" t="s">
        <v>88</v>
      </c>
      <c r="M17">
        <v>0</v>
      </c>
      <c r="N17">
        <v>17</v>
      </c>
      <c r="O17">
        <v>0</v>
      </c>
      <c r="P17">
        <v>0</v>
      </c>
      <c r="Q17">
        <v>0</v>
      </c>
      <c r="R17">
        <v>0</v>
      </c>
      <c r="S17">
        <v>0</v>
      </c>
      <c r="T17">
        <v>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 t="s">
        <v>85</v>
      </c>
      <c r="B18" t="s">
        <v>91</v>
      </c>
      <c r="C18" t="s">
        <v>92</v>
      </c>
      <c r="D18">
        <v>129385</v>
      </c>
      <c r="E18" t="s">
        <v>116</v>
      </c>
      <c r="F18" t="s">
        <v>117</v>
      </c>
      <c r="G18" t="s">
        <v>95</v>
      </c>
      <c r="H18" t="s">
        <v>96</v>
      </c>
      <c r="I18" t="s">
        <v>86</v>
      </c>
      <c r="J18" t="s">
        <v>97</v>
      </c>
      <c r="K18" t="s">
        <v>87</v>
      </c>
      <c r="L18" s="20" t="s">
        <v>88</v>
      </c>
      <c r="M18">
        <v>65</v>
      </c>
      <c r="N18">
        <v>85</v>
      </c>
      <c r="O18">
        <v>71</v>
      </c>
      <c r="P18">
        <v>3</v>
      </c>
      <c r="Q18">
        <v>5</v>
      </c>
      <c r="R18">
        <v>4</v>
      </c>
      <c r="S18">
        <v>30</v>
      </c>
      <c r="T18">
        <v>263</v>
      </c>
      <c r="U18">
        <v>0</v>
      </c>
      <c r="V18">
        <v>0</v>
      </c>
      <c r="W18">
        <v>0</v>
      </c>
      <c r="X18">
        <v>2</v>
      </c>
      <c r="Y18">
        <v>3</v>
      </c>
      <c r="Z18">
        <v>2</v>
      </c>
      <c r="AA18">
        <v>2</v>
      </c>
      <c r="AB18">
        <v>9</v>
      </c>
      <c r="AC18">
        <v>0</v>
      </c>
      <c r="AD18">
        <v>0</v>
      </c>
      <c r="AE18">
        <v>0</v>
      </c>
      <c r="AF18">
        <v>4</v>
      </c>
      <c r="AG18">
        <v>3</v>
      </c>
      <c r="AH18">
        <v>3</v>
      </c>
      <c r="AI18">
        <v>3</v>
      </c>
      <c r="AJ18">
        <v>13</v>
      </c>
      <c r="AK18">
        <v>56</v>
      </c>
      <c r="AL18">
        <v>72</v>
      </c>
      <c r="AM18">
        <v>67</v>
      </c>
      <c r="AN18">
        <v>0</v>
      </c>
      <c r="AO18">
        <v>0</v>
      </c>
      <c r="AP18">
        <v>0</v>
      </c>
      <c r="AQ18">
        <v>0</v>
      </c>
      <c r="AR18">
        <v>195</v>
      </c>
      <c r="AS18">
        <v>109</v>
      </c>
      <c r="AT18">
        <v>128</v>
      </c>
      <c r="AU18">
        <v>99</v>
      </c>
      <c r="AV18">
        <v>0</v>
      </c>
      <c r="AW18">
        <v>0</v>
      </c>
      <c r="AX18">
        <v>0</v>
      </c>
      <c r="AY18">
        <v>0</v>
      </c>
      <c r="AZ18">
        <v>336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102</v>
      </c>
      <c r="BR18">
        <v>139</v>
      </c>
      <c r="BS18">
        <v>90</v>
      </c>
      <c r="BT18">
        <v>103</v>
      </c>
      <c r="BU18">
        <v>434</v>
      </c>
    </row>
    <row r="19" spans="1:73" x14ac:dyDescent="0.25">
      <c r="A19" t="s">
        <v>85</v>
      </c>
      <c r="B19" t="s">
        <v>91</v>
      </c>
      <c r="C19" t="s">
        <v>92</v>
      </c>
      <c r="D19">
        <v>129386</v>
      </c>
      <c r="E19" t="s">
        <v>118</v>
      </c>
      <c r="F19" t="s">
        <v>119</v>
      </c>
      <c r="G19" t="s">
        <v>95</v>
      </c>
      <c r="H19" t="s">
        <v>96</v>
      </c>
      <c r="I19" t="s">
        <v>86</v>
      </c>
      <c r="J19" t="s">
        <v>105</v>
      </c>
      <c r="K19" t="s">
        <v>87</v>
      </c>
      <c r="L19" s="20" t="s">
        <v>88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 t="s">
        <v>85</v>
      </c>
      <c r="B20" t="s">
        <v>91</v>
      </c>
      <c r="C20" t="s">
        <v>92</v>
      </c>
      <c r="D20">
        <v>205504</v>
      </c>
      <c r="E20" t="s">
        <v>120</v>
      </c>
      <c r="F20" t="s">
        <v>109</v>
      </c>
      <c r="G20" t="s">
        <v>95</v>
      </c>
      <c r="H20" t="s">
        <v>96</v>
      </c>
      <c r="I20" t="s">
        <v>86</v>
      </c>
      <c r="J20" t="s">
        <v>102</v>
      </c>
      <c r="K20" t="s">
        <v>87</v>
      </c>
      <c r="L20" s="20" t="s">
        <v>88</v>
      </c>
      <c r="M20">
        <v>102</v>
      </c>
      <c r="N20">
        <v>125</v>
      </c>
      <c r="O20">
        <v>125</v>
      </c>
      <c r="P20">
        <v>123</v>
      </c>
      <c r="Q20">
        <v>113</v>
      </c>
      <c r="R20">
        <v>118</v>
      </c>
      <c r="S20">
        <v>123</v>
      </c>
      <c r="T20">
        <v>829</v>
      </c>
      <c r="U20">
        <v>95</v>
      </c>
      <c r="V20">
        <v>120</v>
      </c>
      <c r="W20">
        <v>119</v>
      </c>
      <c r="X20">
        <v>121</v>
      </c>
      <c r="Y20">
        <v>105</v>
      </c>
      <c r="Z20">
        <v>105</v>
      </c>
      <c r="AA20">
        <v>115</v>
      </c>
      <c r="AB20">
        <v>780</v>
      </c>
      <c r="AC20">
        <v>7</v>
      </c>
      <c r="AD20">
        <v>5</v>
      </c>
      <c r="AE20">
        <v>6</v>
      </c>
      <c r="AF20">
        <v>2</v>
      </c>
      <c r="AG20">
        <v>8</v>
      </c>
      <c r="AH20">
        <v>13</v>
      </c>
      <c r="AI20">
        <v>8</v>
      </c>
      <c r="AJ20">
        <v>49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t="s">
        <v>85</v>
      </c>
      <c r="B21" t="s">
        <v>91</v>
      </c>
      <c r="C21" t="s">
        <v>92</v>
      </c>
      <c r="D21">
        <v>500454</v>
      </c>
      <c r="E21" t="s">
        <v>121</v>
      </c>
      <c r="F21" t="s">
        <v>122</v>
      </c>
      <c r="G21" t="s">
        <v>95</v>
      </c>
      <c r="H21" t="s">
        <v>96</v>
      </c>
      <c r="I21" t="s">
        <v>86</v>
      </c>
      <c r="J21" t="s">
        <v>105</v>
      </c>
      <c r="K21" t="s">
        <v>123</v>
      </c>
      <c r="L21" s="20" t="s">
        <v>124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5">
      <c r="A22" t="s">
        <v>85</v>
      </c>
      <c r="B22" t="s">
        <v>91</v>
      </c>
      <c r="C22" t="s">
        <v>92</v>
      </c>
      <c r="D22">
        <v>501424</v>
      </c>
      <c r="E22" t="s">
        <v>125</v>
      </c>
      <c r="F22" t="s">
        <v>126</v>
      </c>
      <c r="G22" t="s">
        <v>95</v>
      </c>
      <c r="H22" t="s">
        <v>96</v>
      </c>
      <c r="I22" t="s">
        <v>86</v>
      </c>
      <c r="J22" t="s">
        <v>127</v>
      </c>
      <c r="K22" t="s">
        <v>89</v>
      </c>
      <c r="L22" s="20" t="s">
        <v>90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5">
      <c r="A23" t="s">
        <v>85</v>
      </c>
      <c r="B23" t="s">
        <v>91</v>
      </c>
      <c r="C23" t="s">
        <v>128</v>
      </c>
      <c r="D23">
        <v>101813</v>
      </c>
      <c r="E23" t="s">
        <v>129</v>
      </c>
      <c r="F23" t="s">
        <v>130</v>
      </c>
      <c r="G23" t="s">
        <v>95</v>
      </c>
      <c r="H23" t="s">
        <v>96</v>
      </c>
      <c r="I23" t="s">
        <v>86</v>
      </c>
      <c r="J23" t="s">
        <v>131</v>
      </c>
      <c r="K23" t="s">
        <v>87</v>
      </c>
      <c r="L23" s="20" t="s">
        <v>88</v>
      </c>
      <c r="M23">
        <v>9</v>
      </c>
      <c r="N23">
        <v>22</v>
      </c>
      <c r="O23">
        <v>9</v>
      </c>
      <c r="P23">
        <v>13</v>
      </c>
      <c r="Q23">
        <v>13</v>
      </c>
      <c r="R23">
        <v>11</v>
      </c>
      <c r="S23">
        <v>16</v>
      </c>
      <c r="T23">
        <v>93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 t="s">
        <v>85</v>
      </c>
      <c r="B24" t="s">
        <v>91</v>
      </c>
      <c r="C24" t="s">
        <v>128</v>
      </c>
      <c r="D24">
        <v>129387</v>
      </c>
      <c r="E24" t="s">
        <v>132</v>
      </c>
      <c r="F24" t="s">
        <v>133</v>
      </c>
      <c r="G24" t="s">
        <v>95</v>
      </c>
      <c r="H24" t="s">
        <v>96</v>
      </c>
      <c r="I24" t="s">
        <v>86</v>
      </c>
      <c r="J24" t="s">
        <v>134</v>
      </c>
      <c r="K24" t="s">
        <v>87</v>
      </c>
      <c r="L24" s="20" t="s">
        <v>88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5">
      <c r="A25" t="s">
        <v>85</v>
      </c>
      <c r="B25" t="s">
        <v>91</v>
      </c>
      <c r="C25" t="s">
        <v>128</v>
      </c>
      <c r="D25">
        <v>129388</v>
      </c>
      <c r="E25" t="s">
        <v>135</v>
      </c>
      <c r="F25" t="s">
        <v>136</v>
      </c>
      <c r="G25" t="s">
        <v>95</v>
      </c>
      <c r="H25" t="s">
        <v>96</v>
      </c>
      <c r="I25" t="s">
        <v>86</v>
      </c>
      <c r="J25" t="s">
        <v>137</v>
      </c>
      <c r="K25" t="s">
        <v>87</v>
      </c>
      <c r="L25" s="20" t="s">
        <v>88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5">
      <c r="A26" t="s">
        <v>85</v>
      </c>
      <c r="B26" t="s">
        <v>91</v>
      </c>
      <c r="C26" t="s">
        <v>128</v>
      </c>
      <c r="D26">
        <v>129389</v>
      </c>
      <c r="E26" t="s">
        <v>138</v>
      </c>
      <c r="F26" t="s">
        <v>139</v>
      </c>
      <c r="G26" t="s">
        <v>95</v>
      </c>
      <c r="H26" t="s">
        <v>96</v>
      </c>
      <c r="I26" t="s">
        <v>86</v>
      </c>
      <c r="J26" t="s">
        <v>140</v>
      </c>
      <c r="K26" t="s">
        <v>87</v>
      </c>
      <c r="L26" s="20" t="s">
        <v>88</v>
      </c>
      <c r="M26">
        <v>64</v>
      </c>
      <c r="N26">
        <v>94</v>
      </c>
      <c r="O26">
        <v>80</v>
      </c>
      <c r="P26">
        <v>94</v>
      </c>
      <c r="Q26">
        <v>88</v>
      </c>
      <c r="R26">
        <v>85</v>
      </c>
      <c r="S26">
        <v>80</v>
      </c>
      <c r="T26">
        <v>585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25">
      <c r="A27" t="s">
        <v>85</v>
      </c>
      <c r="B27" t="s">
        <v>91</v>
      </c>
      <c r="C27" t="s">
        <v>128</v>
      </c>
      <c r="D27">
        <v>129390</v>
      </c>
      <c r="E27" t="s">
        <v>141</v>
      </c>
      <c r="F27" t="s">
        <v>142</v>
      </c>
      <c r="G27" t="s">
        <v>95</v>
      </c>
      <c r="H27" t="s">
        <v>96</v>
      </c>
      <c r="I27" t="s">
        <v>86</v>
      </c>
      <c r="J27" t="s">
        <v>134</v>
      </c>
      <c r="K27" t="s">
        <v>87</v>
      </c>
      <c r="L27" s="20" t="s">
        <v>88</v>
      </c>
      <c r="M27">
        <v>9</v>
      </c>
      <c r="N27">
        <v>4</v>
      </c>
      <c r="O27">
        <v>4</v>
      </c>
      <c r="P27">
        <v>2</v>
      </c>
      <c r="Q27">
        <v>2</v>
      </c>
      <c r="R27">
        <v>3</v>
      </c>
      <c r="S27">
        <v>1</v>
      </c>
      <c r="T27">
        <v>25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3</v>
      </c>
      <c r="AS27">
        <v>0</v>
      </c>
      <c r="AT27">
        <v>2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3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25">
      <c r="A28" t="s">
        <v>85</v>
      </c>
      <c r="B28" t="s">
        <v>91</v>
      </c>
      <c r="C28" t="s">
        <v>128</v>
      </c>
      <c r="D28">
        <v>129391</v>
      </c>
      <c r="E28" t="s">
        <v>143</v>
      </c>
      <c r="F28" t="s">
        <v>144</v>
      </c>
      <c r="G28" t="s">
        <v>95</v>
      </c>
      <c r="H28" t="s">
        <v>96</v>
      </c>
      <c r="I28" t="s">
        <v>86</v>
      </c>
      <c r="J28" t="s">
        <v>145</v>
      </c>
      <c r="K28" t="s">
        <v>87</v>
      </c>
      <c r="L28" s="20" t="s">
        <v>88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25">
      <c r="A29" t="s">
        <v>85</v>
      </c>
      <c r="B29" t="s">
        <v>91</v>
      </c>
      <c r="C29" t="s">
        <v>128</v>
      </c>
      <c r="D29">
        <v>129392</v>
      </c>
      <c r="E29" t="s">
        <v>146</v>
      </c>
      <c r="F29" t="s">
        <v>147</v>
      </c>
      <c r="G29" t="s">
        <v>95</v>
      </c>
      <c r="H29" t="s">
        <v>96</v>
      </c>
      <c r="I29" t="s">
        <v>86</v>
      </c>
      <c r="J29" t="s">
        <v>148</v>
      </c>
      <c r="K29" t="s">
        <v>87</v>
      </c>
      <c r="L29" s="20" t="s">
        <v>88</v>
      </c>
      <c r="M29">
        <v>51</v>
      </c>
      <c r="N29">
        <v>58</v>
      </c>
      <c r="O29">
        <v>39</v>
      </c>
      <c r="P29">
        <v>45</v>
      </c>
      <c r="Q29">
        <v>46</v>
      </c>
      <c r="R29">
        <v>43</v>
      </c>
      <c r="S29">
        <v>46</v>
      </c>
      <c r="T29">
        <v>328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49</v>
      </c>
      <c r="BR29">
        <v>51</v>
      </c>
      <c r="BS29">
        <v>0</v>
      </c>
      <c r="BT29">
        <v>0</v>
      </c>
      <c r="BU29">
        <v>100</v>
      </c>
    </row>
    <row r="30" spans="1:73" x14ac:dyDescent="0.25">
      <c r="A30" t="s">
        <v>85</v>
      </c>
      <c r="B30" t="s">
        <v>91</v>
      </c>
      <c r="C30" t="s">
        <v>128</v>
      </c>
      <c r="D30">
        <v>129393</v>
      </c>
      <c r="E30" t="s">
        <v>149</v>
      </c>
      <c r="F30" t="s">
        <v>150</v>
      </c>
      <c r="G30" t="s">
        <v>95</v>
      </c>
      <c r="H30" t="s">
        <v>96</v>
      </c>
      <c r="I30" t="s">
        <v>86</v>
      </c>
      <c r="J30" t="s">
        <v>151</v>
      </c>
      <c r="K30" t="s">
        <v>87</v>
      </c>
      <c r="L30" s="20" t="s">
        <v>88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 x14ac:dyDescent="0.25">
      <c r="A31" t="s">
        <v>85</v>
      </c>
      <c r="B31" t="s">
        <v>91</v>
      </c>
      <c r="C31" t="s">
        <v>128</v>
      </c>
      <c r="D31">
        <v>129394</v>
      </c>
      <c r="E31" t="s">
        <v>152</v>
      </c>
      <c r="F31" t="s">
        <v>153</v>
      </c>
      <c r="G31" t="s">
        <v>95</v>
      </c>
      <c r="H31" t="s">
        <v>96</v>
      </c>
      <c r="I31" t="s">
        <v>86</v>
      </c>
      <c r="J31" t="s">
        <v>145</v>
      </c>
      <c r="K31" t="s">
        <v>87</v>
      </c>
      <c r="L31" s="20" t="s">
        <v>88</v>
      </c>
      <c r="M31">
        <v>16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16</v>
      </c>
      <c r="BR31">
        <v>0</v>
      </c>
      <c r="BS31">
        <v>0</v>
      </c>
      <c r="BT31">
        <v>0</v>
      </c>
      <c r="BU31">
        <v>16</v>
      </c>
    </row>
    <row r="32" spans="1:73" x14ac:dyDescent="0.25">
      <c r="A32" t="s">
        <v>85</v>
      </c>
      <c r="B32" t="s">
        <v>91</v>
      </c>
      <c r="C32" t="s">
        <v>128</v>
      </c>
      <c r="D32">
        <v>129395</v>
      </c>
      <c r="E32" t="s">
        <v>154</v>
      </c>
      <c r="F32" t="s">
        <v>155</v>
      </c>
      <c r="G32" t="s">
        <v>95</v>
      </c>
      <c r="H32" t="s">
        <v>96</v>
      </c>
      <c r="I32" t="s">
        <v>86</v>
      </c>
      <c r="J32" t="s">
        <v>140</v>
      </c>
      <c r="K32" t="s">
        <v>87</v>
      </c>
      <c r="L32" s="20" t="s">
        <v>88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25</v>
      </c>
      <c r="V32">
        <v>20</v>
      </c>
      <c r="W32">
        <v>0</v>
      </c>
      <c r="X32">
        <v>0</v>
      </c>
      <c r="Y32">
        <v>0</v>
      </c>
      <c r="Z32">
        <v>0</v>
      </c>
      <c r="AA32">
        <v>0</v>
      </c>
      <c r="AB32">
        <v>45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25">
      <c r="A33" t="s">
        <v>85</v>
      </c>
      <c r="B33" t="s">
        <v>91</v>
      </c>
      <c r="C33" t="s">
        <v>128</v>
      </c>
      <c r="D33">
        <v>129396</v>
      </c>
      <c r="E33" t="s">
        <v>156</v>
      </c>
      <c r="F33" t="s">
        <v>157</v>
      </c>
      <c r="G33" t="s">
        <v>95</v>
      </c>
      <c r="H33" t="s">
        <v>96</v>
      </c>
      <c r="I33" t="s">
        <v>86</v>
      </c>
      <c r="J33" t="s">
        <v>151</v>
      </c>
      <c r="K33" t="s">
        <v>87</v>
      </c>
      <c r="L33" s="20" t="s">
        <v>88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 x14ac:dyDescent="0.25">
      <c r="A34" t="s">
        <v>85</v>
      </c>
      <c r="B34" t="s">
        <v>91</v>
      </c>
      <c r="C34" t="s">
        <v>128</v>
      </c>
      <c r="D34">
        <v>129397</v>
      </c>
      <c r="E34" t="s">
        <v>158</v>
      </c>
      <c r="F34" t="s">
        <v>159</v>
      </c>
      <c r="G34" t="s">
        <v>95</v>
      </c>
      <c r="H34" t="s">
        <v>96</v>
      </c>
      <c r="I34" t="s">
        <v>86</v>
      </c>
      <c r="J34" t="s">
        <v>160</v>
      </c>
      <c r="K34" t="s">
        <v>87</v>
      </c>
      <c r="L34" s="20" t="s">
        <v>88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x14ac:dyDescent="0.25">
      <c r="A35" t="s">
        <v>85</v>
      </c>
      <c r="B35" t="s">
        <v>91</v>
      </c>
      <c r="C35" t="s">
        <v>128</v>
      </c>
      <c r="D35">
        <v>129398</v>
      </c>
      <c r="E35" t="s">
        <v>161</v>
      </c>
      <c r="F35" t="s">
        <v>162</v>
      </c>
      <c r="G35" t="s">
        <v>95</v>
      </c>
      <c r="H35" t="s">
        <v>96</v>
      </c>
      <c r="I35" t="s">
        <v>86</v>
      </c>
      <c r="J35" t="s">
        <v>163</v>
      </c>
      <c r="K35" t="s">
        <v>87</v>
      </c>
      <c r="L35" s="20" t="s">
        <v>88</v>
      </c>
      <c r="M35">
        <v>16</v>
      </c>
      <c r="N35">
        <v>2</v>
      </c>
      <c r="O35">
        <v>2</v>
      </c>
      <c r="P35">
        <v>0</v>
      </c>
      <c r="Q35">
        <v>12</v>
      </c>
      <c r="R35">
        <v>2</v>
      </c>
      <c r="S35">
        <v>7</v>
      </c>
      <c r="T35">
        <v>41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16</v>
      </c>
      <c r="BR35">
        <v>2</v>
      </c>
      <c r="BS35">
        <v>2</v>
      </c>
      <c r="BT35">
        <v>12</v>
      </c>
      <c r="BU35">
        <v>32</v>
      </c>
    </row>
    <row r="36" spans="1:73" x14ac:dyDescent="0.25">
      <c r="A36" t="s">
        <v>85</v>
      </c>
      <c r="B36" t="s">
        <v>91</v>
      </c>
      <c r="C36" t="s">
        <v>128</v>
      </c>
      <c r="D36">
        <v>129399</v>
      </c>
      <c r="E36" t="s">
        <v>164</v>
      </c>
      <c r="F36" t="s">
        <v>165</v>
      </c>
      <c r="G36" t="s">
        <v>95</v>
      </c>
      <c r="H36" t="s">
        <v>96</v>
      </c>
      <c r="I36" t="s">
        <v>86</v>
      </c>
      <c r="J36" t="s">
        <v>166</v>
      </c>
      <c r="K36" t="s">
        <v>87</v>
      </c>
      <c r="L36" s="20" t="s">
        <v>88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 x14ac:dyDescent="0.25">
      <c r="A37" t="s">
        <v>85</v>
      </c>
      <c r="B37" t="s">
        <v>91</v>
      </c>
      <c r="C37" t="s">
        <v>128</v>
      </c>
      <c r="D37">
        <v>129400</v>
      </c>
      <c r="E37" t="s">
        <v>167</v>
      </c>
      <c r="F37" t="s">
        <v>168</v>
      </c>
      <c r="G37" t="s">
        <v>95</v>
      </c>
      <c r="H37" t="s">
        <v>96</v>
      </c>
      <c r="I37" t="s">
        <v>86</v>
      </c>
      <c r="J37" t="s">
        <v>163</v>
      </c>
      <c r="K37" t="s">
        <v>87</v>
      </c>
      <c r="L37" s="20" t="s">
        <v>88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 x14ac:dyDescent="0.25">
      <c r="A38" t="s">
        <v>85</v>
      </c>
      <c r="B38" t="s">
        <v>91</v>
      </c>
      <c r="C38" t="s">
        <v>128</v>
      </c>
      <c r="D38">
        <v>129401</v>
      </c>
      <c r="E38" t="s">
        <v>169</v>
      </c>
      <c r="F38" t="s">
        <v>170</v>
      </c>
      <c r="G38" t="s">
        <v>95</v>
      </c>
      <c r="H38" t="s">
        <v>96</v>
      </c>
      <c r="I38" t="s">
        <v>86</v>
      </c>
      <c r="J38" t="s">
        <v>137</v>
      </c>
      <c r="K38" t="s">
        <v>87</v>
      </c>
      <c r="L38" s="20" t="s">
        <v>88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x14ac:dyDescent="0.25">
      <c r="A39" t="s">
        <v>85</v>
      </c>
      <c r="B39" t="s">
        <v>91</v>
      </c>
      <c r="C39" t="s">
        <v>128</v>
      </c>
      <c r="D39">
        <v>129402</v>
      </c>
      <c r="E39" t="s">
        <v>171</v>
      </c>
      <c r="F39" t="s">
        <v>172</v>
      </c>
      <c r="G39" t="s">
        <v>95</v>
      </c>
      <c r="H39" t="s">
        <v>96</v>
      </c>
      <c r="I39" t="s">
        <v>86</v>
      </c>
      <c r="J39" t="s">
        <v>151</v>
      </c>
      <c r="K39" t="s">
        <v>87</v>
      </c>
      <c r="L39" s="20" t="s">
        <v>88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spans="1:73" x14ac:dyDescent="0.25">
      <c r="A40" t="s">
        <v>85</v>
      </c>
      <c r="B40" t="s">
        <v>91</v>
      </c>
      <c r="C40" t="s">
        <v>128</v>
      </c>
      <c r="D40">
        <v>129403</v>
      </c>
      <c r="E40" t="s">
        <v>173</v>
      </c>
      <c r="F40" t="s">
        <v>174</v>
      </c>
      <c r="G40" t="s">
        <v>95</v>
      </c>
      <c r="H40" t="s">
        <v>96</v>
      </c>
      <c r="I40" t="s">
        <v>86</v>
      </c>
      <c r="J40" t="s">
        <v>131</v>
      </c>
      <c r="K40" t="s">
        <v>87</v>
      </c>
      <c r="L40" s="20" t="s">
        <v>88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25">
      <c r="A41" t="s">
        <v>85</v>
      </c>
      <c r="B41" t="s">
        <v>91</v>
      </c>
      <c r="C41" t="s">
        <v>128</v>
      </c>
      <c r="D41">
        <v>129404</v>
      </c>
      <c r="E41" t="s">
        <v>175</v>
      </c>
      <c r="F41" t="s">
        <v>176</v>
      </c>
      <c r="G41" t="s">
        <v>95</v>
      </c>
      <c r="H41" t="s">
        <v>96</v>
      </c>
      <c r="I41" t="s">
        <v>86</v>
      </c>
      <c r="J41" t="s">
        <v>177</v>
      </c>
      <c r="K41" t="s">
        <v>87</v>
      </c>
      <c r="L41" s="20" t="s">
        <v>88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 x14ac:dyDescent="0.25">
      <c r="A42" t="s">
        <v>85</v>
      </c>
      <c r="B42" t="s">
        <v>91</v>
      </c>
      <c r="C42" t="s">
        <v>128</v>
      </c>
      <c r="D42">
        <v>129405</v>
      </c>
      <c r="E42" t="s">
        <v>178</v>
      </c>
      <c r="F42" t="s">
        <v>179</v>
      </c>
      <c r="G42" t="s">
        <v>95</v>
      </c>
      <c r="H42" t="s">
        <v>96</v>
      </c>
      <c r="I42" t="s">
        <v>86</v>
      </c>
      <c r="J42" t="s">
        <v>180</v>
      </c>
      <c r="K42" t="s">
        <v>87</v>
      </c>
      <c r="L42" s="20" t="s">
        <v>88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 x14ac:dyDescent="0.25">
      <c r="A43" t="s">
        <v>85</v>
      </c>
      <c r="B43" t="s">
        <v>91</v>
      </c>
      <c r="C43" t="s">
        <v>128</v>
      </c>
      <c r="D43">
        <v>129406</v>
      </c>
      <c r="E43" t="s">
        <v>181</v>
      </c>
      <c r="F43" t="s">
        <v>182</v>
      </c>
      <c r="G43" t="s">
        <v>95</v>
      </c>
      <c r="H43" t="s">
        <v>96</v>
      </c>
      <c r="I43" t="s">
        <v>86</v>
      </c>
      <c r="J43" t="s">
        <v>148</v>
      </c>
      <c r="K43" t="s">
        <v>87</v>
      </c>
      <c r="L43" s="20" t="s">
        <v>88</v>
      </c>
      <c r="M43">
        <v>28</v>
      </c>
      <c r="N43">
        <v>23</v>
      </c>
      <c r="O43">
        <v>16</v>
      </c>
      <c r="P43">
        <v>21</v>
      </c>
      <c r="Q43">
        <v>18</v>
      </c>
      <c r="R43">
        <v>20</v>
      </c>
      <c r="S43">
        <v>19</v>
      </c>
      <c r="T43">
        <v>145</v>
      </c>
      <c r="U43">
        <v>5</v>
      </c>
      <c r="V43">
        <v>6</v>
      </c>
      <c r="W43">
        <v>4</v>
      </c>
      <c r="X43">
        <v>8</v>
      </c>
      <c r="Y43">
        <v>3</v>
      </c>
      <c r="Z43">
        <v>5</v>
      </c>
      <c r="AA43">
        <v>4</v>
      </c>
      <c r="AB43">
        <v>35</v>
      </c>
      <c r="AC43">
        <v>5</v>
      </c>
      <c r="AD43">
        <v>6</v>
      </c>
      <c r="AE43">
        <v>4</v>
      </c>
      <c r="AF43">
        <v>6</v>
      </c>
      <c r="AG43">
        <v>4</v>
      </c>
      <c r="AH43">
        <v>5</v>
      </c>
      <c r="AI43">
        <v>5</v>
      </c>
      <c r="AJ43">
        <v>35</v>
      </c>
      <c r="AK43">
        <v>3</v>
      </c>
      <c r="AL43">
        <v>4</v>
      </c>
      <c r="AM43">
        <v>2</v>
      </c>
      <c r="AN43">
        <v>2</v>
      </c>
      <c r="AO43">
        <v>1</v>
      </c>
      <c r="AP43">
        <v>2</v>
      </c>
      <c r="AQ43">
        <v>1</v>
      </c>
      <c r="AR43">
        <v>15</v>
      </c>
      <c r="AS43">
        <v>2</v>
      </c>
      <c r="AT43">
        <v>2</v>
      </c>
      <c r="AU43">
        <v>1</v>
      </c>
      <c r="AV43">
        <v>1</v>
      </c>
      <c r="AW43">
        <v>2</v>
      </c>
      <c r="AX43">
        <v>2</v>
      </c>
      <c r="AY43">
        <v>1</v>
      </c>
      <c r="AZ43">
        <v>11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28</v>
      </c>
      <c r="BR43">
        <v>23</v>
      </c>
      <c r="BS43">
        <v>16</v>
      </c>
      <c r="BT43">
        <v>21</v>
      </c>
      <c r="BU43">
        <v>88</v>
      </c>
    </row>
    <row r="44" spans="1:73" x14ac:dyDescent="0.25">
      <c r="A44" t="s">
        <v>85</v>
      </c>
      <c r="B44" t="s">
        <v>91</v>
      </c>
      <c r="C44" t="s">
        <v>128</v>
      </c>
      <c r="D44">
        <v>129407</v>
      </c>
      <c r="E44" t="s">
        <v>183</v>
      </c>
      <c r="F44" t="s">
        <v>184</v>
      </c>
      <c r="G44" t="s">
        <v>95</v>
      </c>
      <c r="H44" t="s">
        <v>96</v>
      </c>
      <c r="I44" t="s">
        <v>86</v>
      </c>
      <c r="J44" t="s">
        <v>160</v>
      </c>
      <c r="K44" t="s">
        <v>87</v>
      </c>
      <c r="L44" s="20" t="s">
        <v>88</v>
      </c>
      <c r="M44">
        <v>0</v>
      </c>
      <c r="N44">
        <v>27</v>
      </c>
      <c r="O44">
        <v>30</v>
      </c>
      <c r="P44">
        <v>21</v>
      </c>
      <c r="Q44">
        <v>30</v>
      </c>
      <c r="R44">
        <v>33</v>
      </c>
      <c r="S44">
        <v>43</v>
      </c>
      <c r="T44">
        <v>184</v>
      </c>
      <c r="U44">
        <v>0</v>
      </c>
      <c r="V44">
        <v>0</v>
      </c>
      <c r="W44">
        <v>0</v>
      </c>
      <c r="X44">
        <v>0</v>
      </c>
      <c r="Y44">
        <v>3</v>
      </c>
      <c r="Z44">
        <v>11</v>
      </c>
      <c r="AA44">
        <v>26</v>
      </c>
      <c r="AB44">
        <v>40</v>
      </c>
      <c r="AC44">
        <v>0</v>
      </c>
      <c r="AD44">
        <v>0</v>
      </c>
      <c r="AE44">
        <v>0</v>
      </c>
      <c r="AF44">
        <v>0</v>
      </c>
      <c r="AG44">
        <v>9</v>
      </c>
      <c r="AH44">
        <v>24</v>
      </c>
      <c r="AI44">
        <v>37</v>
      </c>
      <c r="AJ44">
        <v>70</v>
      </c>
      <c r="AK44">
        <v>0</v>
      </c>
      <c r="AL44">
        <v>27</v>
      </c>
      <c r="AM44">
        <v>30</v>
      </c>
      <c r="AN44">
        <v>21</v>
      </c>
      <c r="AO44">
        <v>27</v>
      </c>
      <c r="AP44">
        <v>19</v>
      </c>
      <c r="AQ44">
        <v>17</v>
      </c>
      <c r="AR44">
        <v>141</v>
      </c>
      <c r="AS44">
        <v>0</v>
      </c>
      <c r="AT44">
        <v>86</v>
      </c>
      <c r="AU44">
        <v>108</v>
      </c>
      <c r="AV44">
        <v>53</v>
      </c>
      <c r="AW44">
        <v>41</v>
      </c>
      <c r="AX44">
        <v>48</v>
      </c>
      <c r="AY44">
        <v>37</v>
      </c>
      <c r="AZ44">
        <v>373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spans="1:73" x14ac:dyDescent="0.25">
      <c r="A45" t="s">
        <v>85</v>
      </c>
      <c r="B45" t="s">
        <v>91</v>
      </c>
      <c r="C45" t="s">
        <v>128</v>
      </c>
      <c r="D45">
        <v>129408</v>
      </c>
      <c r="E45" t="s">
        <v>185</v>
      </c>
      <c r="F45" t="s">
        <v>186</v>
      </c>
      <c r="G45" t="s">
        <v>95</v>
      </c>
      <c r="H45" t="s">
        <v>96</v>
      </c>
      <c r="I45" t="s">
        <v>86</v>
      </c>
      <c r="J45" t="s">
        <v>163</v>
      </c>
      <c r="K45" t="s">
        <v>87</v>
      </c>
      <c r="L45" s="20" t="s">
        <v>88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 x14ac:dyDescent="0.25">
      <c r="A46" t="s">
        <v>85</v>
      </c>
      <c r="B46" t="s">
        <v>91</v>
      </c>
      <c r="C46" t="s">
        <v>128</v>
      </c>
      <c r="D46">
        <v>129409</v>
      </c>
      <c r="E46" t="s">
        <v>187</v>
      </c>
      <c r="F46" t="s">
        <v>188</v>
      </c>
      <c r="G46" t="s">
        <v>95</v>
      </c>
      <c r="H46" t="s">
        <v>96</v>
      </c>
      <c r="I46" t="s">
        <v>86</v>
      </c>
      <c r="J46" t="s">
        <v>189</v>
      </c>
      <c r="K46" t="s">
        <v>87</v>
      </c>
      <c r="L46" s="20" t="s">
        <v>88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 x14ac:dyDescent="0.25">
      <c r="A47" t="s">
        <v>85</v>
      </c>
      <c r="B47" t="s">
        <v>91</v>
      </c>
      <c r="C47" t="s">
        <v>128</v>
      </c>
      <c r="D47">
        <v>257001</v>
      </c>
      <c r="E47" t="s">
        <v>190</v>
      </c>
      <c r="F47" t="s">
        <v>191</v>
      </c>
      <c r="G47" t="s">
        <v>95</v>
      </c>
      <c r="H47" t="s">
        <v>96</v>
      </c>
      <c r="I47" t="s">
        <v>86</v>
      </c>
      <c r="J47" t="s">
        <v>140</v>
      </c>
      <c r="K47" t="s">
        <v>87</v>
      </c>
      <c r="L47" s="20" t="s">
        <v>88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 x14ac:dyDescent="0.25">
      <c r="A48" t="s">
        <v>85</v>
      </c>
      <c r="B48" t="s">
        <v>91</v>
      </c>
      <c r="C48" t="s">
        <v>192</v>
      </c>
      <c r="D48">
        <v>102157</v>
      </c>
      <c r="E48" t="s">
        <v>193</v>
      </c>
      <c r="F48" t="s">
        <v>194</v>
      </c>
      <c r="G48" t="s">
        <v>95</v>
      </c>
      <c r="H48" t="s">
        <v>96</v>
      </c>
      <c r="I48" t="s">
        <v>86</v>
      </c>
      <c r="J48" t="s">
        <v>195</v>
      </c>
      <c r="K48" t="s">
        <v>87</v>
      </c>
      <c r="L48" s="20" t="s">
        <v>88</v>
      </c>
      <c r="M48">
        <v>15</v>
      </c>
      <c r="N48">
        <v>20</v>
      </c>
      <c r="O48">
        <v>16</v>
      </c>
      <c r="P48">
        <v>20</v>
      </c>
      <c r="Q48">
        <v>20</v>
      </c>
      <c r="R48">
        <v>11</v>
      </c>
      <c r="S48">
        <v>0</v>
      </c>
      <c r="T48">
        <v>102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1:73" x14ac:dyDescent="0.25">
      <c r="A49" t="s">
        <v>85</v>
      </c>
      <c r="B49" t="s">
        <v>91</v>
      </c>
      <c r="C49" t="s">
        <v>192</v>
      </c>
      <c r="D49">
        <v>102164</v>
      </c>
      <c r="E49" t="s">
        <v>196</v>
      </c>
      <c r="F49" t="s">
        <v>197</v>
      </c>
      <c r="G49" t="s">
        <v>95</v>
      </c>
      <c r="H49" t="s">
        <v>96</v>
      </c>
      <c r="I49" t="s">
        <v>86</v>
      </c>
      <c r="J49" t="s">
        <v>198</v>
      </c>
      <c r="K49" t="s">
        <v>87</v>
      </c>
      <c r="L49" s="20" t="s">
        <v>88</v>
      </c>
      <c r="M49">
        <v>9</v>
      </c>
      <c r="N49">
        <v>11</v>
      </c>
      <c r="O49">
        <v>10</v>
      </c>
      <c r="P49">
        <v>13</v>
      </c>
      <c r="Q49">
        <v>10</v>
      </c>
      <c r="R49">
        <v>9</v>
      </c>
      <c r="S49">
        <v>11</v>
      </c>
      <c r="T49">
        <v>73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25">
      <c r="A50" t="s">
        <v>85</v>
      </c>
      <c r="B50" t="s">
        <v>91</v>
      </c>
      <c r="C50" t="s">
        <v>192</v>
      </c>
      <c r="D50">
        <v>129410</v>
      </c>
      <c r="E50" t="s">
        <v>199</v>
      </c>
      <c r="F50" t="s">
        <v>200</v>
      </c>
      <c r="G50" t="s">
        <v>95</v>
      </c>
      <c r="H50" t="s">
        <v>96</v>
      </c>
      <c r="I50" t="s">
        <v>86</v>
      </c>
      <c r="J50" t="s">
        <v>201</v>
      </c>
      <c r="K50" t="s">
        <v>87</v>
      </c>
      <c r="L50" s="20" t="s">
        <v>88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5">
      <c r="A51" t="s">
        <v>85</v>
      </c>
      <c r="B51" t="s">
        <v>91</v>
      </c>
      <c r="C51" t="s">
        <v>192</v>
      </c>
      <c r="D51">
        <v>129412</v>
      </c>
      <c r="E51" t="s">
        <v>202</v>
      </c>
      <c r="F51" t="s">
        <v>203</v>
      </c>
      <c r="G51" t="s">
        <v>95</v>
      </c>
      <c r="H51" t="s">
        <v>96</v>
      </c>
      <c r="I51" t="s">
        <v>86</v>
      </c>
      <c r="J51" t="s">
        <v>204</v>
      </c>
      <c r="K51" t="s">
        <v>87</v>
      </c>
      <c r="L51" s="20" t="s">
        <v>88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25">
      <c r="A52" t="s">
        <v>85</v>
      </c>
      <c r="B52" t="s">
        <v>91</v>
      </c>
      <c r="C52" t="s">
        <v>192</v>
      </c>
      <c r="D52">
        <v>129413</v>
      </c>
      <c r="E52" t="s">
        <v>205</v>
      </c>
      <c r="F52" t="s">
        <v>206</v>
      </c>
      <c r="G52" t="s">
        <v>95</v>
      </c>
      <c r="H52" t="s">
        <v>96</v>
      </c>
      <c r="I52" t="s">
        <v>86</v>
      </c>
      <c r="J52" t="s">
        <v>201</v>
      </c>
      <c r="K52" t="s">
        <v>87</v>
      </c>
      <c r="L52" s="20" t="s">
        <v>88</v>
      </c>
      <c r="M52">
        <v>0</v>
      </c>
      <c r="N52">
        <v>3</v>
      </c>
      <c r="O52">
        <v>4</v>
      </c>
      <c r="P52">
        <v>3</v>
      </c>
      <c r="Q52">
        <v>5</v>
      </c>
      <c r="R52">
        <v>2</v>
      </c>
      <c r="S52">
        <v>3</v>
      </c>
      <c r="T52">
        <v>20</v>
      </c>
      <c r="U52">
        <v>0</v>
      </c>
      <c r="V52">
        <v>0</v>
      </c>
      <c r="W52">
        <v>0</v>
      </c>
      <c r="X52">
        <v>0</v>
      </c>
      <c r="Y52">
        <v>0</v>
      </c>
      <c r="Z52">
        <v>2</v>
      </c>
      <c r="AA52">
        <v>3</v>
      </c>
      <c r="AB52">
        <v>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</v>
      </c>
      <c r="AJ52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2</v>
      </c>
      <c r="BE52">
        <v>0</v>
      </c>
      <c r="BF52">
        <v>2</v>
      </c>
      <c r="BG52">
        <v>2</v>
      </c>
      <c r="BH52">
        <v>7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2</v>
      </c>
      <c r="BP52">
        <v>6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5">
      <c r="A53" t="s">
        <v>85</v>
      </c>
      <c r="B53" t="s">
        <v>91</v>
      </c>
      <c r="C53" t="s">
        <v>192</v>
      </c>
      <c r="D53">
        <v>129414</v>
      </c>
      <c r="E53" t="s">
        <v>207</v>
      </c>
      <c r="F53" t="s">
        <v>208</v>
      </c>
      <c r="G53" t="s">
        <v>95</v>
      </c>
      <c r="H53" t="s">
        <v>96</v>
      </c>
      <c r="I53" t="s">
        <v>86</v>
      </c>
      <c r="J53" t="s">
        <v>209</v>
      </c>
      <c r="K53" t="s">
        <v>87</v>
      </c>
      <c r="L53" s="20" t="s">
        <v>88</v>
      </c>
      <c r="M53">
        <v>4</v>
      </c>
      <c r="N53">
        <v>2</v>
      </c>
      <c r="O53">
        <v>1</v>
      </c>
      <c r="P53">
        <v>1</v>
      </c>
      <c r="Q53">
        <v>2</v>
      </c>
      <c r="R53">
        <v>3</v>
      </c>
      <c r="S53">
        <v>3</v>
      </c>
      <c r="T53">
        <v>16</v>
      </c>
      <c r="U53">
        <v>3</v>
      </c>
      <c r="V53">
        <v>2</v>
      </c>
      <c r="W53">
        <v>1</v>
      </c>
      <c r="X53">
        <v>1</v>
      </c>
      <c r="Y53">
        <v>1</v>
      </c>
      <c r="Z53">
        <v>2</v>
      </c>
      <c r="AA53">
        <v>2</v>
      </c>
      <c r="AB53">
        <v>12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2</v>
      </c>
      <c r="AM53">
        <v>1</v>
      </c>
      <c r="AN53">
        <v>1</v>
      </c>
      <c r="AO53">
        <v>1</v>
      </c>
      <c r="AP53">
        <v>2</v>
      </c>
      <c r="AQ53">
        <v>2</v>
      </c>
      <c r="AR53">
        <v>12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</v>
      </c>
      <c r="BB53">
        <v>1</v>
      </c>
      <c r="BC53">
        <v>1</v>
      </c>
      <c r="BD53">
        <v>1</v>
      </c>
      <c r="BE53">
        <v>1</v>
      </c>
      <c r="BF53">
        <v>2</v>
      </c>
      <c r="BG53">
        <v>2</v>
      </c>
      <c r="BH53">
        <v>10</v>
      </c>
      <c r="BI53">
        <v>4</v>
      </c>
      <c r="BJ53">
        <v>2</v>
      </c>
      <c r="BK53">
        <v>1</v>
      </c>
      <c r="BL53">
        <v>1</v>
      </c>
      <c r="BM53">
        <v>2</v>
      </c>
      <c r="BN53">
        <v>3</v>
      </c>
      <c r="BO53">
        <v>3</v>
      </c>
      <c r="BP53">
        <v>16</v>
      </c>
      <c r="BQ53">
        <v>4</v>
      </c>
      <c r="BR53">
        <v>2</v>
      </c>
      <c r="BS53">
        <v>1</v>
      </c>
      <c r="BT53">
        <v>1</v>
      </c>
      <c r="BU53">
        <v>8</v>
      </c>
    </row>
    <row r="54" spans="1:73" x14ac:dyDescent="0.25">
      <c r="A54" t="s">
        <v>85</v>
      </c>
      <c r="B54" t="s">
        <v>91</v>
      </c>
      <c r="C54" t="s">
        <v>192</v>
      </c>
      <c r="D54">
        <v>129417</v>
      </c>
      <c r="E54" t="s">
        <v>210</v>
      </c>
      <c r="F54" t="s">
        <v>211</v>
      </c>
      <c r="G54" t="s">
        <v>95</v>
      </c>
      <c r="H54" t="s">
        <v>96</v>
      </c>
      <c r="I54" t="s">
        <v>86</v>
      </c>
      <c r="J54" t="s">
        <v>195</v>
      </c>
      <c r="K54" t="s">
        <v>87</v>
      </c>
      <c r="L54" s="20" t="s">
        <v>88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25">
      <c r="A55" t="s">
        <v>85</v>
      </c>
      <c r="B55" t="s">
        <v>91</v>
      </c>
      <c r="C55" t="s">
        <v>192</v>
      </c>
      <c r="D55">
        <v>129418</v>
      </c>
      <c r="E55" t="s">
        <v>212</v>
      </c>
      <c r="F55" t="s">
        <v>213</v>
      </c>
      <c r="G55" t="s">
        <v>95</v>
      </c>
      <c r="H55" t="s">
        <v>96</v>
      </c>
      <c r="I55" t="s">
        <v>86</v>
      </c>
      <c r="J55" t="s">
        <v>195</v>
      </c>
      <c r="K55" t="s">
        <v>87</v>
      </c>
      <c r="L55" s="20" t="s">
        <v>88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25">
      <c r="A56" t="s">
        <v>85</v>
      </c>
      <c r="B56" t="s">
        <v>91</v>
      </c>
      <c r="C56" t="s">
        <v>192</v>
      </c>
      <c r="D56">
        <v>129419</v>
      </c>
      <c r="E56" t="s">
        <v>214</v>
      </c>
      <c r="F56" t="s">
        <v>215</v>
      </c>
      <c r="G56" t="s">
        <v>95</v>
      </c>
      <c r="H56" t="s">
        <v>96</v>
      </c>
      <c r="I56" t="s">
        <v>86</v>
      </c>
      <c r="J56" t="s">
        <v>216</v>
      </c>
      <c r="K56" t="s">
        <v>87</v>
      </c>
      <c r="L56" s="20" t="s">
        <v>88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25">
      <c r="A57" t="s">
        <v>85</v>
      </c>
      <c r="B57" t="s">
        <v>91</v>
      </c>
      <c r="C57" t="s">
        <v>192</v>
      </c>
      <c r="D57">
        <v>129420</v>
      </c>
      <c r="E57" t="s">
        <v>217</v>
      </c>
      <c r="F57" t="s">
        <v>218</v>
      </c>
      <c r="G57" t="s">
        <v>95</v>
      </c>
      <c r="H57" t="s">
        <v>96</v>
      </c>
      <c r="I57" t="s">
        <v>86</v>
      </c>
      <c r="J57" t="s">
        <v>218</v>
      </c>
      <c r="K57" t="s">
        <v>87</v>
      </c>
      <c r="L57" s="20" t="s">
        <v>88</v>
      </c>
      <c r="M57">
        <v>31</v>
      </c>
      <c r="N57">
        <v>21</v>
      </c>
      <c r="O57">
        <v>16</v>
      </c>
      <c r="P57">
        <v>21</v>
      </c>
      <c r="Q57">
        <v>19</v>
      </c>
      <c r="R57">
        <v>23</v>
      </c>
      <c r="S57">
        <v>33</v>
      </c>
      <c r="T57">
        <v>164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2</v>
      </c>
      <c r="AB57">
        <v>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</v>
      </c>
      <c r="AL57">
        <v>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25">
      <c r="A58" t="s">
        <v>85</v>
      </c>
      <c r="B58" t="s">
        <v>91</v>
      </c>
      <c r="C58" t="s">
        <v>192</v>
      </c>
      <c r="D58">
        <v>129421</v>
      </c>
      <c r="E58" t="s">
        <v>219</v>
      </c>
      <c r="F58" t="s">
        <v>220</v>
      </c>
      <c r="G58" t="s">
        <v>95</v>
      </c>
      <c r="H58" t="s">
        <v>96</v>
      </c>
      <c r="I58" t="s">
        <v>86</v>
      </c>
      <c r="J58" t="s">
        <v>201</v>
      </c>
      <c r="K58" t="s">
        <v>87</v>
      </c>
      <c r="L58" s="20" t="s">
        <v>88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25">
      <c r="A59" t="s">
        <v>85</v>
      </c>
      <c r="B59" t="s">
        <v>91</v>
      </c>
      <c r="C59" t="s">
        <v>192</v>
      </c>
      <c r="D59">
        <v>129422</v>
      </c>
      <c r="E59" t="s">
        <v>221</v>
      </c>
      <c r="F59" t="s">
        <v>222</v>
      </c>
      <c r="G59" t="s">
        <v>95</v>
      </c>
      <c r="H59" t="s">
        <v>96</v>
      </c>
      <c r="I59" t="s">
        <v>86</v>
      </c>
      <c r="J59" t="s">
        <v>195</v>
      </c>
      <c r="K59" t="s">
        <v>87</v>
      </c>
      <c r="L59" s="20" t="s">
        <v>88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25">
      <c r="A60" t="s">
        <v>85</v>
      </c>
      <c r="B60" t="s">
        <v>91</v>
      </c>
      <c r="C60" t="s">
        <v>192</v>
      </c>
      <c r="D60">
        <v>501085</v>
      </c>
      <c r="E60" t="s">
        <v>223</v>
      </c>
      <c r="F60" t="s">
        <v>224</v>
      </c>
      <c r="G60" t="s">
        <v>95</v>
      </c>
      <c r="H60" t="s">
        <v>96</v>
      </c>
      <c r="I60" t="s">
        <v>86</v>
      </c>
      <c r="J60" t="s">
        <v>225</v>
      </c>
      <c r="K60" t="s">
        <v>89</v>
      </c>
      <c r="L60" s="20" t="s">
        <v>90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 x14ac:dyDescent="0.25">
      <c r="A61" t="s">
        <v>85</v>
      </c>
      <c r="B61" t="s">
        <v>91</v>
      </c>
      <c r="C61" t="s">
        <v>192</v>
      </c>
      <c r="D61">
        <v>501086</v>
      </c>
      <c r="E61" t="s">
        <v>226</v>
      </c>
      <c r="F61" t="s">
        <v>227</v>
      </c>
      <c r="G61" t="s">
        <v>95</v>
      </c>
      <c r="H61" t="s">
        <v>96</v>
      </c>
      <c r="I61" t="s">
        <v>86</v>
      </c>
      <c r="J61" t="s">
        <v>228</v>
      </c>
      <c r="K61" t="s">
        <v>89</v>
      </c>
      <c r="L61" s="20" t="s">
        <v>90</v>
      </c>
      <c r="M61">
        <v>33</v>
      </c>
      <c r="N61">
        <v>29</v>
      </c>
      <c r="O61">
        <v>29</v>
      </c>
      <c r="P61">
        <v>33</v>
      </c>
      <c r="Q61">
        <v>35</v>
      </c>
      <c r="R61">
        <v>23</v>
      </c>
      <c r="S61">
        <v>23</v>
      </c>
      <c r="T61">
        <v>205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 x14ac:dyDescent="0.25">
      <c r="A62" t="s">
        <v>85</v>
      </c>
      <c r="B62" t="s">
        <v>91</v>
      </c>
      <c r="C62" t="s">
        <v>192</v>
      </c>
      <c r="D62">
        <v>501087</v>
      </c>
      <c r="E62" t="s">
        <v>229</v>
      </c>
      <c r="F62" t="s">
        <v>230</v>
      </c>
      <c r="G62" t="s">
        <v>95</v>
      </c>
      <c r="H62" t="s">
        <v>96</v>
      </c>
      <c r="I62" t="s">
        <v>86</v>
      </c>
      <c r="J62" t="s">
        <v>198</v>
      </c>
      <c r="K62" t="s">
        <v>89</v>
      </c>
      <c r="L62" s="20" t="s">
        <v>90</v>
      </c>
      <c r="M62">
        <v>33</v>
      </c>
      <c r="N62">
        <v>40</v>
      </c>
      <c r="O62">
        <v>36</v>
      </c>
      <c r="P62">
        <v>23</v>
      </c>
      <c r="Q62">
        <v>25</v>
      </c>
      <c r="R62">
        <v>21</v>
      </c>
      <c r="S62">
        <v>35</v>
      </c>
      <c r="T62">
        <v>213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</sheetData>
  <autoFilter ref="A8:BV62" xr:uid="{00000000-0009-0000-0000-000000000000}"/>
  <mergeCells count="10">
    <mergeCell ref="M4:T5"/>
    <mergeCell ref="U4:AJ4"/>
    <mergeCell ref="AK4:AZ4"/>
    <mergeCell ref="BA4:BH5"/>
    <mergeCell ref="BI4:BP5"/>
    <mergeCell ref="BQ4:BU5"/>
    <mergeCell ref="U5:AB5"/>
    <mergeCell ref="AC5:AJ5"/>
    <mergeCell ref="AK5:AR5"/>
    <mergeCell ref="AS5:A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D0C8-972C-42F0-93AF-4447C9276786}">
  <dimension ref="A1:AV30"/>
  <sheetViews>
    <sheetView zoomScale="85" zoomScaleNormal="85" workbookViewId="0">
      <pane xSplit="4" ySplit="8" topLeftCell="E10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1" sqref="A31:XFD76"/>
    </sheetView>
  </sheetViews>
  <sheetFormatPr defaultRowHeight="15" x14ac:dyDescent="0.25"/>
  <cols>
    <col min="2" max="2" width="27.140625" bestFit="1" customWidth="1"/>
    <col min="13" max="16" width="11.28515625" bestFit="1" customWidth="1"/>
    <col min="17" max="17" width="12.85546875" bestFit="1" customWidth="1"/>
    <col min="18" max="19" width="11.28515625" bestFit="1" customWidth="1"/>
    <col min="20" max="21" width="10.28515625" bestFit="1" customWidth="1"/>
    <col min="22" max="26" width="11.28515625" bestFit="1" customWidth="1"/>
    <col min="27" max="27" width="12.85546875" bestFit="1" customWidth="1"/>
    <col min="28" max="39" width="10.28515625" bestFit="1" customWidth="1"/>
    <col min="40" max="41" width="9.28515625" bestFit="1" customWidth="1"/>
    <col min="42" max="42" width="10.28515625" bestFit="1" customWidth="1"/>
    <col min="43" max="46" width="9.28515625" bestFit="1" customWidth="1"/>
    <col min="47" max="47" width="10.28515625" bestFit="1" customWidth="1"/>
  </cols>
  <sheetData>
    <row r="1" spans="1:48" x14ac:dyDescent="0.25">
      <c r="A1" s="1" t="s">
        <v>232</v>
      </c>
    </row>
    <row r="2" spans="1:48" x14ac:dyDescent="0.25">
      <c r="A2" s="1" t="s">
        <v>1</v>
      </c>
      <c r="L2" s="2"/>
    </row>
    <row r="3" spans="1:48" x14ac:dyDescent="0.25">
      <c r="A3" s="1" t="s">
        <v>2</v>
      </c>
      <c r="L3" s="2"/>
    </row>
    <row r="4" spans="1:48" x14ac:dyDescent="0.25">
      <c r="M4" s="9" t="s">
        <v>233</v>
      </c>
      <c r="N4" s="9"/>
      <c r="O4" s="9"/>
      <c r="P4" s="9"/>
      <c r="Q4" s="9"/>
      <c r="R4" s="21" t="s">
        <v>4</v>
      </c>
      <c r="S4" s="21"/>
      <c r="T4" s="21"/>
      <c r="U4" s="21"/>
      <c r="V4" s="21"/>
      <c r="W4" s="21"/>
      <c r="X4" s="21"/>
      <c r="Y4" s="21"/>
      <c r="Z4" s="21"/>
      <c r="AA4" s="21"/>
      <c r="AB4" s="21" t="s">
        <v>5</v>
      </c>
      <c r="AC4" s="21"/>
      <c r="AD4" s="21"/>
      <c r="AE4" s="21"/>
      <c r="AF4" s="21"/>
      <c r="AG4" s="21"/>
      <c r="AH4" s="21"/>
      <c r="AI4" s="21"/>
      <c r="AJ4" s="21"/>
      <c r="AK4" s="21"/>
      <c r="AL4" s="9" t="s">
        <v>234</v>
      </c>
      <c r="AM4" s="9"/>
      <c r="AN4" s="9"/>
      <c r="AO4" s="9"/>
      <c r="AP4" s="9"/>
      <c r="AQ4" s="9" t="s">
        <v>235</v>
      </c>
      <c r="AR4" s="9"/>
      <c r="AS4" s="9"/>
      <c r="AT4" s="9"/>
      <c r="AU4" s="9"/>
    </row>
    <row r="5" spans="1:48" x14ac:dyDescent="0.25">
      <c r="M5" s="9"/>
      <c r="N5" s="9"/>
      <c r="O5" s="9"/>
      <c r="P5" s="9"/>
      <c r="Q5" s="9"/>
      <c r="R5" s="21" t="s">
        <v>236</v>
      </c>
      <c r="S5" s="21"/>
      <c r="T5" s="21"/>
      <c r="U5" s="21"/>
      <c r="V5" s="21"/>
      <c r="W5" s="21" t="s">
        <v>237</v>
      </c>
      <c r="X5" s="21"/>
      <c r="Y5" s="21"/>
      <c r="Z5" s="21"/>
      <c r="AA5" s="21"/>
      <c r="AB5" s="21" t="s">
        <v>236</v>
      </c>
      <c r="AC5" s="21"/>
      <c r="AD5" s="21"/>
      <c r="AE5" s="21"/>
      <c r="AF5" s="21"/>
      <c r="AG5" s="21" t="s">
        <v>237</v>
      </c>
      <c r="AH5" s="21"/>
      <c r="AI5" s="21"/>
      <c r="AJ5" s="21"/>
      <c r="AK5" s="21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8" x14ac:dyDescent="0.25">
      <c r="M6" s="22" t="s">
        <v>238</v>
      </c>
      <c r="N6" s="22" t="s">
        <v>239</v>
      </c>
      <c r="O6" s="22" t="s">
        <v>240</v>
      </c>
      <c r="P6" s="22" t="s">
        <v>241</v>
      </c>
      <c r="Q6" s="15" t="s">
        <v>18</v>
      </c>
      <c r="R6" s="22" t="s">
        <v>238</v>
      </c>
      <c r="S6" s="22" t="s">
        <v>239</v>
      </c>
      <c r="T6" s="22" t="s">
        <v>240</v>
      </c>
      <c r="U6" s="22" t="s">
        <v>241</v>
      </c>
      <c r="V6" s="15" t="s">
        <v>18</v>
      </c>
      <c r="W6" s="22" t="s">
        <v>238</v>
      </c>
      <c r="X6" s="22" t="s">
        <v>239</v>
      </c>
      <c r="Y6" s="22" t="s">
        <v>240</v>
      </c>
      <c r="Z6" s="22" t="s">
        <v>241</v>
      </c>
      <c r="AA6" s="15" t="s">
        <v>18</v>
      </c>
      <c r="AB6" s="22" t="s">
        <v>238</v>
      </c>
      <c r="AC6" s="22" t="s">
        <v>239</v>
      </c>
      <c r="AD6" s="22" t="s">
        <v>240</v>
      </c>
      <c r="AE6" s="22" t="s">
        <v>241</v>
      </c>
      <c r="AF6" s="15" t="s">
        <v>18</v>
      </c>
      <c r="AG6" s="22" t="s">
        <v>238</v>
      </c>
      <c r="AH6" s="22" t="s">
        <v>239</v>
      </c>
      <c r="AI6" s="22" t="s">
        <v>240</v>
      </c>
      <c r="AJ6" s="22" t="s">
        <v>241</v>
      </c>
      <c r="AK6" s="15" t="s">
        <v>18</v>
      </c>
      <c r="AL6" s="22" t="s">
        <v>238</v>
      </c>
      <c r="AM6" s="22" t="s">
        <v>239</v>
      </c>
      <c r="AN6" s="22" t="s">
        <v>240</v>
      </c>
      <c r="AO6" s="22" t="s">
        <v>241</v>
      </c>
      <c r="AP6" s="15" t="s">
        <v>18</v>
      </c>
      <c r="AQ6" s="22" t="s">
        <v>238</v>
      </c>
      <c r="AR6" s="22" t="s">
        <v>239</v>
      </c>
      <c r="AS6" s="22" t="s">
        <v>240</v>
      </c>
      <c r="AT6" s="22" t="s">
        <v>241</v>
      </c>
      <c r="AU6" s="15" t="s">
        <v>18</v>
      </c>
    </row>
    <row r="7" spans="1:48" x14ac:dyDescent="0.25">
      <c r="M7" s="23">
        <f>SUM(M9:M30)</f>
        <v>380</v>
      </c>
      <c r="N7" s="23">
        <f>SUM(N9:N30)</f>
        <v>207</v>
      </c>
      <c r="O7" s="23">
        <f>SUM(O9:O30)</f>
        <v>167</v>
      </c>
      <c r="P7" s="23">
        <f>SUM(P9:P30)</f>
        <v>158</v>
      </c>
      <c r="Q7" s="23">
        <f>SUM(Q9:Q30)</f>
        <v>912</v>
      </c>
      <c r="R7" s="23">
        <f>SUM(R9:R30)</f>
        <v>30</v>
      </c>
      <c r="S7" s="23">
        <f>SUM(S9:S30)</f>
        <v>0</v>
      </c>
      <c r="T7" s="23">
        <f>SUM(T9:T30)</f>
        <v>0</v>
      </c>
      <c r="U7" s="23">
        <f>SUM(U9:U30)</f>
        <v>0</v>
      </c>
      <c r="V7" s="23">
        <f>SUM(V9:V30)</f>
        <v>30</v>
      </c>
      <c r="W7" s="23">
        <f>SUM(W9:W30)</f>
        <v>0</v>
      </c>
      <c r="X7" s="23">
        <f>SUM(X9:X30)</f>
        <v>0</v>
      </c>
      <c r="Y7" s="23">
        <f>SUM(Y9:Y30)</f>
        <v>0</v>
      </c>
      <c r="Z7" s="23">
        <f>SUM(Z9:Z30)</f>
        <v>0</v>
      </c>
      <c r="AA7" s="23">
        <f>SUM(AA9:AA30)</f>
        <v>0</v>
      </c>
      <c r="AB7" s="23">
        <f>SUM(AB9:AB30)</f>
        <v>0</v>
      </c>
      <c r="AC7" s="23">
        <f>SUM(AC9:AC30)</f>
        <v>0</v>
      </c>
      <c r="AD7" s="23">
        <f>SUM(AD9:AD30)</f>
        <v>0</v>
      </c>
      <c r="AE7" s="23">
        <f>SUM(AE9:AE30)</f>
        <v>0</v>
      </c>
      <c r="AF7" s="23">
        <f>SUM(AF9:AF30)</f>
        <v>0</v>
      </c>
      <c r="AG7" s="23">
        <f>SUM(AG9:AG30)</f>
        <v>0</v>
      </c>
      <c r="AH7" s="23">
        <f>SUM(AH9:AH30)</f>
        <v>0</v>
      </c>
      <c r="AI7" s="23">
        <f>SUM(AI9:AI30)</f>
        <v>0</v>
      </c>
      <c r="AJ7" s="23">
        <f>SUM(AJ9:AJ30)</f>
        <v>0</v>
      </c>
      <c r="AK7" s="23">
        <f>SUM(AK9:AK30)</f>
        <v>0</v>
      </c>
      <c r="AL7" s="23">
        <f>SUM(AL9:AL30)</f>
        <v>0</v>
      </c>
      <c r="AM7" s="23">
        <f>SUM(AM9:AM30)</f>
        <v>1</v>
      </c>
      <c r="AN7" s="23">
        <f>SUM(AN9:AN30)</f>
        <v>0</v>
      </c>
      <c r="AO7" s="23">
        <f>SUM(AO9:AO30)</f>
        <v>0</v>
      </c>
      <c r="AP7" s="23">
        <f>SUM(AP9:AP30)</f>
        <v>1</v>
      </c>
      <c r="AQ7" s="23">
        <f>SUM(AQ9:AQ30)</f>
        <v>2</v>
      </c>
      <c r="AR7" s="23">
        <f>SUM(AR9:AR30)</f>
        <v>1</v>
      </c>
      <c r="AS7" s="23">
        <f>SUM(AS9:AS30)</f>
        <v>3</v>
      </c>
      <c r="AT7" s="23">
        <f>SUM(AT9:AT30)</f>
        <v>1</v>
      </c>
      <c r="AU7" s="23">
        <f>SUM(AU9:AU30)</f>
        <v>7</v>
      </c>
    </row>
    <row r="8" spans="1:48" x14ac:dyDescent="0.25">
      <c r="A8" s="17" t="s">
        <v>19</v>
      </c>
      <c r="B8" s="17" t="s">
        <v>20</v>
      </c>
      <c r="C8" s="17" t="s">
        <v>21</v>
      </c>
      <c r="D8" s="17" t="s">
        <v>22</v>
      </c>
      <c r="E8" s="17" t="s">
        <v>23</v>
      </c>
      <c r="F8" s="17" t="s">
        <v>24</v>
      </c>
      <c r="G8" s="17" t="s">
        <v>25</v>
      </c>
      <c r="H8" s="17" t="s">
        <v>26</v>
      </c>
      <c r="I8" s="17" t="s">
        <v>27</v>
      </c>
      <c r="J8" s="17" t="s">
        <v>28</v>
      </c>
      <c r="K8" s="17" t="s">
        <v>29</v>
      </c>
      <c r="L8" s="18" t="s">
        <v>30</v>
      </c>
      <c r="M8" s="24" t="s">
        <v>242</v>
      </c>
      <c r="N8" s="24" t="s">
        <v>243</v>
      </c>
      <c r="O8" s="24" t="s">
        <v>244</v>
      </c>
      <c r="P8" s="24" t="s">
        <v>245</v>
      </c>
      <c r="Q8" s="24" t="s">
        <v>18</v>
      </c>
      <c r="R8" s="24" t="s">
        <v>246</v>
      </c>
      <c r="S8" s="24" t="s">
        <v>247</v>
      </c>
      <c r="T8" s="24" t="s">
        <v>248</v>
      </c>
      <c r="U8" s="24" t="s">
        <v>249</v>
      </c>
      <c r="V8" s="24" t="s">
        <v>18</v>
      </c>
      <c r="W8" s="24" t="s">
        <v>250</v>
      </c>
      <c r="X8" s="24" t="s">
        <v>251</v>
      </c>
      <c r="Y8" s="24" t="s">
        <v>252</v>
      </c>
      <c r="Z8" s="24" t="s">
        <v>253</v>
      </c>
      <c r="AA8" s="24" t="s">
        <v>18</v>
      </c>
      <c r="AB8" s="24" t="s">
        <v>254</v>
      </c>
      <c r="AC8" s="24" t="s">
        <v>255</v>
      </c>
      <c r="AD8" s="24" t="s">
        <v>256</v>
      </c>
      <c r="AE8" s="24" t="s">
        <v>257</v>
      </c>
      <c r="AF8" s="24" t="s">
        <v>18</v>
      </c>
      <c r="AG8" s="24" t="s">
        <v>258</v>
      </c>
      <c r="AH8" s="24" t="s">
        <v>259</v>
      </c>
      <c r="AI8" s="24" t="s">
        <v>260</v>
      </c>
      <c r="AJ8" s="24" t="s">
        <v>261</v>
      </c>
      <c r="AK8" s="24" t="s">
        <v>18</v>
      </c>
      <c r="AL8" s="24" t="s">
        <v>262</v>
      </c>
      <c r="AM8" s="24" t="s">
        <v>263</v>
      </c>
      <c r="AN8" s="24" t="s">
        <v>264</v>
      </c>
      <c r="AO8" s="24" t="s">
        <v>265</v>
      </c>
      <c r="AP8" s="24" t="s">
        <v>18</v>
      </c>
      <c r="AQ8" s="24" t="s">
        <v>266</v>
      </c>
      <c r="AR8" s="24" t="s">
        <v>267</v>
      </c>
      <c r="AS8" s="24" t="s">
        <v>268</v>
      </c>
      <c r="AT8" s="24" t="s">
        <v>269</v>
      </c>
      <c r="AU8" s="24" t="s">
        <v>18</v>
      </c>
      <c r="AV8" s="25" t="s">
        <v>84</v>
      </c>
    </row>
    <row r="9" spans="1:48" x14ac:dyDescent="0.25">
      <c r="A9" t="s">
        <v>85</v>
      </c>
      <c r="B9" t="s">
        <v>91</v>
      </c>
      <c r="C9" t="s">
        <v>92</v>
      </c>
      <c r="D9">
        <v>304325</v>
      </c>
      <c r="E9" t="s">
        <v>274</v>
      </c>
      <c r="F9" t="s">
        <v>275</v>
      </c>
      <c r="G9" t="s">
        <v>95</v>
      </c>
      <c r="H9" t="s">
        <v>96</v>
      </c>
      <c r="I9" t="s">
        <v>86</v>
      </c>
      <c r="J9" t="s">
        <v>105</v>
      </c>
      <c r="K9" t="s">
        <v>270</v>
      </c>
      <c r="L9" s="20" t="s">
        <v>271</v>
      </c>
      <c r="M9">
        <v>37</v>
      </c>
      <c r="N9">
        <v>50</v>
      </c>
      <c r="O9">
        <v>67</v>
      </c>
      <c r="P9">
        <v>76</v>
      </c>
      <c r="Q9">
        <v>230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8" x14ac:dyDescent="0.25">
      <c r="A10" t="s">
        <v>85</v>
      </c>
      <c r="B10" t="s">
        <v>91</v>
      </c>
      <c r="C10" t="s">
        <v>92</v>
      </c>
      <c r="D10">
        <v>304326</v>
      </c>
      <c r="E10" t="s">
        <v>276</v>
      </c>
      <c r="F10" t="s">
        <v>277</v>
      </c>
      <c r="G10" t="s">
        <v>95</v>
      </c>
      <c r="H10" t="s">
        <v>96</v>
      </c>
      <c r="I10" t="s">
        <v>86</v>
      </c>
      <c r="J10" t="s">
        <v>105</v>
      </c>
      <c r="K10" t="s">
        <v>270</v>
      </c>
      <c r="L10" s="20" t="s">
        <v>271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8" x14ac:dyDescent="0.25">
      <c r="A11" t="s">
        <v>85</v>
      </c>
      <c r="B11" t="s">
        <v>91</v>
      </c>
      <c r="C11" t="s">
        <v>92</v>
      </c>
      <c r="D11">
        <v>305680</v>
      </c>
      <c r="E11" t="s">
        <v>278</v>
      </c>
      <c r="F11" t="s">
        <v>279</v>
      </c>
      <c r="G11" t="s">
        <v>95</v>
      </c>
      <c r="H11" t="s">
        <v>96</v>
      </c>
      <c r="I11" t="s">
        <v>86</v>
      </c>
      <c r="J11" t="s">
        <v>140</v>
      </c>
      <c r="K11" t="s">
        <v>272</v>
      </c>
      <c r="L11" s="20" t="s">
        <v>273</v>
      </c>
      <c r="M11">
        <v>78</v>
      </c>
      <c r="N11">
        <v>52</v>
      </c>
      <c r="O11">
        <v>41</v>
      </c>
      <c r="P11">
        <v>27</v>
      </c>
      <c r="Q11">
        <v>198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2</v>
      </c>
      <c r="AR11">
        <v>1</v>
      </c>
      <c r="AS11">
        <v>3</v>
      </c>
      <c r="AT11">
        <v>1</v>
      </c>
      <c r="AU11">
        <v>7</v>
      </c>
    </row>
    <row r="12" spans="1:48" x14ac:dyDescent="0.25">
      <c r="A12" t="s">
        <v>85</v>
      </c>
      <c r="B12" t="s">
        <v>91</v>
      </c>
      <c r="C12" t="s">
        <v>92</v>
      </c>
      <c r="D12">
        <v>325104</v>
      </c>
      <c r="E12" t="s">
        <v>280</v>
      </c>
      <c r="F12" t="s">
        <v>281</v>
      </c>
      <c r="G12" t="s">
        <v>95</v>
      </c>
      <c r="H12" t="s">
        <v>96</v>
      </c>
      <c r="I12" t="s">
        <v>86</v>
      </c>
      <c r="J12" t="s">
        <v>97</v>
      </c>
      <c r="K12" t="s">
        <v>270</v>
      </c>
      <c r="L12" s="20" t="s">
        <v>271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8" x14ac:dyDescent="0.25">
      <c r="A13" t="s">
        <v>85</v>
      </c>
      <c r="B13" t="s">
        <v>91</v>
      </c>
      <c r="C13" t="s">
        <v>92</v>
      </c>
      <c r="D13">
        <v>500454</v>
      </c>
      <c r="E13" t="s">
        <v>121</v>
      </c>
      <c r="F13" t="s">
        <v>122</v>
      </c>
      <c r="G13" t="s">
        <v>95</v>
      </c>
      <c r="H13" t="s">
        <v>96</v>
      </c>
      <c r="I13" t="s">
        <v>86</v>
      </c>
      <c r="J13" t="s">
        <v>105</v>
      </c>
      <c r="K13" t="s">
        <v>123</v>
      </c>
      <c r="L13" s="20" t="s">
        <v>124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8" x14ac:dyDescent="0.25">
      <c r="A14" t="s">
        <v>85</v>
      </c>
      <c r="B14" t="s">
        <v>91</v>
      </c>
      <c r="C14" t="s">
        <v>92</v>
      </c>
      <c r="D14">
        <v>501424</v>
      </c>
      <c r="E14" t="s">
        <v>125</v>
      </c>
      <c r="F14" t="s">
        <v>126</v>
      </c>
      <c r="G14" t="s">
        <v>95</v>
      </c>
      <c r="H14" t="s">
        <v>96</v>
      </c>
      <c r="I14" t="s">
        <v>86</v>
      </c>
      <c r="J14" t="s">
        <v>127</v>
      </c>
      <c r="K14" t="s">
        <v>89</v>
      </c>
      <c r="L14" s="20" t="s">
        <v>90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8" x14ac:dyDescent="0.25">
      <c r="A15" t="s">
        <v>85</v>
      </c>
      <c r="B15" t="s">
        <v>91</v>
      </c>
      <c r="C15" t="s">
        <v>128</v>
      </c>
      <c r="D15">
        <v>304303</v>
      </c>
      <c r="E15" t="s">
        <v>282</v>
      </c>
      <c r="F15" t="s">
        <v>283</v>
      </c>
      <c r="G15" t="s">
        <v>95</v>
      </c>
      <c r="H15" t="s">
        <v>96</v>
      </c>
      <c r="I15" t="s">
        <v>86</v>
      </c>
      <c r="J15" t="s">
        <v>134</v>
      </c>
      <c r="K15" t="s">
        <v>270</v>
      </c>
      <c r="L15" s="20" t="s">
        <v>271</v>
      </c>
      <c r="M15">
        <v>152</v>
      </c>
      <c r="N15">
        <v>0</v>
      </c>
      <c r="O15">
        <v>0</v>
      </c>
      <c r="P15">
        <v>0</v>
      </c>
      <c r="Q15">
        <v>152</v>
      </c>
      <c r="R15">
        <v>30</v>
      </c>
      <c r="S15">
        <v>0</v>
      </c>
      <c r="T15">
        <v>0</v>
      </c>
      <c r="U15">
        <v>0</v>
      </c>
      <c r="V15">
        <v>30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8" x14ac:dyDescent="0.25">
      <c r="A16" t="s">
        <v>85</v>
      </c>
      <c r="B16" t="s">
        <v>91</v>
      </c>
      <c r="C16" t="s">
        <v>128</v>
      </c>
      <c r="D16">
        <v>304305</v>
      </c>
      <c r="E16" t="s">
        <v>284</v>
      </c>
      <c r="F16" t="s">
        <v>285</v>
      </c>
      <c r="G16" t="s">
        <v>95</v>
      </c>
      <c r="H16" t="s">
        <v>96</v>
      </c>
      <c r="I16" t="s">
        <v>86</v>
      </c>
      <c r="J16" t="s">
        <v>145</v>
      </c>
      <c r="K16" t="s">
        <v>270</v>
      </c>
      <c r="L16" s="20" t="s">
        <v>271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85</v>
      </c>
      <c r="B17" t="s">
        <v>91</v>
      </c>
      <c r="C17" t="s">
        <v>128</v>
      </c>
      <c r="D17">
        <v>304314</v>
      </c>
      <c r="E17" t="s">
        <v>286</v>
      </c>
      <c r="F17" t="s">
        <v>165</v>
      </c>
      <c r="G17" t="s">
        <v>95</v>
      </c>
      <c r="H17" t="s">
        <v>96</v>
      </c>
      <c r="I17" t="s">
        <v>86</v>
      </c>
      <c r="J17" t="s">
        <v>166</v>
      </c>
      <c r="K17" t="s">
        <v>270</v>
      </c>
      <c r="L17" s="20" t="s">
        <v>271</v>
      </c>
      <c r="M17">
        <v>1</v>
      </c>
      <c r="N17">
        <v>2</v>
      </c>
      <c r="O17">
        <v>5</v>
      </c>
      <c r="P17">
        <v>0</v>
      </c>
      <c r="Q17">
        <v>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85</v>
      </c>
      <c r="B18" t="s">
        <v>91</v>
      </c>
      <c r="C18" t="s">
        <v>128</v>
      </c>
      <c r="D18">
        <v>304327</v>
      </c>
      <c r="E18" t="s">
        <v>287</v>
      </c>
      <c r="F18" t="s">
        <v>288</v>
      </c>
      <c r="G18" t="s">
        <v>95</v>
      </c>
      <c r="H18" t="s">
        <v>96</v>
      </c>
      <c r="I18" t="s">
        <v>86</v>
      </c>
      <c r="J18" t="s">
        <v>163</v>
      </c>
      <c r="K18" t="s">
        <v>270</v>
      </c>
      <c r="L18" s="20" t="s">
        <v>271</v>
      </c>
      <c r="M18">
        <v>2</v>
      </c>
      <c r="N18">
        <v>1</v>
      </c>
      <c r="O18">
        <v>9</v>
      </c>
      <c r="P18">
        <v>10</v>
      </c>
      <c r="Q18">
        <v>22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85</v>
      </c>
      <c r="B19" t="s">
        <v>91</v>
      </c>
      <c r="C19" t="s">
        <v>128</v>
      </c>
      <c r="D19">
        <v>304328</v>
      </c>
      <c r="E19" t="s">
        <v>289</v>
      </c>
      <c r="F19" t="s">
        <v>290</v>
      </c>
      <c r="G19" t="s">
        <v>95</v>
      </c>
      <c r="H19" t="s">
        <v>96</v>
      </c>
      <c r="I19" t="s">
        <v>86</v>
      </c>
      <c r="J19" t="s">
        <v>140</v>
      </c>
      <c r="K19" t="s">
        <v>270</v>
      </c>
      <c r="L19" s="20" t="s">
        <v>271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85</v>
      </c>
      <c r="B20" t="s">
        <v>91</v>
      </c>
      <c r="C20" t="s">
        <v>128</v>
      </c>
      <c r="D20">
        <v>304338</v>
      </c>
      <c r="E20" t="s">
        <v>291</v>
      </c>
      <c r="F20" t="s">
        <v>292</v>
      </c>
      <c r="G20" t="s">
        <v>95</v>
      </c>
      <c r="H20" t="s">
        <v>96</v>
      </c>
      <c r="I20" t="s">
        <v>86</v>
      </c>
      <c r="J20" t="s">
        <v>180</v>
      </c>
      <c r="K20" t="s">
        <v>270</v>
      </c>
      <c r="L20" s="20" t="s">
        <v>271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85</v>
      </c>
      <c r="B21" t="s">
        <v>91</v>
      </c>
      <c r="C21" t="s">
        <v>128</v>
      </c>
      <c r="D21">
        <v>316104</v>
      </c>
      <c r="E21" t="s">
        <v>293</v>
      </c>
      <c r="F21" t="s">
        <v>231</v>
      </c>
      <c r="G21" t="s">
        <v>95</v>
      </c>
      <c r="H21" t="s">
        <v>96</v>
      </c>
      <c r="I21" t="s">
        <v>86</v>
      </c>
      <c r="J21" t="s">
        <v>151</v>
      </c>
      <c r="K21" t="s">
        <v>270</v>
      </c>
      <c r="L21" s="20" t="s">
        <v>271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85</v>
      </c>
      <c r="B22" t="s">
        <v>91</v>
      </c>
      <c r="C22" t="s">
        <v>128</v>
      </c>
      <c r="D22">
        <v>325101</v>
      </c>
      <c r="E22" t="s">
        <v>294</v>
      </c>
      <c r="F22" t="s">
        <v>295</v>
      </c>
      <c r="G22" t="s">
        <v>95</v>
      </c>
      <c r="H22" t="s">
        <v>96</v>
      </c>
      <c r="I22" t="s">
        <v>86</v>
      </c>
      <c r="J22" t="s">
        <v>140</v>
      </c>
      <c r="K22" t="s">
        <v>272</v>
      </c>
      <c r="L22" s="20" t="s">
        <v>273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85</v>
      </c>
      <c r="B23" t="s">
        <v>91</v>
      </c>
      <c r="C23" t="s">
        <v>128</v>
      </c>
      <c r="D23">
        <v>325102</v>
      </c>
      <c r="E23" t="s">
        <v>296</v>
      </c>
      <c r="F23" t="s">
        <v>297</v>
      </c>
      <c r="G23" t="s">
        <v>95</v>
      </c>
      <c r="H23" t="s">
        <v>96</v>
      </c>
      <c r="I23" t="s">
        <v>86</v>
      </c>
      <c r="J23" t="s">
        <v>137</v>
      </c>
      <c r="K23" t="s">
        <v>270</v>
      </c>
      <c r="L23" s="20" t="s">
        <v>271</v>
      </c>
      <c r="M23">
        <v>60</v>
      </c>
      <c r="N23">
        <v>63</v>
      </c>
      <c r="O23">
        <v>45</v>
      </c>
      <c r="P23">
        <v>45</v>
      </c>
      <c r="Q23">
        <v>213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85</v>
      </c>
      <c r="B24" t="s">
        <v>91</v>
      </c>
      <c r="C24" t="s">
        <v>128</v>
      </c>
      <c r="D24">
        <v>325106</v>
      </c>
      <c r="E24" t="s">
        <v>298</v>
      </c>
      <c r="F24" t="s">
        <v>215</v>
      </c>
      <c r="G24" t="s">
        <v>95</v>
      </c>
      <c r="H24" t="s">
        <v>96</v>
      </c>
      <c r="I24" t="s">
        <v>86</v>
      </c>
      <c r="J24" t="s">
        <v>189</v>
      </c>
      <c r="K24" t="s">
        <v>270</v>
      </c>
      <c r="L24" s="20" t="s">
        <v>271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85</v>
      </c>
      <c r="B25" t="s">
        <v>91</v>
      </c>
      <c r="C25" t="s">
        <v>192</v>
      </c>
      <c r="D25">
        <v>304313</v>
      </c>
      <c r="E25" t="s">
        <v>299</v>
      </c>
      <c r="F25" t="s">
        <v>300</v>
      </c>
      <c r="G25" t="s">
        <v>95</v>
      </c>
      <c r="H25" t="s">
        <v>96</v>
      </c>
      <c r="I25" t="s">
        <v>86</v>
      </c>
      <c r="J25" t="s">
        <v>201</v>
      </c>
      <c r="K25" t="s">
        <v>270</v>
      </c>
      <c r="L25" s="20" t="s">
        <v>271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85</v>
      </c>
      <c r="B26" t="s">
        <v>91</v>
      </c>
      <c r="C26" t="s">
        <v>192</v>
      </c>
      <c r="D26">
        <v>304318</v>
      </c>
      <c r="E26" t="s">
        <v>301</v>
      </c>
      <c r="F26" t="s">
        <v>302</v>
      </c>
      <c r="G26" t="s">
        <v>95</v>
      </c>
      <c r="H26" t="s">
        <v>96</v>
      </c>
      <c r="I26" t="s">
        <v>86</v>
      </c>
      <c r="J26" t="s">
        <v>209</v>
      </c>
      <c r="K26" t="s">
        <v>270</v>
      </c>
      <c r="L26" s="20" t="s">
        <v>271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85</v>
      </c>
      <c r="B27" t="s">
        <v>91</v>
      </c>
      <c r="C27" t="s">
        <v>192</v>
      </c>
      <c r="D27">
        <v>325105</v>
      </c>
      <c r="E27" t="s">
        <v>303</v>
      </c>
      <c r="F27" t="s">
        <v>211</v>
      </c>
      <c r="G27" t="s">
        <v>95</v>
      </c>
      <c r="H27" t="s">
        <v>96</v>
      </c>
      <c r="I27" t="s">
        <v>86</v>
      </c>
      <c r="J27" t="s">
        <v>195</v>
      </c>
      <c r="K27" t="s">
        <v>270</v>
      </c>
      <c r="L27" s="20" t="s">
        <v>271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85</v>
      </c>
      <c r="B28" t="s">
        <v>91</v>
      </c>
      <c r="C28" t="s">
        <v>192</v>
      </c>
      <c r="D28">
        <v>501085</v>
      </c>
      <c r="E28" t="s">
        <v>223</v>
      </c>
      <c r="F28" t="s">
        <v>224</v>
      </c>
      <c r="G28" t="s">
        <v>95</v>
      </c>
      <c r="H28" t="s">
        <v>96</v>
      </c>
      <c r="I28" t="s">
        <v>86</v>
      </c>
      <c r="J28" t="s">
        <v>225</v>
      </c>
      <c r="K28" t="s">
        <v>89</v>
      </c>
      <c r="L28" s="20" t="s">
        <v>90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 t="s">
        <v>85</v>
      </c>
      <c r="B29" t="s">
        <v>91</v>
      </c>
      <c r="C29" t="s">
        <v>192</v>
      </c>
      <c r="D29">
        <v>501086</v>
      </c>
      <c r="E29" t="s">
        <v>226</v>
      </c>
      <c r="F29" t="s">
        <v>227</v>
      </c>
      <c r="G29" t="s">
        <v>95</v>
      </c>
      <c r="H29" t="s">
        <v>96</v>
      </c>
      <c r="I29" t="s">
        <v>86</v>
      </c>
      <c r="J29" t="s">
        <v>228</v>
      </c>
      <c r="K29" t="s">
        <v>89</v>
      </c>
      <c r="L29" s="20" t="s">
        <v>90</v>
      </c>
      <c r="M29">
        <v>32</v>
      </c>
      <c r="N29">
        <v>16</v>
      </c>
      <c r="O29">
        <v>0</v>
      </c>
      <c r="P29">
        <v>0</v>
      </c>
      <c r="Q29">
        <v>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 t="s">
        <v>85</v>
      </c>
      <c r="B30" t="s">
        <v>91</v>
      </c>
      <c r="C30" t="s">
        <v>192</v>
      </c>
      <c r="D30">
        <v>501087</v>
      </c>
      <c r="E30" t="s">
        <v>229</v>
      </c>
      <c r="F30" t="s">
        <v>230</v>
      </c>
      <c r="G30" t="s">
        <v>95</v>
      </c>
      <c r="H30" t="s">
        <v>96</v>
      </c>
      <c r="I30" t="s">
        <v>86</v>
      </c>
      <c r="J30" t="s">
        <v>198</v>
      </c>
      <c r="K30" t="s">
        <v>89</v>
      </c>
      <c r="L30" s="20" t="s">
        <v>90</v>
      </c>
      <c r="M30">
        <v>18</v>
      </c>
      <c r="N30">
        <v>23</v>
      </c>
      <c r="O30">
        <v>0</v>
      </c>
      <c r="P30">
        <v>0</v>
      </c>
      <c r="Q30">
        <v>41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</sheetData>
  <autoFilter ref="A8:AV30" xr:uid="{00000000-0009-0000-0000-000001000000}"/>
  <mergeCells count="9">
    <mergeCell ref="M4:Q5"/>
    <mergeCell ref="R4:AA4"/>
    <mergeCell ref="AB4:AK4"/>
    <mergeCell ref="AL4:AP5"/>
    <mergeCell ref="AQ4:AU5"/>
    <mergeCell ref="R5:V5"/>
    <mergeCell ref="W5:AA5"/>
    <mergeCell ref="AB5:AF5"/>
    <mergeCell ref="AG5:A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BE1C-301C-4864-8E36-C1F54228B2D2}">
  <dimension ref="A1:AH24"/>
  <sheetViews>
    <sheetView tabSelected="1" zoomScale="85" zoomScaleNormal="85" workbookViewId="0">
      <pane xSplit="4" ySplit="8" topLeftCell="E9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4" sqref="B34"/>
    </sheetView>
  </sheetViews>
  <sheetFormatPr defaultRowHeight="15" x14ac:dyDescent="0.25"/>
  <cols>
    <col min="2" max="2" width="25.5703125" bestFit="1" customWidth="1"/>
    <col min="13" max="13" width="11" bestFit="1" customWidth="1"/>
    <col min="14" max="14" width="10" bestFit="1" customWidth="1"/>
    <col min="15" max="15" width="11" bestFit="1" customWidth="1"/>
    <col min="16" max="20" width="10" bestFit="1" customWidth="1"/>
    <col min="21" max="21" width="11" bestFit="1" customWidth="1"/>
    <col min="22" max="33" width="9" bestFit="1" customWidth="1"/>
  </cols>
  <sheetData>
    <row r="1" spans="1:34" x14ac:dyDescent="0.25">
      <c r="A1" s="1" t="s">
        <v>304</v>
      </c>
    </row>
    <row r="2" spans="1:34" x14ac:dyDescent="0.25">
      <c r="A2" s="1" t="s">
        <v>1</v>
      </c>
      <c r="L2" s="2"/>
    </row>
    <row r="3" spans="1:34" x14ac:dyDescent="0.25">
      <c r="A3" s="1" t="s">
        <v>2</v>
      </c>
      <c r="L3" s="2"/>
    </row>
    <row r="4" spans="1:34" x14ac:dyDescent="0.25">
      <c r="L4" s="2"/>
      <c r="M4" s="9" t="s">
        <v>3</v>
      </c>
      <c r="N4" s="9"/>
      <c r="O4" s="9"/>
      <c r="P4" s="9" t="s">
        <v>4</v>
      </c>
      <c r="Q4" s="9"/>
      <c r="R4" s="9"/>
      <c r="S4" s="9"/>
      <c r="T4" s="9"/>
      <c r="U4" s="9"/>
      <c r="V4" s="9" t="s">
        <v>5</v>
      </c>
      <c r="W4" s="9"/>
      <c r="X4" s="9"/>
      <c r="Y4" s="9"/>
      <c r="Z4" s="9"/>
      <c r="AA4" s="9"/>
      <c r="AB4" s="9" t="s">
        <v>6</v>
      </c>
      <c r="AC4" s="9"/>
      <c r="AD4" s="9"/>
      <c r="AE4" s="9" t="s">
        <v>7</v>
      </c>
      <c r="AF4" s="9"/>
      <c r="AG4" s="9"/>
    </row>
    <row r="5" spans="1:34" ht="14.45" customHeight="1" x14ac:dyDescent="0.25">
      <c r="M5" s="9"/>
      <c r="N5" s="9"/>
      <c r="O5" s="9"/>
      <c r="P5" s="9" t="s">
        <v>9</v>
      </c>
      <c r="Q5" s="9"/>
      <c r="R5" s="9"/>
      <c r="S5" s="9" t="s">
        <v>10</v>
      </c>
      <c r="T5" s="9"/>
      <c r="U5" s="9"/>
      <c r="V5" s="9" t="s">
        <v>9</v>
      </c>
      <c r="W5" s="9"/>
      <c r="X5" s="9"/>
      <c r="Y5" s="9" t="s">
        <v>10</v>
      </c>
      <c r="Z5" s="9"/>
      <c r="AA5" s="9"/>
      <c r="AB5" s="9"/>
      <c r="AC5" s="9"/>
      <c r="AD5" s="9"/>
      <c r="AE5" s="9"/>
      <c r="AF5" s="9"/>
      <c r="AG5" s="9"/>
    </row>
    <row r="6" spans="1:34" ht="14.45" customHeight="1" x14ac:dyDescent="0.25">
      <c r="M6" s="22" t="s">
        <v>305</v>
      </c>
      <c r="N6" s="22" t="s">
        <v>306</v>
      </c>
      <c r="O6" s="22" t="s">
        <v>18</v>
      </c>
      <c r="P6" s="22" t="s">
        <v>305</v>
      </c>
      <c r="Q6" s="22" t="s">
        <v>306</v>
      </c>
      <c r="R6" s="22" t="s">
        <v>18</v>
      </c>
      <c r="S6" s="22" t="s">
        <v>305</v>
      </c>
      <c r="T6" s="22" t="s">
        <v>306</v>
      </c>
      <c r="U6" s="22" t="s">
        <v>18</v>
      </c>
      <c r="V6" s="22" t="s">
        <v>305</v>
      </c>
      <c r="W6" s="22" t="s">
        <v>306</v>
      </c>
      <c r="X6" s="22" t="s">
        <v>18</v>
      </c>
      <c r="Y6" s="22" t="s">
        <v>305</v>
      </c>
      <c r="Z6" s="22" t="s">
        <v>306</v>
      </c>
      <c r="AA6" s="22" t="s">
        <v>18</v>
      </c>
      <c r="AB6" s="22" t="s">
        <v>305</v>
      </c>
      <c r="AC6" s="22" t="s">
        <v>306</v>
      </c>
      <c r="AD6" s="22" t="s">
        <v>18</v>
      </c>
      <c r="AE6" s="22" t="s">
        <v>305</v>
      </c>
      <c r="AF6" s="22" t="s">
        <v>306</v>
      </c>
      <c r="AG6" s="22" t="s">
        <v>18</v>
      </c>
    </row>
    <row r="7" spans="1:34" ht="14.45" customHeight="1" x14ac:dyDescent="0.25">
      <c r="M7" s="26">
        <f>SUM(M9:M24)</f>
        <v>32</v>
      </c>
      <c r="N7" s="26">
        <f>SUM(N9:N24)</f>
        <v>48</v>
      </c>
      <c r="O7" s="26">
        <f>SUM(O9:O24)</f>
        <v>80</v>
      </c>
      <c r="P7" s="26">
        <f>SUM(P9:P24)</f>
        <v>0</v>
      </c>
      <c r="Q7" s="26">
        <f>SUM(Q9:Q24)</f>
        <v>0</v>
      </c>
      <c r="R7" s="26">
        <f>SUM(R9:R24)</f>
        <v>0</v>
      </c>
      <c r="S7" s="26">
        <f>SUM(S9:S24)</f>
        <v>0</v>
      </c>
      <c r="T7" s="26">
        <f>SUM(T9:T24)</f>
        <v>0</v>
      </c>
      <c r="U7" s="26">
        <f>SUM(U9:U24)</f>
        <v>0</v>
      </c>
      <c r="V7" s="26">
        <f>SUM(V9:V24)</f>
        <v>0</v>
      </c>
      <c r="W7" s="26">
        <f>SUM(W9:W24)</f>
        <v>0</v>
      </c>
      <c r="X7" s="26">
        <f>SUM(X9:X24)</f>
        <v>0</v>
      </c>
      <c r="Y7" s="26">
        <f>SUM(Y9:Y24)</f>
        <v>0</v>
      </c>
      <c r="Z7" s="26">
        <f>SUM(Z9:Z24)</f>
        <v>0</v>
      </c>
      <c r="AA7" s="26">
        <f>SUM(AA9:AA24)</f>
        <v>0</v>
      </c>
      <c r="AB7" s="26">
        <f>SUM(AB9:AB24)</f>
        <v>0</v>
      </c>
      <c r="AC7" s="26">
        <f>SUM(AC9:AC24)</f>
        <v>0</v>
      </c>
      <c r="AD7" s="26">
        <f>SUM(AD9:AD24)</f>
        <v>0</v>
      </c>
      <c r="AE7" s="26">
        <f>SUM(AE9:AE24)</f>
        <v>0</v>
      </c>
      <c r="AF7" s="26">
        <f>SUM(AF9:AF24)</f>
        <v>0</v>
      </c>
      <c r="AG7" s="26">
        <f>SUM(AG9:AG24)</f>
        <v>0</v>
      </c>
    </row>
    <row r="8" spans="1:34" x14ac:dyDescent="0.25">
      <c r="A8" s="17" t="s">
        <v>19</v>
      </c>
      <c r="B8" s="17" t="s">
        <v>20</v>
      </c>
      <c r="C8" s="17" t="s">
        <v>21</v>
      </c>
      <c r="D8" s="17" t="s">
        <v>22</v>
      </c>
      <c r="E8" s="17" t="s">
        <v>23</v>
      </c>
      <c r="F8" s="17" t="s">
        <v>24</v>
      </c>
      <c r="G8" s="17" t="s">
        <v>25</v>
      </c>
      <c r="H8" s="17" t="s">
        <v>26</v>
      </c>
      <c r="I8" s="17" t="s">
        <v>27</v>
      </c>
      <c r="J8" s="17" t="s">
        <v>28</v>
      </c>
      <c r="K8" s="17" t="s">
        <v>29</v>
      </c>
      <c r="L8" s="18" t="s">
        <v>30</v>
      </c>
      <c r="M8" s="19" t="s">
        <v>307</v>
      </c>
      <c r="N8" s="19" t="s">
        <v>308</v>
      </c>
      <c r="O8" s="19" t="s">
        <v>18</v>
      </c>
      <c r="P8" s="19" t="s">
        <v>309</v>
      </c>
      <c r="Q8" s="19" t="s">
        <v>310</v>
      </c>
      <c r="R8" s="19" t="s">
        <v>18</v>
      </c>
      <c r="S8" s="19" t="s">
        <v>311</v>
      </c>
      <c r="T8" s="19" t="s">
        <v>312</v>
      </c>
      <c r="U8" s="19" t="s">
        <v>18</v>
      </c>
      <c r="V8" s="19" t="s">
        <v>313</v>
      </c>
      <c r="W8" s="19" t="s">
        <v>314</v>
      </c>
      <c r="X8" s="19" t="s">
        <v>18</v>
      </c>
      <c r="Y8" s="19" t="s">
        <v>315</v>
      </c>
      <c r="Z8" s="19" t="s">
        <v>316</v>
      </c>
      <c r="AA8" s="19" t="s">
        <v>18</v>
      </c>
      <c r="AB8" s="19" t="s">
        <v>317</v>
      </c>
      <c r="AC8" s="19" t="s">
        <v>318</v>
      </c>
      <c r="AD8" s="19" t="s">
        <v>18</v>
      </c>
      <c r="AE8" s="19" t="s">
        <v>319</v>
      </c>
      <c r="AF8" s="19" t="s">
        <v>320</v>
      </c>
      <c r="AG8" s="19" t="s">
        <v>18</v>
      </c>
      <c r="AH8" s="19" t="s">
        <v>84</v>
      </c>
    </row>
    <row r="9" spans="1:34" x14ac:dyDescent="0.25">
      <c r="A9" t="s">
        <v>85</v>
      </c>
      <c r="B9" t="s">
        <v>91</v>
      </c>
      <c r="C9" t="s">
        <v>92</v>
      </c>
      <c r="D9">
        <v>304325</v>
      </c>
      <c r="E9" t="s">
        <v>274</v>
      </c>
      <c r="F9" t="s">
        <v>275</v>
      </c>
      <c r="G9" t="s">
        <v>95</v>
      </c>
      <c r="H9" t="s">
        <v>96</v>
      </c>
      <c r="I9" t="s">
        <v>86</v>
      </c>
      <c r="J9" t="s">
        <v>105</v>
      </c>
      <c r="K9" t="s">
        <v>270</v>
      </c>
      <c r="L9" s="20" t="s">
        <v>271</v>
      </c>
      <c r="M9">
        <f>VLOOKUP($D9,[1]shs_oral_health!$D$13:$Z$7014,3,)</f>
        <v>0</v>
      </c>
      <c r="N9">
        <f>VLOOKUP($D9,[1]shs_oral_health!$D$13:$Z$7014,4,)</f>
        <v>0</v>
      </c>
      <c r="O9">
        <f>VLOOKUP($D9,[1]shs_oral_health!$D$13:$Z$7014,5,)</f>
        <v>0</v>
      </c>
      <c r="P9">
        <f>VLOOKUP($D9,[1]shs_oral_health!$D$13:$Z$7014,6,)</f>
        <v>0</v>
      </c>
      <c r="Q9">
        <f>VLOOKUP($D9,[1]shs_oral_health!$D$13:$Z$7014,7,)</f>
        <v>0</v>
      </c>
      <c r="R9">
        <f>VLOOKUP($D9,[1]shs_oral_health!$D$13:$Z$7014,8,)</f>
        <v>0</v>
      </c>
      <c r="S9">
        <f>VLOOKUP($D9,[1]shs_oral_health!$D$13:$Z$7014,9,)</f>
        <v>0</v>
      </c>
      <c r="T9">
        <f>VLOOKUP($D9,[1]shs_oral_health!$D$13:$Z$7014,10,)</f>
        <v>0</v>
      </c>
      <c r="U9">
        <f>VLOOKUP($D9,[1]shs_oral_health!$D$13:$Z$7014,11,)</f>
        <v>0</v>
      </c>
      <c r="V9">
        <f>VLOOKUP($D9,[1]shs_oral_health!$D$13:$Z$7014,12,)</f>
        <v>0</v>
      </c>
      <c r="W9">
        <f>VLOOKUP($D9,[1]shs_oral_health!$D$13:$Z$7014,13,)</f>
        <v>0</v>
      </c>
      <c r="X9">
        <f>VLOOKUP($D9,[1]shs_oral_health!$D$13:$Z$7014,14,)</f>
        <v>0</v>
      </c>
      <c r="Y9">
        <f>VLOOKUP($D9,[1]shs_oral_health!$D$13:$Z$7014,15,)</f>
        <v>0</v>
      </c>
      <c r="Z9">
        <f>VLOOKUP($D9,[1]shs_oral_health!$D$13:$Z$7014,16,)</f>
        <v>0</v>
      </c>
      <c r="AA9">
        <f>VLOOKUP($D9,[1]shs_oral_health!$D$13:$Z$7014,17,)</f>
        <v>0</v>
      </c>
      <c r="AB9">
        <f>VLOOKUP($D9,[1]shs_oral_health!$D$13:$Z$7014,18,)</f>
        <v>0</v>
      </c>
      <c r="AC9">
        <f>VLOOKUP($D9,[1]shs_oral_health!$D$13:$Z$7014,19,)</f>
        <v>0</v>
      </c>
      <c r="AD9">
        <f>VLOOKUP($D9,[1]shs_oral_health!$D$13:$Z$7014,20,)</f>
        <v>0</v>
      </c>
      <c r="AE9">
        <f>VLOOKUP($D9,[1]shs_oral_health!$D$13:$Z$7014,21,)</f>
        <v>0</v>
      </c>
      <c r="AF9">
        <f>VLOOKUP($D9,[1]shs_oral_health!$D$13:$Z$7014,22,)</f>
        <v>0</v>
      </c>
      <c r="AG9">
        <f>VLOOKUP($D9,[1]shs_oral_health!$D$13:$Z$7014,23,)</f>
        <v>0</v>
      </c>
    </row>
    <row r="10" spans="1:34" x14ac:dyDescent="0.25">
      <c r="A10" t="s">
        <v>85</v>
      </c>
      <c r="B10" t="s">
        <v>91</v>
      </c>
      <c r="C10" t="s">
        <v>92</v>
      </c>
      <c r="D10">
        <v>304326</v>
      </c>
      <c r="E10" t="s">
        <v>276</v>
      </c>
      <c r="F10" t="s">
        <v>277</v>
      </c>
      <c r="G10" t="s">
        <v>95</v>
      </c>
      <c r="H10" t="s">
        <v>96</v>
      </c>
      <c r="I10" t="s">
        <v>86</v>
      </c>
      <c r="J10" t="s">
        <v>105</v>
      </c>
      <c r="K10" t="s">
        <v>270</v>
      </c>
      <c r="L10" s="20" t="s">
        <v>271</v>
      </c>
      <c r="M10">
        <f>VLOOKUP($D10,[1]shs_oral_health!$D$13:$Z$7014,3,)</f>
        <v>0</v>
      </c>
      <c r="N10">
        <f>VLOOKUP($D10,[1]shs_oral_health!$D$13:$Z$7014,4,)</f>
        <v>0</v>
      </c>
      <c r="O10">
        <f>VLOOKUP($D10,[1]shs_oral_health!$D$13:$Z$7014,5,)</f>
        <v>0</v>
      </c>
      <c r="P10">
        <f>VLOOKUP($D10,[1]shs_oral_health!$D$13:$Z$7014,6,)</f>
        <v>0</v>
      </c>
      <c r="Q10">
        <f>VLOOKUP($D10,[1]shs_oral_health!$D$13:$Z$7014,7,)</f>
        <v>0</v>
      </c>
      <c r="R10">
        <f>VLOOKUP($D10,[1]shs_oral_health!$D$13:$Z$7014,8,)</f>
        <v>0</v>
      </c>
      <c r="S10">
        <f>VLOOKUP($D10,[1]shs_oral_health!$D$13:$Z$7014,9,)</f>
        <v>0</v>
      </c>
      <c r="T10">
        <f>VLOOKUP($D10,[1]shs_oral_health!$D$13:$Z$7014,10,)</f>
        <v>0</v>
      </c>
      <c r="U10">
        <f>VLOOKUP($D10,[1]shs_oral_health!$D$13:$Z$7014,11,)</f>
        <v>0</v>
      </c>
      <c r="V10">
        <f>VLOOKUP($D10,[1]shs_oral_health!$D$13:$Z$7014,12,)</f>
        <v>0</v>
      </c>
      <c r="W10">
        <f>VLOOKUP($D10,[1]shs_oral_health!$D$13:$Z$7014,13,)</f>
        <v>0</v>
      </c>
      <c r="X10">
        <f>VLOOKUP($D10,[1]shs_oral_health!$D$13:$Z$7014,14,)</f>
        <v>0</v>
      </c>
      <c r="Y10">
        <f>VLOOKUP($D10,[1]shs_oral_health!$D$13:$Z$7014,15,)</f>
        <v>0</v>
      </c>
      <c r="Z10">
        <f>VLOOKUP($D10,[1]shs_oral_health!$D$13:$Z$7014,16,)</f>
        <v>0</v>
      </c>
      <c r="AA10">
        <f>VLOOKUP($D10,[1]shs_oral_health!$D$13:$Z$7014,17,)</f>
        <v>0</v>
      </c>
      <c r="AB10">
        <f>VLOOKUP($D10,[1]shs_oral_health!$D$13:$Z$7014,18,)</f>
        <v>0</v>
      </c>
      <c r="AC10">
        <f>VLOOKUP($D10,[1]shs_oral_health!$D$13:$Z$7014,19,)</f>
        <v>0</v>
      </c>
      <c r="AD10">
        <f>VLOOKUP($D10,[1]shs_oral_health!$D$13:$Z$7014,20,)</f>
        <v>0</v>
      </c>
      <c r="AE10">
        <f>VLOOKUP($D10,[1]shs_oral_health!$D$13:$Z$7014,21,)</f>
        <v>0</v>
      </c>
      <c r="AF10">
        <f>VLOOKUP($D10,[1]shs_oral_health!$D$13:$Z$7014,22,)</f>
        <v>0</v>
      </c>
      <c r="AG10">
        <f>VLOOKUP($D10,[1]shs_oral_health!$D$13:$Z$7014,23,)</f>
        <v>0</v>
      </c>
    </row>
    <row r="11" spans="1:34" x14ac:dyDescent="0.25">
      <c r="A11" t="s">
        <v>85</v>
      </c>
      <c r="B11" t="s">
        <v>91</v>
      </c>
      <c r="C11" t="s">
        <v>92</v>
      </c>
      <c r="D11">
        <v>325104</v>
      </c>
      <c r="E11" t="s">
        <v>280</v>
      </c>
      <c r="F11" t="s">
        <v>281</v>
      </c>
      <c r="G11" t="s">
        <v>95</v>
      </c>
      <c r="H11" t="s">
        <v>96</v>
      </c>
      <c r="I11" t="s">
        <v>86</v>
      </c>
      <c r="J11" t="s">
        <v>97</v>
      </c>
      <c r="K11" t="s">
        <v>270</v>
      </c>
      <c r="L11" s="20" t="s">
        <v>271</v>
      </c>
      <c r="M11">
        <f>VLOOKUP($D11,[1]shs_oral_health!$D$13:$Z$7014,3,)</f>
        <v>0</v>
      </c>
      <c r="N11">
        <f>VLOOKUP($D11,[1]shs_oral_health!$D$13:$Z$7014,4,)</f>
        <v>0</v>
      </c>
      <c r="O11">
        <f>VLOOKUP($D11,[1]shs_oral_health!$D$13:$Z$7014,5,)</f>
        <v>0</v>
      </c>
      <c r="P11">
        <f>VLOOKUP($D11,[1]shs_oral_health!$D$13:$Z$7014,6,)</f>
        <v>0</v>
      </c>
      <c r="Q11">
        <f>VLOOKUP($D11,[1]shs_oral_health!$D$13:$Z$7014,7,)</f>
        <v>0</v>
      </c>
      <c r="R11">
        <f>VLOOKUP($D11,[1]shs_oral_health!$D$13:$Z$7014,8,)</f>
        <v>0</v>
      </c>
      <c r="S11">
        <f>VLOOKUP($D11,[1]shs_oral_health!$D$13:$Z$7014,9,)</f>
        <v>0</v>
      </c>
      <c r="T11">
        <f>VLOOKUP($D11,[1]shs_oral_health!$D$13:$Z$7014,10,)</f>
        <v>0</v>
      </c>
      <c r="U11">
        <f>VLOOKUP($D11,[1]shs_oral_health!$D$13:$Z$7014,11,)</f>
        <v>0</v>
      </c>
      <c r="V11">
        <f>VLOOKUP($D11,[1]shs_oral_health!$D$13:$Z$7014,12,)</f>
        <v>0</v>
      </c>
      <c r="W11">
        <f>VLOOKUP($D11,[1]shs_oral_health!$D$13:$Z$7014,13,)</f>
        <v>0</v>
      </c>
      <c r="X11">
        <f>VLOOKUP($D11,[1]shs_oral_health!$D$13:$Z$7014,14,)</f>
        <v>0</v>
      </c>
      <c r="Y11">
        <f>VLOOKUP($D11,[1]shs_oral_health!$D$13:$Z$7014,15,)</f>
        <v>0</v>
      </c>
      <c r="Z11">
        <f>VLOOKUP($D11,[1]shs_oral_health!$D$13:$Z$7014,16,)</f>
        <v>0</v>
      </c>
      <c r="AA11">
        <f>VLOOKUP($D11,[1]shs_oral_health!$D$13:$Z$7014,17,)</f>
        <v>0</v>
      </c>
      <c r="AB11">
        <f>VLOOKUP($D11,[1]shs_oral_health!$D$13:$Z$7014,18,)</f>
        <v>0</v>
      </c>
      <c r="AC11">
        <f>VLOOKUP($D11,[1]shs_oral_health!$D$13:$Z$7014,19,)</f>
        <v>0</v>
      </c>
      <c r="AD11">
        <f>VLOOKUP($D11,[1]shs_oral_health!$D$13:$Z$7014,20,)</f>
        <v>0</v>
      </c>
      <c r="AE11">
        <f>VLOOKUP($D11,[1]shs_oral_health!$D$13:$Z$7014,21,)</f>
        <v>0</v>
      </c>
      <c r="AF11">
        <f>VLOOKUP($D11,[1]shs_oral_health!$D$13:$Z$7014,22,)</f>
        <v>0</v>
      </c>
      <c r="AG11">
        <f>VLOOKUP($D11,[1]shs_oral_health!$D$13:$Z$7014,23,)</f>
        <v>0</v>
      </c>
    </row>
    <row r="12" spans="1:34" x14ac:dyDescent="0.25">
      <c r="A12" t="s">
        <v>85</v>
      </c>
      <c r="B12" t="s">
        <v>91</v>
      </c>
      <c r="C12" t="s">
        <v>92</v>
      </c>
      <c r="D12">
        <v>500454</v>
      </c>
      <c r="E12" t="s">
        <v>121</v>
      </c>
      <c r="F12" t="s">
        <v>122</v>
      </c>
      <c r="G12" t="s">
        <v>95</v>
      </c>
      <c r="H12" t="s">
        <v>96</v>
      </c>
      <c r="I12" t="s">
        <v>86</v>
      </c>
      <c r="J12" t="s">
        <v>105</v>
      </c>
      <c r="K12" t="s">
        <v>123</v>
      </c>
      <c r="L12" s="20" t="s">
        <v>124</v>
      </c>
      <c r="M12">
        <f>VLOOKUP($D12,[1]shs_oral_health!$D$13:$Z$7014,3,)</f>
        <v>0</v>
      </c>
      <c r="N12">
        <f>VLOOKUP($D12,[1]shs_oral_health!$D$13:$Z$7014,4,)</f>
        <v>0</v>
      </c>
      <c r="O12">
        <f>VLOOKUP($D12,[1]shs_oral_health!$D$13:$Z$7014,5,)</f>
        <v>0</v>
      </c>
      <c r="P12">
        <f>VLOOKUP($D12,[1]shs_oral_health!$D$13:$Z$7014,6,)</f>
        <v>0</v>
      </c>
      <c r="Q12">
        <f>VLOOKUP($D12,[1]shs_oral_health!$D$13:$Z$7014,7,)</f>
        <v>0</v>
      </c>
      <c r="R12">
        <f>VLOOKUP($D12,[1]shs_oral_health!$D$13:$Z$7014,8,)</f>
        <v>0</v>
      </c>
      <c r="S12">
        <f>VLOOKUP($D12,[1]shs_oral_health!$D$13:$Z$7014,9,)</f>
        <v>0</v>
      </c>
      <c r="T12">
        <f>VLOOKUP($D12,[1]shs_oral_health!$D$13:$Z$7014,10,)</f>
        <v>0</v>
      </c>
      <c r="U12">
        <f>VLOOKUP($D12,[1]shs_oral_health!$D$13:$Z$7014,11,)</f>
        <v>0</v>
      </c>
      <c r="V12">
        <f>VLOOKUP($D12,[1]shs_oral_health!$D$13:$Z$7014,12,)</f>
        <v>0</v>
      </c>
      <c r="W12">
        <f>VLOOKUP($D12,[1]shs_oral_health!$D$13:$Z$7014,13,)</f>
        <v>0</v>
      </c>
      <c r="X12">
        <f>VLOOKUP($D12,[1]shs_oral_health!$D$13:$Z$7014,14,)</f>
        <v>0</v>
      </c>
      <c r="Y12">
        <f>VLOOKUP($D12,[1]shs_oral_health!$D$13:$Z$7014,15,)</f>
        <v>0</v>
      </c>
      <c r="Z12">
        <f>VLOOKUP($D12,[1]shs_oral_health!$D$13:$Z$7014,16,)</f>
        <v>0</v>
      </c>
      <c r="AA12">
        <f>VLOOKUP($D12,[1]shs_oral_health!$D$13:$Z$7014,17,)</f>
        <v>0</v>
      </c>
      <c r="AB12">
        <f>VLOOKUP($D12,[1]shs_oral_health!$D$13:$Z$7014,18,)</f>
        <v>0</v>
      </c>
      <c r="AC12">
        <f>VLOOKUP($D12,[1]shs_oral_health!$D$13:$Z$7014,19,)</f>
        <v>0</v>
      </c>
      <c r="AD12">
        <f>VLOOKUP($D12,[1]shs_oral_health!$D$13:$Z$7014,20,)</f>
        <v>0</v>
      </c>
      <c r="AE12">
        <f>VLOOKUP($D12,[1]shs_oral_health!$D$13:$Z$7014,21,)</f>
        <v>0</v>
      </c>
      <c r="AF12">
        <f>VLOOKUP($D12,[1]shs_oral_health!$D$13:$Z$7014,22,)</f>
        <v>0</v>
      </c>
      <c r="AG12">
        <f>VLOOKUP($D12,[1]shs_oral_health!$D$13:$Z$7014,23,)</f>
        <v>0</v>
      </c>
    </row>
    <row r="13" spans="1:34" x14ac:dyDescent="0.25">
      <c r="A13" t="s">
        <v>85</v>
      </c>
      <c r="B13" t="s">
        <v>91</v>
      </c>
      <c r="C13" t="s">
        <v>128</v>
      </c>
      <c r="D13">
        <v>304303</v>
      </c>
      <c r="E13" t="s">
        <v>282</v>
      </c>
      <c r="F13" t="s">
        <v>283</v>
      </c>
      <c r="G13" t="s">
        <v>95</v>
      </c>
      <c r="H13" t="s">
        <v>96</v>
      </c>
      <c r="I13" t="s">
        <v>86</v>
      </c>
      <c r="J13" t="s">
        <v>134</v>
      </c>
      <c r="K13" t="s">
        <v>270</v>
      </c>
      <c r="L13" s="20" t="s">
        <v>271</v>
      </c>
      <c r="M13">
        <f>VLOOKUP($D13,[1]shs_oral_health!$D$13:$Z$7014,3,)</f>
        <v>32</v>
      </c>
      <c r="N13">
        <f>VLOOKUP($D13,[1]shs_oral_health!$D$13:$Z$7014,4,)</f>
        <v>48</v>
      </c>
      <c r="O13">
        <f>VLOOKUP($D13,[1]shs_oral_health!$D$13:$Z$7014,5,)</f>
        <v>80</v>
      </c>
      <c r="P13">
        <f>VLOOKUP($D13,[1]shs_oral_health!$D$13:$Z$7014,6,)</f>
        <v>0</v>
      </c>
      <c r="Q13">
        <f>VLOOKUP($D13,[1]shs_oral_health!$D$13:$Z$7014,7,)</f>
        <v>0</v>
      </c>
      <c r="R13">
        <f>VLOOKUP($D13,[1]shs_oral_health!$D$13:$Z$7014,8,)</f>
        <v>0</v>
      </c>
      <c r="S13">
        <f>VLOOKUP($D13,[1]shs_oral_health!$D$13:$Z$7014,9,)</f>
        <v>0</v>
      </c>
      <c r="T13">
        <f>VLOOKUP($D13,[1]shs_oral_health!$D$13:$Z$7014,10,)</f>
        <v>0</v>
      </c>
      <c r="U13">
        <f>VLOOKUP($D13,[1]shs_oral_health!$D$13:$Z$7014,11,)</f>
        <v>0</v>
      </c>
      <c r="V13">
        <f>VLOOKUP($D13,[1]shs_oral_health!$D$13:$Z$7014,12,)</f>
        <v>0</v>
      </c>
      <c r="W13">
        <f>VLOOKUP($D13,[1]shs_oral_health!$D$13:$Z$7014,13,)</f>
        <v>0</v>
      </c>
      <c r="X13">
        <f>VLOOKUP($D13,[1]shs_oral_health!$D$13:$Z$7014,14,)</f>
        <v>0</v>
      </c>
      <c r="Y13">
        <f>VLOOKUP($D13,[1]shs_oral_health!$D$13:$Z$7014,15,)</f>
        <v>0</v>
      </c>
      <c r="Z13">
        <f>VLOOKUP($D13,[1]shs_oral_health!$D$13:$Z$7014,16,)</f>
        <v>0</v>
      </c>
      <c r="AA13">
        <f>VLOOKUP($D13,[1]shs_oral_health!$D$13:$Z$7014,17,)</f>
        <v>0</v>
      </c>
      <c r="AB13">
        <f>VLOOKUP($D13,[1]shs_oral_health!$D$13:$Z$7014,18,)</f>
        <v>0</v>
      </c>
      <c r="AC13">
        <f>VLOOKUP($D13,[1]shs_oral_health!$D$13:$Z$7014,19,)</f>
        <v>0</v>
      </c>
      <c r="AD13">
        <f>VLOOKUP($D13,[1]shs_oral_health!$D$13:$Z$7014,20,)</f>
        <v>0</v>
      </c>
      <c r="AE13">
        <f>VLOOKUP($D13,[1]shs_oral_health!$D$13:$Z$7014,21,)</f>
        <v>0</v>
      </c>
      <c r="AF13">
        <f>VLOOKUP($D13,[1]shs_oral_health!$D$13:$Z$7014,22,)</f>
        <v>0</v>
      </c>
      <c r="AG13">
        <f>VLOOKUP($D13,[1]shs_oral_health!$D$13:$Z$7014,23,)</f>
        <v>0</v>
      </c>
    </row>
    <row r="14" spans="1:34" x14ac:dyDescent="0.25">
      <c r="A14" t="s">
        <v>85</v>
      </c>
      <c r="B14" t="s">
        <v>91</v>
      </c>
      <c r="C14" t="s">
        <v>128</v>
      </c>
      <c r="D14">
        <v>304305</v>
      </c>
      <c r="E14" t="s">
        <v>284</v>
      </c>
      <c r="F14" t="s">
        <v>285</v>
      </c>
      <c r="G14" t="s">
        <v>95</v>
      </c>
      <c r="H14" t="s">
        <v>96</v>
      </c>
      <c r="I14" t="s">
        <v>86</v>
      </c>
      <c r="J14" t="s">
        <v>145</v>
      </c>
      <c r="K14" t="s">
        <v>270</v>
      </c>
      <c r="L14" s="20" t="s">
        <v>271</v>
      </c>
      <c r="M14">
        <f>VLOOKUP($D14,[1]shs_oral_health!$D$13:$Z$7014,3,)</f>
        <v>0</v>
      </c>
      <c r="N14">
        <f>VLOOKUP($D14,[1]shs_oral_health!$D$13:$Z$7014,4,)</f>
        <v>0</v>
      </c>
      <c r="O14">
        <f>VLOOKUP($D14,[1]shs_oral_health!$D$13:$Z$7014,5,)</f>
        <v>0</v>
      </c>
      <c r="P14">
        <f>VLOOKUP($D14,[1]shs_oral_health!$D$13:$Z$7014,6,)</f>
        <v>0</v>
      </c>
      <c r="Q14">
        <f>VLOOKUP($D14,[1]shs_oral_health!$D$13:$Z$7014,7,)</f>
        <v>0</v>
      </c>
      <c r="R14">
        <f>VLOOKUP($D14,[1]shs_oral_health!$D$13:$Z$7014,8,)</f>
        <v>0</v>
      </c>
      <c r="S14">
        <f>VLOOKUP($D14,[1]shs_oral_health!$D$13:$Z$7014,9,)</f>
        <v>0</v>
      </c>
      <c r="T14">
        <f>VLOOKUP($D14,[1]shs_oral_health!$D$13:$Z$7014,10,)</f>
        <v>0</v>
      </c>
      <c r="U14">
        <f>VLOOKUP($D14,[1]shs_oral_health!$D$13:$Z$7014,11,)</f>
        <v>0</v>
      </c>
      <c r="V14">
        <f>VLOOKUP($D14,[1]shs_oral_health!$D$13:$Z$7014,12,)</f>
        <v>0</v>
      </c>
      <c r="W14">
        <f>VLOOKUP($D14,[1]shs_oral_health!$D$13:$Z$7014,13,)</f>
        <v>0</v>
      </c>
      <c r="X14">
        <f>VLOOKUP($D14,[1]shs_oral_health!$D$13:$Z$7014,14,)</f>
        <v>0</v>
      </c>
      <c r="Y14">
        <f>VLOOKUP($D14,[1]shs_oral_health!$D$13:$Z$7014,15,)</f>
        <v>0</v>
      </c>
      <c r="Z14">
        <f>VLOOKUP($D14,[1]shs_oral_health!$D$13:$Z$7014,16,)</f>
        <v>0</v>
      </c>
      <c r="AA14">
        <f>VLOOKUP($D14,[1]shs_oral_health!$D$13:$Z$7014,17,)</f>
        <v>0</v>
      </c>
      <c r="AB14">
        <f>VLOOKUP($D14,[1]shs_oral_health!$D$13:$Z$7014,18,)</f>
        <v>0</v>
      </c>
      <c r="AC14">
        <f>VLOOKUP($D14,[1]shs_oral_health!$D$13:$Z$7014,19,)</f>
        <v>0</v>
      </c>
      <c r="AD14">
        <f>VLOOKUP($D14,[1]shs_oral_health!$D$13:$Z$7014,20,)</f>
        <v>0</v>
      </c>
      <c r="AE14">
        <f>VLOOKUP($D14,[1]shs_oral_health!$D$13:$Z$7014,21,)</f>
        <v>0</v>
      </c>
      <c r="AF14">
        <f>VLOOKUP($D14,[1]shs_oral_health!$D$13:$Z$7014,22,)</f>
        <v>0</v>
      </c>
      <c r="AG14">
        <f>VLOOKUP($D14,[1]shs_oral_health!$D$13:$Z$7014,23,)</f>
        <v>0</v>
      </c>
    </row>
    <row r="15" spans="1:34" x14ac:dyDescent="0.25">
      <c r="A15" t="s">
        <v>85</v>
      </c>
      <c r="B15" t="s">
        <v>91</v>
      </c>
      <c r="C15" t="s">
        <v>128</v>
      </c>
      <c r="D15">
        <v>304314</v>
      </c>
      <c r="E15" t="s">
        <v>286</v>
      </c>
      <c r="F15" t="s">
        <v>165</v>
      </c>
      <c r="G15" t="s">
        <v>95</v>
      </c>
      <c r="H15" t="s">
        <v>96</v>
      </c>
      <c r="I15" t="s">
        <v>86</v>
      </c>
      <c r="J15" t="s">
        <v>166</v>
      </c>
      <c r="K15" t="s">
        <v>270</v>
      </c>
      <c r="L15" s="20" t="s">
        <v>271</v>
      </c>
      <c r="M15">
        <f>VLOOKUP($D15,[1]shs_oral_health!$D$13:$Z$7014,3,)</f>
        <v>0</v>
      </c>
      <c r="N15">
        <f>VLOOKUP($D15,[1]shs_oral_health!$D$13:$Z$7014,4,)</f>
        <v>0</v>
      </c>
      <c r="O15">
        <f>VLOOKUP($D15,[1]shs_oral_health!$D$13:$Z$7014,5,)</f>
        <v>0</v>
      </c>
      <c r="P15">
        <f>VLOOKUP($D15,[1]shs_oral_health!$D$13:$Z$7014,6,)</f>
        <v>0</v>
      </c>
      <c r="Q15">
        <f>VLOOKUP($D15,[1]shs_oral_health!$D$13:$Z$7014,7,)</f>
        <v>0</v>
      </c>
      <c r="R15">
        <f>VLOOKUP($D15,[1]shs_oral_health!$D$13:$Z$7014,8,)</f>
        <v>0</v>
      </c>
      <c r="S15">
        <f>VLOOKUP($D15,[1]shs_oral_health!$D$13:$Z$7014,9,)</f>
        <v>0</v>
      </c>
      <c r="T15">
        <f>VLOOKUP($D15,[1]shs_oral_health!$D$13:$Z$7014,10,)</f>
        <v>0</v>
      </c>
      <c r="U15">
        <f>VLOOKUP($D15,[1]shs_oral_health!$D$13:$Z$7014,11,)</f>
        <v>0</v>
      </c>
      <c r="V15">
        <f>VLOOKUP($D15,[1]shs_oral_health!$D$13:$Z$7014,12,)</f>
        <v>0</v>
      </c>
      <c r="W15">
        <f>VLOOKUP($D15,[1]shs_oral_health!$D$13:$Z$7014,13,)</f>
        <v>0</v>
      </c>
      <c r="X15">
        <f>VLOOKUP($D15,[1]shs_oral_health!$D$13:$Z$7014,14,)</f>
        <v>0</v>
      </c>
      <c r="Y15">
        <f>VLOOKUP($D15,[1]shs_oral_health!$D$13:$Z$7014,15,)</f>
        <v>0</v>
      </c>
      <c r="Z15">
        <f>VLOOKUP($D15,[1]shs_oral_health!$D$13:$Z$7014,16,)</f>
        <v>0</v>
      </c>
      <c r="AA15">
        <f>VLOOKUP($D15,[1]shs_oral_health!$D$13:$Z$7014,17,)</f>
        <v>0</v>
      </c>
      <c r="AB15">
        <f>VLOOKUP($D15,[1]shs_oral_health!$D$13:$Z$7014,18,)</f>
        <v>0</v>
      </c>
      <c r="AC15">
        <f>VLOOKUP($D15,[1]shs_oral_health!$D$13:$Z$7014,19,)</f>
        <v>0</v>
      </c>
      <c r="AD15">
        <f>VLOOKUP($D15,[1]shs_oral_health!$D$13:$Z$7014,20,)</f>
        <v>0</v>
      </c>
      <c r="AE15">
        <f>VLOOKUP($D15,[1]shs_oral_health!$D$13:$Z$7014,21,)</f>
        <v>0</v>
      </c>
      <c r="AF15">
        <f>VLOOKUP($D15,[1]shs_oral_health!$D$13:$Z$7014,22,)</f>
        <v>0</v>
      </c>
      <c r="AG15">
        <f>VLOOKUP($D15,[1]shs_oral_health!$D$13:$Z$7014,23,)</f>
        <v>0</v>
      </c>
    </row>
    <row r="16" spans="1:34" x14ac:dyDescent="0.25">
      <c r="A16" t="s">
        <v>85</v>
      </c>
      <c r="B16" t="s">
        <v>91</v>
      </c>
      <c r="C16" t="s">
        <v>128</v>
      </c>
      <c r="D16">
        <v>304327</v>
      </c>
      <c r="E16" t="s">
        <v>287</v>
      </c>
      <c r="F16" t="s">
        <v>288</v>
      </c>
      <c r="G16" t="s">
        <v>95</v>
      </c>
      <c r="H16" t="s">
        <v>96</v>
      </c>
      <c r="I16" t="s">
        <v>86</v>
      </c>
      <c r="J16" t="s">
        <v>163</v>
      </c>
      <c r="K16" t="s">
        <v>270</v>
      </c>
      <c r="L16" s="20" t="s">
        <v>271</v>
      </c>
      <c r="M16">
        <f>VLOOKUP($D16,[1]shs_oral_health!$D$13:$Z$7014,3,)</f>
        <v>0</v>
      </c>
      <c r="N16">
        <f>VLOOKUP($D16,[1]shs_oral_health!$D$13:$Z$7014,4,)</f>
        <v>0</v>
      </c>
      <c r="O16">
        <f>VLOOKUP($D16,[1]shs_oral_health!$D$13:$Z$7014,5,)</f>
        <v>0</v>
      </c>
      <c r="P16">
        <f>VLOOKUP($D16,[1]shs_oral_health!$D$13:$Z$7014,6,)</f>
        <v>0</v>
      </c>
      <c r="Q16">
        <f>VLOOKUP($D16,[1]shs_oral_health!$D$13:$Z$7014,7,)</f>
        <v>0</v>
      </c>
      <c r="R16">
        <f>VLOOKUP($D16,[1]shs_oral_health!$D$13:$Z$7014,8,)</f>
        <v>0</v>
      </c>
      <c r="S16">
        <f>VLOOKUP($D16,[1]shs_oral_health!$D$13:$Z$7014,9,)</f>
        <v>0</v>
      </c>
      <c r="T16">
        <f>VLOOKUP($D16,[1]shs_oral_health!$D$13:$Z$7014,10,)</f>
        <v>0</v>
      </c>
      <c r="U16">
        <f>VLOOKUP($D16,[1]shs_oral_health!$D$13:$Z$7014,11,)</f>
        <v>0</v>
      </c>
      <c r="V16">
        <f>VLOOKUP($D16,[1]shs_oral_health!$D$13:$Z$7014,12,)</f>
        <v>0</v>
      </c>
      <c r="W16">
        <f>VLOOKUP($D16,[1]shs_oral_health!$D$13:$Z$7014,13,)</f>
        <v>0</v>
      </c>
      <c r="X16">
        <f>VLOOKUP($D16,[1]shs_oral_health!$D$13:$Z$7014,14,)</f>
        <v>0</v>
      </c>
      <c r="Y16">
        <f>VLOOKUP($D16,[1]shs_oral_health!$D$13:$Z$7014,15,)</f>
        <v>0</v>
      </c>
      <c r="Z16">
        <f>VLOOKUP($D16,[1]shs_oral_health!$D$13:$Z$7014,16,)</f>
        <v>0</v>
      </c>
      <c r="AA16">
        <f>VLOOKUP($D16,[1]shs_oral_health!$D$13:$Z$7014,17,)</f>
        <v>0</v>
      </c>
      <c r="AB16">
        <f>VLOOKUP($D16,[1]shs_oral_health!$D$13:$Z$7014,18,)</f>
        <v>0</v>
      </c>
      <c r="AC16">
        <f>VLOOKUP($D16,[1]shs_oral_health!$D$13:$Z$7014,19,)</f>
        <v>0</v>
      </c>
      <c r="AD16">
        <f>VLOOKUP($D16,[1]shs_oral_health!$D$13:$Z$7014,20,)</f>
        <v>0</v>
      </c>
      <c r="AE16">
        <f>VLOOKUP($D16,[1]shs_oral_health!$D$13:$Z$7014,21,)</f>
        <v>0</v>
      </c>
      <c r="AF16">
        <f>VLOOKUP($D16,[1]shs_oral_health!$D$13:$Z$7014,22,)</f>
        <v>0</v>
      </c>
      <c r="AG16">
        <f>VLOOKUP($D16,[1]shs_oral_health!$D$13:$Z$7014,23,)</f>
        <v>0</v>
      </c>
    </row>
    <row r="17" spans="1:33" x14ac:dyDescent="0.25">
      <c r="A17" t="s">
        <v>85</v>
      </c>
      <c r="B17" t="s">
        <v>91</v>
      </c>
      <c r="C17" t="s">
        <v>128</v>
      </c>
      <c r="D17">
        <v>304328</v>
      </c>
      <c r="E17" t="s">
        <v>289</v>
      </c>
      <c r="F17" t="s">
        <v>290</v>
      </c>
      <c r="G17" t="s">
        <v>95</v>
      </c>
      <c r="H17" t="s">
        <v>96</v>
      </c>
      <c r="I17" t="s">
        <v>86</v>
      </c>
      <c r="J17" t="s">
        <v>140</v>
      </c>
      <c r="K17" t="s">
        <v>270</v>
      </c>
      <c r="L17" s="20" t="s">
        <v>271</v>
      </c>
      <c r="M17">
        <f>VLOOKUP($D17,[1]shs_oral_health!$D$13:$Z$7014,3,)</f>
        <v>0</v>
      </c>
      <c r="N17">
        <f>VLOOKUP($D17,[1]shs_oral_health!$D$13:$Z$7014,4,)</f>
        <v>0</v>
      </c>
      <c r="O17">
        <f>VLOOKUP($D17,[1]shs_oral_health!$D$13:$Z$7014,5,)</f>
        <v>0</v>
      </c>
      <c r="P17">
        <f>VLOOKUP($D17,[1]shs_oral_health!$D$13:$Z$7014,6,)</f>
        <v>0</v>
      </c>
      <c r="Q17">
        <f>VLOOKUP($D17,[1]shs_oral_health!$D$13:$Z$7014,7,)</f>
        <v>0</v>
      </c>
      <c r="R17">
        <f>VLOOKUP($D17,[1]shs_oral_health!$D$13:$Z$7014,8,)</f>
        <v>0</v>
      </c>
      <c r="S17">
        <f>VLOOKUP($D17,[1]shs_oral_health!$D$13:$Z$7014,9,)</f>
        <v>0</v>
      </c>
      <c r="T17">
        <f>VLOOKUP($D17,[1]shs_oral_health!$D$13:$Z$7014,10,)</f>
        <v>0</v>
      </c>
      <c r="U17">
        <f>VLOOKUP($D17,[1]shs_oral_health!$D$13:$Z$7014,11,)</f>
        <v>0</v>
      </c>
      <c r="V17">
        <f>VLOOKUP($D17,[1]shs_oral_health!$D$13:$Z$7014,12,)</f>
        <v>0</v>
      </c>
      <c r="W17">
        <f>VLOOKUP($D17,[1]shs_oral_health!$D$13:$Z$7014,13,)</f>
        <v>0</v>
      </c>
      <c r="X17">
        <f>VLOOKUP($D17,[1]shs_oral_health!$D$13:$Z$7014,14,)</f>
        <v>0</v>
      </c>
      <c r="Y17">
        <f>VLOOKUP($D17,[1]shs_oral_health!$D$13:$Z$7014,15,)</f>
        <v>0</v>
      </c>
      <c r="Z17">
        <f>VLOOKUP($D17,[1]shs_oral_health!$D$13:$Z$7014,16,)</f>
        <v>0</v>
      </c>
      <c r="AA17">
        <f>VLOOKUP($D17,[1]shs_oral_health!$D$13:$Z$7014,17,)</f>
        <v>0</v>
      </c>
      <c r="AB17">
        <f>VLOOKUP($D17,[1]shs_oral_health!$D$13:$Z$7014,18,)</f>
        <v>0</v>
      </c>
      <c r="AC17">
        <f>VLOOKUP($D17,[1]shs_oral_health!$D$13:$Z$7014,19,)</f>
        <v>0</v>
      </c>
      <c r="AD17">
        <f>VLOOKUP($D17,[1]shs_oral_health!$D$13:$Z$7014,20,)</f>
        <v>0</v>
      </c>
      <c r="AE17">
        <f>VLOOKUP($D17,[1]shs_oral_health!$D$13:$Z$7014,21,)</f>
        <v>0</v>
      </c>
      <c r="AF17">
        <f>VLOOKUP($D17,[1]shs_oral_health!$D$13:$Z$7014,22,)</f>
        <v>0</v>
      </c>
      <c r="AG17">
        <f>VLOOKUP($D17,[1]shs_oral_health!$D$13:$Z$7014,23,)</f>
        <v>0</v>
      </c>
    </row>
    <row r="18" spans="1:33" x14ac:dyDescent="0.25">
      <c r="A18" t="s">
        <v>85</v>
      </c>
      <c r="B18" t="s">
        <v>91</v>
      </c>
      <c r="C18" t="s">
        <v>128</v>
      </c>
      <c r="D18">
        <v>304338</v>
      </c>
      <c r="E18" t="s">
        <v>291</v>
      </c>
      <c r="F18" t="s">
        <v>292</v>
      </c>
      <c r="G18" t="s">
        <v>95</v>
      </c>
      <c r="H18" t="s">
        <v>96</v>
      </c>
      <c r="I18" t="s">
        <v>86</v>
      </c>
      <c r="J18" t="s">
        <v>180</v>
      </c>
      <c r="K18" t="s">
        <v>270</v>
      </c>
      <c r="L18" s="20" t="s">
        <v>271</v>
      </c>
      <c r="M18">
        <f>VLOOKUP($D18,[1]shs_oral_health!$D$13:$Z$7014,3,)</f>
        <v>0</v>
      </c>
      <c r="N18">
        <f>VLOOKUP($D18,[1]shs_oral_health!$D$13:$Z$7014,4,)</f>
        <v>0</v>
      </c>
      <c r="O18">
        <f>VLOOKUP($D18,[1]shs_oral_health!$D$13:$Z$7014,5,)</f>
        <v>0</v>
      </c>
      <c r="P18">
        <f>VLOOKUP($D18,[1]shs_oral_health!$D$13:$Z$7014,6,)</f>
        <v>0</v>
      </c>
      <c r="Q18">
        <f>VLOOKUP($D18,[1]shs_oral_health!$D$13:$Z$7014,7,)</f>
        <v>0</v>
      </c>
      <c r="R18">
        <f>VLOOKUP($D18,[1]shs_oral_health!$D$13:$Z$7014,8,)</f>
        <v>0</v>
      </c>
      <c r="S18">
        <f>VLOOKUP($D18,[1]shs_oral_health!$D$13:$Z$7014,9,)</f>
        <v>0</v>
      </c>
      <c r="T18">
        <f>VLOOKUP($D18,[1]shs_oral_health!$D$13:$Z$7014,10,)</f>
        <v>0</v>
      </c>
      <c r="U18">
        <f>VLOOKUP($D18,[1]shs_oral_health!$D$13:$Z$7014,11,)</f>
        <v>0</v>
      </c>
      <c r="V18">
        <f>VLOOKUP($D18,[1]shs_oral_health!$D$13:$Z$7014,12,)</f>
        <v>0</v>
      </c>
      <c r="W18">
        <f>VLOOKUP($D18,[1]shs_oral_health!$D$13:$Z$7014,13,)</f>
        <v>0</v>
      </c>
      <c r="X18">
        <f>VLOOKUP($D18,[1]shs_oral_health!$D$13:$Z$7014,14,)</f>
        <v>0</v>
      </c>
      <c r="Y18">
        <f>VLOOKUP($D18,[1]shs_oral_health!$D$13:$Z$7014,15,)</f>
        <v>0</v>
      </c>
      <c r="Z18">
        <f>VLOOKUP($D18,[1]shs_oral_health!$D$13:$Z$7014,16,)</f>
        <v>0</v>
      </c>
      <c r="AA18">
        <f>VLOOKUP($D18,[1]shs_oral_health!$D$13:$Z$7014,17,)</f>
        <v>0</v>
      </c>
      <c r="AB18">
        <f>VLOOKUP($D18,[1]shs_oral_health!$D$13:$Z$7014,18,)</f>
        <v>0</v>
      </c>
      <c r="AC18">
        <f>VLOOKUP($D18,[1]shs_oral_health!$D$13:$Z$7014,19,)</f>
        <v>0</v>
      </c>
      <c r="AD18">
        <f>VLOOKUP($D18,[1]shs_oral_health!$D$13:$Z$7014,20,)</f>
        <v>0</v>
      </c>
      <c r="AE18">
        <f>VLOOKUP($D18,[1]shs_oral_health!$D$13:$Z$7014,21,)</f>
        <v>0</v>
      </c>
      <c r="AF18">
        <f>VLOOKUP($D18,[1]shs_oral_health!$D$13:$Z$7014,22,)</f>
        <v>0</v>
      </c>
      <c r="AG18">
        <f>VLOOKUP($D18,[1]shs_oral_health!$D$13:$Z$7014,23,)</f>
        <v>0</v>
      </c>
    </row>
    <row r="19" spans="1:33" x14ac:dyDescent="0.25">
      <c r="A19" t="s">
        <v>85</v>
      </c>
      <c r="B19" t="s">
        <v>91</v>
      </c>
      <c r="C19" t="s">
        <v>128</v>
      </c>
      <c r="D19">
        <v>316104</v>
      </c>
      <c r="E19" t="s">
        <v>293</v>
      </c>
      <c r="F19" t="s">
        <v>231</v>
      </c>
      <c r="G19" t="s">
        <v>95</v>
      </c>
      <c r="H19" t="s">
        <v>96</v>
      </c>
      <c r="I19" t="s">
        <v>86</v>
      </c>
      <c r="J19" t="s">
        <v>151</v>
      </c>
      <c r="K19" t="s">
        <v>270</v>
      </c>
      <c r="L19" s="20" t="s">
        <v>271</v>
      </c>
      <c r="M19">
        <f>VLOOKUP($D19,[1]shs_oral_health!$D$13:$Z$7014,3,)</f>
        <v>0</v>
      </c>
      <c r="N19">
        <f>VLOOKUP($D19,[1]shs_oral_health!$D$13:$Z$7014,4,)</f>
        <v>0</v>
      </c>
      <c r="O19">
        <f>VLOOKUP($D19,[1]shs_oral_health!$D$13:$Z$7014,5,)</f>
        <v>0</v>
      </c>
      <c r="P19">
        <f>VLOOKUP($D19,[1]shs_oral_health!$D$13:$Z$7014,6,)</f>
        <v>0</v>
      </c>
      <c r="Q19">
        <f>VLOOKUP($D19,[1]shs_oral_health!$D$13:$Z$7014,7,)</f>
        <v>0</v>
      </c>
      <c r="R19">
        <f>VLOOKUP($D19,[1]shs_oral_health!$D$13:$Z$7014,8,)</f>
        <v>0</v>
      </c>
      <c r="S19">
        <f>VLOOKUP($D19,[1]shs_oral_health!$D$13:$Z$7014,9,)</f>
        <v>0</v>
      </c>
      <c r="T19">
        <f>VLOOKUP($D19,[1]shs_oral_health!$D$13:$Z$7014,10,)</f>
        <v>0</v>
      </c>
      <c r="U19">
        <f>VLOOKUP($D19,[1]shs_oral_health!$D$13:$Z$7014,11,)</f>
        <v>0</v>
      </c>
      <c r="V19">
        <f>VLOOKUP($D19,[1]shs_oral_health!$D$13:$Z$7014,12,)</f>
        <v>0</v>
      </c>
      <c r="W19">
        <f>VLOOKUP($D19,[1]shs_oral_health!$D$13:$Z$7014,13,)</f>
        <v>0</v>
      </c>
      <c r="X19">
        <f>VLOOKUP($D19,[1]shs_oral_health!$D$13:$Z$7014,14,)</f>
        <v>0</v>
      </c>
      <c r="Y19">
        <f>VLOOKUP($D19,[1]shs_oral_health!$D$13:$Z$7014,15,)</f>
        <v>0</v>
      </c>
      <c r="Z19">
        <f>VLOOKUP($D19,[1]shs_oral_health!$D$13:$Z$7014,16,)</f>
        <v>0</v>
      </c>
      <c r="AA19">
        <f>VLOOKUP($D19,[1]shs_oral_health!$D$13:$Z$7014,17,)</f>
        <v>0</v>
      </c>
      <c r="AB19">
        <f>VLOOKUP($D19,[1]shs_oral_health!$D$13:$Z$7014,18,)</f>
        <v>0</v>
      </c>
      <c r="AC19">
        <f>VLOOKUP($D19,[1]shs_oral_health!$D$13:$Z$7014,19,)</f>
        <v>0</v>
      </c>
      <c r="AD19">
        <f>VLOOKUP($D19,[1]shs_oral_health!$D$13:$Z$7014,20,)</f>
        <v>0</v>
      </c>
      <c r="AE19">
        <f>VLOOKUP($D19,[1]shs_oral_health!$D$13:$Z$7014,21,)</f>
        <v>0</v>
      </c>
      <c r="AF19">
        <f>VLOOKUP($D19,[1]shs_oral_health!$D$13:$Z$7014,22,)</f>
        <v>0</v>
      </c>
      <c r="AG19">
        <f>VLOOKUP($D19,[1]shs_oral_health!$D$13:$Z$7014,23,)</f>
        <v>0</v>
      </c>
    </row>
    <row r="20" spans="1:33" x14ac:dyDescent="0.25">
      <c r="A20" t="s">
        <v>85</v>
      </c>
      <c r="B20" t="s">
        <v>91</v>
      </c>
      <c r="C20" t="s">
        <v>128</v>
      </c>
      <c r="D20">
        <v>325102</v>
      </c>
      <c r="E20" t="s">
        <v>296</v>
      </c>
      <c r="F20" t="s">
        <v>297</v>
      </c>
      <c r="G20" t="s">
        <v>95</v>
      </c>
      <c r="H20" t="s">
        <v>96</v>
      </c>
      <c r="I20" t="s">
        <v>86</v>
      </c>
      <c r="J20" t="s">
        <v>137</v>
      </c>
      <c r="K20" t="s">
        <v>270</v>
      </c>
      <c r="L20" s="20" t="s">
        <v>271</v>
      </c>
      <c r="M20">
        <f>VLOOKUP($D20,[1]shs_oral_health!$D$13:$Z$7014,3,)</f>
        <v>0</v>
      </c>
      <c r="N20">
        <f>VLOOKUP($D20,[1]shs_oral_health!$D$13:$Z$7014,4,)</f>
        <v>0</v>
      </c>
      <c r="O20">
        <f>VLOOKUP($D20,[1]shs_oral_health!$D$13:$Z$7014,5,)</f>
        <v>0</v>
      </c>
      <c r="P20">
        <f>VLOOKUP($D20,[1]shs_oral_health!$D$13:$Z$7014,6,)</f>
        <v>0</v>
      </c>
      <c r="Q20">
        <f>VLOOKUP($D20,[1]shs_oral_health!$D$13:$Z$7014,7,)</f>
        <v>0</v>
      </c>
      <c r="R20">
        <f>VLOOKUP($D20,[1]shs_oral_health!$D$13:$Z$7014,8,)</f>
        <v>0</v>
      </c>
      <c r="S20">
        <f>VLOOKUP($D20,[1]shs_oral_health!$D$13:$Z$7014,9,)</f>
        <v>0</v>
      </c>
      <c r="T20">
        <f>VLOOKUP($D20,[1]shs_oral_health!$D$13:$Z$7014,10,)</f>
        <v>0</v>
      </c>
      <c r="U20">
        <f>VLOOKUP($D20,[1]shs_oral_health!$D$13:$Z$7014,11,)</f>
        <v>0</v>
      </c>
      <c r="V20">
        <f>VLOOKUP($D20,[1]shs_oral_health!$D$13:$Z$7014,12,)</f>
        <v>0</v>
      </c>
      <c r="W20">
        <f>VLOOKUP($D20,[1]shs_oral_health!$D$13:$Z$7014,13,)</f>
        <v>0</v>
      </c>
      <c r="X20">
        <f>VLOOKUP($D20,[1]shs_oral_health!$D$13:$Z$7014,14,)</f>
        <v>0</v>
      </c>
      <c r="Y20">
        <f>VLOOKUP($D20,[1]shs_oral_health!$D$13:$Z$7014,15,)</f>
        <v>0</v>
      </c>
      <c r="Z20">
        <f>VLOOKUP($D20,[1]shs_oral_health!$D$13:$Z$7014,16,)</f>
        <v>0</v>
      </c>
      <c r="AA20">
        <f>VLOOKUP($D20,[1]shs_oral_health!$D$13:$Z$7014,17,)</f>
        <v>0</v>
      </c>
      <c r="AB20">
        <f>VLOOKUP($D20,[1]shs_oral_health!$D$13:$Z$7014,18,)</f>
        <v>0</v>
      </c>
      <c r="AC20">
        <f>VLOOKUP($D20,[1]shs_oral_health!$D$13:$Z$7014,19,)</f>
        <v>0</v>
      </c>
      <c r="AD20">
        <f>VLOOKUP($D20,[1]shs_oral_health!$D$13:$Z$7014,20,)</f>
        <v>0</v>
      </c>
      <c r="AE20">
        <f>VLOOKUP($D20,[1]shs_oral_health!$D$13:$Z$7014,21,)</f>
        <v>0</v>
      </c>
      <c r="AF20">
        <f>VLOOKUP($D20,[1]shs_oral_health!$D$13:$Z$7014,22,)</f>
        <v>0</v>
      </c>
      <c r="AG20">
        <f>VLOOKUP($D20,[1]shs_oral_health!$D$13:$Z$7014,23,)</f>
        <v>0</v>
      </c>
    </row>
    <row r="21" spans="1:33" x14ac:dyDescent="0.25">
      <c r="A21" t="s">
        <v>85</v>
      </c>
      <c r="B21" t="s">
        <v>91</v>
      </c>
      <c r="C21" t="s">
        <v>128</v>
      </c>
      <c r="D21">
        <v>325106</v>
      </c>
      <c r="E21" t="s">
        <v>298</v>
      </c>
      <c r="F21" t="s">
        <v>215</v>
      </c>
      <c r="G21" t="s">
        <v>95</v>
      </c>
      <c r="H21" t="s">
        <v>96</v>
      </c>
      <c r="I21" t="s">
        <v>86</v>
      </c>
      <c r="J21" t="s">
        <v>189</v>
      </c>
      <c r="K21" t="s">
        <v>270</v>
      </c>
      <c r="L21" s="20" t="s">
        <v>271</v>
      </c>
      <c r="M21">
        <f>VLOOKUP($D21,[1]shs_oral_health!$D$13:$Z$7014,3,)</f>
        <v>0</v>
      </c>
      <c r="N21">
        <f>VLOOKUP($D21,[1]shs_oral_health!$D$13:$Z$7014,4,)</f>
        <v>0</v>
      </c>
      <c r="O21">
        <f>VLOOKUP($D21,[1]shs_oral_health!$D$13:$Z$7014,5,)</f>
        <v>0</v>
      </c>
      <c r="P21">
        <f>VLOOKUP($D21,[1]shs_oral_health!$D$13:$Z$7014,6,)</f>
        <v>0</v>
      </c>
      <c r="Q21">
        <f>VLOOKUP($D21,[1]shs_oral_health!$D$13:$Z$7014,7,)</f>
        <v>0</v>
      </c>
      <c r="R21">
        <f>VLOOKUP($D21,[1]shs_oral_health!$D$13:$Z$7014,8,)</f>
        <v>0</v>
      </c>
      <c r="S21">
        <f>VLOOKUP($D21,[1]shs_oral_health!$D$13:$Z$7014,9,)</f>
        <v>0</v>
      </c>
      <c r="T21">
        <f>VLOOKUP($D21,[1]shs_oral_health!$D$13:$Z$7014,10,)</f>
        <v>0</v>
      </c>
      <c r="U21">
        <f>VLOOKUP($D21,[1]shs_oral_health!$D$13:$Z$7014,11,)</f>
        <v>0</v>
      </c>
      <c r="V21">
        <f>VLOOKUP($D21,[1]shs_oral_health!$D$13:$Z$7014,12,)</f>
        <v>0</v>
      </c>
      <c r="W21">
        <f>VLOOKUP($D21,[1]shs_oral_health!$D$13:$Z$7014,13,)</f>
        <v>0</v>
      </c>
      <c r="X21">
        <f>VLOOKUP($D21,[1]shs_oral_health!$D$13:$Z$7014,14,)</f>
        <v>0</v>
      </c>
      <c r="Y21">
        <f>VLOOKUP($D21,[1]shs_oral_health!$D$13:$Z$7014,15,)</f>
        <v>0</v>
      </c>
      <c r="Z21">
        <f>VLOOKUP($D21,[1]shs_oral_health!$D$13:$Z$7014,16,)</f>
        <v>0</v>
      </c>
      <c r="AA21">
        <f>VLOOKUP($D21,[1]shs_oral_health!$D$13:$Z$7014,17,)</f>
        <v>0</v>
      </c>
      <c r="AB21">
        <f>VLOOKUP($D21,[1]shs_oral_health!$D$13:$Z$7014,18,)</f>
        <v>0</v>
      </c>
      <c r="AC21">
        <f>VLOOKUP($D21,[1]shs_oral_health!$D$13:$Z$7014,19,)</f>
        <v>0</v>
      </c>
      <c r="AD21">
        <f>VLOOKUP($D21,[1]shs_oral_health!$D$13:$Z$7014,20,)</f>
        <v>0</v>
      </c>
      <c r="AE21">
        <f>VLOOKUP($D21,[1]shs_oral_health!$D$13:$Z$7014,21,)</f>
        <v>0</v>
      </c>
      <c r="AF21">
        <f>VLOOKUP($D21,[1]shs_oral_health!$D$13:$Z$7014,22,)</f>
        <v>0</v>
      </c>
      <c r="AG21">
        <f>VLOOKUP($D21,[1]shs_oral_health!$D$13:$Z$7014,23,)</f>
        <v>0</v>
      </c>
    </row>
    <row r="22" spans="1:33" x14ac:dyDescent="0.25">
      <c r="A22" t="s">
        <v>85</v>
      </c>
      <c r="B22" t="s">
        <v>91</v>
      </c>
      <c r="C22" t="s">
        <v>192</v>
      </c>
      <c r="D22">
        <v>304313</v>
      </c>
      <c r="E22" t="s">
        <v>299</v>
      </c>
      <c r="F22" t="s">
        <v>300</v>
      </c>
      <c r="G22" t="s">
        <v>95</v>
      </c>
      <c r="H22" t="s">
        <v>96</v>
      </c>
      <c r="I22" t="s">
        <v>86</v>
      </c>
      <c r="J22" t="s">
        <v>201</v>
      </c>
      <c r="K22" t="s">
        <v>270</v>
      </c>
      <c r="L22" s="20" t="s">
        <v>271</v>
      </c>
      <c r="M22">
        <f>VLOOKUP($D22,[1]shs_oral_health!$D$13:$Z$7014,3,)</f>
        <v>0</v>
      </c>
      <c r="N22">
        <f>VLOOKUP($D22,[1]shs_oral_health!$D$13:$Z$7014,4,)</f>
        <v>0</v>
      </c>
      <c r="O22">
        <f>VLOOKUP($D22,[1]shs_oral_health!$D$13:$Z$7014,5,)</f>
        <v>0</v>
      </c>
      <c r="P22">
        <f>VLOOKUP($D22,[1]shs_oral_health!$D$13:$Z$7014,6,)</f>
        <v>0</v>
      </c>
      <c r="Q22">
        <f>VLOOKUP($D22,[1]shs_oral_health!$D$13:$Z$7014,7,)</f>
        <v>0</v>
      </c>
      <c r="R22">
        <f>VLOOKUP($D22,[1]shs_oral_health!$D$13:$Z$7014,8,)</f>
        <v>0</v>
      </c>
      <c r="S22">
        <f>VLOOKUP($D22,[1]shs_oral_health!$D$13:$Z$7014,9,)</f>
        <v>0</v>
      </c>
      <c r="T22">
        <f>VLOOKUP($D22,[1]shs_oral_health!$D$13:$Z$7014,10,)</f>
        <v>0</v>
      </c>
      <c r="U22">
        <f>VLOOKUP($D22,[1]shs_oral_health!$D$13:$Z$7014,11,)</f>
        <v>0</v>
      </c>
      <c r="V22">
        <f>VLOOKUP($D22,[1]shs_oral_health!$D$13:$Z$7014,12,)</f>
        <v>0</v>
      </c>
      <c r="W22">
        <f>VLOOKUP($D22,[1]shs_oral_health!$D$13:$Z$7014,13,)</f>
        <v>0</v>
      </c>
      <c r="X22">
        <f>VLOOKUP($D22,[1]shs_oral_health!$D$13:$Z$7014,14,)</f>
        <v>0</v>
      </c>
      <c r="Y22">
        <f>VLOOKUP($D22,[1]shs_oral_health!$D$13:$Z$7014,15,)</f>
        <v>0</v>
      </c>
      <c r="Z22">
        <f>VLOOKUP($D22,[1]shs_oral_health!$D$13:$Z$7014,16,)</f>
        <v>0</v>
      </c>
      <c r="AA22">
        <f>VLOOKUP($D22,[1]shs_oral_health!$D$13:$Z$7014,17,)</f>
        <v>0</v>
      </c>
      <c r="AB22">
        <f>VLOOKUP($D22,[1]shs_oral_health!$D$13:$Z$7014,18,)</f>
        <v>0</v>
      </c>
      <c r="AC22">
        <f>VLOOKUP($D22,[1]shs_oral_health!$D$13:$Z$7014,19,)</f>
        <v>0</v>
      </c>
      <c r="AD22">
        <f>VLOOKUP($D22,[1]shs_oral_health!$D$13:$Z$7014,20,)</f>
        <v>0</v>
      </c>
      <c r="AE22">
        <f>VLOOKUP($D22,[1]shs_oral_health!$D$13:$Z$7014,21,)</f>
        <v>0</v>
      </c>
      <c r="AF22">
        <f>VLOOKUP($D22,[1]shs_oral_health!$D$13:$Z$7014,22,)</f>
        <v>0</v>
      </c>
      <c r="AG22">
        <f>VLOOKUP($D22,[1]shs_oral_health!$D$13:$Z$7014,23,)</f>
        <v>0</v>
      </c>
    </row>
    <row r="23" spans="1:33" x14ac:dyDescent="0.25">
      <c r="A23" t="s">
        <v>85</v>
      </c>
      <c r="B23" t="s">
        <v>91</v>
      </c>
      <c r="C23" t="s">
        <v>192</v>
      </c>
      <c r="D23">
        <v>304318</v>
      </c>
      <c r="E23" t="s">
        <v>301</v>
      </c>
      <c r="F23" t="s">
        <v>302</v>
      </c>
      <c r="G23" t="s">
        <v>95</v>
      </c>
      <c r="H23" t="s">
        <v>96</v>
      </c>
      <c r="I23" t="s">
        <v>86</v>
      </c>
      <c r="J23" t="s">
        <v>209</v>
      </c>
      <c r="K23" t="s">
        <v>270</v>
      </c>
      <c r="L23" s="20" t="s">
        <v>271</v>
      </c>
      <c r="M23">
        <f>VLOOKUP($D23,[1]shs_oral_health!$D$13:$Z$7014,3,)</f>
        <v>0</v>
      </c>
      <c r="N23">
        <f>VLOOKUP($D23,[1]shs_oral_health!$D$13:$Z$7014,4,)</f>
        <v>0</v>
      </c>
      <c r="O23">
        <f>VLOOKUP($D23,[1]shs_oral_health!$D$13:$Z$7014,5,)</f>
        <v>0</v>
      </c>
      <c r="P23">
        <f>VLOOKUP($D23,[1]shs_oral_health!$D$13:$Z$7014,6,)</f>
        <v>0</v>
      </c>
      <c r="Q23">
        <f>VLOOKUP($D23,[1]shs_oral_health!$D$13:$Z$7014,7,)</f>
        <v>0</v>
      </c>
      <c r="R23">
        <f>VLOOKUP($D23,[1]shs_oral_health!$D$13:$Z$7014,8,)</f>
        <v>0</v>
      </c>
      <c r="S23">
        <f>VLOOKUP($D23,[1]shs_oral_health!$D$13:$Z$7014,9,)</f>
        <v>0</v>
      </c>
      <c r="T23">
        <f>VLOOKUP($D23,[1]shs_oral_health!$D$13:$Z$7014,10,)</f>
        <v>0</v>
      </c>
      <c r="U23">
        <f>VLOOKUP($D23,[1]shs_oral_health!$D$13:$Z$7014,11,)</f>
        <v>0</v>
      </c>
      <c r="V23">
        <f>VLOOKUP($D23,[1]shs_oral_health!$D$13:$Z$7014,12,)</f>
        <v>0</v>
      </c>
      <c r="W23">
        <f>VLOOKUP($D23,[1]shs_oral_health!$D$13:$Z$7014,13,)</f>
        <v>0</v>
      </c>
      <c r="X23">
        <f>VLOOKUP($D23,[1]shs_oral_health!$D$13:$Z$7014,14,)</f>
        <v>0</v>
      </c>
      <c r="Y23">
        <f>VLOOKUP($D23,[1]shs_oral_health!$D$13:$Z$7014,15,)</f>
        <v>0</v>
      </c>
      <c r="Z23">
        <f>VLOOKUP($D23,[1]shs_oral_health!$D$13:$Z$7014,16,)</f>
        <v>0</v>
      </c>
      <c r="AA23">
        <f>VLOOKUP($D23,[1]shs_oral_health!$D$13:$Z$7014,17,)</f>
        <v>0</v>
      </c>
      <c r="AB23">
        <f>VLOOKUP($D23,[1]shs_oral_health!$D$13:$Z$7014,18,)</f>
        <v>0</v>
      </c>
      <c r="AC23">
        <f>VLOOKUP($D23,[1]shs_oral_health!$D$13:$Z$7014,19,)</f>
        <v>0</v>
      </c>
      <c r="AD23">
        <f>VLOOKUP($D23,[1]shs_oral_health!$D$13:$Z$7014,20,)</f>
        <v>0</v>
      </c>
      <c r="AE23">
        <f>VLOOKUP($D23,[1]shs_oral_health!$D$13:$Z$7014,21,)</f>
        <v>0</v>
      </c>
      <c r="AF23">
        <f>VLOOKUP($D23,[1]shs_oral_health!$D$13:$Z$7014,22,)</f>
        <v>0</v>
      </c>
      <c r="AG23">
        <f>VLOOKUP($D23,[1]shs_oral_health!$D$13:$Z$7014,23,)</f>
        <v>0</v>
      </c>
    </row>
    <row r="24" spans="1:33" x14ac:dyDescent="0.25">
      <c r="A24" t="s">
        <v>85</v>
      </c>
      <c r="B24" t="s">
        <v>91</v>
      </c>
      <c r="C24" t="s">
        <v>192</v>
      </c>
      <c r="D24">
        <v>325105</v>
      </c>
      <c r="E24" t="s">
        <v>303</v>
      </c>
      <c r="F24" t="s">
        <v>211</v>
      </c>
      <c r="G24" t="s">
        <v>95</v>
      </c>
      <c r="H24" t="s">
        <v>96</v>
      </c>
      <c r="I24" t="s">
        <v>86</v>
      </c>
      <c r="J24" t="s">
        <v>195</v>
      </c>
      <c r="K24" t="s">
        <v>270</v>
      </c>
      <c r="L24" s="20" t="s">
        <v>271</v>
      </c>
      <c r="M24">
        <f>VLOOKUP($D24,[1]shs_oral_health!$D$13:$Z$7014,3,)</f>
        <v>0</v>
      </c>
      <c r="N24">
        <f>VLOOKUP($D24,[1]shs_oral_health!$D$13:$Z$7014,4,)</f>
        <v>0</v>
      </c>
      <c r="O24">
        <f>VLOOKUP($D24,[1]shs_oral_health!$D$13:$Z$7014,5,)</f>
        <v>0</v>
      </c>
      <c r="P24">
        <f>VLOOKUP($D24,[1]shs_oral_health!$D$13:$Z$7014,6,)</f>
        <v>0</v>
      </c>
      <c r="Q24">
        <f>VLOOKUP($D24,[1]shs_oral_health!$D$13:$Z$7014,7,)</f>
        <v>0</v>
      </c>
      <c r="R24">
        <f>VLOOKUP($D24,[1]shs_oral_health!$D$13:$Z$7014,8,)</f>
        <v>0</v>
      </c>
      <c r="S24">
        <f>VLOOKUP($D24,[1]shs_oral_health!$D$13:$Z$7014,9,)</f>
        <v>0</v>
      </c>
      <c r="T24">
        <f>VLOOKUP($D24,[1]shs_oral_health!$D$13:$Z$7014,10,)</f>
        <v>0</v>
      </c>
      <c r="U24">
        <f>VLOOKUP($D24,[1]shs_oral_health!$D$13:$Z$7014,11,)</f>
        <v>0</v>
      </c>
      <c r="V24">
        <f>VLOOKUP($D24,[1]shs_oral_health!$D$13:$Z$7014,12,)</f>
        <v>0</v>
      </c>
      <c r="W24">
        <f>VLOOKUP($D24,[1]shs_oral_health!$D$13:$Z$7014,13,)</f>
        <v>0</v>
      </c>
      <c r="X24">
        <f>VLOOKUP($D24,[1]shs_oral_health!$D$13:$Z$7014,14,)</f>
        <v>0</v>
      </c>
      <c r="Y24">
        <f>VLOOKUP($D24,[1]shs_oral_health!$D$13:$Z$7014,15,)</f>
        <v>0</v>
      </c>
      <c r="Z24">
        <f>VLOOKUP($D24,[1]shs_oral_health!$D$13:$Z$7014,16,)</f>
        <v>0</v>
      </c>
      <c r="AA24">
        <f>VLOOKUP($D24,[1]shs_oral_health!$D$13:$Z$7014,17,)</f>
        <v>0</v>
      </c>
      <c r="AB24">
        <f>VLOOKUP($D24,[1]shs_oral_health!$D$13:$Z$7014,18,)</f>
        <v>0</v>
      </c>
      <c r="AC24">
        <f>VLOOKUP($D24,[1]shs_oral_health!$D$13:$Z$7014,19,)</f>
        <v>0</v>
      </c>
      <c r="AD24">
        <f>VLOOKUP($D24,[1]shs_oral_health!$D$13:$Z$7014,20,)</f>
        <v>0</v>
      </c>
      <c r="AE24">
        <f>VLOOKUP($D24,[1]shs_oral_health!$D$13:$Z$7014,21,)</f>
        <v>0</v>
      </c>
      <c r="AF24">
        <f>VLOOKUP($D24,[1]shs_oral_health!$D$13:$Z$7014,22,)</f>
        <v>0</v>
      </c>
      <c r="AG24">
        <f>VLOOKUP($D24,[1]shs_oral_health!$D$13:$Z$7014,23,)</f>
        <v>0</v>
      </c>
    </row>
  </sheetData>
  <autoFilter ref="A8:AH24" xr:uid="{00000000-0009-0000-0000-000002000000}"/>
  <mergeCells count="9">
    <mergeCell ref="M4:O5"/>
    <mergeCell ref="P4:U4"/>
    <mergeCell ref="V4:AA4"/>
    <mergeCell ref="AB4:AD5"/>
    <mergeCell ref="AE4:AG5"/>
    <mergeCell ref="P5:R5"/>
    <mergeCell ref="S5:U5"/>
    <mergeCell ref="V5:X5"/>
    <mergeCell ref="Y5:A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2023-08-04T06:40:34Z</dcterms:created>
  <dcterms:modified xsi:type="dcterms:W3CDTF">2023-08-04T06:41:40Z</dcterms:modified>
</cp:coreProperties>
</file>