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DA8E8855-7C3F-42BA-AF01-E172E4990290}" xr6:coauthVersionLast="47" xr6:coauthVersionMax="47" xr10:uidLastSave="{00000000-0000-0000-0000-000000000000}"/>
  <bookViews>
    <workbookView xWindow="-120" yWindow="-120" windowWidth="29040" windowHeight="15720" activeTab="1" xr2:uid="{D7F37768-FA23-4F55-9AD2-9B7DCAAD27CB}"/>
  </bookViews>
  <sheets>
    <sheet name="JHS" sheetId="1" r:id="rId1"/>
    <sheet name="SHS" sheetId="2" r:id="rId2"/>
  </sheets>
  <definedNames>
    <definedName name="_xlnm._FilterDatabase" localSheetId="0" hidden="1">JHS!$A$7:$AE$29</definedName>
    <definedName name="_xlnm._FilterDatabase" localSheetId="1" hidden="1">SHS!$A$7:$AE$7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" i="2" l="1"/>
  <c r="AB23" i="2"/>
  <c r="AA23" i="2"/>
  <c r="X23" i="2"/>
  <c r="U23" i="2"/>
  <c r="R23" i="2"/>
  <c r="O23" i="2"/>
  <c r="AC22" i="2"/>
  <c r="AB22" i="2"/>
  <c r="AA22" i="2"/>
  <c r="X22" i="2"/>
  <c r="U22" i="2"/>
  <c r="R22" i="2"/>
  <c r="O22" i="2"/>
  <c r="AD22" i="2" s="1"/>
  <c r="AC21" i="2"/>
  <c r="AB21" i="2"/>
  <c r="AA21" i="2"/>
  <c r="X21" i="2"/>
  <c r="U21" i="2"/>
  <c r="R21" i="2"/>
  <c r="O21" i="2"/>
  <c r="AC20" i="2"/>
  <c r="AB20" i="2"/>
  <c r="AA20" i="2"/>
  <c r="X20" i="2"/>
  <c r="U20" i="2"/>
  <c r="R20" i="2"/>
  <c r="O20" i="2"/>
  <c r="AC19" i="2"/>
  <c r="AB19" i="2"/>
  <c r="AA19" i="2"/>
  <c r="X19" i="2"/>
  <c r="U19" i="2"/>
  <c r="R19" i="2"/>
  <c r="O19" i="2"/>
  <c r="AC18" i="2"/>
  <c r="AB18" i="2"/>
  <c r="AA18" i="2"/>
  <c r="X18" i="2"/>
  <c r="U18" i="2"/>
  <c r="R18" i="2"/>
  <c r="O18" i="2"/>
  <c r="AC17" i="2"/>
  <c r="AB17" i="2"/>
  <c r="AA17" i="2"/>
  <c r="X17" i="2"/>
  <c r="U17" i="2"/>
  <c r="R17" i="2"/>
  <c r="O17" i="2"/>
  <c r="AC16" i="2"/>
  <c r="AB16" i="2"/>
  <c r="AA16" i="2"/>
  <c r="X16" i="2"/>
  <c r="U16" i="2"/>
  <c r="R16" i="2"/>
  <c r="O16" i="2"/>
  <c r="AC15" i="2"/>
  <c r="AB15" i="2"/>
  <c r="AA15" i="2"/>
  <c r="X15" i="2"/>
  <c r="U15" i="2"/>
  <c r="R15" i="2"/>
  <c r="O15" i="2"/>
  <c r="AC14" i="2"/>
  <c r="AB14" i="2"/>
  <c r="AA14" i="2"/>
  <c r="X14" i="2"/>
  <c r="U14" i="2"/>
  <c r="R14" i="2"/>
  <c r="O14" i="2"/>
  <c r="AC13" i="2"/>
  <c r="AB13" i="2"/>
  <c r="AA13" i="2"/>
  <c r="X13" i="2"/>
  <c r="U13" i="2"/>
  <c r="R13" i="2"/>
  <c r="O13" i="2"/>
  <c r="AC12" i="2"/>
  <c r="AB12" i="2"/>
  <c r="AA12" i="2"/>
  <c r="X12" i="2"/>
  <c r="U12" i="2"/>
  <c r="R12" i="2"/>
  <c r="O12" i="2"/>
  <c r="AC11" i="2"/>
  <c r="AB11" i="2"/>
  <c r="AA11" i="2"/>
  <c r="X11" i="2"/>
  <c r="U11" i="2"/>
  <c r="R11" i="2"/>
  <c r="O11" i="2"/>
  <c r="AC10" i="2"/>
  <c r="AB10" i="2"/>
  <c r="AA10" i="2"/>
  <c r="X10" i="2"/>
  <c r="U10" i="2"/>
  <c r="R10" i="2"/>
  <c r="O10" i="2"/>
  <c r="AD10" i="2" s="1"/>
  <c r="AC9" i="2"/>
  <c r="AB9" i="2"/>
  <c r="AA9" i="2"/>
  <c r="X9" i="2"/>
  <c r="U9" i="2"/>
  <c r="R9" i="2"/>
  <c r="O9" i="2"/>
  <c r="AC8" i="2"/>
  <c r="AB8" i="2"/>
  <c r="AA8" i="2"/>
  <c r="X8" i="2"/>
  <c r="U8" i="2"/>
  <c r="R8" i="2"/>
  <c r="O8" i="2"/>
  <c r="Z6" i="2"/>
  <c r="Y6" i="2"/>
  <c r="W6" i="2"/>
  <c r="V6" i="2"/>
  <c r="T6" i="2"/>
  <c r="S6" i="2"/>
  <c r="Q6" i="2"/>
  <c r="P6" i="2"/>
  <c r="N6" i="2"/>
  <c r="M6" i="2"/>
  <c r="AC29" i="1"/>
  <c r="AB29" i="1"/>
  <c r="AA29" i="1"/>
  <c r="X29" i="1"/>
  <c r="U29" i="1"/>
  <c r="R29" i="1"/>
  <c r="O29" i="1"/>
  <c r="AC28" i="1"/>
  <c r="AB28" i="1"/>
  <c r="AA28" i="1"/>
  <c r="X28" i="1"/>
  <c r="U28" i="1"/>
  <c r="R28" i="1"/>
  <c r="O28" i="1"/>
  <c r="AD28" i="1" s="1"/>
  <c r="AC27" i="1"/>
  <c r="AB27" i="1"/>
  <c r="AA27" i="1"/>
  <c r="X27" i="1"/>
  <c r="U27" i="1"/>
  <c r="R27" i="1"/>
  <c r="O27" i="1"/>
  <c r="AC26" i="1"/>
  <c r="AB26" i="1"/>
  <c r="AA26" i="1"/>
  <c r="X26" i="1"/>
  <c r="U26" i="1"/>
  <c r="R26" i="1"/>
  <c r="O26" i="1"/>
  <c r="AC25" i="1"/>
  <c r="AB25" i="1"/>
  <c r="AA25" i="1"/>
  <c r="X25" i="1"/>
  <c r="U25" i="1"/>
  <c r="R25" i="1"/>
  <c r="O25" i="1"/>
  <c r="AD25" i="1" s="1"/>
  <c r="AC24" i="1"/>
  <c r="AB24" i="1"/>
  <c r="AA24" i="1"/>
  <c r="X24" i="1"/>
  <c r="U24" i="1"/>
  <c r="R24" i="1"/>
  <c r="O24" i="1"/>
  <c r="AC23" i="1"/>
  <c r="AB23" i="1"/>
  <c r="AA23" i="1"/>
  <c r="X23" i="1"/>
  <c r="U23" i="1"/>
  <c r="R23" i="1"/>
  <c r="O23" i="1"/>
  <c r="AC22" i="1"/>
  <c r="AB22" i="1"/>
  <c r="AA22" i="1"/>
  <c r="X22" i="1"/>
  <c r="U22" i="1"/>
  <c r="R22" i="1"/>
  <c r="O22" i="1"/>
  <c r="AC21" i="1"/>
  <c r="AB21" i="1"/>
  <c r="AA21" i="1"/>
  <c r="X21" i="1"/>
  <c r="U21" i="1"/>
  <c r="R21" i="1"/>
  <c r="O21" i="1"/>
  <c r="AC20" i="1"/>
  <c r="AB20" i="1"/>
  <c r="AA20" i="1"/>
  <c r="X20" i="1"/>
  <c r="U20" i="1"/>
  <c r="R20" i="1"/>
  <c r="O20" i="1"/>
  <c r="AC19" i="1"/>
  <c r="AB19" i="1"/>
  <c r="AA19" i="1"/>
  <c r="X19" i="1"/>
  <c r="U19" i="1"/>
  <c r="R19" i="1"/>
  <c r="AD19" i="1" s="1"/>
  <c r="O19" i="1"/>
  <c r="AC18" i="1"/>
  <c r="AB18" i="1"/>
  <c r="AA18" i="1"/>
  <c r="X18" i="1"/>
  <c r="U18" i="1"/>
  <c r="R18" i="1"/>
  <c r="O18" i="1"/>
  <c r="AC17" i="1"/>
  <c r="AB17" i="1"/>
  <c r="AA17" i="1"/>
  <c r="X17" i="1"/>
  <c r="U17" i="1"/>
  <c r="R17" i="1"/>
  <c r="O17" i="1"/>
  <c r="AC16" i="1"/>
  <c r="AB16" i="1"/>
  <c r="AA16" i="1"/>
  <c r="X16" i="1"/>
  <c r="U16" i="1"/>
  <c r="R16" i="1"/>
  <c r="O16" i="1"/>
  <c r="AD16" i="1" s="1"/>
  <c r="AC15" i="1"/>
  <c r="AB15" i="1"/>
  <c r="AA15" i="1"/>
  <c r="X15" i="1"/>
  <c r="U15" i="1"/>
  <c r="R15" i="1"/>
  <c r="O15" i="1"/>
  <c r="AC14" i="1"/>
  <c r="AB14" i="1"/>
  <c r="AA14" i="1"/>
  <c r="X14" i="1"/>
  <c r="U14" i="1"/>
  <c r="R14" i="1"/>
  <c r="O14" i="1"/>
  <c r="AC13" i="1"/>
  <c r="AB13" i="1"/>
  <c r="AA13" i="1"/>
  <c r="X13" i="1"/>
  <c r="U13" i="1"/>
  <c r="R13" i="1"/>
  <c r="O13" i="1"/>
  <c r="AC12" i="1"/>
  <c r="AB12" i="1"/>
  <c r="AA12" i="1"/>
  <c r="X12" i="1"/>
  <c r="U12" i="1"/>
  <c r="R12" i="1"/>
  <c r="O12" i="1"/>
  <c r="AC11" i="1"/>
  <c r="AB11" i="1"/>
  <c r="AA11" i="1"/>
  <c r="X11" i="1"/>
  <c r="U11" i="1"/>
  <c r="R11" i="1"/>
  <c r="O11" i="1"/>
  <c r="AC10" i="1"/>
  <c r="AB10" i="1"/>
  <c r="AA10" i="1"/>
  <c r="X10" i="1"/>
  <c r="U10" i="1"/>
  <c r="R10" i="1"/>
  <c r="O10" i="1"/>
  <c r="AC9" i="1"/>
  <c r="AB9" i="1"/>
  <c r="AA9" i="1"/>
  <c r="X9" i="1"/>
  <c r="U9" i="1"/>
  <c r="R9" i="1"/>
  <c r="O9" i="1"/>
  <c r="O6" i="1" s="1"/>
  <c r="AC8" i="1"/>
  <c r="AB8" i="1"/>
  <c r="AA8" i="1"/>
  <c r="X8" i="1"/>
  <c r="U8" i="1"/>
  <c r="R8" i="1"/>
  <c r="O8" i="1"/>
  <c r="Z6" i="1"/>
  <c r="Y6" i="1"/>
  <c r="W6" i="1"/>
  <c r="V6" i="1"/>
  <c r="T6" i="1"/>
  <c r="S6" i="1"/>
  <c r="Q6" i="1"/>
  <c r="P6" i="1"/>
  <c r="N6" i="1"/>
  <c r="M6" i="1"/>
  <c r="AD9" i="2" l="1"/>
  <c r="AD15" i="2"/>
  <c r="AD23" i="1"/>
  <c r="U6" i="2"/>
  <c r="AB6" i="1"/>
  <c r="AC6" i="1"/>
  <c r="AD14" i="1"/>
  <c r="R6" i="2"/>
  <c r="AD9" i="1"/>
  <c r="AD18" i="2"/>
  <c r="AD13" i="1"/>
  <c r="AD10" i="1"/>
  <c r="X6" i="1"/>
  <c r="AB6" i="2"/>
  <c r="AD12" i="2"/>
  <c r="AD21" i="2"/>
  <c r="X6" i="2"/>
  <c r="AA6" i="2"/>
  <c r="AA6" i="1"/>
  <c r="U6" i="1"/>
  <c r="AD22" i="1"/>
  <c r="AD27" i="1"/>
  <c r="AC6" i="2"/>
  <c r="AD19" i="2"/>
  <c r="AD23" i="2"/>
  <c r="O6" i="2"/>
  <c r="AD20" i="2"/>
  <c r="AD17" i="2"/>
  <c r="AD14" i="2"/>
  <c r="AD16" i="2"/>
  <c r="AD11" i="2"/>
  <c r="AD13" i="2"/>
  <c r="AD8" i="2"/>
  <c r="AD20" i="1"/>
  <c r="AD11" i="1"/>
  <c r="AD24" i="1"/>
  <c r="AD29" i="1"/>
  <c r="AD8" i="1"/>
  <c r="AD21" i="1"/>
  <c r="AD26" i="1"/>
  <c r="AD18" i="1"/>
  <c r="AD12" i="1"/>
  <c r="AD17" i="1"/>
  <c r="AD15" i="1"/>
  <c r="R6" i="1"/>
  <c r="AD6" i="2" l="1"/>
  <c r="AD6" i="1"/>
</calcChain>
</file>

<file path=xl/sharedStrings.xml><?xml version="1.0" encoding="utf-8"?>
<sst xmlns="http://schemas.openxmlformats.org/spreadsheetml/2006/main" count="534" uniqueCount="124">
  <si>
    <t>School Level Data on  Number of Science Teachers with Science Education Major in Junior High School</t>
  </si>
  <si>
    <t>SY 2019-2020</t>
  </si>
  <si>
    <t>Based on BIES, generated as of April 20, 2020</t>
  </si>
  <si>
    <t>General Science</t>
  </si>
  <si>
    <t>Biology</t>
  </si>
  <si>
    <t>Chemistry</t>
  </si>
  <si>
    <t>Physics</t>
  </si>
  <si>
    <t>Others</t>
  </si>
  <si>
    <t>Grand Total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</si>
  <si>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</si>
  <si>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</si>
  <si>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</si>
  <si>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</si>
  <si>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</si>
  <si>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</si>
  <si>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</si>
  <si>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</si>
  <si>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</si>
  <si>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</si>
  <si>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</si>
  <si>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</si>
  <si>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</si>
  <si>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</si>
  <si>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</si>
  <si>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sciteach_gensci_m</t>
  </si>
  <si>
    <t>sciteach_gensci_f</t>
  </si>
  <si>
    <t>sciteach_bio_m</t>
  </si>
  <si>
    <t>sciteach_bio_f</t>
  </si>
  <si>
    <t>sciteach_chem_m</t>
  </si>
  <si>
    <t>sciteach_chem_f</t>
  </si>
  <si>
    <t>sciteach_phys_m</t>
  </si>
  <si>
    <t>sciteach_phys_f</t>
  </si>
  <si>
    <t>sciteach_others_m</t>
  </si>
  <si>
    <t>sciteach_others_f</t>
  </si>
  <si>
    <t>Remarks</t>
  </si>
  <si>
    <t>Region XI</t>
  </si>
  <si>
    <t>2nd District</t>
  </si>
  <si>
    <t>Grade 7-10 &amp; Grade 11-12</t>
  </si>
  <si>
    <t>JHS with SHS</t>
  </si>
  <si>
    <t>Grade 7-10</t>
  </si>
  <si>
    <t>Purely JHS</t>
  </si>
  <si>
    <t>Kinder, Grade 1-6, Grade 7-10</t>
  </si>
  <si>
    <t>ES and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</si>
  <si>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</si>
  <si>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</si>
  <si>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</si>
  <si>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</si>
  <si>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</si>
  <si>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</si>
  <si>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</si>
  <si>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</si>
  <si>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</si>
  <si>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</si>
  <si>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</si>
  <si>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</si>
  <si>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</si>
  <si>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</si>
  <si>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</si>
  <si>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</si>
  <si>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</si>
  <si>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</si>
  <si>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</si>
  <si>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</si>
  <si>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</si>
  <si>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</si>
  <si>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</si>
  <si>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</si>
  <si>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</si>
  <si>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</si>
  <si>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</si>
  <si>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</si>
  <si>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</si>
  <si>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</si>
  <si>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</si>
  <si>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</si>
  <si>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</si>
  <si>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</si>
  <si>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</si>
  <si>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</si>
  <si>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</si>
  <si>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</si>
  <si>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</si>
  <si>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</si>
  <si>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</si>
  <si>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</si>
  <si>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</si>
  <si>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Doña Rosa G. Rabat MHS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</si>
  <si>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</si>
  <si>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</si>
  <si>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</si>
  <si>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</si>
  <si>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</si>
  <si>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</si>
  <si>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</si>
  <si>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</si>
  <si>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</si>
  <si>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</si>
  <si>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</si>
  <si>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</si>
  <si>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</si>
  <si>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</si>
  <si>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</si>
  <si>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</si>
  <si>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</si>
  <si>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</si>
  <si>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</si>
  <si>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</si>
  <si>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</si>
  <si>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</si>
  <si>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</si>
  <si>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</si>
  <si>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</si>
  <si>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</si>
  <si>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School Level Data on  Number of Science Teachers with Science Education Major in Senior High School</t>
  </si>
  <si>
    <t>numteach_scieducmajor_gensci_m</t>
  </si>
  <si>
    <t>numteach_scieducmajor_gensci_f</t>
  </si>
  <si>
    <t>numteach_scieducmajor_bio_m</t>
  </si>
  <si>
    <t>numteach_scieducmajor_bio_f</t>
  </si>
  <si>
    <t>numteach_scieducmajor_chem_m</t>
  </si>
  <si>
    <t>numteach_scieducmajor_chem_f</t>
  </si>
  <si>
    <t>numteach_scieducmajor_physics_m</t>
  </si>
  <si>
    <t>numteach_scieducmajor_physics_f</t>
  </si>
  <si>
    <t>numteach_scieducmajor_others_m</t>
  </si>
  <si>
    <t>numteach_scieducmajor_others_f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</si>
</sst>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DE23-270A-4887-AA2E-88C7A7628589}">
  <dimension ref="A1:AE29"/>
  <sheetViews>
    <sheetView zoomScale="85" zoomScaleNormal="85" workbookViewId="0">
      <pane xSplit="4" ySplit="7" topLeftCell="E9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0" sqref="A30:XFD75"/>
    </sheetView>
  </sheetViews>
  <sheetFormatPr defaultRowHeight="15" x14ac:dyDescent="0.25"/>
  <cols>
    <col min="2" max="2" width="27.140625" bestFit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  <c r="L2" s="2"/>
    </row>
    <row r="3" spans="1:31" x14ac:dyDescent="0.25">
      <c r="A3" s="1" t="s">
        <v>2</v>
      </c>
      <c r="L3" s="2"/>
    </row>
    <row r="4" spans="1:31" x14ac:dyDescent="0.25">
      <c r="M4" s="3" t="s">
        <v>3</v>
      </c>
      <c r="N4" s="4"/>
      <c r="O4" s="5"/>
      <c r="P4" s="3" t="s">
        <v>4</v>
      </c>
      <c r="Q4" s="4"/>
      <c r="R4" s="5"/>
      <c r="S4" s="3" t="s">
        <v>5</v>
      </c>
      <c r="T4" s="4"/>
      <c r="U4" s="5"/>
      <c r="V4" s="3" t="s">
        <v>6</v>
      </c>
      <c r="W4" s="4"/>
      <c r="X4" s="5"/>
      <c r="Y4" s="6" t="s">
        <v>7</v>
      </c>
      <c r="Z4" s="6"/>
      <c r="AA4" s="6"/>
      <c r="AB4" s="6" t="s">
        <v>8</v>
      </c>
      <c r="AC4" s="6"/>
      <c r="AD4" s="6"/>
    </row>
    <row r="5" spans="1:31" x14ac:dyDescent="0.25">
      <c r="M5" s="7" t="s">
        <v>9</v>
      </c>
      <c r="N5" s="7" t="s">
        <v>10</v>
      </c>
      <c r="O5" s="7" t="s">
        <v>11</v>
      </c>
      <c r="P5" s="7" t="s">
        <v>9</v>
      </c>
      <c r="Q5" s="7" t="s">
        <v>10</v>
      </c>
      <c r="R5" s="7" t="s">
        <v>11</v>
      </c>
      <c r="S5" s="7" t="s">
        <v>9</v>
      </c>
      <c r="T5" s="7" t="s">
        <v>10</v>
      </c>
      <c r="U5" s="7" t="s">
        <v>11</v>
      </c>
      <c r="V5" s="7" t="s">
        <v>9</v>
      </c>
      <c r="W5" s="7" t="s">
        <v>10</v>
      </c>
      <c r="X5" s="7" t="s">
        <v>11</v>
      </c>
      <c r="Y5" s="7" t="s">
        <v>9</v>
      </c>
      <c r="Z5" s="7" t="s">
        <v>10</v>
      </c>
      <c r="AA5" s="7" t="s">
        <v>11</v>
      </c>
      <c r="AB5" s="7" t="s">
        <v>9</v>
      </c>
      <c r="AC5" s="7" t="s">
        <v>10</v>
      </c>
      <c r="AD5" s="7" t="s">
        <v>11</v>
      </c>
    </row>
    <row r="6" spans="1:31" x14ac:dyDescent="0.25">
      <c r="M6" s="8">
        <f>SUM(M8:M29)</f>
        <v>7</v>
      </c>
      <c r="N6" s="8">
        <f>SUM(N8:N29)</f>
        <v>23</v>
      </c>
      <c r="O6" s="8">
        <f>SUM(O8:O29)</f>
        <v>30</v>
      </c>
      <c r="P6" s="8">
        <f>SUM(P8:P29)</f>
        <v>12</v>
      </c>
      <c r="Q6" s="8">
        <f>SUM(Q8:Q29)</f>
        <v>36</v>
      </c>
      <c r="R6" s="8">
        <f>SUM(R8:R29)</f>
        <v>48</v>
      </c>
      <c r="S6" s="8">
        <f>SUM(S8:S29)</f>
        <v>0</v>
      </c>
      <c r="T6" s="8">
        <f>SUM(T8:T29)</f>
        <v>2</v>
      </c>
      <c r="U6" s="8">
        <f>SUM(U8:U29)</f>
        <v>2</v>
      </c>
      <c r="V6" s="8">
        <f>SUM(V8:V29)</f>
        <v>6</v>
      </c>
      <c r="W6" s="8">
        <f>SUM(W8:W29)</f>
        <v>4</v>
      </c>
      <c r="X6" s="8">
        <f>SUM(X8:X29)</f>
        <v>10</v>
      </c>
      <c r="Y6" s="8">
        <f>SUM(Y8:Y29)</f>
        <v>6</v>
      </c>
      <c r="Z6" s="8">
        <f>SUM(Z8:Z29)</f>
        <v>7</v>
      </c>
      <c r="AA6" s="8">
        <f>SUM(AA8:AA29)</f>
        <v>13</v>
      </c>
      <c r="AB6" s="8">
        <f>SUM(AB8:AB29)</f>
        <v>31</v>
      </c>
      <c r="AC6" s="8">
        <f>SUM(AC8:AC29)</f>
        <v>72</v>
      </c>
      <c r="AD6" s="8">
        <f>SUM(AD8:AD29)</f>
        <v>103</v>
      </c>
    </row>
    <row r="7" spans="1:31" x14ac:dyDescent="0.25">
      <c r="A7" s="9" t="s">
        <v>12</v>
      </c>
      <c r="B7" s="9" t="s">
        <v>13</v>
      </c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9" t="s">
        <v>19</v>
      </c>
      <c r="I7" s="9" t="s">
        <v>20</v>
      </c>
      <c r="J7" s="9" t="s">
        <v>21</v>
      </c>
      <c r="K7" s="9" t="s">
        <v>22</v>
      </c>
      <c r="L7" s="10" t="s">
        <v>23</v>
      </c>
      <c r="M7" s="11" t="s">
        <v>24</v>
      </c>
      <c r="N7" s="11" t="s">
        <v>25</v>
      </c>
      <c r="O7" s="11" t="s">
        <v>11</v>
      </c>
      <c r="P7" s="11" t="s">
        <v>26</v>
      </c>
      <c r="Q7" s="11" t="s">
        <v>27</v>
      </c>
      <c r="R7" s="11" t="s">
        <v>11</v>
      </c>
      <c r="S7" s="11" t="s">
        <v>28</v>
      </c>
      <c r="T7" s="11" t="s">
        <v>29</v>
      </c>
      <c r="U7" s="11" t="s">
        <v>11</v>
      </c>
      <c r="V7" s="11" t="s">
        <v>30</v>
      </c>
      <c r="W7" s="11" t="s">
        <v>31</v>
      </c>
      <c r="X7" s="11" t="s">
        <v>11</v>
      </c>
      <c r="Y7" s="11" t="s">
        <v>32</v>
      </c>
      <c r="Z7" s="11" t="s">
        <v>33</v>
      </c>
      <c r="AA7" s="11" t="s">
        <v>11</v>
      </c>
      <c r="AB7" s="7" t="s">
        <v>9</v>
      </c>
      <c r="AC7" s="7" t="s">
        <v>10</v>
      </c>
      <c r="AD7" s="7" t="s">
        <v>11</v>
      </c>
      <c r="AE7" s="11" t="s">
        <v>34</v>
      </c>
    </row>
    <row r="8" spans="1:31" x14ac:dyDescent="0.25">
      <c r="A8" t="s">
        <v>35</v>
      </c>
      <c r="B8" t="s">
        <v>43</v>
      </c>
      <c r="C8" t="s">
        <v>44</v>
      </c>
      <c r="D8">
        <v>304325</v>
      </c>
      <c r="E8" t="s">
        <v>45</v>
      </c>
      <c r="F8" t="s">
        <v>46</v>
      </c>
      <c r="G8" t="s">
        <v>47</v>
      </c>
      <c r="H8" t="s">
        <v>48</v>
      </c>
      <c r="I8" t="s">
        <v>36</v>
      </c>
      <c r="J8" t="s">
        <v>49</v>
      </c>
      <c r="K8" t="s">
        <v>37</v>
      </c>
      <c r="L8" s="12" t="s">
        <v>38</v>
      </c>
      <c r="M8">
        <v>0</v>
      </c>
      <c r="N8">
        <v>1</v>
      </c>
      <c r="O8">
        <f t="shared" ref="O8:O29" si="0">SUM(M8:N8)</f>
        <v>1</v>
      </c>
      <c r="P8">
        <v>0</v>
      </c>
      <c r="Q8">
        <v>1</v>
      </c>
      <c r="R8">
        <f t="shared" ref="R8:R29" si="1">SUM(P8:Q8)</f>
        <v>1</v>
      </c>
      <c r="S8">
        <v>0</v>
      </c>
      <c r="T8">
        <v>2</v>
      </c>
      <c r="U8">
        <f t="shared" ref="U8:U29" si="2">SUM(S8:T8)</f>
        <v>2</v>
      </c>
      <c r="V8">
        <v>1</v>
      </c>
      <c r="W8">
        <v>0</v>
      </c>
      <c r="X8">
        <f t="shared" ref="X8:X29" si="3">SUM(V8:W8)</f>
        <v>1</v>
      </c>
      <c r="Y8">
        <v>4</v>
      </c>
      <c r="Z8">
        <v>6</v>
      </c>
      <c r="AA8">
        <f t="shared" ref="AA8:AA29" si="4">SUM(Y8:Z8)</f>
        <v>10</v>
      </c>
      <c r="AB8">
        <f t="shared" ref="AB8:AD29" si="5">M8+P8+S8+V8+Y8</f>
        <v>5</v>
      </c>
      <c r="AC8">
        <f t="shared" si="5"/>
        <v>10</v>
      </c>
      <c r="AD8">
        <f t="shared" si="5"/>
        <v>15</v>
      </c>
    </row>
    <row r="9" spans="1:31" x14ac:dyDescent="0.25">
      <c r="A9" t="s">
        <v>35</v>
      </c>
      <c r="B9" t="s">
        <v>43</v>
      </c>
      <c r="C9" t="s">
        <v>44</v>
      </c>
      <c r="D9">
        <v>304326</v>
      </c>
      <c r="E9" t="s">
        <v>50</v>
      </c>
      <c r="F9" t="s">
        <v>51</v>
      </c>
      <c r="G9" t="s">
        <v>47</v>
      </c>
      <c r="H9" t="s">
        <v>48</v>
      </c>
      <c r="I9" t="s">
        <v>36</v>
      </c>
      <c r="J9" t="s">
        <v>49</v>
      </c>
      <c r="K9" t="s">
        <v>37</v>
      </c>
      <c r="L9" s="12" t="s">
        <v>38</v>
      </c>
      <c r="M9">
        <v>0</v>
      </c>
      <c r="N9">
        <v>5</v>
      </c>
      <c r="O9">
        <f t="shared" si="0"/>
        <v>5</v>
      </c>
      <c r="P9">
        <v>0</v>
      </c>
      <c r="Q9">
        <v>2</v>
      </c>
      <c r="R9">
        <f t="shared" si="1"/>
        <v>2</v>
      </c>
      <c r="S9">
        <v>0</v>
      </c>
      <c r="T9">
        <v>0</v>
      </c>
      <c r="U9">
        <f t="shared" si="2"/>
        <v>0</v>
      </c>
      <c r="V9">
        <v>0</v>
      </c>
      <c r="W9">
        <v>2</v>
      </c>
      <c r="X9">
        <f t="shared" si="3"/>
        <v>2</v>
      </c>
      <c r="Y9">
        <v>0</v>
      </c>
      <c r="Z9">
        <v>0</v>
      </c>
      <c r="AA9">
        <f t="shared" si="4"/>
        <v>0</v>
      </c>
      <c r="AB9">
        <f t="shared" si="5"/>
        <v>0</v>
      </c>
      <c r="AC9">
        <f t="shared" si="5"/>
        <v>9</v>
      </c>
      <c r="AD9">
        <f t="shared" si="5"/>
        <v>9</v>
      </c>
    </row>
    <row r="10" spans="1:31" x14ac:dyDescent="0.25">
      <c r="A10" t="s">
        <v>35</v>
      </c>
      <c r="B10" t="s">
        <v>43</v>
      </c>
      <c r="C10" t="s">
        <v>44</v>
      </c>
      <c r="D10">
        <v>305680</v>
      </c>
      <c r="E10" t="s">
        <v>52</v>
      </c>
      <c r="F10" t="s">
        <v>53</v>
      </c>
      <c r="G10" t="s">
        <v>47</v>
      </c>
      <c r="H10" t="s">
        <v>48</v>
      </c>
      <c r="I10" t="s">
        <v>36</v>
      </c>
      <c r="J10" t="s">
        <v>54</v>
      </c>
      <c r="K10" t="s">
        <v>39</v>
      </c>
      <c r="L10" s="12" t="s">
        <v>40</v>
      </c>
      <c r="M10">
        <v>0</v>
      </c>
      <c r="N10">
        <v>0</v>
      </c>
      <c r="O10">
        <f t="shared" si="0"/>
        <v>0</v>
      </c>
      <c r="P10">
        <v>2</v>
      </c>
      <c r="Q10">
        <v>3</v>
      </c>
      <c r="R10">
        <f t="shared" si="1"/>
        <v>5</v>
      </c>
      <c r="S10">
        <v>0</v>
      </c>
      <c r="T10">
        <v>0</v>
      </c>
      <c r="U10">
        <f t="shared" si="2"/>
        <v>0</v>
      </c>
      <c r="V10">
        <v>1</v>
      </c>
      <c r="W10">
        <v>0</v>
      </c>
      <c r="X10">
        <f t="shared" si="3"/>
        <v>1</v>
      </c>
      <c r="Y10">
        <v>0</v>
      </c>
      <c r="Z10">
        <v>0</v>
      </c>
      <c r="AA10">
        <f t="shared" si="4"/>
        <v>0</v>
      </c>
      <c r="AB10">
        <f t="shared" si="5"/>
        <v>3</v>
      </c>
      <c r="AC10">
        <f t="shared" si="5"/>
        <v>3</v>
      </c>
      <c r="AD10">
        <f t="shared" si="5"/>
        <v>6</v>
      </c>
    </row>
    <row r="11" spans="1:31" x14ac:dyDescent="0.25">
      <c r="A11" t="s">
        <v>35</v>
      </c>
      <c r="B11" t="s">
        <v>43</v>
      </c>
      <c r="C11" t="s">
        <v>44</v>
      </c>
      <c r="D11">
        <v>325104</v>
      </c>
      <c r="E11" t="s">
        <v>55</v>
      </c>
      <c r="F11" t="s">
        <v>56</v>
      </c>
      <c r="G11" t="s">
        <v>47</v>
      </c>
      <c r="H11" t="s">
        <v>48</v>
      </c>
      <c r="I11" t="s">
        <v>36</v>
      </c>
      <c r="J11" t="s">
        <v>57</v>
      </c>
      <c r="K11" t="s">
        <v>37</v>
      </c>
      <c r="L11" s="12" t="s">
        <v>38</v>
      </c>
      <c r="M11">
        <v>1</v>
      </c>
      <c r="N11">
        <v>3</v>
      </c>
      <c r="O11">
        <f t="shared" si="0"/>
        <v>4</v>
      </c>
      <c r="P11">
        <v>0</v>
      </c>
      <c r="Q11">
        <v>2</v>
      </c>
      <c r="R11">
        <f t="shared" si="1"/>
        <v>2</v>
      </c>
      <c r="S11">
        <v>0</v>
      </c>
      <c r="T11">
        <v>0</v>
      </c>
      <c r="U11">
        <f t="shared" si="2"/>
        <v>0</v>
      </c>
      <c r="V11">
        <v>0</v>
      </c>
      <c r="W11">
        <v>1</v>
      </c>
      <c r="X11">
        <f t="shared" si="3"/>
        <v>1</v>
      </c>
      <c r="Y11">
        <v>0</v>
      </c>
      <c r="Z11">
        <v>0</v>
      </c>
      <c r="AA11">
        <f t="shared" si="4"/>
        <v>0</v>
      </c>
      <c r="AB11">
        <f t="shared" si="5"/>
        <v>1</v>
      </c>
      <c r="AC11">
        <f t="shared" si="5"/>
        <v>6</v>
      </c>
      <c r="AD11">
        <f t="shared" si="5"/>
        <v>7</v>
      </c>
    </row>
    <row r="12" spans="1:31" x14ac:dyDescent="0.25">
      <c r="A12" t="s">
        <v>35</v>
      </c>
      <c r="B12" t="s">
        <v>43</v>
      </c>
      <c r="C12" t="s">
        <v>44</v>
      </c>
      <c r="D12">
        <v>500454</v>
      </c>
      <c r="E12" t="s">
        <v>58</v>
      </c>
      <c r="F12" t="s">
        <v>59</v>
      </c>
      <c r="G12" t="s">
        <v>47</v>
      </c>
      <c r="H12" t="s">
        <v>48</v>
      </c>
      <c r="I12" t="s">
        <v>36</v>
      </c>
      <c r="J12" t="s">
        <v>49</v>
      </c>
      <c r="K12" t="s">
        <v>60</v>
      </c>
      <c r="L12" s="12" t="s">
        <v>61</v>
      </c>
      <c r="M12">
        <v>0</v>
      </c>
      <c r="N12">
        <v>0</v>
      </c>
      <c r="O12">
        <f t="shared" si="0"/>
        <v>0</v>
      </c>
      <c r="P12">
        <v>2</v>
      </c>
      <c r="Q12">
        <v>0</v>
      </c>
      <c r="R12">
        <f t="shared" si="1"/>
        <v>2</v>
      </c>
      <c r="S12">
        <v>0</v>
      </c>
      <c r="T12">
        <v>0</v>
      </c>
      <c r="U12">
        <f t="shared" si="2"/>
        <v>0</v>
      </c>
      <c r="V12">
        <v>0</v>
      </c>
      <c r="W12">
        <v>0</v>
      </c>
      <c r="X12">
        <f t="shared" si="3"/>
        <v>0</v>
      </c>
      <c r="Y12">
        <v>0</v>
      </c>
      <c r="Z12">
        <v>0</v>
      </c>
      <c r="AA12">
        <f t="shared" si="4"/>
        <v>0</v>
      </c>
      <c r="AB12">
        <f t="shared" si="5"/>
        <v>2</v>
      </c>
      <c r="AC12">
        <f t="shared" si="5"/>
        <v>0</v>
      </c>
      <c r="AD12">
        <f t="shared" si="5"/>
        <v>2</v>
      </c>
    </row>
    <row r="13" spans="1:31" x14ac:dyDescent="0.25">
      <c r="A13" t="s">
        <v>35</v>
      </c>
      <c r="B13" t="s">
        <v>43</v>
      </c>
      <c r="C13" t="s">
        <v>44</v>
      </c>
      <c r="D13">
        <v>501424</v>
      </c>
      <c r="E13" t="s">
        <v>62</v>
      </c>
      <c r="F13" t="s">
        <v>63</v>
      </c>
      <c r="G13" t="s">
        <v>47</v>
      </c>
      <c r="H13" t="s">
        <v>48</v>
      </c>
      <c r="I13" t="s">
        <v>36</v>
      </c>
      <c r="J13" t="s">
        <v>64</v>
      </c>
      <c r="K13" t="s">
        <v>41</v>
      </c>
      <c r="L13" s="12" t="s">
        <v>42</v>
      </c>
      <c r="M13">
        <v>0</v>
      </c>
      <c r="N13">
        <v>0</v>
      </c>
      <c r="O13">
        <f t="shared" si="0"/>
        <v>0</v>
      </c>
      <c r="P13">
        <v>0</v>
      </c>
      <c r="Q13">
        <v>0</v>
      </c>
      <c r="R13">
        <f t="shared" si="1"/>
        <v>0</v>
      </c>
      <c r="S13">
        <v>0</v>
      </c>
      <c r="T13">
        <v>0</v>
      </c>
      <c r="U13">
        <f t="shared" si="2"/>
        <v>0</v>
      </c>
      <c r="V13">
        <v>0</v>
      </c>
      <c r="W13">
        <v>0</v>
      </c>
      <c r="X13">
        <f t="shared" si="3"/>
        <v>0</v>
      </c>
      <c r="Y13">
        <v>0</v>
      </c>
      <c r="Z13">
        <v>0</v>
      </c>
      <c r="AA13">
        <f t="shared" si="4"/>
        <v>0</v>
      </c>
      <c r="AB13">
        <f t="shared" si="5"/>
        <v>0</v>
      </c>
      <c r="AC13">
        <f t="shared" si="5"/>
        <v>0</v>
      </c>
      <c r="AD13">
        <f t="shared" si="5"/>
        <v>0</v>
      </c>
    </row>
    <row r="14" spans="1:31" x14ac:dyDescent="0.25">
      <c r="A14" t="s">
        <v>35</v>
      </c>
      <c r="B14" t="s">
        <v>43</v>
      </c>
      <c r="C14" t="s">
        <v>65</v>
      </c>
      <c r="D14">
        <v>304303</v>
      </c>
      <c r="E14" t="s">
        <v>66</v>
      </c>
      <c r="F14" t="s">
        <v>67</v>
      </c>
      <c r="G14" t="s">
        <v>47</v>
      </c>
      <c r="H14" t="s">
        <v>48</v>
      </c>
      <c r="I14" t="s">
        <v>36</v>
      </c>
      <c r="J14" t="s">
        <v>68</v>
      </c>
      <c r="K14" t="s">
        <v>37</v>
      </c>
      <c r="L14" s="12" t="s">
        <v>38</v>
      </c>
      <c r="M14">
        <v>0</v>
      </c>
      <c r="N14">
        <v>0</v>
      </c>
      <c r="O14">
        <f t="shared" si="0"/>
        <v>0</v>
      </c>
      <c r="P14">
        <v>0</v>
      </c>
      <c r="Q14">
        <v>7</v>
      </c>
      <c r="R14">
        <f t="shared" si="1"/>
        <v>7</v>
      </c>
      <c r="S14">
        <v>0</v>
      </c>
      <c r="T14">
        <v>0</v>
      </c>
      <c r="U14">
        <f t="shared" si="2"/>
        <v>0</v>
      </c>
      <c r="V14">
        <v>0</v>
      </c>
      <c r="W14">
        <v>0</v>
      </c>
      <c r="X14">
        <f t="shared" si="3"/>
        <v>0</v>
      </c>
      <c r="Y14">
        <v>0</v>
      </c>
      <c r="Z14">
        <v>0</v>
      </c>
      <c r="AA14">
        <f t="shared" si="4"/>
        <v>0</v>
      </c>
      <c r="AB14">
        <f t="shared" si="5"/>
        <v>0</v>
      </c>
      <c r="AC14">
        <f t="shared" si="5"/>
        <v>7</v>
      </c>
      <c r="AD14">
        <f t="shared" si="5"/>
        <v>7</v>
      </c>
    </row>
    <row r="15" spans="1:31" x14ac:dyDescent="0.25">
      <c r="A15" t="s">
        <v>35</v>
      </c>
      <c r="B15" t="s">
        <v>43</v>
      </c>
      <c r="C15" t="s">
        <v>65</v>
      </c>
      <c r="D15">
        <v>304305</v>
      </c>
      <c r="E15" t="s">
        <v>69</v>
      </c>
      <c r="F15" t="s">
        <v>70</v>
      </c>
      <c r="G15" t="s">
        <v>47</v>
      </c>
      <c r="H15" t="s">
        <v>48</v>
      </c>
      <c r="I15" t="s">
        <v>36</v>
      </c>
      <c r="J15" t="s">
        <v>71</v>
      </c>
      <c r="K15" t="s">
        <v>37</v>
      </c>
      <c r="L15" s="12" t="s">
        <v>38</v>
      </c>
      <c r="M15">
        <v>0</v>
      </c>
      <c r="N15">
        <v>1</v>
      </c>
      <c r="O15">
        <f t="shared" si="0"/>
        <v>1</v>
      </c>
      <c r="P15">
        <v>1</v>
      </c>
      <c r="Q15">
        <v>1</v>
      </c>
      <c r="R15">
        <f t="shared" si="1"/>
        <v>2</v>
      </c>
      <c r="S15">
        <v>0</v>
      </c>
      <c r="T15">
        <v>0</v>
      </c>
      <c r="U15">
        <f t="shared" si="2"/>
        <v>0</v>
      </c>
      <c r="V15">
        <v>1</v>
      </c>
      <c r="W15">
        <v>0</v>
      </c>
      <c r="X15">
        <f t="shared" si="3"/>
        <v>1</v>
      </c>
      <c r="Y15">
        <v>0</v>
      </c>
      <c r="Z15">
        <v>0</v>
      </c>
      <c r="AA15">
        <f t="shared" si="4"/>
        <v>0</v>
      </c>
      <c r="AB15">
        <f t="shared" si="5"/>
        <v>2</v>
      </c>
      <c r="AC15">
        <f t="shared" si="5"/>
        <v>2</v>
      </c>
      <c r="AD15">
        <f t="shared" si="5"/>
        <v>4</v>
      </c>
    </row>
    <row r="16" spans="1:31" x14ac:dyDescent="0.25">
      <c r="A16" t="s">
        <v>35</v>
      </c>
      <c r="B16" t="s">
        <v>43</v>
      </c>
      <c r="C16" t="s">
        <v>65</v>
      </c>
      <c r="D16">
        <v>304314</v>
      </c>
      <c r="E16" t="s">
        <v>72</v>
      </c>
      <c r="F16" t="s">
        <v>73</v>
      </c>
      <c r="G16" t="s">
        <v>47</v>
      </c>
      <c r="H16" t="s">
        <v>48</v>
      </c>
      <c r="I16" t="s">
        <v>36</v>
      </c>
      <c r="J16" t="s">
        <v>74</v>
      </c>
      <c r="K16" t="s">
        <v>37</v>
      </c>
      <c r="L16" s="12" t="s">
        <v>38</v>
      </c>
      <c r="M16">
        <v>0</v>
      </c>
      <c r="N16">
        <v>0</v>
      </c>
      <c r="O16">
        <f t="shared" si="0"/>
        <v>0</v>
      </c>
      <c r="P16">
        <v>1</v>
      </c>
      <c r="Q16">
        <v>4</v>
      </c>
      <c r="R16">
        <f t="shared" si="1"/>
        <v>5</v>
      </c>
      <c r="S16">
        <v>0</v>
      </c>
      <c r="T16">
        <v>0</v>
      </c>
      <c r="U16">
        <f t="shared" si="2"/>
        <v>0</v>
      </c>
      <c r="V16">
        <v>0</v>
      </c>
      <c r="W16">
        <v>0</v>
      </c>
      <c r="X16">
        <f t="shared" si="3"/>
        <v>0</v>
      </c>
      <c r="Y16">
        <v>0</v>
      </c>
      <c r="Z16">
        <v>0</v>
      </c>
      <c r="AA16">
        <f t="shared" si="4"/>
        <v>0</v>
      </c>
      <c r="AB16">
        <f t="shared" si="5"/>
        <v>1</v>
      </c>
      <c r="AC16">
        <f t="shared" si="5"/>
        <v>4</v>
      </c>
      <c r="AD16">
        <f t="shared" si="5"/>
        <v>5</v>
      </c>
    </row>
    <row r="17" spans="1:30" x14ac:dyDescent="0.25">
      <c r="A17" t="s">
        <v>35</v>
      </c>
      <c r="B17" t="s">
        <v>43</v>
      </c>
      <c r="C17" t="s">
        <v>65</v>
      </c>
      <c r="D17">
        <v>304327</v>
      </c>
      <c r="E17" t="s">
        <v>75</v>
      </c>
      <c r="F17" t="s">
        <v>76</v>
      </c>
      <c r="G17" t="s">
        <v>47</v>
      </c>
      <c r="H17" t="s">
        <v>48</v>
      </c>
      <c r="I17" t="s">
        <v>36</v>
      </c>
      <c r="J17" t="s">
        <v>77</v>
      </c>
      <c r="K17" t="s">
        <v>37</v>
      </c>
      <c r="L17" s="12" t="s">
        <v>38</v>
      </c>
      <c r="M17">
        <v>3</v>
      </c>
      <c r="N17">
        <v>8</v>
      </c>
      <c r="O17">
        <f t="shared" si="0"/>
        <v>11</v>
      </c>
      <c r="P17">
        <v>0</v>
      </c>
      <c r="Q17">
        <v>0</v>
      </c>
      <c r="R17">
        <f t="shared" si="1"/>
        <v>0</v>
      </c>
      <c r="S17">
        <v>0</v>
      </c>
      <c r="T17">
        <v>0</v>
      </c>
      <c r="U17">
        <f t="shared" si="2"/>
        <v>0</v>
      </c>
      <c r="V17">
        <v>0</v>
      </c>
      <c r="W17">
        <v>0</v>
      </c>
      <c r="X17">
        <f t="shared" si="3"/>
        <v>0</v>
      </c>
      <c r="Y17">
        <v>0</v>
      </c>
      <c r="Z17">
        <v>0</v>
      </c>
      <c r="AA17">
        <f t="shared" si="4"/>
        <v>0</v>
      </c>
      <c r="AB17">
        <f t="shared" si="5"/>
        <v>3</v>
      </c>
      <c r="AC17">
        <f t="shared" si="5"/>
        <v>8</v>
      </c>
      <c r="AD17">
        <f t="shared" si="5"/>
        <v>11</v>
      </c>
    </row>
    <row r="18" spans="1:30" x14ac:dyDescent="0.25">
      <c r="A18" t="s">
        <v>35</v>
      </c>
      <c r="B18" t="s">
        <v>43</v>
      </c>
      <c r="C18" t="s">
        <v>65</v>
      </c>
      <c r="D18">
        <v>304328</v>
      </c>
      <c r="E18" t="s">
        <v>78</v>
      </c>
      <c r="F18" t="s">
        <v>79</v>
      </c>
      <c r="G18" t="s">
        <v>47</v>
      </c>
      <c r="H18" t="s">
        <v>48</v>
      </c>
      <c r="I18" t="s">
        <v>36</v>
      </c>
      <c r="J18" t="s">
        <v>54</v>
      </c>
      <c r="K18" t="s">
        <v>37</v>
      </c>
      <c r="L18" s="12" t="s">
        <v>38</v>
      </c>
      <c r="M18">
        <v>0</v>
      </c>
      <c r="N18">
        <v>0</v>
      </c>
      <c r="O18">
        <f t="shared" si="0"/>
        <v>0</v>
      </c>
      <c r="P18">
        <v>0</v>
      </c>
      <c r="Q18">
        <v>0</v>
      </c>
      <c r="R18">
        <f t="shared" si="1"/>
        <v>0</v>
      </c>
      <c r="S18">
        <v>0</v>
      </c>
      <c r="T18">
        <v>0</v>
      </c>
      <c r="U18">
        <f t="shared" si="2"/>
        <v>0</v>
      </c>
      <c r="V18">
        <v>0</v>
      </c>
      <c r="W18">
        <v>0</v>
      </c>
      <c r="X18">
        <f t="shared" si="3"/>
        <v>0</v>
      </c>
      <c r="Y18">
        <v>0</v>
      </c>
      <c r="Z18">
        <v>0</v>
      </c>
      <c r="AA18">
        <f t="shared" si="4"/>
        <v>0</v>
      </c>
      <c r="AB18">
        <f t="shared" si="5"/>
        <v>0</v>
      </c>
      <c r="AC18">
        <f t="shared" si="5"/>
        <v>0</v>
      </c>
      <c r="AD18">
        <f t="shared" si="5"/>
        <v>0</v>
      </c>
    </row>
    <row r="19" spans="1:30" x14ac:dyDescent="0.25">
      <c r="A19" t="s">
        <v>35</v>
      </c>
      <c r="B19" t="s">
        <v>43</v>
      </c>
      <c r="C19" t="s">
        <v>65</v>
      </c>
      <c r="D19">
        <v>304338</v>
      </c>
      <c r="E19" t="s">
        <v>80</v>
      </c>
      <c r="F19" t="s">
        <v>81</v>
      </c>
      <c r="G19" t="s">
        <v>47</v>
      </c>
      <c r="H19" t="s">
        <v>48</v>
      </c>
      <c r="I19" t="s">
        <v>36</v>
      </c>
      <c r="J19" t="s">
        <v>82</v>
      </c>
      <c r="K19" t="s">
        <v>37</v>
      </c>
      <c r="L19" s="12" t="s">
        <v>38</v>
      </c>
      <c r="M19">
        <v>0</v>
      </c>
      <c r="N19">
        <v>0</v>
      </c>
      <c r="O19">
        <f t="shared" si="0"/>
        <v>0</v>
      </c>
      <c r="P19">
        <v>1</v>
      </c>
      <c r="Q19">
        <v>0</v>
      </c>
      <c r="R19">
        <f t="shared" si="1"/>
        <v>1</v>
      </c>
      <c r="S19">
        <v>0</v>
      </c>
      <c r="T19">
        <v>0</v>
      </c>
      <c r="U19">
        <f t="shared" si="2"/>
        <v>0</v>
      </c>
      <c r="V19">
        <v>0</v>
      </c>
      <c r="W19">
        <v>0</v>
      </c>
      <c r="X19">
        <f t="shared" si="3"/>
        <v>0</v>
      </c>
      <c r="Y19">
        <v>0</v>
      </c>
      <c r="Z19">
        <v>0</v>
      </c>
      <c r="AA19">
        <f t="shared" si="4"/>
        <v>0</v>
      </c>
      <c r="AB19">
        <f t="shared" si="5"/>
        <v>1</v>
      </c>
      <c r="AC19">
        <f t="shared" si="5"/>
        <v>0</v>
      </c>
      <c r="AD19">
        <f t="shared" si="5"/>
        <v>1</v>
      </c>
    </row>
    <row r="20" spans="1:30" x14ac:dyDescent="0.25">
      <c r="A20" t="s">
        <v>35</v>
      </c>
      <c r="B20" t="s">
        <v>43</v>
      </c>
      <c r="C20" t="s">
        <v>65</v>
      </c>
      <c r="D20">
        <v>316104</v>
      </c>
      <c r="E20" t="s">
        <v>83</v>
      </c>
      <c r="F20" t="s">
        <v>84</v>
      </c>
      <c r="G20" t="s">
        <v>47</v>
      </c>
      <c r="H20" t="s">
        <v>48</v>
      </c>
      <c r="I20" t="s">
        <v>36</v>
      </c>
      <c r="J20" t="s">
        <v>85</v>
      </c>
      <c r="K20" t="s">
        <v>37</v>
      </c>
      <c r="L20" s="12" t="s">
        <v>38</v>
      </c>
      <c r="M20">
        <v>0</v>
      </c>
      <c r="N20">
        <v>3</v>
      </c>
      <c r="O20">
        <f t="shared" si="0"/>
        <v>3</v>
      </c>
      <c r="P20">
        <v>1</v>
      </c>
      <c r="Q20">
        <v>1</v>
      </c>
      <c r="R20">
        <f t="shared" si="1"/>
        <v>2</v>
      </c>
      <c r="S20">
        <v>0</v>
      </c>
      <c r="T20">
        <v>0</v>
      </c>
      <c r="U20">
        <f t="shared" si="2"/>
        <v>0</v>
      </c>
      <c r="V20">
        <v>0</v>
      </c>
      <c r="W20">
        <v>0</v>
      </c>
      <c r="X20">
        <f t="shared" si="3"/>
        <v>0</v>
      </c>
      <c r="Y20">
        <v>0</v>
      </c>
      <c r="Z20">
        <v>0</v>
      </c>
      <c r="AA20">
        <f t="shared" si="4"/>
        <v>0</v>
      </c>
      <c r="AB20">
        <f t="shared" si="5"/>
        <v>1</v>
      </c>
      <c r="AC20">
        <f t="shared" si="5"/>
        <v>4</v>
      </c>
      <c r="AD20">
        <f t="shared" si="5"/>
        <v>5</v>
      </c>
    </row>
    <row r="21" spans="1:30" x14ac:dyDescent="0.25">
      <c r="A21" t="s">
        <v>35</v>
      </c>
      <c r="B21" t="s">
        <v>43</v>
      </c>
      <c r="C21" t="s">
        <v>65</v>
      </c>
      <c r="D21">
        <v>325101</v>
      </c>
      <c r="E21" t="s">
        <v>86</v>
      </c>
      <c r="F21" t="s">
        <v>87</v>
      </c>
      <c r="G21" t="s">
        <v>47</v>
      </c>
      <c r="H21" t="s">
        <v>48</v>
      </c>
      <c r="I21" t="s">
        <v>36</v>
      </c>
      <c r="J21" t="s">
        <v>54</v>
      </c>
      <c r="K21" t="s">
        <v>39</v>
      </c>
      <c r="L21" s="12" t="s">
        <v>40</v>
      </c>
      <c r="M21">
        <v>0</v>
      </c>
      <c r="N21">
        <v>1</v>
      </c>
      <c r="O21">
        <f t="shared" si="0"/>
        <v>1</v>
      </c>
      <c r="P21">
        <v>0</v>
      </c>
      <c r="Q21">
        <v>2</v>
      </c>
      <c r="R21">
        <f t="shared" si="1"/>
        <v>2</v>
      </c>
      <c r="S21">
        <v>0</v>
      </c>
      <c r="T21">
        <v>0</v>
      </c>
      <c r="U21">
        <f t="shared" si="2"/>
        <v>0</v>
      </c>
      <c r="V21">
        <v>1</v>
      </c>
      <c r="W21">
        <v>0</v>
      </c>
      <c r="X21">
        <f t="shared" si="3"/>
        <v>1</v>
      </c>
      <c r="Y21">
        <v>0</v>
      </c>
      <c r="Z21">
        <v>0</v>
      </c>
      <c r="AA21">
        <f t="shared" si="4"/>
        <v>0</v>
      </c>
      <c r="AB21">
        <f t="shared" si="5"/>
        <v>1</v>
      </c>
      <c r="AC21">
        <f t="shared" si="5"/>
        <v>3</v>
      </c>
      <c r="AD21">
        <f t="shared" si="5"/>
        <v>4</v>
      </c>
    </row>
    <row r="22" spans="1:30" x14ac:dyDescent="0.25">
      <c r="A22" t="s">
        <v>35</v>
      </c>
      <c r="B22" t="s">
        <v>43</v>
      </c>
      <c r="C22" t="s">
        <v>65</v>
      </c>
      <c r="D22">
        <v>325102</v>
      </c>
      <c r="E22" t="s">
        <v>88</v>
      </c>
      <c r="F22" t="s">
        <v>89</v>
      </c>
      <c r="G22" t="s">
        <v>47</v>
      </c>
      <c r="H22" t="s">
        <v>48</v>
      </c>
      <c r="I22" t="s">
        <v>36</v>
      </c>
      <c r="J22" t="s">
        <v>90</v>
      </c>
      <c r="K22" t="s">
        <v>37</v>
      </c>
      <c r="L22" s="12" t="s">
        <v>38</v>
      </c>
      <c r="M22">
        <v>0</v>
      </c>
      <c r="N22">
        <v>0</v>
      </c>
      <c r="O22">
        <f t="shared" si="0"/>
        <v>0</v>
      </c>
      <c r="P22">
        <v>1</v>
      </c>
      <c r="Q22">
        <v>3</v>
      </c>
      <c r="R22">
        <f t="shared" si="1"/>
        <v>4</v>
      </c>
      <c r="S22">
        <v>0</v>
      </c>
      <c r="T22">
        <v>0</v>
      </c>
      <c r="U22">
        <f t="shared" si="2"/>
        <v>0</v>
      </c>
      <c r="V22">
        <v>0</v>
      </c>
      <c r="W22">
        <v>0</v>
      </c>
      <c r="X22">
        <f t="shared" si="3"/>
        <v>0</v>
      </c>
      <c r="Y22">
        <v>0</v>
      </c>
      <c r="Z22">
        <v>0</v>
      </c>
      <c r="AA22">
        <f t="shared" si="4"/>
        <v>0</v>
      </c>
      <c r="AB22">
        <f t="shared" si="5"/>
        <v>1</v>
      </c>
      <c r="AC22">
        <f t="shared" si="5"/>
        <v>3</v>
      </c>
      <c r="AD22">
        <f t="shared" si="5"/>
        <v>4</v>
      </c>
    </row>
    <row r="23" spans="1:30" x14ac:dyDescent="0.25">
      <c r="A23" t="s">
        <v>35</v>
      </c>
      <c r="B23" t="s">
        <v>43</v>
      </c>
      <c r="C23" t="s">
        <v>65</v>
      </c>
      <c r="D23">
        <v>325106</v>
      </c>
      <c r="E23" t="s">
        <v>91</v>
      </c>
      <c r="F23" t="s">
        <v>92</v>
      </c>
      <c r="G23" t="s">
        <v>47</v>
      </c>
      <c r="H23" t="s">
        <v>48</v>
      </c>
      <c r="I23" t="s">
        <v>36</v>
      </c>
      <c r="J23" t="s">
        <v>93</v>
      </c>
      <c r="K23" t="s">
        <v>37</v>
      </c>
      <c r="L23" s="12" t="s">
        <v>38</v>
      </c>
      <c r="M23">
        <v>1</v>
      </c>
      <c r="N23">
        <v>0</v>
      </c>
      <c r="O23">
        <f t="shared" si="0"/>
        <v>1</v>
      </c>
      <c r="P23">
        <v>0</v>
      </c>
      <c r="Q23">
        <v>3</v>
      </c>
      <c r="R23">
        <f t="shared" si="1"/>
        <v>3</v>
      </c>
      <c r="S23">
        <v>0</v>
      </c>
      <c r="T23">
        <v>0</v>
      </c>
      <c r="U23">
        <f t="shared" si="2"/>
        <v>0</v>
      </c>
      <c r="V23">
        <v>1</v>
      </c>
      <c r="W23">
        <v>0</v>
      </c>
      <c r="X23">
        <f t="shared" si="3"/>
        <v>1</v>
      </c>
      <c r="Y23">
        <v>0</v>
      </c>
      <c r="Z23">
        <v>0</v>
      </c>
      <c r="AA23">
        <f t="shared" si="4"/>
        <v>0</v>
      </c>
      <c r="AB23">
        <f t="shared" si="5"/>
        <v>2</v>
      </c>
      <c r="AC23">
        <f t="shared" si="5"/>
        <v>3</v>
      </c>
      <c r="AD23">
        <f t="shared" si="5"/>
        <v>5</v>
      </c>
    </row>
    <row r="24" spans="1:30" x14ac:dyDescent="0.25">
      <c r="A24" t="s">
        <v>35</v>
      </c>
      <c r="B24" t="s">
        <v>43</v>
      </c>
      <c r="C24" t="s">
        <v>94</v>
      </c>
      <c r="D24">
        <v>304313</v>
      </c>
      <c r="E24" t="s">
        <v>95</v>
      </c>
      <c r="F24" t="s">
        <v>96</v>
      </c>
      <c r="G24" t="s">
        <v>47</v>
      </c>
      <c r="H24" t="s">
        <v>48</v>
      </c>
      <c r="I24" t="s">
        <v>36</v>
      </c>
      <c r="J24" t="s">
        <v>97</v>
      </c>
      <c r="K24" t="s">
        <v>37</v>
      </c>
      <c r="L24" s="12" t="s">
        <v>38</v>
      </c>
      <c r="M24">
        <v>2</v>
      </c>
      <c r="N24">
        <v>1</v>
      </c>
      <c r="O24">
        <f t="shared" si="0"/>
        <v>3</v>
      </c>
      <c r="P24">
        <v>2</v>
      </c>
      <c r="Q24">
        <v>0</v>
      </c>
      <c r="R24">
        <f t="shared" si="1"/>
        <v>2</v>
      </c>
      <c r="S24">
        <v>0</v>
      </c>
      <c r="T24">
        <v>0</v>
      </c>
      <c r="U24">
        <f t="shared" si="2"/>
        <v>0</v>
      </c>
      <c r="V24">
        <v>0</v>
      </c>
      <c r="W24">
        <v>1</v>
      </c>
      <c r="X24">
        <f t="shared" si="3"/>
        <v>1</v>
      </c>
      <c r="Y24">
        <v>1</v>
      </c>
      <c r="Z24">
        <v>0</v>
      </c>
      <c r="AA24">
        <f t="shared" si="4"/>
        <v>1</v>
      </c>
      <c r="AB24">
        <f t="shared" si="5"/>
        <v>5</v>
      </c>
      <c r="AC24">
        <f t="shared" si="5"/>
        <v>2</v>
      </c>
      <c r="AD24">
        <f t="shared" si="5"/>
        <v>7</v>
      </c>
    </row>
    <row r="25" spans="1:30" x14ac:dyDescent="0.25">
      <c r="A25" t="s">
        <v>35</v>
      </c>
      <c r="B25" t="s">
        <v>43</v>
      </c>
      <c r="C25" t="s">
        <v>94</v>
      </c>
      <c r="D25">
        <v>304318</v>
      </c>
      <c r="E25" t="s">
        <v>98</v>
      </c>
      <c r="F25" t="s">
        <v>99</v>
      </c>
      <c r="G25" t="s">
        <v>47</v>
      </c>
      <c r="H25" t="s">
        <v>48</v>
      </c>
      <c r="I25" t="s">
        <v>36</v>
      </c>
      <c r="J25" t="s">
        <v>100</v>
      </c>
      <c r="K25" t="s">
        <v>37</v>
      </c>
      <c r="L25" s="12" t="s">
        <v>38</v>
      </c>
      <c r="M25">
        <v>0</v>
      </c>
      <c r="N25">
        <v>0</v>
      </c>
      <c r="O25">
        <f t="shared" si="0"/>
        <v>0</v>
      </c>
      <c r="P25">
        <v>0</v>
      </c>
      <c r="Q25">
        <v>4</v>
      </c>
      <c r="R25">
        <f t="shared" si="1"/>
        <v>4</v>
      </c>
      <c r="S25">
        <v>0</v>
      </c>
      <c r="T25">
        <v>0</v>
      </c>
      <c r="U25">
        <f t="shared" si="2"/>
        <v>0</v>
      </c>
      <c r="V25">
        <v>1</v>
      </c>
      <c r="W25">
        <v>0</v>
      </c>
      <c r="X25">
        <f t="shared" si="3"/>
        <v>1</v>
      </c>
      <c r="Y25">
        <v>1</v>
      </c>
      <c r="Z25">
        <v>1</v>
      </c>
      <c r="AA25">
        <f t="shared" si="4"/>
        <v>2</v>
      </c>
      <c r="AB25">
        <f t="shared" si="5"/>
        <v>2</v>
      </c>
      <c r="AC25">
        <f t="shared" si="5"/>
        <v>5</v>
      </c>
      <c r="AD25">
        <f t="shared" si="5"/>
        <v>7</v>
      </c>
    </row>
    <row r="26" spans="1:30" x14ac:dyDescent="0.25">
      <c r="A26" t="s">
        <v>35</v>
      </c>
      <c r="B26" t="s">
        <v>43</v>
      </c>
      <c r="C26" t="s">
        <v>94</v>
      </c>
      <c r="D26">
        <v>325105</v>
      </c>
      <c r="E26" t="s">
        <v>101</v>
      </c>
      <c r="F26" t="s">
        <v>102</v>
      </c>
      <c r="G26" t="s">
        <v>47</v>
      </c>
      <c r="H26" t="s">
        <v>48</v>
      </c>
      <c r="I26" t="s">
        <v>36</v>
      </c>
      <c r="J26" t="s">
        <v>103</v>
      </c>
      <c r="K26" t="s">
        <v>37</v>
      </c>
      <c r="L26" s="12" t="s">
        <v>38</v>
      </c>
      <c r="M26">
        <v>0</v>
      </c>
      <c r="N26">
        <v>0</v>
      </c>
      <c r="O26">
        <f t="shared" si="0"/>
        <v>0</v>
      </c>
      <c r="P26">
        <v>1</v>
      </c>
      <c r="Q26">
        <v>2</v>
      </c>
      <c r="R26">
        <f t="shared" si="1"/>
        <v>3</v>
      </c>
      <c r="S26">
        <v>0</v>
      </c>
      <c r="T26">
        <v>0</v>
      </c>
      <c r="U26">
        <f t="shared" si="2"/>
        <v>0</v>
      </c>
      <c r="V26">
        <v>0</v>
      </c>
      <c r="W26">
        <v>0</v>
      </c>
      <c r="X26">
        <f t="shared" si="3"/>
        <v>0</v>
      </c>
      <c r="Y26">
        <v>0</v>
      </c>
      <c r="Z26">
        <v>0</v>
      </c>
      <c r="AA26">
        <f t="shared" si="4"/>
        <v>0</v>
      </c>
      <c r="AB26">
        <f t="shared" si="5"/>
        <v>1</v>
      </c>
      <c r="AC26">
        <f t="shared" si="5"/>
        <v>2</v>
      </c>
      <c r="AD26">
        <f t="shared" si="5"/>
        <v>3</v>
      </c>
    </row>
    <row r="27" spans="1:30" x14ac:dyDescent="0.25">
      <c r="A27" t="s">
        <v>35</v>
      </c>
      <c r="B27" t="s">
        <v>43</v>
      </c>
      <c r="C27" t="s">
        <v>94</v>
      </c>
      <c r="D27">
        <v>501085</v>
      </c>
      <c r="E27" t="s">
        <v>104</v>
      </c>
      <c r="F27" t="s">
        <v>105</v>
      </c>
      <c r="G27" t="s">
        <v>47</v>
      </c>
      <c r="H27" t="s">
        <v>48</v>
      </c>
      <c r="I27" t="s">
        <v>36</v>
      </c>
      <c r="J27" t="s">
        <v>106</v>
      </c>
      <c r="K27" t="s">
        <v>41</v>
      </c>
      <c r="L27" s="12" t="s">
        <v>42</v>
      </c>
      <c r="M27">
        <v>0</v>
      </c>
      <c r="N27">
        <v>0</v>
      </c>
      <c r="O27">
        <f t="shared" si="0"/>
        <v>0</v>
      </c>
      <c r="P27">
        <v>0</v>
      </c>
      <c r="Q27">
        <v>1</v>
      </c>
      <c r="R27">
        <f t="shared" si="1"/>
        <v>1</v>
      </c>
      <c r="S27">
        <v>0</v>
      </c>
      <c r="T27">
        <v>0</v>
      </c>
      <c r="U27">
        <f t="shared" si="2"/>
        <v>0</v>
      </c>
      <c r="V27">
        <v>0</v>
      </c>
      <c r="W27">
        <v>0</v>
      </c>
      <c r="X27">
        <f t="shared" si="3"/>
        <v>0</v>
      </c>
      <c r="Y27">
        <v>0</v>
      </c>
      <c r="Z27">
        <v>0</v>
      </c>
      <c r="AA27">
        <f t="shared" si="4"/>
        <v>0</v>
      </c>
      <c r="AB27">
        <f t="shared" si="5"/>
        <v>0</v>
      </c>
      <c r="AC27">
        <f t="shared" si="5"/>
        <v>1</v>
      </c>
      <c r="AD27">
        <f t="shared" si="5"/>
        <v>1</v>
      </c>
    </row>
    <row r="28" spans="1:30" x14ac:dyDescent="0.25">
      <c r="A28" t="s">
        <v>35</v>
      </c>
      <c r="B28" t="s">
        <v>43</v>
      </c>
      <c r="C28" t="s">
        <v>94</v>
      </c>
      <c r="D28">
        <v>501086</v>
      </c>
      <c r="E28" t="s">
        <v>107</v>
      </c>
      <c r="F28" t="s">
        <v>108</v>
      </c>
      <c r="G28" t="s">
        <v>47</v>
      </c>
      <c r="H28" t="s">
        <v>48</v>
      </c>
      <c r="I28" t="s">
        <v>36</v>
      </c>
      <c r="J28" t="s">
        <v>109</v>
      </c>
      <c r="K28" t="s">
        <v>41</v>
      </c>
      <c r="L28" s="12" t="s">
        <v>42</v>
      </c>
      <c r="M28">
        <v>0</v>
      </c>
      <c r="N28">
        <v>0</v>
      </c>
      <c r="O28">
        <f t="shared" si="0"/>
        <v>0</v>
      </c>
      <c r="P28">
        <v>0</v>
      </c>
      <c r="Q28">
        <v>0</v>
      </c>
      <c r="R28">
        <f t="shared" si="1"/>
        <v>0</v>
      </c>
      <c r="S28">
        <v>0</v>
      </c>
      <c r="T28">
        <v>0</v>
      </c>
      <c r="U28">
        <f t="shared" si="2"/>
        <v>0</v>
      </c>
      <c r="V28">
        <v>0</v>
      </c>
      <c r="W28">
        <v>0</v>
      </c>
      <c r="X28">
        <f t="shared" si="3"/>
        <v>0</v>
      </c>
      <c r="Y28">
        <v>0</v>
      </c>
      <c r="Z28">
        <v>0</v>
      </c>
      <c r="AA28">
        <f t="shared" si="4"/>
        <v>0</v>
      </c>
      <c r="AB28">
        <f t="shared" si="5"/>
        <v>0</v>
      </c>
      <c r="AC28">
        <f t="shared" si="5"/>
        <v>0</v>
      </c>
      <c r="AD28">
        <f t="shared" si="5"/>
        <v>0</v>
      </c>
    </row>
    <row r="29" spans="1:30" x14ac:dyDescent="0.25">
      <c r="A29" t="s">
        <v>35</v>
      </c>
      <c r="B29" t="s">
        <v>43</v>
      </c>
      <c r="C29" t="s">
        <v>94</v>
      </c>
      <c r="D29">
        <v>501087</v>
      </c>
      <c r="E29" t="s">
        <v>110</v>
      </c>
      <c r="F29" t="s">
        <v>111</v>
      </c>
      <c r="G29" t="s">
        <v>47</v>
      </c>
      <c r="H29" t="s">
        <v>48</v>
      </c>
      <c r="I29" t="s">
        <v>36</v>
      </c>
      <c r="J29" t="s">
        <v>112</v>
      </c>
      <c r="K29" t="s">
        <v>41</v>
      </c>
      <c r="L29" s="12" t="s">
        <v>42</v>
      </c>
      <c r="M29">
        <v>0</v>
      </c>
      <c r="N29">
        <v>0</v>
      </c>
      <c r="O29">
        <f t="shared" si="0"/>
        <v>0</v>
      </c>
      <c r="P29">
        <v>0</v>
      </c>
      <c r="Q29">
        <v>0</v>
      </c>
      <c r="R29">
        <f t="shared" si="1"/>
        <v>0</v>
      </c>
      <c r="S29">
        <v>0</v>
      </c>
      <c r="T29">
        <v>0</v>
      </c>
      <c r="U29">
        <f t="shared" si="2"/>
        <v>0</v>
      </c>
      <c r="V29">
        <v>0</v>
      </c>
      <c r="W29">
        <v>0</v>
      </c>
      <c r="X29">
        <f t="shared" si="3"/>
        <v>0</v>
      </c>
      <c r="Y29">
        <v>0</v>
      </c>
      <c r="Z29">
        <v>0</v>
      </c>
      <c r="AA29">
        <f t="shared" si="4"/>
        <v>0</v>
      </c>
      <c r="AB29">
        <f t="shared" si="5"/>
        <v>0</v>
      </c>
      <c r="AC29">
        <f t="shared" si="5"/>
        <v>0</v>
      </c>
      <c r="AD29">
        <f t="shared" si="5"/>
        <v>0</v>
      </c>
    </row>
  </sheetData>
  <autoFilter ref="A7:AE29" xr:uid="{00000000-0009-0000-0000-000000000000}"/>
  <mergeCells count="6"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BD06-140F-4FC4-891C-B4022030A757}">
  <dimension ref="A1:AE23"/>
  <sheetViews>
    <sheetView tabSelected="1" workbookViewId="0">
      <pane xSplit="4" ySplit="7" topLeftCell="E8" activePane="bottomRight" state="frozen"/>
      <selection activeCell="B30" sqref="A30:XFD75"/>
      <selection pane="topRight" activeCell="B30" sqref="A30:XFD75"/>
      <selection pane="bottomLeft" activeCell="B30" sqref="A30:XFD75"/>
      <selection pane="bottomRight" activeCell="B24" sqref="A24:XFD29"/>
    </sheetView>
  </sheetViews>
  <sheetFormatPr defaultRowHeight="15" x14ac:dyDescent="0.25"/>
  <cols>
    <col min="2" max="2" width="25.5703125" bestFit="1" customWidth="1"/>
  </cols>
  <sheetData>
    <row r="1" spans="1:31" x14ac:dyDescent="0.25">
      <c r="A1" s="1" t="s">
        <v>113</v>
      </c>
    </row>
    <row r="2" spans="1:31" x14ac:dyDescent="0.25">
      <c r="A2" s="1" t="s">
        <v>1</v>
      </c>
      <c r="L2" s="2"/>
    </row>
    <row r="3" spans="1:31" x14ac:dyDescent="0.25">
      <c r="A3" s="1" t="s">
        <v>2</v>
      </c>
      <c r="L3" s="2"/>
    </row>
    <row r="4" spans="1:31" x14ac:dyDescent="0.25">
      <c r="M4" s="3" t="s">
        <v>3</v>
      </c>
      <c r="N4" s="4"/>
      <c r="O4" s="5"/>
      <c r="P4" s="3" t="s">
        <v>4</v>
      </c>
      <c r="Q4" s="4"/>
      <c r="R4" s="5"/>
      <c r="S4" s="3" t="s">
        <v>5</v>
      </c>
      <c r="T4" s="4"/>
      <c r="U4" s="5"/>
      <c r="V4" s="3" t="s">
        <v>6</v>
      </c>
      <c r="W4" s="4"/>
      <c r="X4" s="5"/>
      <c r="Y4" s="6" t="s">
        <v>7</v>
      </c>
      <c r="Z4" s="6"/>
      <c r="AA4" s="6"/>
      <c r="AB4" s="6" t="s">
        <v>8</v>
      </c>
      <c r="AC4" s="6"/>
      <c r="AD4" s="6"/>
    </row>
    <row r="5" spans="1:31" x14ac:dyDescent="0.25">
      <c r="M5" s="7" t="s">
        <v>9</v>
      </c>
      <c r="N5" s="7" t="s">
        <v>10</v>
      </c>
      <c r="O5" s="7" t="s">
        <v>11</v>
      </c>
      <c r="P5" s="7" t="s">
        <v>9</v>
      </c>
      <c r="Q5" s="7" t="s">
        <v>10</v>
      </c>
      <c r="R5" s="7" t="s">
        <v>11</v>
      </c>
      <c r="S5" s="7" t="s">
        <v>9</v>
      </c>
      <c r="T5" s="7" t="s">
        <v>10</v>
      </c>
      <c r="U5" s="7" t="s">
        <v>11</v>
      </c>
      <c r="V5" s="7" t="s">
        <v>9</v>
      </c>
      <c r="W5" s="7" t="s">
        <v>10</v>
      </c>
      <c r="X5" s="7" t="s">
        <v>11</v>
      </c>
      <c r="Y5" s="7" t="s">
        <v>9</v>
      </c>
      <c r="Z5" s="7" t="s">
        <v>10</v>
      </c>
      <c r="AA5" s="7" t="s">
        <v>11</v>
      </c>
      <c r="AB5" s="7" t="s">
        <v>9</v>
      </c>
      <c r="AC5" s="7" t="s">
        <v>10</v>
      </c>
      <c r="AD5" s="7" t="s">
        <v>11</v>
      </c>
    </row>
    <row r="6" spans="1:31" x14ac:dyDescent="0.25">
      <c r="M6" s="8">
        <f>SUM(M8:M23)</f>
        <v>0</v>
      </c>
      <c r="N6" s="8">
        <f>SUM(N8:N23)</f>
        <v>13</v>
      </c>
      <c r="O6" s="8">
        <f>SUM(O8:O23)</f>
        <v>13</v>
      </c>
      <c r="P6" s="8">
        <f>SUM(P8:P23)</f>
        <v>3</v>
      </c>
      <c r="Q6" s="8">
        <f>SUM(Q8:Q23)</f>
        <v>5</v>
      </c>
      <c r="R6" s="8">
        <f>SUM(R8:R23)</f>
        <v>8</v>
      </c>
      <c r="S6" s="8">
        <f>SUM(S8:S23)</f>
        <v>0</v>
      </c>
      <c r="T6" s="8">
        <f>SUM(T8:T23)</f>
        <v>0</v>
      </c>
      <c r="U6" s="8">
        <f>SUM(U8:U23)</f>
        <v>0</v>
      </c>
      <c r="V6" s="8">
        <f>SUM(V8:V23)</f>
        <v>2</v>
      </c>
      <c r="W6" s="8">
        <f>SUM(W8:W23)</f>
        <v>2</v>
      </c>
      <c r="X6" s="8">
        <f>SUM(X8:X23)</f>
        <v>4</v>
      </c>
      <c r="Y6" s="8">
        <f>SUM(Y8:Y23)</f>
        <v>0</v>
      </c>
      <c r="Z6" s="8">
        <f>SUM(Z8:Z23)</f>
        <v>0</v>
      </c>
      <c r="AA6" s="8">
        <f>SUM(AA8:AA23)</f>
        <v>0</v>
      </c>
      <c r="AB6" s="8">
        <f>SUM(AB8:AB23)</f>
        <v>5</v>
      </c>
      <c r="AC6" s="8">
        <f>SUM(AC8:AC23)</f>
        <v>20</v>
      </c>
      <c r="AD6" s="8">
        <f>SUM(AD8:AD23)</f>
        <v>25</v>
      </c>
    </row>
    <row r="7" spans="1:31" x14ac:dyDescent="0.25">
      <c r="A7" s="9" t="s">
        <v>12</v>
      </c>
      <c r="B7" s="9" t="s">
        <v>13</v>
      </c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9" t="s">
        <v>19</v>
      </c>
      <c r="I7" s="9" t="s">
        <v>20</v>
      </c>
      <c r="J7" s="9" t="s">
        <v>21</v>
      </c>
      <c r="K7" s="9" t="s">
        <v>22</v>
      </c>
      <c r="L7" s="10" t="s">
        <v>23</v>
      </c>
      <c r="M7" s="11" t="s">
        <v>114</v>
      </c>
      <c r="N7" s="11" t="s">
        <v>115</v>
      </c>
      <c r="O7" s="11" t="s">
        <v>11</v>
      </c>
      <c r="P7" s="11" t="s">
        <v>116</v>
      </c>
      <c r="Q7" s="11" t="s">
        <v>117</v>
      </c>
      <c r="R7" s="11" t="s">
        <v>11</v>
      </c>
      <c r="S7" s="11" t="s">
        <v>118</v>
      </c>
      <c r="T7" s="11" t="s">
        <v>119</v>
      </c>
      <c r="U7" s="11" t="s">
        <v>11</v>
      </c>
      <c r="V7" s="11" t="s">
        <v>120</v>
      </c>
      <c r="W7" s="11" t="s">
        <v>121</v>
      </c>
      <c r="X7" s="11" t="s">
        <v>11</v>
      </c>
      <c r="Y7" s="11" t="s">
        <v>122</v>
      </c>
      <c r="Z7" s="11" t="s">
        <v>123</v>
      </c>
      <c r="AA7" s="11" t="s">
        <v>11</v>
      </c>
      <c r="AB7" s="8" t="s">
        <v>9</v>
      </c>
      <c r="AC7" s="7" t="s">
        <v>10</v>
      </c>
      <c r="AD7" s="7" t="s">
        <v>11</v>
      </c>
      <c r="AE7" s="11" t="s">
        <v>34</v>
      </c>
    </row>
    <row r="8" spans="1:31" x14ac:dyDescent="0.25">
      <c r="A8" t="s">
        <v>35</v>
      </c>
      <c r="B8" t="s">
        <v>43</v>
      </c>
      <c r="C8" t="s">
        <v>44</v>
      </c>
      <c r="D8">
        <v>304325</v>
      </c>
      <c r="E8" t="s">
        <v>45</v>
      </c>
      <c r="F8" t="s">
        <v>46</v>
      </c>
      <c r="G8" t="s">
        <v>47</v>
      </c>
      <c r="H8" t="s">
        <v>48</v>
      </c>
      <c r="I8" t="s">
        <v>36</v>
      </c>
      <c r="J8" t="s">
        <v>49</v>
      </c>
      <c r="K8" t="s">
        <v>37</v>
      </c>
      <c r="L8" s="12" t="s">
        <v>38</v>
      </c>
      <c r="M8">
        <v>0</v>
      </c>
      <c r="N8">
        <v>3</v>
      </c>
      <c r="O8">
        <f t="shared" ref="O8:O23" si="0">SUM(M8:N8)</f>
        <v>3</v>
      </c>
      <c r="P8">
        <v>1</v>
      </c>
      <c r="Q8">
        <v>1</v>
      </c>
      <c r="R8">
        <f t="shared" ref="R8:R23" si="1">SUM(P8:Q8)</f>
        <v>2</v>
      </c>
      <c r="S8">
        <v>0</v>
      </c>
      <c r="T8">
        <v>0</v>
      </c>
      <c r="U8">
        <f t="shared" ref="U8:U23" si="2">SUM(S8:T8)</f>
        <v>0</v>
      </c>
      <c r="V8">
        <v>1</v>
      </c>
      <c r="W8">
        <v>0</v>
      </c>
      <c r="X8">
        <f t="shared" ref="X8:X23" si="3">SUM(V8:W8)</f>
        <v>1</v>
      </c>
      <c r="Y8">
        <v>0</v>
      </c>
      <c r="Z8">
        <v>0</v>
      </c>
      <c r="AA8">
        <f t="shared" ref="AA8:AA23" si="4">SUM(Y8:Z8)</f>
        <v>0</v>
      </c>
      <c r="AB8">
        <f t="shared" ref="AB8:AD23" si="5">M8+P8+S8+V8+Y8</f>
        <v>2</v>
      </c>
      <c r="AC8">
        <f t="shared" si="5"/>
        <v>4</v>
      </c>
      <c r="AD8">
        <f t="shared" si="5"/>
        <v>6</v>
      </c>
    </row>
    <row r="9" spans="1:31" x14ac:dyDescent="0.25">
      <c r="A9" t="s">
        <v>35</v>
      </c>
      <c r="B9" t="s">
        <v>43</v>
      </c>
      <c r="C9" t="s">
        <v>44</v>
      </c>
      <c r="D9">
        <v>304326</v>
      </c>
      <c r="E9" t="s">
        <v>50</v>
      </c>
      <c r="F9" t="s">
        <v>51</v>
      </c>
      <c r="G9" t="s">
        <v>47</v>
      </c>
      <c r="H9" t="s">
        <v>48</v>
      </c>
      <c r="I9" t="s">
        <v>36</v>
      </c>
      <c r="J9" t="s">
        <v>49</v>
      </c>
      <c r="K9" t="s">
        <v>37</v>
      </c>
      <c r="L9" s="12" t="s">
        <v>38</v>
      </c>
      <c r="M9">
        <v>0</v>
      </c>
      <c r="N9">
        <v>3</v>
      </c>
      <c r="O9">
        <f t="shared" si="0"/>
        <v>3</v>
      </c>
      <c r="P9">
        <v>0</v>
      </c>
      <c r="Q9">
        <v>0</v>
      </c>
      <c r="R9">
        <f t="shared" si="1"/>
        <v>0</v>
      </c>
      <c r="S9">
        <v>0</v>
      </c>
      <c r="T9">
        <v>0</v>
      </c>
      <c r="U9">
        <f t="shared" si="2"/>
        <v>0</v>
      </c>
      <c r="V9">
        <v>0</v>
      </c>
      <c r="W9">
        <v>0</v>
      </c>
      <c r="X9">
        <f t="shared" si="3"/>
        <v>0</v>
      </c>
      <c r="Y9">
        <v>0</v>
      </c>
      <c r="Z9">
        <v>0</v>
      </c>
      <c r="AA9">
        <f t="shared" si="4"/>
        <v>0</v>
      </c>
      <c r="AB9">
        <f t="shared" si="5"/>
        <v>0</v>
      </c>
      <c r="AC9">
        <f t="shared" si="5"/>
        <v>3</v>
      </c>
      <c r="AD9">
        <f t="shared" si="5"/>
        <v>3</v>
      </c>
    </row>
    <row r="10" spans="1:31" x14ac:dyDescent="0.25">
      <c r="A10" t="s">
        <v>35</v>
      </c>
      <c r="B10" t="s">
        <v>43</v>
      </c>
      <c r="C10" t="s">
        <v>44</v>
      </c>
      <c r="D10">
        <v>325104</v>
      </c>
      <c r="E10" t="s">
        <v>55</v>
      </c>
      <c r="F10" t="s">
        <v>56</v>
      </c>
      <c r="G10" t="s">
        <v>47</v>
      </c>
      <c r="H10" t="s">
        <v>48</v>
      </c>
      <c r="I10" t="s">
        <v>36</v>
      </c>
      <c r="J10" t="s">
        <v>57</v>
      </c>
      <c r="K10" t="s">
        <v>37</v>
      </c>
      <c r="L10" s="12" t="s">
        <v>38</v>
      </c>
      <c r="M10">
        <v>0</v>
      </c>
      <c r="N10">
        <v>2</v>
      </c>
      <c r="O10">
        <f t="shared" si="0"/>
        <v>2</v>
      </c>
      <c r="P10">
        <v>0</v>
      </c>
      <c r="Q10">
        <v>0</v>
      </c>
      <c r="R10">
        <f t="shared" si="1"/>
        <v>0</v>
      </c>
      <c r="S10">
        <v>0</v>
      </c>
      <c r="T10">
        <v>0</v>
      </c>
      <c r="U10">
        <f t="shared" si="2"/>
        <v>0</v>
      </c>
      <c r="V10">
        <v>0</v>
      </c>
      <c r="W10">
        <v>0</v>
      </c>
      <c r="X10">
        <f t="shared" si="3"/>
        <v>0</v>
      </c>
      <c r="Y10">
        <v>0</v>
      </c>
      <c r="Z10">
        <v>0</v>
      </c>
      <c r="AA10">
        <f t="shared" si="4"/>
        <v>0</v>
      </c>
      <c r="AB10">
        <f t="shared" si="5"/>
        <v>0</v>
      </c>
      <c r="AC10">
        <f t="shared" si="5"/>
        <v>2</v>
      </c>
      <c r="AD10">
        <f t="shared" si="5"/>
        <v>2</v>
      </c>
    </row>
    <row r="11" spans="1:31" x14ac:dyDescent="0.25">
      <c r="A11" t="s">
        <v>35</v>
      </c>
      <c r="B11" t="s">
        <v>43</v>
      </c>
      <c r="C11" t="s">
        <v>44</v>
      </c>
      <c r="D11">
        <v>500454</v>
      </c>
      <c r="E11" t="s">
        <v>58</v>
      </c>
      <c r="F11" t="s">
        <v>59</v>
      </c>
      <c r="G11" t="s">
        <v>47</v>
      </c>
      <c r="H11" t="s">
        <v>48</v>
      </c>
      <c r="I11" t="s">
        <v>36</v>
      </c>
      <c r="J11" t="s">
        <v>49</v>
      </c>
      <c r="K11" t="s">
        <v>60</v>
      </c>
      <c r="L11" s="12" t="s">
        <v>61</v>
      </c>
      <c r="M11">
        <v>0</v>
      </c>
      <c r="N11">
        <v>0</v>
      </c>
      <c r="O11">
        <f t="shared" si="0"/>
        <v>0</v>
      </c>
      <c r="P11">
        <v>1</v>
      </c>
      <c r="Q11">
        <v>0</v>
      </c>
      <c r="R11">
        <f t="shared" si="1"/>
        <v>1</v>
      </c>
      <c r="S11">
        <v>0</v>
      </c>
      <c r="T11">
        <v>0</v>
      </c>
      <c r="U11">
        <f t="shared" si="2"/>
        <v>0</v>
      </c>
      <c r="V11">
        <v>0</v>
      </c>
      <c r="W11">
        <v>0</v>
      </c>
      <c r="X11">
        <f t="shared" si="3"/>
        <v>0</v>
      </c>
      <c r="Y11">
        <v>0</v>
      </c>
      <c r="Z11">
        <v>0</v>
      </c>
      <c r="AA11">
        <f t="shared" si="4"/>
        <v>0</v>
      </c>
      <c r="AB11">
        <f t="shared" si="5"/>
        <v>1</v>
      </c>
      <c r="AC11">
        <f t="shared" si="5"/>
        <v>0</v>
      </c>
      <c r="AD11">
        <f t="shared" si="5"/>
        <v>1</v>
      </c>
    </row>
    <row r="12" spans="1:31" x14ac:dyDescent="0.25">
      <c r="A12" t="s">
        <v>35</v>
      </c>
      <c r="B12" t="s">
        <v>43</v>
      </c>
      <c r="C12" t="s">
        <v>65</v>
      </c>
      <c r="D12">
        <v>304303</v>
      </c>
      <c r="E12" t="s">
        <v>66</v>
      </c>
      <c r="F12" t="s">
        <v>67</v>
      </c>
      <c r="G12" t="s">
        <v>47</v>
      </c>
      <c r="H12" t="s">
        <v>48</v>
      </c>
      <c r="I12" t="s">
        <v>36</v>
      </c>
      <c r="J12" t="s">
        <v>68</v>
      </c>
      <c r="K12" t="s">
        <v>37</v>
      </c>
      <c r="L12" s="12" t="s">
        <v>38</v>
      </c>
      <c r="M12">
        <v>0</v>
      </c>
      <c r="N12">
        <v>0</v>
      </c>
      <c r="O12">
        <f t="shared" si="0"/>
        <v>0</v>
      </c>
      <c r="P12">
        <v>0</v>
      </c>
      <c r="Q12">
        <v>0</v>
      </c>
      <c r="R12">
        <f t="shared" si="1"/>
        <v>0</v>
      </c>
      <c r="S12">
        <v>0</v>
      </c>
      <c r="T12">
        <v>0</v>
      </c>
      <c r="U12">
        <f t="shared" si="2"/>
        <v>0</v>
      </c>
      <c r="V12">
        <v>0</v>
      </c>
      <c r="W12">
        <v>0</v>
      </c>
      <c r="X12">
        <f t="shared" si="3"/>
        <v>0</v>
      </c>
      <c r="Y12">
        <v>0</v>
      </c>
      <c r="Z12">
        <v>0</v>
      </c>
      <c r="AA12">
        <f t="shared" si="4"/>
        <v>0</v>
      </c>
      <c r="AB12">
        <f t="shared" si="5"/>
        <v>0</v>
      </c>
      <c r="AC12">
        <f t="shared" si="5"/>
        <v>0</v>
      </c>
      <c r="AD12">
        <f t="shared" si="5"/>
        <v>0</v>
      </c>
    </row>
    <row r="13" spans="1:31" x14ac:dyDescent="0.25">
      <c r="A13" t="s">
        <v>35</v>
      </c>
      <c r="B13" t="s">
        <v>43</v>
      </c>
      <c r="C13" t="s">
        <v>65</v>
      </c>
      <c r="D13">
        <v>304305</v>
      </c>
      <c r="E13" t="s">
        <v>69</v>
      </c>
      <c r="F13" t="s">
        <v>70</v>
      </c>
      <c r="G13" t="s">
        <v>47</v>
      </c>
      <c r="H13" t="s">
        <v>48</v>
      </c>
      <c r="I13" t="s">
        <v>36</v>
      </c>
      <c r="J13" t="s">
        <v>71</v>
      </c>
      <c r="K13" t="s">
        <v>37</v>
      </c>
      <c r="L13" s="12" t="s">
        <v>38</v>
      </c>
      <c r="M13">
        <v>0</v>
      </c>
      <c r="N13">
        <v>1</v>
      </c>
      <c r="O13">
        <f t="shared" si="0"/>
        <v>1</v>
      </c>
      <c r="P13">
        <v>0</v>
      </c>
      <c r="Q13">
        <v>0</v>
      </c>
      <c r="R13">
        <f t="shared" si="1"/>
        <v>0</v>
      </c>
      <c r="S13">
        <v>0</v>
      </c>
      <c r="T13">
        <v>0</v>
      </c>
      <c r="U13">
        <f t="shared" si="2"/>
        <v>0</v>
      </c>
      <c r="V13">
        <v>0</v>
      </c>
      <c r="W13">
        <v>0</v>
      </c>
      <c r="X13">
        <f t="shared" si="3"/>
        <v>0</v>
      </c>
      <c r="Y13">
        <v>0</v>
      </c>
      <c r="Z13">
        <v>0</v>
      </c>
      <c r="AA13">
        <f t="shared" si="4"/>
        <v>0</v>
      </c>
      <c r="AB13">
        <f t="shared" si="5"/>
        <v>0</v>
      </c>
      <c r="AC13">
        <f t="shared" si="5"/>
        <v>1</v>
      </c>
      <c r="AD13">
        <f t="shared" si="5"/>
        <v>1</v>
      </c>
    </row>
    <row r="14" spans="1:31" x14ac:dyDescent="0.25">
      <c r="A14" t="s">
        <v>35</v>
      </c>
      <c r="B14" t="s">
        <v>43</v>
      </c>
      <c r="C14" t="s">
        <v>65</v>
      </c>
      <c r="D14">
        <v>304314</v>
      </c>
      <c r="E14" t="s">
        <v>72</v>
      </c>
      <c r="F14" t="s">
        <v>73</v>
      </c>
      <c r="G14" t="s">
        <v>47</v>
      </c>
      <c r="H14" t="s">
        <v>48</v>
      </c>
      <c r="I14" t="s">
        <v>36</v>
      </c>
      <c r="J14" t="s">
        <v>74</v>
      </c>
      <c r="K14" t="s">
        <v>37</v>
      </c>
      <c r="L14" s="12" t="s">
        <v>38</v>
      </c>
      <c r="M14">
        <v>0</v>
      </c>
      <c r="N14">
        <v>1</v>
      </c>
      <c r="O14">
        <f t="shared" si="0"/>
        <v>1</v>
      </c>
      <c r="P14">
        <v>0</v>
      </c>
      <c r="Q14">
        <v>0</v>
      </c>
      <c r="R14">
        <f t="shared" si="1"/>
        <v>0</v>
      </c>
      <c r="S14">
        <v>0</v>
      </c>
      <c r="T14">
        <v>0</v>
      </c>
      <c r="U14">
        <f t="shared" si="2"/>
        <v>0</v>
      </c>
      <c r="V14">
        <v>0</v>
      </c>
      <c r="W14">
        <v>0</v>
      </c>
      <c r="X14">
        <f t="shared" si="3"/>
        <v>0</v>
      </c>
      <c r="Y14">
        <v>0</v>
      </c>
      <c r="Z14">
        <v>0</v>
      </c>
      <c r="AA14">
        <f t="shared" si="4"/>
        <v>0</v>
      </c>
      <c r="AB14">
        <f t="shared" si="5"/>
        <v>0</v>
      </c>
      <c r="AC14">
        <f t="shared" si="5"/>
        <v>1</v>
      </c>
      <c r="AD14">
        <f t="shared" si="5"/>
        <v>1</v>
      </c>
    </row>
    <row r="15" spans="1:31" x14ac:dyDescent="0.25">
      <c r="A15" t="s">
        <v>35</v>
      </c>
      <c r="B15" t="s">
        <v>43</v>
      </c>
      <c r="C15" t="s">
        <v>65</v>
      </c>
      <c r="D15">
        <v>304327</v>
      </c>
      <c r="E15" t="s">
        <v>75</v>
      </c>
      <c r="F15" t="s">
        <v>76</v>
      </c>
      <c r="G15" t="s">
        <v>47</v>
      </c>
      <c r="H15" t="s">
        <v>48</v>
      </c>
      <c r="I15" t="s">
        <v>36</v>
      </c>
      <c r="J15" t="s">
        <v>77</v>
      </c>
      <c r="K15" t="s">
        <v>37</v>
      </c>
      <c r="L15" s="12" t="s">
        <v>38</v>
      </c>
      <c r="M15">
        <v>0</v>
      </c>
      <c r="N15">
        <v>0</v>
      </c>
      <c r="O15">
        <f t="shared" si="0"/>
        <v>0</v>
      </c>
      <c r="P15">
        <v>0</v>
      </c>
      <c r="Q15">
        <v>0</v>
      </c>
      <c r="R15">
        <f t="shared" si="1"/>
        <v>0</v>
      </c>
      <c r="S15">
        <v>0</v>
      </c>
      <c r="T15">
        <v>0</v>
      </c>
      <c r="U15">
        <f t="shared" si="2"/>
        <v>0</v>
      </c>
      <c r="V15">
        <v>0</v>
      </c>
      <c r="W15">
        <v>0</v>
      </c>
      <c r="X15">
        <f t="shared" si="3"/>
        <v>0</v>
      </c>
      <c r="Y15">
        <v>0</v>
      </c>
      <c r="Z15">
        <v>0</v>
      </c>
      <c r="AA15">
        <f t="shared" si="4"/>
        <v>0</v>
      </c>
      <c r="AB15">
        <f t="shared" si="5"/>
        <v>0</v>
      </c>
      <c r="AC15">
        <f t="shared" si="5"/>
        <v>0</v>
      </c>
      <c r="AD15">
        <f t="shared" si="5"/>
        <v>0</v>
      </c>
    </row>
    <row r="16" spans="1:31" x14ac:dyDescent="0.25">
      <c r="A16" t="s">
        <v>35</v>
      </c>
      <c r="B16" t="s">
        <v>43</v>
      </c>
      <c r="C16" t="s">
        <v>65</v>
      </c>
      <c r="D16">
        <v>304328</v>
      </c>
      <c r="E16" t="s">
        <v>78</v>
      </c>
      <c r="F16" t="s">
        <v>79</v>
      </c>
      <c r="G16" t="s">
        <v>47</v>
      </c>
      <c r="H16" t="s">
        <v>48</v>
      </c>
      <c r="I16" t="s">
        <v>36</v>
      </c>
      <c r="J16" t="s">
        <v>54</v>
      </c>
      <c r="K16" t="s">
        <v>37</v>
      </c>
      <c r="L16" s="12" t="s">
        <v>38</v>
      </c>
      <c r="M16">
        <v>0</v>
      </c>
      <c r="N16">
        <v>0</v>
      </c>
      <c r="O16">
        <f t="shared" si="0"/>
        <v>0</v>
      </c>
      <c r="P16">
        <v>1</v>
      </c>
      <c r="Q16">
        <v>2</v>
      </c>
      <c r="R16">
        <f t="shared" si="1"/>
        <v>3</v>
      </c>
      <c r="S16">
        <v>0</v>
      </c>
      <c r="T16">
        <v>0</v>
      </c>
      <c r="U16">
        <f t="shared" si="2"/>
        <v>0</v>
      </c>
      <c r="V16">
        <v>0</v>
      </c>
      <c r="W16">
        <v>0</v>
      </c>
      <c r="X16">
        <f t="shared" si="3"/>
        <v>0</v>
      </c>
      <c r="Y16">
        <v>0</v>
      </c>
      <c r="Z16">
        <v>0</v>
      </c>
      <c r="AA16">
        <f t="shared" si="4"/>
        <v>0</v>
      </c>
      <c r="AB16">
        <f t="shared" si="5"/>
        <v>1</v>
      </c>
      <c r="AC16">
        <f t="shared" si="5"/>
        <v>2</v>
      </c>
      <c r="AD16">
        <f t="shared" si="5"/>
        <v>3</v>
      </c>
    </row>
    <row r="17" spans="1:30" x14ac:dyDescent="0.25">
      <c r="A17" t="s">
        <v>35</v>
      </c>
      <c r="B17" t="s">
        <v>43</v>
      </c>
      <c r="C17" t="s">
        <v>65</v>
      </c>
      <c r="D17">
        <v>304338</v>
      </c>
      <c r="E17" t="s">
        <v>80</v>
      </c>
      <c r="F17" t="s">
        <v>81</v>
      </c>
      <c r="G17" t="s">
        <v>47</v>
      </c>
      <c r="H17" t="s">
        <v>48</v>
      </c>
      <c r="I17" t="s">
        <v>36</v>
      </c>
      <c r="J17" t="s">
        <v>82</v>
      </c>
      <c r="K17" t="s">
        <v>37</v>
      </c>
      <c r="L17" s="12" t="s">
        <v>38</v>
      </c>
      <c r="M17">
        <v>0</v>
      </c>
      <c r="N17">
        <v>0</v>
      </c>
      <c r="O17">
        <f t="shared" si="0"/>
        <v>0</v>
      </c>
      <c r="P17">
        <v>0</v>
      </c>
      <c r="Q17">
        <v>0</v>
      </c>
      <c r="R17">
        <f t="shared" si="1"/>
        <v>0</v>
      </c>
      <c r="S17">
        <v>0</v>
      </c>
      <c r="T17">
        <v>0</v>
      </c>
      <c r="U17">
        <f t="shared" si="2"/>
        <v>0</v>
      </c>
      <c r="V17">
        <v>0</v>
      </c>
      <c r="W17">
        <v>1</v>
      </c>
      <c r="X17">
        <f t="shared" si="3"/>
        <v>1</v>
      </c>
      <c r="Y17">
        <v>0</v>
      </c>
      <c r="Z17">
        <v>0</v>
      </c>
      <c r="AA17">
        <f t="shared" si="4"/>
        <v>0</v>
      </c>
      <c r="AB17">
        <f t="shared" si="5"/>
        <v>0</v>
      </c>
      <c r="AC17">
        <f t="shared" si="5"/>
        <v>1</v>
      </c>
      <c r="AD17">
        <f t="shared" si="5"/>
        <v>1</v>
      </c>
    </row>
    <row r="18" spans="1:30" x14ac:dyDescent="0.25">
      <c r="A18" t="s">
        <v>35</v>
      </c>
      <c r="B18" t="s">
        <v>43</v>
      </c>
      <c r="C18" t="s">
        <v>65</v>
      </c>
      <c r="D18">
        <v>316104</v>
      </c>
      <c r="E18" t="s">
        <v>83</v>
      </c>
      <c r="F18" t="s">
        <v>84</v>
      </c>
      <c r="G18" t="s">
        <v>47</v>
      </c>
      <c r="H18" t="s">
        <v>48</v>
      </c>
      <c r="I18" t="s">
        <v>36</v>
      </c>
      <c r="J18" t="s">
        <v>85</v>
      </c>
      <c r="K18" t="s">
        <v>37</v>
      </c>
      <c r="L18" s="12" t="s">
        <v>38</v>
      </c>
      <c r="M18">
        <v>0</v>
      </c>
      <c r="N18">
        <v>0</v>
      </c>
      <c r="O18">
        <f t="shared" si="0"/>
        <v>0</v>
      </c>
      <c r="P18">
        <v>0</v>
      </c>
      <c r="Q18">
        <v>0</v>
      </c>
      <c r="R18">
        <f t="shared" si="1"/>
        <v>0</v>
      </c>
      <c r="S18">
        <v>0</v>
      </c>
      <c r="T18">
        <v>0</v>
      </c>
      <c r="U18">
        <f t="shared" si="2"/>
        <v>0</v>
      </c>
      <c r="V18">
        <v>0</v>
      </c>
      <c r="W18">
        <v>1</v>
      </c>
      <c r="X18">
        <f t="shared" si="3"/>
        <v>1</v>
      </c>
      <c r="Y18">
        <v>0</v>
      </c>
      <c r="Z18">
        <v>0</v>
      </c>
      <c r="AA18">
        <f t="shared" si="4"/>
        <v>0</v>
      </c>
      <c r="AB18">
        <f t="shared" si="5"/>
        <v>0</v>
      </c>
      <c r="AC18">
        <f t="shared" si="5"/>
        <v>1</v>
      </c>
      <c r="AD18">
        <f t="shared" si="5"/>
        <v>1</v>
      </c>
    </row>
    <row r="19" spans="1:30" x14ac:dyDescent="0.25">
      <c r="A19" t="s">
        <v>35</v>
      </c>
      <c r="B19" t="s">
        <v>43</v>
      </c>
      <c r="C19" t="s">
        <v>65</v>
      </c>
      <c r="D19">
        <v>325102</v>
      </c>
      <c r="E19" t="s">
        <v>88</v>
      </c>
      <c r="F19" t="s">
        <v>89</v>
      </c>
      <c r="G19" t="s">
        <v>47</v>
      </c>
      <c r="H19" t="s">
        <v>48</v>
      </c>
      <c r="I19" t="s">
        <v>36</v>
      </c>
      <c r="J19" t="s">
        <v>90</v>
      </c>
      <c r="K19" t="s">
        <v>37</v>
      </c>
      <c r="L19" s="12" t="s">
        <v>38</v>
      </c>
      <c r="M19">
        <v>0</v>
      </c>
      <c r="N19">
        <v>0</v>
      </c>
      <c r="O19">
        <f t="shared" si="0"/>
        <v>0</v>
      </c>
      <c r="P19">
        <v>0</v>
      </c>
      <c r="Q19">
        <v>1</v>
      </c>
      <c r="R19">
        <f t="shared" si="1"/>
        <v>1</v>
      </c>
      <c r="S19">
        <v>0</v>
      </c>
      <c r="T19">
        <v>0</v>
      </c>
      <c r="U19">
        <f t="shared" si="2"/>
        <v>0</v>
      </c>
      <c r="V19">
        <v>0</v>
      </c>
      <c r="W19">
        <v>0</v>
      </c>
      <c r="X19">
        <f t="shared" si="3"/>
        <v>0</v>
      </c>
      <c r="Y19">
        <v>0</v>
      </c>
      <c r="Z19">
        <v>0</v>
      </c>
      <c r="AA19">
        <f t="shared" si="4"/>
        <v>0</v>
      </c>
      <c r="AB19">
        <f t="shared" si="5"/>
        <v>0</v>
      </c>
      <c r="AC19">
        <f t="shared" si="5"/>
        <v>1</v>
      </c>
      <c r="AD19">
        <f t="shared" si="5"/>
        <v>1</v>
      </c>
    </row>
    <row r="20" spans="1:30" x14ac:dyDescent="0.25">
      <c r="A20" t="s">
        <v>35</v>
      </c>
      <c r="B20" t="s">
        <v>43</v>
      </c>
      <c r="C20" t="s">
        <v>65</v>
      </c>
      <c r="D20">
        <v>325106</v>
      </c>
      <c r="E20" t="s">
        <v>91</v>
      </c>
      <c r="F20" t="s">
        <v>92</v>
      </c>
      <c r="G20" t="s">
        <v>47</v>
      </c>
      <c r="H20" t="s">
        <v>48</v>
      </c>
      <c r="I20" t="s">
        <v>36</v>
      </c>
      <c r="J20" t="s">
        <v>93</v>
      </c>
      <c r="K20" t="s">
        <v>37</v>
      </c>
      <c r="L20" s="12" t="s">
        <v>38</v>
      </c>
      <c r="M20">
        <v>0</v>
      </c>
      <c r="N20">
        <v>0</v>
      </c>
      <c r="O20">
        <f t="shared" si="0"/>
        <v>0</v>
      </c>
      <c r="P20">
        <v>0</v>
      </c>
      <c r="Q20">
        <v>1</v>
      </c>
      <c r="R20">
        <f t="shared" si="1"/>
        <v>1</v>
      </c>
      <c r="S20">
        <v>0</v>
      </c>
      <c r="T20">
        <v>0</v>
      </c>
      <c r="U20">
        <f t="shared" si="2"/>
        <v>0</v>
      </c>
      <c r="V20">
        <v>1</v>
      </c>
      <c r="W20">
        <v>0</v>
      </c>
      <c r="X20">
        <f t="shared" si="3"/>
        <v>1</v>
      </c>
      <c r="Y20">
        <v>0</v>
      </c>
      <c r="Z20">
        <v>0</v>
      </c>
      <c r="AA20">
        <f t="shared" si="4"/>
        <v>0</v>
      </c>
      <c r="AB20">
        <f t="shared" si="5"/>
        <v>1</v>
      </c>
      <c r="AC20">
        <f t="shared" si="5"/>
        <v>1</v>
      </c>
      <c r="AD20">
        <f t="shared" si="5"/>
        <v>2</v>
      </c>
    </row>
    <row r="21" spans="1:30" x14ac:dyDescent="0.25">
      <c r="A21" t="s">
        <v>35</v>
      </c>
      <c r="B21" t="s">
        <v>43</v>
      </c>
      <c r="C21" t="s">
        <v>94</v>
      </c>
      <c r="D21">
        <v>304313</v>
      </c>
      <c r="E21" t="s">
        <v>95</v>
      </c>
      <c r="F21" t="s">
        <v>96</v>
      </c>
      <c r="G21" t="s">
        <v>47</v>
      </c>
      <c r="H21" t="s">
        <v>48</v>
      </c>
      <c r="I21" t="s">
        <v>36</v>
      </c>
      <c r="J21" t="s">
        <v>97</v>
      </c>
      <c r="K21" t="s">
        <v>37</v>
      </c>
      <c r="L21" s="12" t="s">
        <v>38</v>
      </c>
      <c r="M21">
        <v>0</v>
      </c>
      <c r="N21">
        <v>2</v>
      </c>
      <c r="O21">
        <f t="shared" si="0"/>
        <v>2</v>
      </c>
      <c r="P21">
        <v>0</v>
      </c>
      <c r="Q21">
        <v>0</v>
      </c>
      <c r="R21">
        <f t="shared" si="1"/>
        <v>0</v>
      </c>
      <c r="S21">
        <v>0</v>
      </c>
      <c r="T21">
        <v>0</v>
      </c>
      <c r="U21">
        <f t="shared" si="2"/>
        <v>0</v>
      </c>
      <c r="V21">
        <v>0</v>
      </c>
      <c r="W21">
        <v>0</v>
      </c>
      <c r="X21">
        <f t="shared" si="3"/>
        <v>0</v>
      </c>
      <c r="Y21">
        <v>0</v>
      </c>
      <c r="Z21">
        <v>0</v>
      </c>
      <c r="AA21">
        <f t="shared" si="4"/>
        <v>0</v>
      </c>
      <c r="AB21">
        <f t="shared" si="5"/>
        <v>0</v>
      </c>
      <c r="AC21">
        <f t="shared" si="5"/>
        <v>2</v>
      </c>
      <c r="AD21">
        <f t="shared" si="5"/>
        <v>2</v>
      </c>
    </row>
    <row r="22" spans="1:30" x14ac:dyDescent="0.25">
      <c r="A22" t="s">
        <v>35</v>
      </c>
      <c r="B22" t="s">
        <v>43</v>
      </c>
      <c r="C22" t="s">
        <v>94</v>
      </c>
      <c r="D22">
        <v>304318</v>
      </c>
      <c r="E22" t="s">
        <v>98</v>
      </c>
      <c r="F22" t="s">
        <v>99</v>
      </c>
      <c r="G22" t="s">
        <v>47</v>
      </c>
      <c r="H22" t="s">
        <v>48</v>
      </c>
      <c r="I22" t="s">
        <v>36</v>
      </c>
      <c r="J22" t="s">
        <v>100</v>
      </c>
      <c r="K22" t="s">
        <v>37</v>
      </c>
      <c r="L22" s="12" t="s">
        <v>38</v>
      </c>
      <c r="M22">
        <v>0</v>
      </c>
      <c r="N22">
        <v>1</v>
      </c>
      <c r="O22">
        <f t="shared" si="0"/>
        <v>1</v>
      </c>
      <c r="P22">
        <v>0</v>
      </c>
      <c r="Q22">
        <v>0</v>
      </c>
      <c r="R22">
        <f t="shared" si="1"/>
        <v>0</v>
      </c>
      <c r="S22">
        <v>0</v>
      </c>
      <c r="T22">
        <v>0</v>
      </c>
      <c r="U22">
        <f t="shared" si="2"/>
        <v>0</v>
      </c>
      <c r="V22">
        <v>0</v>
      </c>
      <c r="W22">
        <v>0</v>
      </c>
      <c r="X22">
        <f t="shared" si="3"/>
        <v>0</v>
      </c>
      <c r="Y22">
        <v>0</v>
      </c>
      <c r="Z22">
        <v>0</v>
      </c>
      <c r="AA22">
        <f t="shared" si="4"/>
        <v>0</v>
      </c>
      <c r="AB22">
        <f t="shared" si="5"/>
        <v>0</v>
      </c>
      <c r="AC22">
        <f t="shared" si="5"/>
        <v>1</v>
      </c>
      <c r="AD22">
        <f t="shared" si="5"/>
        <v>1</v>
      </c>
    </row>
    <row r="23" spans="1:30" x14ac:dyDescent="0.25">
      <c r="A23" t="s">
        <v>35</v>
      </c>
      <c r="B23" t="s">
        <v>43</v>
      </c>
      <c r="C23" t="s">
        <v>94</v>
      </c>
      <c r="D23">
        <v>325105</v>
      </c>
      <c r="E23" t="s">
        <v>101</v>
      </c>
      <c r="F23" t="s">
        <v>102</v>
      </c>
      <c r="G23" t="s">
        <v>47</v>
      </c>
      <c r="H23" t="s">
        <v>48</v>
      </c>
      <c r="I23" t="s">
        <v>36</v>
      </c>
      <c r="J23" t="s">
        <v>103</v>
      </c>
      <c r="K23" t="s">
        <v>37</v>
      </c>
      <c r="L23" s="12" t="s">
        <v>38</v>
      </c>
      <c r="M23">
        <v>0</v>
      </c>
      <c r="N23">
        <v>0</v>
      </c>
      <c r="O23">
        <f t="shared" si="0"/>
        <v>0</v>
      </c>
      <c r="P23">
        <v>0</v>
      </c>
      <c r="Q23">
        <v>0</v>
      </c>
      <c r="R23">
        <f t="shared" si="1"/>
        <v>0</v>
      </c>
      <c r="S23">
        <v>0</v>
      </c>
      <c r="T23">
        <v>0</v>
      </c>
      <c r="U23">
        <f t="shared" si="2"/>
        <v>0</v>
      </c>
      <c r="V23">
        <v>0</v>
      </c>
      <c r="W23">
        <v>0</v>
      </c>
      <c r="X23">
        <f t="shared" si="3"/>
        <v>0</v>
      </c>
      <c r="Y23">
        <v>0</v>
      </c>
      <c r="Z23">
        <v>0</v>
      </c>
      <c r="AA23">
        <f t="shared" si="4"/>
        <v>0</v>
      </c>
      <c r="AB23">
        <f t="shared" si="5"/>
        <v>0</v>
      </c>
      <c r="AC23">
        <f t="shared" si="5"/>
        <v>0</v>
      </c>
      <c r="AD23">
        <f t="shared" si="5"/>
        <v>0</v>
      </c>
    </row>
  </sheetData>
  <autoFilter ref="A7:AE7" xr:uid="{00000000-0009-0000-0000-000001000000}"/>
  <mergeCells count="6"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2023-07-31T06:33:05Z</dcterms:created>
  <dcterms:modified xsi:type="dcterms:W3CDTF">2023-07-31T06:34:11Z</dcterms:modified>
</cp:coreProperties>
</file>