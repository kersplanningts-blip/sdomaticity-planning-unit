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358DC6B5-C7B3-4615-93F8-6F12B6091CE2}" xr6:coauthVersionLast="47" xr6:coauthVersionMax="47" xr10:uidLastSave="{00000000-0000-0000-0000-000000000000}"/>
  <bookViews>
    <workbookView xWindow="-120" yWindow="-120" windowWidth="29040" windowHeight="15720" activeTab="1" xr2:uid="{D46DF5F5-13A8-41CF-A2A7-6A56157AE320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ES!$A$8:$W$62</definedName>
    <definedName name="_xlnm._FilterDatabase" localSheetId="1" hidden="1">JHS!$A$8:$W$30</definedName>
    <definedName name="_xlnm._FilterDatabase" localSheetId="2" hidden="1">SHS!$A$8:$W$8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3" l="1"/>
  <c r="U7" i="3"/>
  <c r="T7" i="3"/>
  <c r="S7" i="3"/>
  <c r="R7" i="3"/>
  <c r="Q7" i="3"/>
  <c r="P7" i="3"/>
  <c r="O7" i="3"/>
  <c r="N7" i="3"/>
  <c r="M7" i="3"/>
  <c r="V7" i="2"/>
  <c r="U7" i="2"/>
  <c r="T7" i="2"/>
  <c r="S7" i="2"/>
  <c r="R7" i="2"/>
  <c r="Q7" i="2"/>
  <c r="P7" i="2"/>
  <c r="O7" i="2"/>
  <c r="N7" i="2"/>
  <c r="M7" i="2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<sst xmlns="http://schemas.openxmlformats.org/spreadsheetml/2006/main" count="1413" uniqueCount="307">
  <si>
    <t>School Level Data on Number of Teachers by Highest Educational Attainment in Elementary Level</t>
  </si>
  <si>
    <t>SY 2019-2020</t>
  </si>
  <si>
    <t>Based on BEIS, generated as of April 14, 2020</t>
  </si>
  <si>
    <t>Number of Teachers with Highest Educational Attainment</t>
  </si>
  <si>
    <t>Bachelor Degree</t>
  </si>
  <si>
    <t>Master Degree Units</t>
  </si>
  <si>
    <t>Master Degree</t>
  </si>
  <si>
    <t>Doctoral Degree Units</t>
  </si>
  <si>
    <t xml:space="preserve">Doctoral Degree 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</si>
  <si>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</si>
  <si>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</si>
  <si>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</si>
  <si>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</si>
  <si>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</si>
  <si>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</si>
  <si>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</si>
  <si>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</si>
  <si>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</si>
  <si>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</si>
  <si>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</si>
  <si>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</si>
  <si>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</si>
  <si>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</si>
  <si>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numteach_highest_educ_attainment_bachelor_m</t>
  </si>
  <si>
    <t>numteach_highest_educ_attainment_bachelor_f</t>
  </si>
  <si>
    <t>numteach_highest_educ_attainment_master_units_m</t>
  </si>
  <si>
    <t>numteach_highest_educ_attainment_master_units_f</t>
  </si>
  <si>
    <t>numteach_highest_educ_attainment_master_m</t>
  </si>
  <si>
    <t>numteach_highest_educ_attainment_master_f</t>
  </si>
  <si>
    <t>numteach_highest_educ_attainment_doctor_units_m</t>
  </si>
  <si>
    <t>numteach_highest_educ_attainment_doctor_units_f</t>
  </si>
  <si>
    <t>numteach_highest_educ_attainment_doctor_m</t>
  </si>
  <si>
    <t>numteach_highest_educ_attainment_doctor_f</t>
  </si>
  <si>
    <t>Remarks</t>
  </si>
  <si>
    <t>Region XI</t>
  </si>
  <si>
    <t>2nd District</t>
  </si>
  <si>
    <t>Kinder &amp; Grade 1-6</t>
  </si>
  <si>
    <t>Purely ES</t>
  </si>
  <si>
    <t>SAN ANTONIO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</si>
  <si>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</si>
  <si>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</si>
  <si>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</si>
  <si>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</si>
  <si>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</si>
  <si>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</si>
  <si>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</si>
  <si>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</si>
  <si>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</si>
  <si>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</si>
  <si>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</si>
  <si>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</si>
  <si>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</si>
  <si>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</si>
  <si>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</si>
  <si>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</si>
  <si>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</si>
  <si>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</si>
  <si>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</si>
  <si>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</si>
  <si>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</si>
  <si>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</si>
  <si>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</si>
  <si>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</si>
  <si>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</si>
  <si>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</si>
  <si>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</si>
  <si>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</si>
  <si>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</si>
  <si>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</si>
  <si>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</si>
  <si>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</si>
  <si>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</si>
  <si>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</si>
  <si>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</si>
  <si>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</si>
  <si>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</si>
  <si>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</si>
  <si>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</si>
  <si>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</si>
  <si>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</si>
  <si>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</si>
  <si>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</si>
  <si>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</si>
  <si>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</si>
  <si>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</si>
  <si>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</si>
  <si>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</si>
  <si>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</si>
  <si>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</si>
  <si>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</si>
  <si>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</si>
  <si>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</si>
  <si>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</si>
  <si>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</si>
  <si>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</si>
  <si>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</si>
  <si>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</si>
  <si>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</si>
  <si>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</si>
  <si>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</si>
  <si>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</si>
  <si>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</si>
  <si>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</si>
  <si>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</si>
  <si>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</si>
  <si>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</si>
  <si>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</si>
  <si>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</si>
  <si>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</si>
  <si>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</si>
  <si>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</si>
  <si>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</si>
  <si>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</si>
  <si>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</si>
  <si>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</si>
  <si>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</si>
  <si>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</si>
  <si>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</si>
  <si>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</si>
  <si>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</si>
  <si>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</si>
  <si>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</si>
  <si>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</si>
  <si>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</si>
  <si>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</si>
  <si>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</si>
  <si>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</si>
  <si>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</si>
  <si>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</si>
  <si>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</si>
  <si>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</si>
  <si>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</si>
  <si>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</si>
  <si>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</si>
  <si>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</si>
  <si>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</si>
  <si>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</si>
  <si>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</si>
  <si>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</si>
  <si>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</si>
  <si>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</si>
  <si>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</si>
  <si>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</si>
  <si>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</si>
  <si>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</si>
  <si>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</si>
  <si>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</si>
  <si>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</si>
  <si>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</si>
  <si>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</si>
  <si>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</si>
  <si>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</si>
  <si>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</si>
  <si>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</si>
  <si>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</si>
  <si>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</si>
  <si>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</si>
  <si>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</si>
  <si>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</si>
  <si>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</si>
  <si>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</si>
  <si>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</si>
  <si>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</si>
  <si>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</si>
  <si>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</si>
  <si>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</si>
  <si>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</si>
  <si>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</si>
  <si>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</si>
  <si>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</si>
  <si>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</si>
  <si>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</si>
  <si>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</si>
  <si>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</si>
  <si>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</si>
  <si>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</si>
  <si>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</si>
  <si>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</si>
  <si>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</si>
  <si>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</si>
  <si>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</si>
  <si>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Davao Occidental</t>
  </si>
  <si>
    <t>Don Marcelino</t>
  </si>
  <si>
    <t>DAVAO OCCIDENTAL</t>
  </si>
  <si>
    <t>DON MARCELINO</t>
  </si>
  <si>
    <t>1st District</t>
  </si>
  <si>
    <t>TALAGUTONG (POB.)</t>
  </si>
  <si>
    <t>LAPUAN</t>
  </si>
  <si>
    <t>Lone District</t>
  </si>
  <si>
    <t>LAWA (POB.)</t>
  </si>
  <si>
    <t>Sitio Kibatang</t>
  </si>
  <si>
    <t>NORTH LAMIDAN</t>
  </si>
  <si>
    <t>Jose Abad Santos</t>
  </si>
  <si>
    <t>JOSE ABAD SANTOS (TRINIDAD)</t>
  </si>
  <si>
    <t>CABURAN BIG</t>
  </si>
  <si>
    <t>KALBAY</t>
  </si>
  <si>
    <t>SUGAL</t>
  </si>
  <si>
    <t>BALANGONAN</t>
  </si>
  <si>
    <t>NUING</t>
  </si>
  <si>
    <t>SAN ISIDRO</t>
  </si>
  <si>
    <t>Malita</t>
  </si>
  <si>
    <t>MALITA</t>
  </si>
  <si>
    <t>Malita East</t>
  </si>
  <si>
    <t>BOLILA</t>
  </si>
  <si>
    <t>MANA</t>
  </si>
  <si>
    <t>Malita North</t>
  </si>
  <si>
    <t>LACARON</t>
  </si>
  <si>
    <t>TUBALAN</t>
  </si>
  <si>
    <t>FISHING VILLAGE (FISHERMAN'S VILLAGE)</t>
  </si>
  <si>
    <t>POBLACION</t>
  </si>
  <si>
    <t>LITTLE BAGUIO</t>
  </si>
  <si>
    <t>Centro</t>
  </si>
  <si>
    <t>TICULON</t>
  </si>
  <si>
    <t>DEMOLOC</t>
  </si>
  <si>
    <t>PINALPALAN</t>
  </si>
  <si>
    <t>Sarangani</t>
  </si>
  <si>
    <t>SARANGANI</t>
  </si>
  <si>
    <t>MABILA (POB.)</t>
  </si>
  <si>
    <t>LAKER (SARANGANI SUR)</t>
  </si>
  <si>
    <t>Sta. Maria</t>
  </si>
  <si>
    <t>SANTA MARIA</t>
  </si>
  <si>
    <t>BASIAWAN</t>
  </si>
  <si>
    <t>School Level Data on Number of Teachers by Highest Degree Attainment in Junior High School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</si>
  <si>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</si>
  <si>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</si>
  <si>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</si>
  <si>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</si>
  <si>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</si>
  <si>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</si>
  <si>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</si>
  <si>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</si>
  <si>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</si>
  <si>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</si>
  <si>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</si>
  <si>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</si>
  <si>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</si>
  <si>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</si>
  <si>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</si>
  <si>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</si>
  <si>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</si>
  <si>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</si>
  <si>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</si>
  <si>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</si>
  <si>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</si>
  <si>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</si>
  <si>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</si>
  <si>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</si>
  <si>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</si>
  <si>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</si>
  <si>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</si>
  <si>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</si>
  <si>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</si>
  <si>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</si>
  <si>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</si>
  <si>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</si>
  <si>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</si>
  <si>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</si>
  <si>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Don Marcelino NHS</t>
  </si>
  <si>
    <t>Katigbaw</t>
  </si>
  <si>
    <t>Lawa NHS</t>
  </si>
  <si>
    <t>Biton II. Lawa</t>
  </si>
  <si>
    <t>John Martin Johnson High School (Lamidan)</t>
  </si>
  <si>
    <t>North Lamidan, Don Marcelino, Davao Occidental</t>
  </si>
  <si>
    <t>Luisa Joyce Mallari National High School</t>
  </si>
  <si>
    <t>Lapuan</t>
  </si>
  <si>
    <t>Balangonan NHS</t>
  </si>
  <si>
    <t>Brgy. Balangonan, Jose Abad Santos, Davao Occidental</t>
  </si>
  <si>
    <t>Edna Guillermo Memorial National High School</t>
  </si>
  <si>
    <t>Nuing, Jose Abad Santos, Davao Occidental</t>
  </si>
  <si>
    <t>Jose Abad Santos NHS</t>
  </si>
  <si>
    <t>Caburan Big</t>
  </si>
  <si>
    <t>Kalbay National High School</t>
  </si>
  <si>
    <t>Emeliano S. Fontanares Sr. NHS</t>
  </si>
  <si>
    <t>Tomas Lim Alcordo Sr. National High School</t>
  </si>
  <si>
    <t>Pinalpalan, Malita, Davao Occidental</t>
  </si>
  <si>
    <t>Fishing Village Comprehensive NHS</t>
  </si>
  <si>
    <t>-Brgy. Fishing Village</t>
  </si>
  <si>
    <t>Tubalan Comprehensive NHS</t>
  </si>
  <si>
    <t>Tubalan Malita Davao Occidental</t>
  </si>
  <si>
    <t>B'Laan NHS</t>
  </si>
  <si>
    <t>Sitio Caldoz</t>
  </si>
  <si>
    <t>Demolok Valley National High School</t>
  </si>
  <si>
    <t>Fatima, Demoloc, Malita, Davao Occidental</t>
  </si>
  <si>
    <t>Mariano Peralta National High School</t>
  </si>
  <si>
    <t>National Highway, Poblacion, Malita, Davao del Sur</t>
  </si>
  <si>
    <t>Ticulon NHS</t>
  </si>
  <si>
    <t>-Lower Ticulon, Malita, Davao Occidental</t>
  </si>
  <si>
    <t>Benjamin Velasco Bautista Sr. National High School</t>
  </si>
  <si>
    <t>Pagatpat, Mana, Malita Davao Occidental</t>
  </si>
  <si>
    <t>Bolila National High School</t>
  </si>
  <si>
    <t>Bolila, Malita, Davao Occidental</t>
  </si>
  <si>
    <t>Lacaron National High School</t>
  </si>
  <si>
    <t>Lacaron, Malita, Davao Occidental</t>
  </si>
  <si>
    <t>Alberto Olarte, Sr. NHS</t>
  </si>
  <si>
    <t>Brgy. Mabila, Sarangani, Davao del Sur</t>
  </si>
  <si>
    <t>Jose De Arce MHS (Sangkokdatal HS)</t>
  </si>
  <si>
    <t>-Sangkokdatal</t>
  </si>
  <si>
    <t>Basiawan NHS</t>
  </si>
  <si>
    <t>Brgy. Basiawan, Sta. Maria Davao Occidental</t>
  </si>
  <si>
    <t>Heracleo Casco Memorial National High School</t>
  </si>
  <si>
    <t>Sta. Maria NHS</t>
  </si>
  <si>
    <t>Brgy. San Antonio, Sta. Maria Davao del Sur</t>
  </si>
  <si>
    <t>Pedro Mariscal National High School</t>
  </si>
  <si>
    <t>Barangay San Isidro</t>
  </si>
  <si>
    <t>School Level Data on Number of Teachers by Highest Educational Attainment in Senior High School</t>
  </si>
  <si>
    <t>numteach_highest_educ_attainment_masterunits_m</t>
  </si>
  <si>
    <t>numteach_highest_educ_attainment_masterunits_f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</si>
</sst>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4741-35BF-434B-B888-49C7DAC64D04}">
  <dimension ref="A1:W62"/>
  <sheetViews>
    <sheetView zoomScale="85" zoomScaleNormal="85" workbookViewId="0">
      <pane xSplit="4" ySplit="8" topLeftCell="E42" activePane="bottomRight" state="frozen"/>
      <selection activeCell="B29" sqref="A9:XFD29"/>
      <selection pane="topRight" activeCell="B29" sqref="A9:XFD29"/>
      <selection pane="bottomLeft" activeCell="B29" sqref="A9:XFD29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22" width="10.7109375" customWidth="1"/>
  </cols>
  <sheetData>
    <row r="1" spans="1:23" x14ac:dyDescent="0.25">
      <c r="A1" s="1" t="s">
        <v>0</v>
      </c>
    </row>
    <row r="2" spans="1:23" x14ac:dyDescent="0.25">
      <c r="A2" s="1" t="s">
        <v>1</v>
      </c>
      <c r="L2" s="2"/>
    </row>
    <row r="3" spans="1:23" x14ac:dyDescent="0.25">
      <c r="A3" s="1" t="s">
        <v>2</v>
      </c>
      <c r="L3" s="2"/>
    </row>
    <row r="4" spans="1:23" x14ac:dyDescent="0.25">
      <c r="A4" s="1"/>
      <c r="L4" s="2"/>
      <c r="M4" s="3" t="s">
        <v>3</v>
      </c>
      <c r="N4" s="3"/>
      <c r="O4" s="3"/>
      <c r="P4" s="3"/>
      <c r="Q4" s="3"/>
      <c r="R4" s="3"/>
      <c r="S4" s="3"/>
      <c r="T4" s="3"/>
      <c r="U4" s="3"/>
      <c r="V4" s="3"/>
    </row>
    <row r="5" spans="1:23" x14ac:dyDescent="0.25">
      <c r="A5" s="1"/>
      <c r="L5" s="2"/>
      <c r="M5" s="3" t="s">
        <v>4</v>
      </c>
      <c r="N5" s="3"/>
      <c r="O5" s="3" t="s">
        <v>5</v>
      </c>
      <c r="P5" s="3"/>
      <c r="Q5" s="3" t="s">
        <v>6</v>
      </c>
      <c r="R5" s="3"/>
      <c r="S5" s="3" t="s">
        <v>7</v>
      </c>
      <c r="T5" s="3"/>
      <c r="U5" s="3" t="s">
        <v>8</v>
      </c>
      <c r="V5" s="3"/>
    </row>
    <row r="6" spans="1:23" x14ac:dyDescent="0.25">
      <c r="M6" s="4" t="s">
        <v>9</v>
      </c>
      <c r="N6" s="4" t="s">
        <v>10</v>
      </c>
      <c r="O6" s="4" t="s">
        <v>9</v>
      </c>
      <c r="P6" s="4" t="s">
        <v>10</v>
      </c>
      <c r="Q6" s="4" t="s">
        <v>9</v>
      </c>
      <c r="R6" s="4" t="s">
        <v>10</v>
      </c>
      <c r="S6" s="4" t="s">
        <v>9</v>
      </c>
      <c r="T6" s="4" t="s">
        <v>10</v>
      </c>
      <c r="U6" s="4" t="s">
        <v>9</v>
      </c>
      <c r="V6" s="4" t="s">
        <v>10</v>
      </c>
    </row>
    <row r="7" spans="1:23" x14ac:dyDescent="0.25">
      <c r="M7" s="5">
        <f>SUM(M9:M62)</f>
        <v>42</v>
      </c>
      <c r="N7" s="5">
        <f>SUM(N9:N62)</f>
        <v>218</v>
      </c>
      <c r="O7" s="5">
        <f>SUM(O9:O62)</f>
        <v>60</v>
      </c>
      <c r="P7" s="5">
        <f>SUM(P9:P62)</f>
        <v>413</v>
      </c>
      <c r="Q7" s="5">
        <f>SUM(Q9:Q62)</f>
        <v>11</v>
      </c>
      <c r="R7" s="5">
        <f>SUM(R9:R62)</f>
        <v>82</v>
      </c>
      <c r="S7" s="5">
        <f>SUM(S9:S62)</f>
        <v>2</v>
      </c>
      <c r="T7" s="5">
        <f>SUM(T9:T62)</f>
        <v>9</v>
      </c>
      <c r="U7" s="5">
        <f>SUM(U9:U62)</f>
        <v>1</v>
      </c>
      <c r="V7" s="5">
        <f>SUM(V9:V62)</f>
        <v>6</v>
      </c>
    </row>
    <row r="8" spans="1:23" x14ac:dyDescent="0.25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  <c r="L8" s="7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</row>
    <row r="9" spans="1:23" x14ac:dyDescent="0.25">
      <c r="A9" t="s">
        <v>34</v>
      </c>
      <c r="B9" t="s">
        <v>41</v>
      </c>
      <c r="C9" t="s">
        <v>42</v>
      </c>
      <c r="D9">
        <v>129374</v>
      </c>
      <c r="E9" t="s">
        <v>43</v>
      </c>
      <c r="F9" t="s">
        <v>44</v>
      </c>
      <c r="G9" t="s">
        <v>45</v>
      </c>
      <c r="H9" t="s">
        <v>46</v>
      </c>
      <c r="I9" t="s">
        <v>35</v>
      </c>
      <c r="J9" t="s">
        <v>47</v>
      </c>
      <c r="K9" t="s">
        <v>36</v>
      </c>
      <c r="L9" s="9" t="s">
        <v>37</v>
      </c>
      <c r="M9">
        <v>0</v>
      </c>
      <c r="N9">
        <v>4</v>
      </c>
      <c r="O9">
        <v>3</v>
      </c>
      <c r="P9">
        <v>8</v>
      </c>
      <c r="Q9">
        <v>0</v>
      </c>
      <c r="R9">
        <v>2</v>
      </c>
      <c r="S9">
        <v>0</v>
      </c>
      <c r="T9">
        <v>1</v>
      </c>
      <c r="U9">
        <v>0</v>
      </c>
      <c r="V9">
        <v>0</v>
      </c>
    </row>
    <row r="10" spans="1:23" x14ac:dyDescent="0.25">
      <c r="A10" t="s">
        <v>34</v>
      </c>
      <c r="B10" t="s">
        <v>41</v>
      </c>
      <c r="C10" t="s">
        <v>42</v>
      </c>
      <c r="D10">
        <v>129375</v>
      </c>
      <c r="E10" t="s">
        <v>48</v>
      </c>
      <c r="F10" t="s">
        <v>49</v>
      </c>
      <c r="G10" t="s">
        <v>45</v>
      </c>
      <c r="H10" t="s">
        <v>46</v>
      </c>
      <c r="I10" t="s">
        <v>35</v>
      </c>
      <c r="J10" t="s">
        <v>47</v>
      </c>
      <c r="K10" t="s">
        <v>36</v>
      </c>
      <c r="L10" s="9" t="s">
        <v>37</v>
      </c>
      <c r="M10">
        <v>0</v>
      </c>
      <c r="N10">
        <v>1</v>
      </c>
      <c r="O10">
        <v>2</v>
      </c>
      <c r="P10">
        <v>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3" x14ac:dyDescent="0.25">
      <c r="A11" t="s">
        <v>34</v>
      </c>
      <c r="B11" t="s">
        <v>41</v>
      </c>
      <c r="C11" t="s">
        <v>42</v>
      </c>
      <c r="D11">
        <v>129376</v>
      </c>
      <c r="E11" t="s">
        <v>50</v>
      </c>
      <c r="F11" t="s">
        <v>51</v>
      </c>
      <c r="G11" t="s">
        <v>45</v>
      </c>
      <c r="H11" t="s">
        <v>46</v>
      </c>
      <c r="I11" t="s">
        <v>35</v>
      </c>
      <c r="J11" t="s">
        <v>52</v>
      </c>
      <c r="K11" t="s">
        <v>36</v>
      </c>
      <c r="L11" s="9" t="s">
        <v>37</v>
      </c>
      <c r="M11">
        <v>1</v>
      </c>
      <c r="N11">
        <v>3</v>
      </c>
      <c r="O11">
        <v>0</v>
      </c>
      <c r="P11">
        <v>5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</row>
    <row r="12" spans="1:23" x14ac:dyDescent="0.25">
      <c r="A12" t="s">
        <v>34</v>
      </c>
      <c r="B12" t="s">
        <v>41</v>
      </c>
      <c r="C12" t="s">
        <v>42</v>
      </c>
      <c r="D12">
        <v>129377</v>
      </c>
      <c r="E12" t="s">
        <v>53</v>
      </c>
      <c r="F12" t="s">
        <v>54</v>
      </c>
      <c r="G12" t="s">
        <v>45</v>
      </c>
      <c r="H12" t="s">
        <v>46</v>
      </c>
      <c r="I12" t="s">
        <v>35</v>
      </c>
      <c r="J12" t="s">
        <v>55</v>
      </c>
      <c r="K12" t="s">
        <v>36</v>
      </c>
      <c r="L12" s="9" t="s">
        <v>37</v>
      </c>
      <c r="M12">
        <v>3</v>
      </c>
      <c r="N12">
        <v>1</v>
      </c>
      <c r="O12">
        <v>1</v>
      </c>
      <c r="P12">
        <v>10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3" x14ac:dyDescent="0.25">
      <c r="A13" t="s">
        <v>34</v>
      </c>
      <c r="B13" t="s">
        <v>41</v>
      </c>
      <c r="C13" t="s">
        <v>42</v>
      </c>
      <c r="D13">
        <v>129380</v>
      </c>
      <c r="E13" t="s">
        <v>56</v>
      </c>
      <c r="F13" t="s">
        <v>57</v>
      </c>
      <c r="G13" t="s">
        <v>45</v>
      </c>
      <c r="H13" t="s">
        <v>46</v>
      </c>
      <c r="I13" t="s">
        <v>35</v>
      </c>
      <c r="J13" t="s">
        <v>52</v>
      </c>
      <c r="K13" t="s">
        <v>36</v>
      </c>
      <c r="L13" s="9" t="s">
        <v>37</v>
      </c>
      <c r="M13">
        <v>2</v>
      </c>
      <c r="N13">
        <v>8</v>
      </c>
      <c r="O13">
        <v>1</v>
      </c>
      <c r="P13">
        <v>23</v>
      </c>
      <c r="Q13">
        <v>1</v>
      </c>
      <c r="R13">
        <v>7</v>
      </c>
      <c r="S13">
        <v>1</v>
      </c>
      <c r="T13">
        <v>3</v>
      </c>
      <c r="U13">
        <v>0</v>
      </c>
      <c r="V13">
        <v>2</v>
      </c>
    </row>
    <row r="14" spans="1:23" x14ac:dyDescent="0.25">
      <c r="A14" t="s">
        <v>34</v>
      </c>
      <c r="B14" t="s">
        <v>41</v>
      </c>
      <c r="C14" t="s">
        <v>42</v>
      </c>
      <c r="D14">
        <v>129381</v>
      </c>
      <c r="E14" t="s">
        <v>58</v>
      </c>
      <c r="F14" t="s">
        <v>59</v>
      </c>
      <c r="G14" t="s">
        <v>45</v>
      </c>
      <c r="H14" t="s">
        <v>46</v>
      </c>
      <c r="I14" t="s">
        <v>35</v>
      </c>
      <c r="J14" t="s">
        <v>52</v>
      </c>
      <c r="K14" t="s">
        <v>36</v>
      </c>
      <c r="L14" s="9" t="s">
        <v>37</v>
      </c>
      <c r="M14">
        <v>3</v>
      </c>
      <c r="N14">
        <v>6</v>
      </c>
      <c r="O14">
        <v>2</v>
      </c>
      <c r="P14">
        <v>24</v>
      </c>
      <c r="Q14">
        <v>2</v>
      </c>
      <c r="R14">
        <v>6</v>
      </c>
      <c r="S14">
        <v>0</v>
      </c>
      <c r="T14">
        <v>1</v>
      </c>
      <c r="U14">
        <v>0</v>
      </c>
      <c r="V14">
        <v>1</v>
      </c>
    </row>
    <row r="15" spans="1:23" x14ac:dyDescent="0.25">
      <c r="A15" t="s">
        <v>34</v>
      </c>
      <c r="B15" t="s">
        <v>41</v>
      </c>
      <c r="C15" t="s">
        <v>42</v>
      </c>
      <c r="D15">
        <v>129382</v>
      </c>
      <c r="E15" t="s">
        <v>60</v>
      </c>
      <c r="F15" t="s">
        <v>61</v>
      </c>
      <c r="G15" t="s">
        <v>45</v>
      </c>
      <c r="H15" t="s">
        <v>46</v>
      </c>
      <c r="I15" t="s">
        <v>35</v>
      </c>
      <c r="J15" t="s">
        <v>52</v>
      </c>
      <c r="K15" t="s">
        <v>36</v>
      </c>
      <c r="L15" s="9" t="s">
        <v>37</v>
      </c>
      <c r="M15">
        <v>4</v>
      </c>
      <c r="N15">
        <v>15</v>
      </c>
      <c r="O15">
        <v>3</v>
      </c>
      <c r="P15">
        <v>33</v>
      </c>
      <c r="Q15">
        <v>0</v>
      </c>
      <c r="R15">
        <v>2</v>
      </c>
      <c r="S15">
        <v>0</v>
      </c>
      <c r="T15">
        <v>0</v>
      </c>
      <c r="U15">
        <v>0</v>
      </c>
      <c r="V15">
        <v>0</v>
      </c>
    </row>
    <row r="16" spans="1:23" x14ac:dyDescent="0.25">
      <c r="A16" t="s">
        <v>34</v>
      </c>
      <c r="B16" t="s">
        <v>41</v>
      </c>
      <c r="C16" t="s">
        <v>42</v>
      </c>
      <c r="D16">
        <v>129383</v>
      </c>
      <c r="E16" t="s">
        <v>62</v>
      </c>
      <c r="F16" t="s">
        <v>63</v>
      </c>
      <c r="G16" t="s">
        <v>45</v>
      </c>
      <c r="H16" t="s">
        <v>46</v>
      </c>
      <c r="I16" t="s">
        <v>35</v>
      </c>
      <c r="J16" t="s">
        <v>52</v>
      </c>
      <c r="K16" t="s">
        <v>36</v>
      </c>
      <c r="L16" s="9" t="s">
        <v>37</v>
      </c>
      <c r="M16">
        <v>2</v>
      </c>
      <c r="N16">
        <v>15</v>
      </c>
      <c r="O16">
        <v>4</v>
      </c>
      <c r="P16">
        <v>11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34</v>
      </c>
      <c r="B17" t="s">
        <v>41</v>
      </c>
      <c r="C17" t="s">
        <v>42</v>
      </c>
      <c r="D17">
        <v>129384</v>
      </c>
      <c r="E17" t="s">
        <v>64</v>
      </c>
      <c r="F17" t="s">
        <v>65</v>
      </c>
      <c r="G17" t="s">
        <v>45</v>
      </c>
      <c r="H17" t="s">
        <v>46</v>
      </c>
      <c r="I17" t="s">
        <v>35</v>
      </c>
      <c r="J17" t="s">
        <v>52</v>
      </c>
      <c r="K17" t="s">
        <v>36</v>
      </c>
      <c r="L17" s="9" t="s">
        <v>37</v>
      </c>
      <c r="M17">
        <v>1</v>
      </c>
      <c r="N17">
        <v>0</v>
      </c>
      <c r="O17">
        <v>1</v>
      </c>
      <c r="P17">
        <v>5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34</v>
      </c>
      <c r="B18" t="s">
        <v>41</v>
      </c>
      <c r="C18" t="s">
        <v>42</v>
      </c>
      <c r="D18">
        <v>129385</v>
      </c>
      <c r="E18" t="s">
        <v>66</v>
      </c>
      <c r="F18" t="s">
        <v>67</v>
      </c>
      <c r="G18" t="s">
        <v>45</v>
      </c>
      <c r="H18" t="s">
        <v>46</v>
      </c>
      <c r="I18" t="s">
        <v>35</v>
      </c>
      <c r="J18" t="s">
        <v>47</v>
      </c>
      <c r="K18" t="s">
        <v>36</v>
      </c>
      <c r="L18" s="9" t="s">
        <v>37</v>
      </c>
      <c r="M18">
        <v>1</v>
      </c>
      <c r="N18">
        <v>7</v>
      </c>
      <c r="O18">
        <v>0</v>
      </c>
      <c r="P18">
        <v>13</v>
      </c>
      <c r="Q18">
        <v>1</v>
      </c>
      <c r="R18">
        <v>2</v>
      </c>
      <c r="S18">
        <v>0</v>
      </c>
      <c r="T18">
        <v>1</v>
      </c>
      <c r="U18">
        <v>0</v>
      </c>
      <c r="V18">
        <v>0</v>
      </c>
    </row>
    <row r="19" spans="1:22" x14ac:dyDescent="0.25">
      <c r="A19" t="s">
        <v>34</v>
      </c>
      <c r="B19" t="s">
        <v>41</v>
      </c>
      <c r="C19" t="s">
        <v>42</v>
      </c>
      <c r="D19">
        <v>129386</v>
      </c>
      <c r="E19" t="s">
        <v>68</v>
      </c>
      <c r="F19" t="s">
        <v>69</v>
      </c>
      <c r="G19" t="s">
        <v>45</v>
      </c>
      <c r="H19" t="s">
        <v>46</v>
      </c>
      <c r="I19" t="s">
        <v>35</v>
      </c>
      <c r="J19" t="s">
        <v>55</v>
      </c>
      <c r="K19" t="s">
        <v>36</v>
      </c>
      <c r="L19" s="9" t="s">
        <v>37</v>
      </c>
      <c r="M19">
        <v>0</v>
      </c>
      <c r="N19">
        <v>5</v>
      </c>
      <c r="O19">
        <v>0</v>
      </c>
      <c r="P19">
        <v>2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34</v>
      </c>
      <c r="B20" t="s">
        <v>41</v>
      </c>
      <c r="C20" t="s">
        <v>42</v>
      </c>
      <c r="D20">
        <v>205504</v>
      </c>
      <c r="E20" t="s">
        <v>70</v>
      </c>
      <c r="F20" t="s">
        <v>59</v>
      </c>
      <c r="G20" t="s">
        <v>45</v>
      </c>
      <c r="H20" t="s">
        <v>46</v>
      </c>
      <c r="I20" t="s">
        <v>35</v>
      </c>
      <c r="J20" t="s">
        <v>52</v>
      </c>
      <c r="K20" t="s">
        <v>36</v>
      </c>
      <c r="L20" s="9" t="s">
        <v>37</v>
      </c>
      <c r="M20">
        <v>2</v>
      </c>
      <c r="N20">
        <v>0</v>
      </c>
      <c r="O20">
        <v>0</v>
      </c>
      <c r="P20">
        <v>34</v>
      </c>
      <c r="Q20">
        <v>0</v>
      </c>
      <c r="R20">
        <v>4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41</v>
      </c>
      <c r="C21" t="s">
        <v>42</v>
      </c>
      <c r="D21">
        <v>500454</v>
      </c>
      <c r="E21" t="s">
        <v>71</v>
      </c>
      <c r="F21" t="s">
        <v>72</v>
      </c>
      <c r="G21" t="s">
        <v>45</v>
      </c>
      <c r="H21" t="s">
        <v>46</v>
      </c>
      <c r="I21" t="s">
        <v>35</v>
      </c>
      <c r="J21" t="s">
        <v>55</v>
      </c>
      <c r="K21" t="s">
        <v>73</v>
      </c>
      <c r="L21" s="9" t="s">
        <v>74</v>
      </c>
      <c r="M21">
        <v>0</v>
      </c>
      <c r="N21">
        <v>5</v>
      </c>
      <c r="O21">
        <v>0</v>
      </c>
      <c r="P21">
        <v>4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41</v>
      </c>
      <c r="C22" t="s">
        <v>42</v>
      </c>
      <c r="D22">
        <v>501424</v>
      </c>
      <c r="E22" t="s">
        <v>75</v>
      </c>
      <c r="F22" t="s">
        <v>76</v>
      </c>
      <c r="G22" t="s">
        <v>45</v>
      </c>
      <c r="H22" t="s">
        <v>46</v>
      </c>
      <c r="I22" t="s">
        <v>35</v>
      </c>
      <c r="J22" t="s">
        <v>77</v>
      </c>
      <c r="K22" t="s">
        <v>39</v>
      </c>
      <c r="L22" s="9" t="s">
        <v>40</v>
      </c>
      <c r="M22">
        <v>0</v>
      </c>
      <c r="N22">
        <v>0</v>
      </c>
      <c r="O22">
        <v>3</v>
      </c>
      <c r="P22">
        <v>7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</row>
    <row r="23" spans="1:22" x14ac:dyDescent="0.25">
      <c r="A23" t="s">
        <v>34</v>
      </c>
      <c r="B23" t="s">
        <v>41</v>
      </c>
      <c r="C23" t="s">
        <v>78</v>
      </c>
      <c r="D23">
        <v>101813</v>
      </c>
      <c r="E23" t="s">
        <v>79</v>
      </c>
      <c r="F23" t="s">
        <v>80</v>
      </c>
      <c r="G23" t="s">
        <v>45</v>
      </c>
      <c r="H23" t="s">
        <v>46</v>
      </c>
      <c r="I23" t="s">
        <v>35</v>
      </c>
      <c r="J23" t="s">
        <v>81</v>
      </c>
      <c r="K23" t="s">
        <v>36</v>
      </c>
      <c r="L23" s="9" t="s">
        <v>37</v>
      </c>
      <c r="M23">
        <v>0</v>
      </c>
      <c r="N23">
        <v>0</v>
      </c>
      <c r="O23">
        <v>1</v>
      </c>
      <c r="P23">
        <v>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41</v>
      </c>
      <c r="C24" t="s">
        <v>78</v>
      </c>
      <c r="D24">
        <v>129387</v>
      </c>
      <c r="E24" t="s">
        <v>82</v>
      </c>
      <c r="F24" t="s">
        <v>83</v>
      </c>
      <c r="G24" t="s">
        <v>45</v>
      </c>
      <c r="H24" t="s">
        <v>46</v>
      </c>
      <c r="I24" t="s">
        <v>35</v>
      </c>
      <c r="J24" t="s">
        <v>84</v>
      </c>
      <c r="K24" t="s">
        <v>36</v>
      </c>
      <c r="L24" s="9" t="s">
        <v>37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41</v>
      </c>
      <c r="C25" t="s">
        <v>78</v>
      </c>
      <c r="D25">
        <v>129388</v>
      </c>
      <c r="E25" t="s">
        <v>85</v>
      </c>
      <c r="F25" t="s">
        <v>86</v>
      </c>
      <c r="G25" t="s">
        <v>45</v>
      </c>
      <c r="H25" t="s">
        <v>46</v>
      </c>
      <c r="I25" t="s">
        <v>35</v>
      </c>
      <c r="J25" t="s">
        <v>87</v>
      </c>
      <c r="K25" t="s">
        <v>36</v>
      </c>
      <c r="L25" s="9" t="s">
        <v>37</v>
      </c>
      <c r="M25">
        <v>1</v>
      </c>
      <c r="N25">
        <v>5</v>
      </c>
      <c r="O25">
        <v>0</v>
      </c>
      <c r="P25">
        <v>6</v>
      </c>
      <c r="Q25">
        <v>0</v>
      </c>
      <c r="R25">
        <v>2</v>
      </c>
      <c r="S25">
        <v>1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41</v>
      </c>
      <c r="C26" t="s">
        <v>78</v>
      </c>
      <c r="D26">
        <v>129389</v>
      </c>
      <c r="E26" t="s">
        <v>88</v>
      </c>
      <c r="F26" t="s">
        <v>89</v>
      </c>
      <c r="G26" t="s">
        <v>45</v>
      </c>
      <c r="H26" t="s">
        <v>46</v>
      </c>
      <c r="I26" t="s">
        <v>35</v>
      </c>
      <c r="J26" t="s">
        <v>90</v>
      </c>
      <c r="K26" t="s">
        <v>36</v>
      </c>
      <c r="L26" s="9" t="s">
        <v>37</v>
      </c>
      <c r="M26">
        <v>1</v>
      </c>
      <c r="N26">
        <v>2</v>
      </c>
      <c r="O26">
        <v>1</v>
      </c>
      <c r="P26">
        <v>12</v>
      </c>
      <c r="Q26">
        <v>0</v>
      </c>
      <c r="R26">
        <v>5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41</v>
      </c>
      <c r="C27" t="s">
        <v>78</v>
      </c>
      <c r="D27">
        <v>129390</v>
      </c>
      <c r="E27" t="s">
        <v>91</v>
      </c>
      <c r="F27" t="s">
        <v>92</v>
      </c>
      <c r="G27" t="s">
        <v>45</v>
      </c>
      <c r="H27" t="s">
        <v>46</v>
      </c>
      <c r="I27" t="s">
        <v>35</v>
      </c>
      <c r="J27" t="s">
        <v>84</v>
      </c>
      <c r="K27" t="s">
        <v>36</v>
      </c>
      <c r="L27" s="9" t="s">
        <v>37</v>
      </c>
      <c r="M27">
        <v>1</v>
      </c>
      <c r="N27">
        <v>9</v>
      </c>
      <c r="O27">
        <v>6</v>
      </c>
      <c r="P27">
        <v>6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41</v>
      </c>
      <c r="C28" t="s">
        <v>78</v>
      </c>
      <c r="D28">
        <v>129391</v>
      </c>
      <c r="E28" t="s">
        <v>93</v>
      </c>
      <c r="F28" t="s">
        <v>94</v>
      </c>
      <c r="G28" t="s">
        <v>45</v>
      </c>
      <c r="H28" t="s">
        <v>46</v>
      </c>
      <c r="I28" t="s">
        <v>35</v>
      </c>
      <c r="J28" t="s">
        <v>95</v>
      </c>
      <c r="K28" t="s">
        <v>36</v>
      </c>
      <c r="L28" s="9" t="s">
        <v>37</v>
      </c>
      <c r="M28">
        <v>2</v>
      </c>
      <c r="N28">
        <v>10</v>
      </c>
      <c r="O28">
        <v>1</v>
      </c>
      <c r="P28">
        <v>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41</v>
      </c>
      <c r="C29" t="s">
        <v>78</v>
      </c>
      <c r="D29">
        <v>129392</v>
      </c>
      <c r="E29" t="s">
        <v>96</v>
      </c>
      <c r="F29" t="s">
        <v>97</v>
      </c>
      <c r="G29" t="s">
        <v>45</v>
      </c>
      <c r="H29" t="s">
        <v>46</v>
      </c>
      <c r="I29" t="s">
        <v>35</v>
      </c>
      <c r="J29" t="s">
        <v>98</v>
      </c>
      <c r="K29" t="s">
        <v>36</v>
      </c>
      <c r="L29" s="9" t="s">
        <v>37</v>
      </c>
      <c r="M29">
        <v>0</v>
      </c>
      <c r="N29">
        <v>1</v>
      </c>
      <c r="O29">
        <v>0</v>
      </c>
      <c r="P29">
        <v>9</v>
      </c>
      <c r="Q29">
        <v>1</v>
      </c>
      <c r="R29">
        <v>2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41</v>
      </c>
      <c r="C30" t="s">
        <v>78</v>
      </c>
      <c r="D30">
        <v>129393</v>
      </c>
      <c r="E30" t="s">
        <v>99</v>
      </c>
      <c r="F30" t="s">
        <v>100</v>
      </c>
      <c r="G30" t="s">
        <v>45</v>
      </c>
      <c r="H30" t="s">
        <v>46</v>
      </c>
      <c r="I30" t="s">
        <v>35</v>
      </c>
      <c r="J30" t="s">
        <v>101</v>
      </c>
      <c r="K30" t="s">
        <v>36</v>
      </c>
      <c r="L30" s="9" t="s">
        <v>37</v>
      </c>
      <c r="M30">
        <v>2</v>
      </c>
      <c r="N30">
        <v>3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41</v>
      </c>
      <c r="C31" t="s">
        <v>78</v>
      </c>
      <c r="D31">
        <v>129394</v>
      </c>
      <c r="E31" t="s">
        <v>102</v>
      </c>
      <c r="F31" t="s">
        <v>103</v>
      </c>
      <c r="G31" t="s">
        <v>45</v>
      </c>
      <c r="H31" t="s">
        <v>46</v>
      </c>
      <c r="I31" t="s">
        <v>35</v>
      </c>
      <c r="J31" t="s">
        <v>95</v>
      </c>
      <c r="K31" t="s">
        <v>36</v>
      </c>
      <c r="L31" s="9" t="s">
        <v>37</v>
      </c>
      <c r="M31">
        <v>0</v>
      </c>
      <c r="N31">
        <v>0</v>
      </c>
      <c r="O31">
        <v>2</v>
      </c>
      <c r="P31">
        <v>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41</v>
      </c>
      <c r="C32" t="s">
        <v>78</v>
      </c>
      <c r="D32">
        <v>129395</v>
      </c>
      <c r="E32" t="s">
        <v>104</v>
      </c>
      <c r="F32" t="s">
        <v>105</v>
      </c>
      <c r="G32" t="s">
        <v>45</v>
      </c>
      <c r="H32" t="s">
        <v>46</v>
      </c>
      <c r="I32" t="s">
        <v>35</v>
      </c>
      <c r="J32" t="s">
        <v>90</v>
      </c>
      <c r="K32" t="s">
        <v>36</v>
      </c>
      <c r="L32" s="9" t="s">
        <v>37</v>
      </c>
      <c r="M32">
        <v>0</v>
      </c>
      <c r="N32">
        <v>0</v>
      </c>
      <c r="O32">
        <v>2</v>
      </c>
      <c r="P32">
        <v>14</v>
      </c>
      <c r="Q32">
        <v>1</v>
      </c>
      <c r="R32">
        <v>5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34</v>
      </c>
      <c r="B33" t="s">
        <v>41</v>
      </c>
      <c r="C33" t="s">
        <v>78</v>
      </c>
      <c r="D33">
        <v>129396</v>
      </c>
      <c r="E33" t="s">
        <v>106</v>
      </c>
      <c r="F33" t="s">
        <v>107</v>
      </c>
      <c r="G33" t="s">
        <v>45</v>
      </c>
      <c r="H33" t="s">
        <v>46</v>
      </c>
      <c r="I33" t="s">
        <v>35</v>
      </c>
      <c r="J33" t="s">
        <v>101</v>
      </c>
      <c r="K33" t="s">
        <v>36</v>
      </c>
      <c r="L33" s="9" t="s">
        <v>37</v>
      </c>
      <c r="M33">
        <v>0</v>
      </c>
      <c r="N33">
        <v>13</v>
      </c>
      <c r="O33">
        <v>1</v>
      </c>
      <c r="P33">
        <v>3</v>
      </c>
      <c r="Q33">
        <v>0</v>
      </c>
      <c r="R33">
        <v>2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34</v>
      </c>
      <c r="B34" t="s">
        <v>41</v>
      </c>
      <c r="C34" t="s">
        <v>78</v>
      </c>
      <c r="D34">
        <v>129397</v>
      </c>
      <c r="E34" t="s">
        <v>108</v>
      </c>
      <c r="F34" t="s">
        <v>109</v>
      </c>
      <c r="G34" t="s">
        <v>45</v>
      </c>
      <c r="H34" t="s">
        <v>46</v>
      </c>
      <c r="I34" t="s">
        <v>35</v>
      </c>
      <c r="J34" t="s">
        <v>110</v>
      </c>
      <c r="K34" t="s">
        <v>36</v>
      </c>
      <c r="L34" s="9" t="s">
        <v>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34</v>
      </c>
      <c r="B35" t="s">
        <v>41</v>
      </c>
      <c r="C35" t="s">
        <v>78</v>
      </c>
      <c r="D35">
        <v>129398</v>
      </c>
      <c r="E35" t="s">
        <v>111</v>
      </c>
      <c r="F35" t="s">
        <v>112</v>
      </c>
      <c r="G35" t="s">
        <v>45</v>
      </c>
      <c r="H35" t="s">
        <v>46</v>
      </c>
      <c r="I35" t="s">
        <v>35</v>
      </c>
      <c r="J35" t="s">
        <v>113</v>
      </c>
      <c r="K35" t="s">
        <v>36</v>
      </c>
      <c r="L35" s="9" t="s">
        <v>37</v>
      </c>
      <c r="M35">
        <v>0</v>
      </c>
      <c r="N35">
        <v>1</v>
      </c>
      <c r="O35">
        <v>2</v>
      </c>
      <c r="P35">
        <v>11</v>
      </c>
      <c r="Q35">
        <v>0</v>
      </c>
      <c r="R35">
        <v>3</v>
      </c>
      <c r="S35">
        <v>0</v>
      </c>
      <c r="T35">
        <v>0</v>
      </c>
      <c r="U35">
        <v>1</v>
      </c>
      <c r="V35">
        <v>0</v>
      </c>
    </row>
    <row r="36" spans="1:22" x14ac:dyDescent="0.25">
      <c r="A36" t="s">
        <v>34</v>
      </c>
      <c r="B36" t="s">
        <v>41</v>
      </c>
      <c r="C36" t="s">
        <v>78</v>
      </c>
      <c r="D36">
        <v>129399</v>
      </c>
      <c r="E36" t="s">
        <v>114</v>
      </c>
      <c r="F36" t="s">
        <v>115</v>
      </c>
      <c r="G36" t="s">
        <v>45</v>
      </c>
      <c r="H36" t="s">
        <v>46</v>
      </c>
      <c r="I36" t="s">
        <v>35</v>
      </c>
      <c r="J36" t="s">
        <v>116</v>
      </c>
      <c r="K36" t="s">
        <v>36</v>
      </c>
      <c r="L36" s="9" t="s">
        <v>37</v>
      </c>
      <c r="M36">
        <v>0</v>
      </c>
      <c r="N36">
        <v>6</v>
      </c>
      <c r="O36">
        <v>1</v>
      </c>
      <c r="P36">
        <v>14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34</v>
      </c>
      <c r="B37" t="s">
        <v>41</v>
      </c>
      <c r="C37" t="s">
        <v>78</v>
      </c>
      <c r="D37">
        <v>129400</v>
      </c>
      <c r="E37" t="s">
        <v>117</v>
      </c>
      <c r="F37" t="s">
        <v>118</v>
      </c>
      <c r="G37" t="s">
        <v>45</v>
      </c>
      <c r="H37" t="s">
        <v>46</v>
      </c>
      <c r="I37" t="s">
        <v>35</v>
      </c>
      <c r="J37" t="s">
        <v>113</v>
      </c>
      <c r="K37" t="s">
        <v>36</v>
      </c>
      <c r="L37" s="9" t="s">
        <v>37</v>
      </c>
      <c r="M37">
        <v>2</v>
      </c>
      <c r="N37">
        <v>14</v>
      </c>
      <c r="O37">
        <v>3</v>
      </c>
      <c r="P37">
        <v>16</v>
      </c>
      <c r="Q37">
        <v>0</v>
      </c>
      <c r="R37">
        <v>6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34</v>
      </c>
      <c r="B38" t="s">
        <v>41</v>
      </c>
      <c r="C38" t="s">
        <v>78</v>
      </c>
      <c r="D38">
        <v>129401</v>
      </c>
      <c r="E38" t="s">
        <v>119</v>
      </c>
      <c r="F38" t="s">
        <v>120</v>
      </c>
      <c r="G38" t="s">
        <v>45</v>
      </c>
      <c r="H38" t="s">
        <v>46</v>
      </c>
      <c r="I38" t="s">
        <v>35</v>
      </c>
      <c r="J38" t="s">
        <v>87</v>
      </c>
      <c r="K38" t="s">
        <v>36</v>
      </c>
      <c r="L38" s="9" t="s">
        <v>37</v>
      </c>
      <c r="M38">
        <v>0</v>
      </c>
      <c r="N38">
        <v>4</v>
      </c>
      <c r="O38">
        <v>1</v>
      </c>
      <c r="P38">
        <v>3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34</v>
      </c>
      <c r="B39" t="s">
        <v>41</v>
      </c>
      <c r="C39" t="s">
        <v>78</v>
      </c>
      <c r="D39">
        <v>129402</v>
      </c>
      <c r="E39" t="s">
        <v>121</v>
      </c>
      <c r="F39" t="s">
        <v>122</v>
      </c>
      <c r="G39" t="s">
        <v>45</v>
      </c>
      <c r="H39" t="s">
        <v>46</v>
      </c>
      <c r="I39" t="s">
        <v>35</v>
      </c>
      <c r="J39" t="s">
        <v>101</v>
      </c>
      <c r="K39" t="s">
        <v>36</v>
      </c>
      <c r="L39" s="9" t="s">
        <v>37</v>
      </c>
      <c r="M39">
        <v>1</v>
      </c>
      <c r="N39">
        <v>4</v>
      </c>
      <c r="O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34</v>
      </c>
      <c r="B40" t="s">
        <v>41</v>
      </c>
      <c r="C40" t="s">
        <v>78</v>
      </c>
      <c r="D40">
        <v>129403</v>
      </c>
      <c r="E40" t="s">
        <v>123</v>
      </c>
      <c r="F40" t="s">
        <v>124</v>
      </c>
      <c r="G40" t="s">
        <v>45</v>
      </c>
      <c r="H40" t="s">
        <v>46</v>
      </c>
      <c r="I40" t="s">
        <v>35</v>
      </c>
      <c r="J40" t="s">
        <v>81</v>
      </c>
      <c r="K40" t="s">
        <v>36</v>
      </c>
      <c r="L40" s="9" t="s">
        <v>37</v>
      </c>
      <c r="M40">
        <v>0</v>
      </c>
      <c r="N40">
        <v>6</v>
      </c>
      <c r="O40">
        <v>0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34</v>
      </c>
      <c r="B41" t="s">
        <v>41</v>
      </c>
      <c r="C41" t="s">
        <v>78</v>
      </c>
      <c r="D41">
        <v>129404</v>
      </c>
      <c r="E41" t="s">
        <v>125</v>
      </c>
      <c r="F41" t="s">
        <v>126</v>
      </c>
      <c r="G41" t="s">
        <v>45</v>
      </c>
      <c r="H41" t="s">
        <v>46</v>
      </c>
      <c r="I41" t="s">
        <v>35</v>
      </c>
      <c r="J41" t="s">
        <v>127</v>
      </c>
      <c r="K41" t="s">
        <v>36</v>
      </c>
      <c r="L41" s="9" t="s">
        <v>37</v>
      </c>
      <c r="M41">
        <v>1</v>
      </c>
      <c r="N41">
        <v>6</v>
      </c>
      <c r="O41">
        <v>0</v>
      </c>
      <c r="P41">
        <v>3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34</v>
      </c>
      <c r="B42" t="s">
        <v>41</v>
      </c>
      <c r="C42" t="s">
        <v>78</v>
      </c>
      <c r="D42">
        <v>129405</v>
      </c>
      <c r="E42" t="s">
        <v>128</v>
      </c>
      <c r="F42" t="s">
        <v>129</v>
      </c>
      <c r="G42" t="s">
        <v>45</v>
      </c>
      <c r="H42" t="s">
        <v>46</v>
      </c>
      <c r="I42" t="s">
        <v>35</v>
      </c>
      <c r="J42" t="s">
        <v>130</v>
      </c>
      <c r="K42" t="s">
        <v>36</v>
      </c>
      <c r="L42" s="9" t="s">
        <v>37</v>
      </c>
      <c r="M42">
        <v>3</v>
      </c>
      <c r="N42">
        <v>0</v>
      </c>
      <c r="O42">
        <v>2</v>
      </c>
      <c r="P42">
        <v>7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34</v>
      </c>
      <c r="B43" t="s">
        <v>41</v>
      </c>
      <c r="C43" t="s">
        <v>78</v>
      </c>
      <c r="D43">
        <v>129406</v>
      </c>
      <c r="E43" t="s">
        <v>131</v>
      </c>
      <c r="F43" t="s">
        <v>132</v>
      </c>
      <c r="G43" t="s">
        <v>45</v>
      </c>
      <c r="H43" t="s">
        <v>46</v>
      </c>
      <c r="I43" t="s">
        <v>35</v>
      </c>
      <c r="J43" t="s">
        <v>98</v>
      </c>
      <c r="K43" t="s">
        <v>36</v>
      </c>
      <c r="L43" s="9" t="s">
        <v>37</v>
      </c>
      <c r="M43">
        <v>0</v>
      </c>
      <c r="N43">
        <v>1</v>
      </c>
      <c r="O43">
        <v>0</v>
      </c>
      <c r="P43">
        <v>5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34</v>
      </c>
      <c r="B44" t="s">
        <v>41</v>
      </c>
      <c r="C44" t="s">
        <v>78</v>
      </c>
      <c r="D44">
        <v>129407</v>
      </c>
      <c r="E44" t="s">
        <v>133</v>
      </c>
      <c r="F44" t="s">
        <v>134</v>
      </c>
      <c r="G44" t="s">
        <v>45</v>
      </c>
      <c r="H44" t="s">
        <v>46</v>
      </c>
      <c r="I44" t="s">
        <v>35</v>
      </c>
      <c r="J44" t="s">
        <v>110</v>
      </c>
      <c r="K44" t="s">
        <v>36</v>
      </c>
      <c r="L44" s="9" t="s">
        <v>37</v>
      </c>
      <c r="M44">
        <v>0</v>
      </c>
      <c r="N44">
        <v>1</v>
      </c>
      <c r="O44">
        <v>4</v>
      </c>
      <c r="P44">
        <v>6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34</v>
      </c>
      <c r="B45" t="s">
        <v>41</v>
      </c>
      <c r="C45" t="s">
        <v>78</v>
      </c>
      <c r="D45">
        <v>129408</v>
      </c>
      <c r="E45" t="s">
        <v>135</v>
      </c>
      <c r="F45" t="s">
        <v>136</v>
      </c>
      <c r="G45" t="s">
        <v>45</v>
      </c>
      <c r="H45" t="s">
        <v>46</v>
      </c>
      <c r="I45" t="s">
        <v>35</v>
      </c>
      <c r="J45" t="s">
        <v>113</v>
      </c>
      <c r="K45" t="s">
        <v>36</v>
      </c>
      <c r="L45" s="9" t="s">
        <v>37</v>
      </c>
      <c r="M45">
        <v>0</v>
      </c>
      <c r="N45">
        <v>1</v>
      </c>
      <c r="O45">
        <v>0</v>
      </c>
      <c r="P45">
        <v>4</v>
      </c>
      <c r="Q45">
        <v>1</v>
      </c>
      <c r="R45">
        <v>2</v>
      </c>
      <c r="S45">
        <v>0</v>
      </c>
      <c r="T45">
        <v>0</v>
      </c>
      <c r="U45">
        <v>0</v>
      </c>
      <c r="V45">
        <v>1</v>
      </c>
    </row>
    <row r="46" spans="1:22" x14ac:dyDescent="0.25">
      <c r="A46" t="s">
        <v>34</v>
      </c>
      <c r="B46" t="s">
        <v>41</v>
      </c>
      <c r="C46" t="s">
        <v>78</v>
      </c>
      <c r="D46">
        <v>129409</v>
      </c>
      <c r="E46" t="s">
        <v>137</v>
      </c>
      <c r="F46" t="s">
        <v>138</v>
      </c>
      <c r="G46" t="s">
        <v>45</v>
      </c>
      <c r="H46" t="s">
        <v>46</v>
      </c>
      <c r="I46" t="s">
        <v>35</v>
      </c>
      <c r="J46" t="s">
        <v>139</v>
      </c>
      <c r="K46" t="s">
        <v>36</v>
      </c>
      <c r="L46" s="9" t="s">
        <v>37</v>
      </c>
      <c r="M46">
        <v>0</v>
      </c>
      <c r="N46">
        <v>6</v>
      </c>
      <c r="O46">
        <v>1</v>
      </c>
      <c r="P46">
        <v>12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34</v>
      </c>
      <c r="B47" t="s">
        <v>41</v>
      </c>
      <c r="C47" t="s">
        <v>78</v>
      </c>
      <c r="D47">
        <v>257001</v>
      </c>
      <c r="E47" t="s">
        <v>140</v>
      </c>
      <c r="F47" t="s">
        <v>141</v>
      </c>
      <c r="G47" t="s">
        <v>45</v>
      </c>
      <c r="H47" t="s">
        <v>46</v>
      </c>
      <c r="I47" t="s">
        <v>35</v>
      </c>
      <c r="J47" t="s">
        <v>90</v>
      </c>
      <c r="K47" t="s">
        <v>36</v>
      </c>
      <c r="L47" s="9" t="s">
        <v>37</v>
      </c>
      <c r="M47">
        <v>0</v>
      </c>
      <c r="N47">
        <v>4</v>
      </c>
      <c r="O47">
        <v>0</v>
      </c>
      <c r="P47">
        <v>9</v>
      </c>
      <c r="Q47">
        <v>0</v>
      </c>
      <c r="R47">
        <v>2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34</v>
      </c>
      <c r="B48" t="s">
        <v>41</v>
      </c>
      <c r="C48" t="s">
        <v>142</v>
      </c>
      <c r="D48">
        <v>102157</v>
      </c>
      <c r="E48" t="s">
        <v>143</v>
      </c>
      <c r="F48" t="s">
        <v>144</v>
      </c>
      <c r="G48" t="s">
        <v>45</v>
      </c>
      <c r="H48" t="s">
        <v>46</v>
      </c>
      <c r="I48" t="s">
        <v>35</v>
      </c>
      <c r="J48" t="s">
        <v>145</v>
      </c>
      <c r="K48" t="s">
        <v>36</v>
      </c>
      <c r="L48" s="9" t="s">
        <v>37</v>
      </c>
      <c r="M48">
        <v>0</v>
      </c>
      <c r="N48">
        <v>2</v>
      </c>
      <c r="O48">
        <v>1</v>
      </c>
      <c r="P48">
        <v>2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34</v>
      </c>
      <c r="B49" t="s">
        <v>41</v>
      </c>
      <c r="C49" t="s">
        <v>142</v>
      </c>
      <c r="D49">
        <v>102164</v>
      </c>
      <c r="E49" t="s">
        <v>146</v>
      </c>
      <c r="F49" t="s">
        <v>147</v>
      </c>
      <c r="G49" t="s">
        <v>45</v>
      </c>
      <c r="H49" t="s">
        <v>46</v>
      </c>
      <c r="I49" t="s">
        <v>35</v>
      </c>
      <c r="J49" t="s">
        <v>148</v>
      </c>
      <c r="K49" t="s">
        <v>36</v>
      </c>
      <c r="L49" s="9" t="s">
        <v>37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34</v>
      </c>
      <c r="B50" t="s">
        <v>41</v>
      </c>
      <c r="C50" t="s">
        <v>142</v>
      </c>
      <c r="D50">
        <v>129410</v>
      </c>
      <c r="E50" t="s">
        <v>149</v>
      </c>
      <c r="F50" t="s">
        <v>150</v>
      </c>
      <c r="G50" t="s">
        <v>45</v>
      </c>
      <c r="H50" t="s">
        <v>46</v>
      </c>
      <c r="I50" t="s">
        <v>35</v>
      </c>
      <c r="J50" t="s">
        <v>151</v>
      </c>
      <c r="K50" t="s">
        <v>36</v>
      </c>
      <c r="L50" s="9" t="s">
        <v>37</v>
      </c>
      <c r="M50">
        <v>1</v>
      </c>
      <c r="N50">
        <v>3</v>
      </c>
      <c r="O50">
        <v>0</v>
      </c>
      <c r="P50">
        <v>4</v>
      </c>
      <c r="Q50">
        <v>0</v>
      </c>
      <c r="R50">
        <v>2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34</v>
      </c>
      <c r="B51" t="s">
        <v>41</v>
      </c>
      <c r="C51" t="s">
        <v>142</v>
      </c>
      <c r="D51">
        <v>129412</v>
      </c>
      <c r="E51" t="s">
        <v>152</v>
      </c>
      <c r="F51" t="s">
        <v>153</v>
      </c>
      <c r="G51" t="s">
        <v>45</v>
      </c>
      <c r="H51" t="s">
        <v>46</v>
      </c>
      <c r="I51" t="s">
        <v>35</v>
      </c>
      <c r="J51" t="s">
        <v>154</v>
      </c>
      <c r="K51" t="s">
        <v>36</v>
      </c>
      <c r="L51" s="9" t="s">
        <v>37</v>
      </c>
      <c r="M51">
        <v>0</v>
      </c>
      <c r="N51">
        <v>2</v>
      </c>
      <c r="O51">
        <v>1</v>
      </c>
      <c r="P51">
        <v>3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</row>
    <row r="52" spans="1:22" x14ac:dyDescent="0.25">
      <c r="A52" t="s">
        <v>34</v>
      </c>
      <c r="B52" t="s">
        <v>41</v>
      </c>
      <c r="C52" t="s">
        <v>142</v>
      </c>
      <c r="D52">
        <v>129413</v>
      </c>
      <c r="E52" t="s">
        <v>155</v>
      </c>
      <c r="F52" t="s">
        <v>156</v>
      </c>
      <c r="G52" t="s">
        <v>45</v>
      </c>
      <c r="H52" t="s">
        <v>46</v>
      </c>
      <c r="I52" t="s">
        <v>35</v>
      </c>
      <c r="J52" t="s">
        <v>151</v>
      </c>
      <c r="K52" t="s">
        <v>36</v>
      </c>
      <c r="L52" s="9" t="s">
        <v>37</v>
      </c>
      <c r="M52">
        <v>0</v>
      </c>
      <c r="N52">
        <v>0</v>
      </c>
      <c r="O52">
        <v>0</v>
      </c>
      <c r="P52">
        <v>14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34</v>
      </c>
      <c r="B53" t="s">
        <v>41</v>
      </c>
      <c r="C53" t="s">
        <v>142</v>
      </c>
      <c r="D53">
        <v>129414</v>
      </c>
      <c r="E53" t="s">
        <v>157</v>
      </c>
      <c r="F53" t="s">
        <v>158</v>
      </c>
      <c r="G53" t="s">
        <v>45</v>
      </c>
      <c r="H53" t="s">
        <v>46</v>
      </c>
      <c r="I53" t="s">
        <v>35</v>
      </c>
      <c r="J53" t="s">
        <v>159</v>
      </c>
      <c r="K53" t="s">
        <v>36</v>
      </c>
      <c r="L53" s="9" t="s">
        <v>37</v>
      </c>
      <c r="M53">
        <v>1</v>
      </c>
      <c r="N53">
        <v>2</v>
      </c>
      <c r="O53">
        <v>0</v>
      </c>
      <c r="P53">
        <v>10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</row>
    <row r="54" spans="1:22" x14ac:dyDescent="0.25">
      <c r="A54" t="s">
        <v>34</v>
      </c>
      <c r="B54" t="s">
        <v>41</v>
      </c>
      <c r="C54" t="s">
        <v>142</v>
      </c>
      <c r="D54">
        <v>129417</v>
      </c>
      <c r="E54" t="s">
        <v>160</v>
      </c>
      <c r="F54" t="s">
        <v>161</v>
      </c>
      <c r="G54" t="s">
        <v>45</v>
      </c>
      <c r="H54" t="s">
        <v>46</v>
      </c>
      <c r="I54" t="s">
        <v>35</v>
      </c>
      <c r="J54" t="s">
        <v>145</v>
      </c>
      <c r="K54" t="s">
        <v>36</v>
      </c>
      <c r="L54" s="9" t="s">
        <v>37</v>
      </c>
      <c r="M54">
        <v>1</v>
      </c>
      <c r="N54">
        <v>12</v>
      </c>
      <c r="O54">
        <v>0</v>
      </c>
      <c r="P54">
        <v>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34</v>
      </c>
      <c r="B55" t="s">
        <v>41</v>
      </c>
      <c r="C55" t="s">
        <v>142</v>
      </c>
      <c r="D55">
        <v>129418</v>
      </c>
      <c r="E55" t="s">
        <v>162</v>
      </c>
      <c r="F55" t="s">
        <v>163</v>
      </c>
      <c r="G55" t="s">
        <v>45</v>
      </c>
      <c r="H55" t="s">
        <v>46</v>
      </c>
      <c r="I55" t="s">
        <v>35</v>
      </c>
      <c r="J55" t="s">
        <v>145</v>
      </c>
      <c r="K55" t="s">
        <v>36</v>
      </c>
      <c r="L55" s="9" t="s">
        <v>37</v>
      </c>
      <c r="M55">
        <v>0</v>
      </c>
      <c r="N55">
        <v>1</v>
      </c>
      <c r="O55">
        <v>2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</row>
    <row r="56" spans="1:22" x14ac:dyDescent="0.25">
      <c r="A56" t="s">
        <v>34</v>
      </c>
      <c r="B56" t="s">
        <v>41</v>
      </c>
      <c r="C56" t="s">
        <v>142</v>
      </c>
      <c r="D56">
        <v>129419</v>
      </c>
      <c r="E56" t="s">
        <v>164</v>
      </c>
      <c r="F56" t="s">
        <v>165</v>
      </c>
      <c r="G56" t="s">
        <v>45</v>
      </c>
      <c r="H56" t="s">
        <v>46</v>
      </c>
      <c r="I56" t="s">
        <v>35</v>
      </c>
      <c r="J56" t="s">
        <v>166</v>
      </c>
      <c r="K56" t="s">
        <v>36</v>
      </c>
      <c r="L56" s="9" t="s">
        <v>37</v>
      </c>
      <c r="M56">
        <v>0</v>
      </c>
      <c r="N56">
        <v>6</v>
      </c>
      <c r="O56">
        <v>0</v>
      </c>
      <c r="P56">
        <v>5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 x14ac:dyDescent="0.25">
      <c r="A57" t="s">
        <v>34</v>
      </c>
      <c r="B57" t="s">
        <v>41</v>
      </c>
      <c r="C57" t="s">
        <v>142</v>
      </c>
      <c r="D57">
        <v>129420</v>
      </c>
      <c r="E57" t="s">
        <v>167</v>
      </c>
      <c r="F57" t="s">
        <v>168</v>
      </c>
      <c r="G57" t="s">
        <v>45</v>
      </c>
      <c r="H57" t="s">
        <v>46</v>
      </c>
      <c r="I57" t="s">
        <v>35</v>
      </c>
      <c r="J57" t="s">
        <v>168</v>
      </c>
      <c r="K57" t="s">
        <v>36</v>
      </c>
      <c r="L57" s="9" t="s">
        <v>37</v>
      </c>
      <c r="M57">
        <v>0</v>
      </c>
      <c r="N57">
        <v>2</v>
      </c>
      <c r="O57">
        <v>1</v>
      </c>
      <c r="P57">
        <v>4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34</v>
      </c>
      <c r="B58" t="s">
        <v>41</v>
      </c>
      <c r="C58" t="s">
        <v>142</v>
      </c>
      <c r="D58">
        <v>129421</v>
      </c>
      <c r="E58" t="s">
        <v>169</v>
      </c>
      <c r="F58" t="s">
        <v>170</v>
      </c>
      <c r="G58" t="s">
        <v>45</v>
      </c>
      <c r="H58" t="s">
        <v>46</v>
      </c>
      <c r="I58" t="s">
        <v>35</v>
      </c>
      <c r="J58" t="s">
        <v>151</v>
      </c>
      <c r="K58" t="s">
        <v>36</v>
      </c>
      <c r="L58" s="9" t="s">
        <v>37</v>
      </c>
      <c r="M58">
        <v>2</v>
      </c>
      <c r="N58">
        <v>3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34</v>
      </c>
      <c r="B59" t="s">
        <v>41</v>
      </c>
      <c r="C59" t="s">
        <v>142</v>
      </c>
      <c r="D59">
        <v>129422</v>
      </c>
      <c r="E59" t="s">
        <v>171</v>
      </c>
      <c r="F59" t="s">
        <v>172</v>
      </c>
      <c r="G59" t="s">
        <v>45</v>
      </c>
      <c r="H59" t="s">
        <v>46</v>
      </c>
      <c r="I59" t="s">
        <v>35</v>
      </c>
      <c r="J59" t="s">
        <v>145</v>
      </c>
      <c r="K59" t="s">
        <v>36</v>
      </c>
      <c r="L59" s="9" t="s">
        <v>37</v>
      </c>
      <c r="M59">
        <v>0</v>
      </c>
      <c r="N59">
        <v>3</v>
      </c>
      <c r="O59">
        <v>0</v>
      </c>
      <c r="P59">
        <v>3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34</v>
      </c>
      <c r="B60" t="s">
        <v>41</v>
      </c>
      <c r="C60" t="s">
        <v>142</v>
      </c>
      <c r="D60">
        <v>501085</v>
      </c>
      <c r="E60" t="s">
        <v>173</v>
      </c>
      <c r="F60" t="s">
        <v>174</v>
      </c>
      <c r="G60" t="s">
        <v>45</v>
      </c>
      <c r="H60" t="s">
        <v>46</v>
      </c>
      <c r="I60" t="s">
        <v>35</v>
      </c>
      <c r="J60" t="s">
        <v>175</v>
      </c>
      <c r="K60" t="s">
        <v>39</v>
      </c>
      <c r="L60" s="9" t="s">
        <v>40</v>
      </c>
      <c r="M60">
        <v>2</v>
      </c>
      <c r="N60">
        <v>7</v>
      </c>
      <c r="O60">
        <v>0</v>
      </c>
      <c r="P60">
        <v>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34</v>
      </c>
      <c r="B61" t="s">
        <v>41</v>
      </c>
      <c r="C61" t="s">
        <v>142</v>
      </c>
      <c r="D61">
        <v>501086</v>
      </c>
      <c r="E61" t="s">
        <v>176</v>
      </c>
      <c r="F61" t="s">
        <v>177</v>
      </c>
      <c r="G61" t="s">
        <v>45</v>
      </c>
      <c r="H61" t="s">
        <v>46</v>
      </c>
      <c r="I61" t="s">
        <v>35</v>
      </c>
      <c r="J61" t="s">
        <v>178</v>
      </c>
      <c r="K61" t="s">
        <v>39</v>
      </c>
      <c r="L61" s="9" t="s">
        <v>40</v>
      </c>
      <c r="M61">
        <v>2</v>
      </c>
      <c r="N61">
        <v>3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34</v>
      </c>
      <c r="B62" t="s">
        <v>41</v>
      </c>
      <c r="C62" t="s">
        <v>142</v>
      </c>
      <c r="D62">
        <v>501087</v>
      </c>
      <c r="E62" t="s">
        <v>179</v>
      </c>
      <c r="F62" t="s">
        <v>180</v>
      </c>
      <c r="G62" t="s">
        <v>45</v>
      </c>
      <c r="H62" t="s">
        <v>46</v>
      </c>
      <c r="I62" t="s">
        <v>35</v>
      </c>
      <c r="J62" t="s">
        <v>148</v>
      </c>
      <c r="K62" t="s">
        <v>39</v>
      </c>
      <c r="L62" s="9" t="s">
        <v>40</v>
      </c>
      <c r="M62">
        <v>0</v>
      </c>
      <c r="N62">
        <v>4</v>
      </c>
      <c r="O62">
        <v>1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</sheetData>
  <autoFilter ref="A8:W62" xr:uid="{00000000-0009-0000-0000-000000000000}"/>
  <mergeCells count="6">
    <mergeCell ref="M4:V4"/>
    <mergeCell ref="M5:N5"/>
    <mergeCell ref="O5:P5"/>
    <mergeCell ref="Q5:R5"/>
    <mergeCell ref="S5:T5"/>
    <mergeCell ref="U5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C12F-F012-47AB-95C9-A6A8208A9BF2}">
  <dimension ref="A1:W30"/>
  <sheetViews>
    <sheetView tabSelected="1" zoomScale="85" zoomScaleNormal="85" workbookViewId="0">
      <pane xSplit="4" ySplit="8" topLeftCell="E9" activePane="bottomRight" state="frozen"/>
      <selection activeCell="B29" sqref="A9:XFD29"/>
      <selection pane="topRight" activeCell="B29" sqref="A9:XFD29"/>
      <selection pane="bottomLeft" activeCell="B29" sqref="A9:XFD29"/>
      <selection pane="bottomRight" activeCell="G43" sqref="G43"/>
    </sheetView>
  </sheetViews>
  <sheetFormatPr defaultRowHeight="15" x14ac:dyDescent="0.25"/>
  <cols>
    <col min="2" max="2" width="27.140625" bestFit="1" customWidth="1"/>
    <col min="13" max="22" width="10.140625" customWidth="1"/>
  </cols>
  <sheetData>
    <row r="1" spans="1:23" x14ac:dyDescent="0.25">
      <c r="A1" s="1" t="s">
        <v>222</v>
      </c>
    </row>
    <row r="2" spans="1:23" x14ac:dyDescent="0.25">
      <c r="A2" s="1" t="s">
        <v>1</v>
      </c>
      <c r="L2" s="2"/>
    </row>
    <row r="3" spans="1:23" x14ac:dyDescent="0.25">
      <c r="A3" s="1" t="s">
        <v>2</v>
      </c>
      <c r="L3" s="2"/>
    </row>
    <row r="4" spans="1:23" x14ac:dyDescent="0.25">
      <c r="M4" s="3" t="s">
        <v>3</v>
      </c>
      <c r="N4" s="3"/>
      <c r="O4" s="3"/>
      <c r="P4" s="3"/>
      <c r="Q4" s="3"/>
      <c r="R4" s="3"/>
      <c r="S4" s="3"/>
      <c r="T4" s="3"/>
      <c r="U4" s="3"/>
      <c r="V4" s="3"/>
    </row>
    <row r="5" spans="1:23" x14ac:dyDescent="0.25">
      <c r="M5" s="3" t="s">
        <v>4</v>
      </c>
      <c r="N5" s="3"/>
      <c r="O5" s="3" t="s">
        <v>5</v>
      </c>
      <c r="P5" s="3"/>
      <c r="Q5" s="3" t="s">
        <v>6</v>
      </c>
      <c r="R5" s="3"/>
      <c r="S5" s="3" t="s">
        <v>7</v>
      </c>
      <c r="T5" s="3"/>
      <c r="U5" s="3" t="s">
        <v>8</v>
      </c>
      <c r="V5" s="3"/>
    </row>
    <row r="6" spans="1:23" x14ac:dyDescent="0.25">
      <c r="M6" s="4" t="s">
        <v>9</v>
      </c>
      <c r="N6" s="4" t="s">
        <v>10</v>
      </c>
      <c r="O6" s="4" t="s">
        <v>9</v>
      </c>
      <c r="P6" s="4" t="s">
        <v>10</v>
      </c>
      <c r="Q6" s="4" t="s">
        <v>9</v>
      </c>
      <c r="R6" s="4" t="s">
        <v>10</v>
      </c>
      <c r="S6" s="4" t="s">
        <v>9</v>
      </c>
      <c r="T6" s="4" t="s">
        <v>10</v>
      </c>
      <c r="U6" s="4" t="s">
        <v>9</v>
      </c>
      <c r="V6" s="4" t="s">
        <v>10</v>
      </c>
    </row>
    <row r="7" spans="1:23" x14ac:dyDescent="0.25">
      <c r="M7" s="5">
        <f>SUM(M9:M30)</f>
        <v>68</v>
      </c>
      <c r="N7" s="5">
        <f>SUM(N9:N30)</f>
        <v>149</v>
      </c>
      <c r="O7" s="5">
        <f>SUM(O9:O30)</f>
        <v>68</v>
      </c>
      <c r="P7" s="5">
        <f>SUM(P9:P30)</f>
        <v>137</v>
      </c>
      <c r="Q7" s="5">
        <f>SUM(Q9:Q30)</f>
        <v>18</v>
      </c>
      <c r="R7" s="5">
        <f>SUM(R9:R30)</f>
        <v>27</v>
      </c>
      <c r="S7" s="5">
        <f>SUM(S9:S30)</f>
        <v>2</v>
      </c>
      <c r="T7" s="5">
        <f>SUM(T9:T30)</f>
        <v>1</v>
      </c>
      <c r="U7" s="5">
        <f>SUM(U9:U30)</f>
        <v>1</v>
      </c>
      <c r="V7" s="5">
        <f>SUM(V9:V30)</f>
        <v>0</v>
      </c>
    </row>
    <row r="8" spans="1:23" x14ac:dyDescent="0.25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  <c r="L8" s="7" t="s">
        <v>22</v>
      </c>
      <c r="M8" s="8" t="s">
        <v>23</v>
      </c>
      <c r="N8" s="8" t="s">
        <v>24</v>
      </c>
      <c r="O8" s="8" t="s">
        <v>25</v>
      </c>
      <c r="P8" s="8" t="s">
        <v>26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</row>
    <row r="9" spans="1:23" x14ac:dyDescent="0.25">
      <c r="A9" t="s">
        <v>34</v>
      </c>
      <c r="B9" t="s">
        <v>41</v>
      </c>
      <c r="C9" t="s">
        <v>42</v>
      </c>
      <c r="D9">
        <v>304325</v>
      </c>
      <c r="E9" t="s">
        <v>227</v>
      </c>
      <c r="F9" t="s">
        <v>228</v>
      </c>
      <c r="G9" t="s">
        <v>45</v>
      </c>
      <c r="H9" t="s">
        <v>46</v>
      </c>
      <c r="I9" t="s">
        <v>35</v>
      </c>
      <c r="J9" t="s">
        <v>55</v>
      </c>
      <c r="K9" t="s">
        <v>223</v>
      </c>
      <c r="L9" s="9" t="s">
        <v>224</v>
      </c>
      <c r="M9">
        <v>21</v>
      </c>
      <c r="N9">
        <v>30</v>
      </c>
      <c r="O9">
        <v>19</v>
      </c>
      <c r="P9">
        <v>47</v>
      </c>
      <c r="Q9">
        <v>6</v>
      </c>
      <c r="R9">
        <v>3</v>
      </c>
      <c r="S9">
        <v>1</v>
      </c>
      <c r="T9">
        <v>0</v>
      </c>
      <c r="U9">
        <v>1</v>
      </c>
      <c r="V9">
        <v>0</v>
      </c>
    </row>
    <row r="10" spans="1:23" x14ac:dyDescent="0.25">
      <c r="A10" t="s">
        <v>34</v>
      </c>
      <c r="B10" t="s">
        <v>41</v>
      </c>
      <c r="C10" t="s">
        <v>42</v>
      </c>
      <c r="D10">
        <v>304326</v>
      </c>
      <c r="E10" t="s">
        <v>229</v>
      </c>
      <c r="F10" t="s">
        <v>230</v>
      </c>
      <c r="G10" t="s">
        <v>45</v>
      </c>
      <c r="H10" t="s">
        <v>46</v>
      </c>
      <c r="I10" t="s">
        <v>35</v>
      </c>
      <c r="J10" t="s">
        <v>55</v>
      </c>
      <c r="K10" t="s">
        <v>223</v>
      </c>
      <c r="L10" s="9" t="s">
        <v>224</v>
      </c>
      <c r="M10">
        <v>4</v>
      </c>
      <c r="N10">
        <v>11</v>
      </c>
      <c r="O10">
        <v>5</v>
      </c>
      <c r="P10">
        <v>11</v>
      </c>
      <c r="Q10">
        <v>3</v>
      </c>
      <c r="R10">
        <v>3</v>
      </c>
      <c r="S10">
        <v>0</v>
      </c>
      <c r="T10">
        <v>0</v>
      </c>
      <c r="U10">
        <v>0</v>
      </c>
      <c r="V10">
        <v>0</v>
      </c>
    </row>
    <row r="11" spans="1:23" x14ac:dyDescent="0.25">
      <c r="A11" t="s">
        <v>34</v>
      </c>
      <c r="B11" t="s">
        <v>41</v>
      </c>
      <c r="C11" t="s">
        <v>42</v>
      </c>
      <c r="D11">
        <v>305680</v>
      </c>
      <c r="E11" t="s">
        <v>231</v>
      </c>
      <c r="F11" t="s">
        <v>232</v>
      </c>
      <c r="G11" t="s">
        <v>45</v>
      </c>
      <c r="H11" t="s">
        <v>46</v>
      </c>
      <c r="I11" t="s">
        <v>35</v>
      </c>
      <c r="J11" t="s">
        <v>90</v>
      </c>
      <c r="K11" t="s">
        <v>225</v>
      </c>
      <c r="L11" s="9" t="s">
        <v>226</v>
      </c>
      <c r="M11">
        <v>4</v>
      </c>
      <c r="N11">
        <v>4</v>
      </c>
      <c r="O11">
        <v>3</v>
      </c>
      <c r="P11">
        <v>1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</row>
    <row r="12" spans="1:23" x14ac:dyDescent="0.25">
      <c r="A12" t="s">
        <v>34</v>
      </c>
      <c r="B12" t="s">
        <v>41</v>
      </c>
      <c r="C12" t="s">
        <v>42</v>
      </c>
      <c r="D12">
        <v>325104</v>
      </c>
      <c r="E12" t="s">
        <v>233</v>
      </c>
      <c r="F12" t="s">
        <v>234</v>
      </c>
      <c r="G12" t="s">
        <v>45</v>
      </c>
      <c r="H12" t="s">
        <v>46</v>
      </c>
      <c r="I12" t="s">
        <v>35</v>
      </c>
      <c r="J12" t="s">
        <v>47</v>
      </c>
      <c r="K12" t="s">
        <v>223</v>
      </c>
      <c r="L12" s="9" t="s">
        <v>224</v>
      </c>
      <c r="M12">
        <v>3</v>
      </c>
      <c r="N12">
        <v>8</v>
      </c>
      <c r="O12">
        <v>4</v>
      </c>
      <c r="P12">
        <v>10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</row>
    <row r="13" spans="1:23" x14ac:dyDescent="0.25">
      <c r="A13" t="s">
        <v>34</v>
      </c>
      <c r="B13" t="s">
        <v>41</v>
      </c>
      <c r="C13" t="s">
        <v>42</v>
      </c>
      <c r="D13">
        <v>500454</v>
      </c>
      <c r="E13" t="s">
        <v>71</v>
      </c>
      <c r="F13" t="s">
        <v>72</v>
      </c>
      <c r="G13" t="s">
        <v>45</v>
      </c>
      <c r="H13" t="s">
        <v>46</v>
      </c>
      <c r="I13" t="s">
        <v>35</v>
      </c>
      <c r="J13" t="s">
        <v>55</v>
      </c>
      <c r="K13" t="s">
        <v>73</v>
      </c>
      <c r="L13" s="9" t="s">
        <v>74</v>
      </c>
      <c r="M13">
        <v>1</v>
      </c>
      <c r="N13">
        <v>1</v>
      </c>
      <c r="O13">
        <v>1</v>
      </c>
      <c r="P13">
        <v>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3" x14ac:dyDescent="0.25">
      <c r="A14" t="s">
        <v>34</v>
      </c>
      <c r="B14" t="s">
        <v>41</v>
      </c>
      <c r="C14" t="s">
        <v>42</v>
      </c>
      <c r="D14">
        <v>501424</v>
      </c>
      <c r="E14" t="s">
        <v>75</v>
      </c>
      <c r="F14" t="s">
        <v>76</v>
      </c>
      <c r="G14" t="s">
        <v>45</v>
      </c>
      <c r="H14" t="s">
        <v>46</v>
      </c>
      <c r="I14" t="s">
        <v>35</v>
      </c>
      <c r="J14" t="s">
        <v>77</v>
      </c>
      <c r="K14" t="s">
        <v>39</v>
      </c>
      <c r="L14" s="9" t="s">
        <v>40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3" x14ac:dyDescent="0.25">
      <c r="A15" t="s">
        <v>34</v>
      </c>
      <c r="B15" t="s">
        <v>41</v>
      </c>
      <c r="C15" t="s">
        <v>78</v>
      </c>
      <c r="D15">
        <v>304303</v>
      </c>
      <c r="E15" t="s">
        <v>235</v>
      </c>
      <c r="F15" t="s">
        <v>236</v>
      </c>
      <c r="G15" t="s">
        <v>45</v>
      </c>
      <c r="H15" t="s">
        <v>46</v>
      </c>
      <c r="I15" t="s">
        <v>35</v>
      </c>
      <c r="J15" t="s">
        <v>84</v>
      </c>
      <c r="K15" t="s">
        <v>223</v>
      </c>
      <c r="L15" s="9" t="s">
        <v>224</v>
      </c>
      <c r="M15">
        <v>2</v>
      </c>
      <c r="N15">
        <v>12</v>
      </c>
      <c r="O15">
        <v>1</v>
      </c>
      <c r="P15">
        <v>5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3" x14ac:dyDescent="0.25">
      <c r="A16" t="s">
        <v>34</v>
      </c>
      <c r="B16" t="s">
        <v>41</v>
      </c>
      <c r="C16" t="s">
        <v>78</v>
      </c>
      <c r="D16">
        <v>304305</v>
      </c>
      <c r="E16" t="s">
        <v>237</v>
      </c>
      <c r="F16" t="s">
        <v>238</v>
      </c>
      <c r="G16" t="s">
        <v>45</v>
      </c>
      <c r="H16" t="s">
        <v>46</v>
      </c>
      <c r="I16" t="s">
        <v>35</v>
      </c>
      <c r="J16" t="s">
        <v>95</v>
      </c>
      <c r="K16" t="s">
        <v>223</v>
      </c>
      <c r="L16" s="9" t="s">
        <v>224</v>
      </c>
      <c r="M16">
        <v>5</v>
      </c>
      <c r="N16">
        <v>11</v>
      </c>
      <c r="O16">
        <v>1</v>
      </c>
      <c r="P16">
        <v>1</v>
      </c>
      <c r="Q16">
        <v>1</v>
      </c>
      <c r="R16">
        <v>2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34</v>
      </c>
      <c r="B17" t="s">
        <v>41</v>
      </c>
      <c r="C17" t="s">
        <v>78</v>
      </c>
      <c r="D17">
        <v>304314</v>
      </c>
      <c r="E17" t="s">
        <v>239</v>
      </c>
      <c r="F17" t="s">
        <v>115</v>
      </c>
      <c r="G17" t="s">
        <v>45</v>
      </c>
      <c r="H17" t="s">
        <v>46</v>
      </c>
      <c r="I17" t="s">
        <v>35</v>
      </c>
      <c r="J17" t="s">
        <v>116</v>
      </c>
      <c r="K17" t="s">
        <v>223</v>
      </c>
      <c r="L17" s="9" t="s">
        <v>224</v>
      </c>
      <c r="M17">
        <v>0</v>
      </c>
      <c r="N17">
        <v>5</v>
      </c>
      <c r="O17">
        <v>1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34</v>
      </c>
      <c r="B18" t="s">
        <v>41</v>
      </c>
      <c r="C18" t="s">
        <v>78</v>
      </c>
      <c r="D18">
        <v>304327</v>
      </c>
      <c r="E18" t="s">
        <v>240</v>
      </c>
      <c r="F18" t="s">
        <v>241</v>
      </c>
      <c r="G18" t="s">
        <v>45</v>
      </c>
      <c r="H18" t="s">
        <v>46</v>
      </c>
      <c r="I18" t="s">
        <v>35</v>
      </c>
      <c r="J18" t="s">
        <v>113</v>
      </c>
      <c r="K18" t="s">
        <v>223</v>
      </c>
      <c r="L18" s="9" t="s">
        <v>224</v>
      </c>
      <c r="M18">
        <v>4</v>
      </c>
      <c r="N18">
        <v>7</v>
      </c>
      <c r="O18">
        <v>15</v>
      </c>
      <c r="P18">
        <v>16</v>
      </c>
      <c r="Q18">
        <v>1</v>
      </c>
      <c r="R18">
        <v>2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34</v>
      </c>
      <c r="B19" t="s">
        <v>41</v>
      </c>
      <c r="C19" t="s">
        <v>78</v>
      </c>
      <c r="D19">
        <v>304328</v>
      </c>
      <c r="E19" t="s">
        <v>242</v>
      </c>
      <c r="F19" t="s">
        <v>243</v>
      </c>
      <c r="G19" t="s">
        <v>45</v>
      </c>
      <c r="H19" t="s">
        <v>46</v>
      </c>
      <c r="I19" t="s">
        <v>35</v>
      </c>
      <c r="J19" t="s">
        <v>90</v>
      </c>
      <c r="K19" t="s">
        <v>223</v>
      </c>
      <c r="L19" s="9" t="s">
        <v>224</v>
      </c>
      <c r="M19">
        <v>2</v>
      </c>
      <c r="N19">
        <v>5</v>
      </c>
      <c r="O19">
        <v>4</v>
      </c>
      <c r="P19">
        <v>6</v>
      </c>
      <c r="Q19">
        <v>1</v>
      </c>
      <c r="R19">
        <v>4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34</v>
      </c>
      <c r="B20" t="s">
        <v>41</v>
      </c>
      <c r="C20" t="s">
        <v>78</v>
      </c>
      <c r="D20">
        <v>304338</v>
      </c>
      <c r="E20" t="s">
        <v>244</v>
      </c>
      <c r="F20" t="s">
        <v>245</v>
      </c>
      <c r="G20" t="s">
        <v>45</v>
      </c>
      <c r="H20" t="s">
        <v>46</v>
      </c>
      <c r="I20" t="s">
        <v>35</v>
      </c>
      <c r="J20" t="s">
        <v>130</v>
      </c>
      <c r="K20" t="s">
        <v>223</v>
      </c>
      <c r="L20" s="9" t="s">
        <v>224</v>
      </c>
      <c r="M20">
        <v>4</v>
      </c>
      <c r="N20">
        <v>4</v>
      </c>
      <c r="O20">
        <v>0</v>
      </c>
      <c r="P20">
        <v>3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34</v>
      </c>
      <c r="B21" t="s">
        <v>41</v>
      </c>
      <c r="C21" t="s">
        <v>78</v>
      </c>
      <c r="D21">
        <v>316104</v>
      </c>
      <c r="E21" t="s">
        <v>246</v>
      </c>
      <c r="F21" t="s">
        <v>211</v>
      </c>
      <c r="G21" t="s">
        <v>45</v>
      </c>
      <c r="H21" t="s">
        <v>46</v>
      </c>
      <c r="I21" t="s">
        <v>35</v>
      </c>
      <c r="J21" t="s">
        <v>101</v>
      </c>
      <c r="K21" t="s">
        <v>223</v>
      </c>
      <c r="L21" s="9" t="s">
        <v>224</v>
      </c>
      <c r="M21">
        <v>2</v>
      </c>
      <c r="N21">
        <v>6</v>
      </c>
      <c r="O21">
        <v>2</v>
      </c>
      <c r="P21">
        <v>6</v>
      </c>
      <c r="Q21">
        <v>1</v>
      </c>
      <c r="R21">
        <v>3</v>
      </c>
      <c r="S21">
        <v>1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41</v>
      </c>
      <c r="C22" t="s">
        <v>78</v>
      </c>
      <c r="D22">
        <v>325101</v>
      </c>
      <c r="E22" t="s">
        <v>247</v>
      </c>
      <c r="F22" t="s">
        <v>248</v>
      </c>
      <c r="G22" t="s">
        <v>45</v>
      </c>
      <c r="H22" t="s">
        <v>46</v>
      </c>
      <c r="I22" t="s">
        <v>35</v>
      </c>
      <c r="J22" t="s">
        <v>90</v>
      </c>
      <c r="K22" t="s">
        <v>225</v>
      </c>
      <c r="L22" s="9" t="s">
        <v>226</v>
      </c>
      <c r="M22">
        <v>1</v>
      </c>
      <c r="N22">
        <v>6</v>
      </c>
      <c r="O22">
        <v>1</v>
      </c>
      <c r="P22">
        <v>4</v>
      </c>
      <c r="Q22">
        <v>0</v>
      </c>
      <c r="R22">
        <v>5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34</v>
      </c>
      <c r="B23" t="s">
        <v>41</v>
      </c>
      <c r="C23" t="s">
        <v>78</v>
      </c>
      <c r="D23">
        <v>325102</v>
      </c>
      <c r="E23" t="s">
        <v>249</v>
      </c>
      <c r="F23" t="s">
        <v>250</v>
      </c>
      <c r="G23" t="s">
        <v>45</v>
      </c>
      <c r="H23" t="s">
        <v>46</v>
      </c>
      <c r="I23" t="s">
        <v>35</v>
      </c>
      <c r="J23" t="s">
        <v>87</v>
      </c>
      <c r="K23" t="s">
        <v>223</v>
      </c>
      <c r="L23" s="9" t="s">
        <v>224</v>
      </c>
      <c r="M23">
        <v>0</v>
      </c>
      <c r="N23">
        <v>8</v>
      </c>
      <c r="O23">
        <v>2</v>
      </c>
      <c r="P23">
        <v>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41</v>
      </c>
      <c r="C24" t="s">
        <v>78</v>
      </c>
      <c r="D24">
        <v>325106</v>
      </c>
      <c r="E24" t="s">
        <v>251</v>
      </c>
      <c r="F24" t="s">
        <v>165</v>
      </c>
      <c r="G24" t="s">
        <v>45</v>
      </c>
      <c r="H24" t="s">
        <v>46</v>
      </c>
      <c r="I24" t="s">
        <v>35</v>
      </c>
      <c r="J24" t="s">
        <v>139</v>
      </c>
      <c r="K24" t="s">
        <v>223</v>
      </c>
      <c r="L24" s="9" t="s">
        <v>224</v>
      </c>
      <c r="M24">
        <v>1</v>
      </c>
      <c r="N24">
        <v>8</v>
      </c>
      <c r="O24">
        <v>3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</row>
    <row r="25" spans="1:22" x14ac:dyDescent="0.25">
      <c r="A25" t="s">
        <v>34</v>
      </c>
      <c r="B25" t="s">
        <v>41</v>
      </c>
      <c r="C25" t="s">
        <v>142</v>
      </c>
      <c r="D25">
        <v>304313</v>
      </c>
      <c r="E25" t="s">
        <v>252</v>
      </c>
      <c r="F25" t="s">
        <v>253</v>
      </c>
      <c r="G25" t="s">
        <v>45</v>
      </c>
      <c r="H25" t="s">
        <v>46</v>
      </c>
      <c r="I25" t="s">
        <v>35</v>
      </c>
      <c r="J25" t="s">
        <v>151</v>
      </c>
      <c r="K25" t="s">
        <v>223</v>
      </c>
      <c r="L25" s="9" t="s">
        <v>224</v>
      </c>
      <c r="M25">
        <v>5</v>
      </c>
      <c r="N25">
        <v>10</v>
      </c>
      <c r="O25">
        <v>2</v>
      </c>
      <c r="P25">
        <v>2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41</v>
      </c>
      <c r="C26" t="s">
        <v>142</v>
      </c>
      <c r="D26">
        <v>304318</v>
      </c>
      <c r="E26" t="s">
        <v>254</v>
      </c>
      <c r="F26" t="s">
        <v>255</v>
      </c>
      <c r="G26" t="s">
        <v>45</v>
      </c>
      <c r="H26" t="s">
        <v>46</v>
      </c>
      <c r="I26" t="s">
        <v>35</v>
      </c>
      <c r="J26" t="s">
        <v>159</v>
      </c>
      <c r="K26" t="s">
        <v>223</v>
      </c>
      <c r="L26" s="9" t="s">
        <v>224</v>
      </c>
      <c r="M26">
        <v>4</v>
      </c>
      <c r="N26">
        <v>7</v>
      </c>
      <c r="O26">
        <v>1</v>
      </c>
      <c r="P26">
        <v>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41</v>
      </c>
      <c r="C27" t="s">
        <v>142</v>
      </c>
      <c r="D27">
        <v>325105</v>
      </c>
      <c r="E27" t="s">
        <v>256</v>
      </c>
      <c r="F27" t="s">
        <v>161</v>
      </c>
      <c r="G27" t="s">
        <v>45</v>
      </c>
      <c r="H27" t="s">
        <v>46</v>
      </c>
      <c r="I27" t="s">
        <v>35</v>
      </c>
      <c r="J27" t="s">
        <v>145</v>
      </c>
      <c r="K27" t="s">
        <v>223</v>
      </c>
      <c r="L27" s="9" t="s">
        <v>224</v>
      </c>
      <c r="M27">
        <v>2</v>
      </c>
      <c r="N27">
        <v>3</v>
      </c>
      <c r="O27">
        <v>3</v>
      </c>
      <c r="P27">
        <v>2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41</v>
      </c>
      <c r="C28" t="s">
        <v>142</v>
      </c>
      <c r="D28">
        <v>501085</v>
      </c>
      <c r="E28" t="s">
        <v>173</v>
      </c>
      <c r="F28" t="s">
        <v>174</v>
      </c>
      <c r="G28" t="s">
        <v>45</v>
      </c>
      <c r="H28" t="s">
        <v>46</v>
      </c>
      <c r="I28" t="s">
        <v>35</v>
      </c>
      <c r="J28" t="s">
        <v>175</v>
      </c>
      <c r="K28" t="s">
        <v>39</v>
      </c>
      <c r="L28" s="9" t="s">
        <v>40</v>
      </c>
      <c r="M28">
        <v>3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41</v>
      </c>
      <c r="C29" t="s">
        <v>142</v>
      </c>
      <c r="D29">
        <v>501086</v>
      </c>
      <c r="E29" t="s">
        <v>176</v>
      </c>
      <c r="F29" t="s">
        <v>177</v>
      </c>
      <c r="G29" t="s">
        <v>45</v>
      </c>
      <c r="H29" t="s">
        <v>46</v>
      </c>
      <c r="I29" t="s">
        <v>35</v>
      </c>
      <c r="J29" t="s">
        <v>178</v>
      </c>
      <c r="K29" t="s">
        <v>39</v>
      </c>
      <c r="L29" s="9" t="s">
        <v>40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41</v>
      </c>
      <c r="C30" t="s">
        <v>142</v>
      </c>
      <c r="D30">
        <v>501087</v>
      </c>
      <c r="E30" t="s">
        <v>179</v>
      </c>
      <c r="F30" t="s">
        <v>180</v>
      </c>
      <c r="G30" t="s">
        <v>45</v>
      </c>
      <c r="H30" t="s">
        <v>46</v>
      </c>
      <c r="I30" t="s">
        <v>35</v>
      </c>
      <c r="J30" t="s">
        <v>148</v>
      </c>
      <c r="K30" t="s">
        <v>39</v>
      </c>
      <c r="L30" s="9" t="s">
        <v>40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</sheetData>
  <autoFilter ref="A8:W30" xr:uid="{00000000-0009-0000-0000-000001000000}"/>
  <mergeCells count="6">
    <mergeCell ref="M4:V4"/>
    <mergeCell ref="M5:N5"/>
    <mergeCell ref="O5:P5"/>
    <mergeCell ref="Q5:R5"/>
    <mergeCell ref="S5:T5"/>
    <mergeCell ref="U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3C37-58A3-47A3-94D5-C234B50F21E5}">
  <dimension ref="A1:W49"/>
  <sheetViews>
    <sheetView zoomScale="85" zoomScaleNormal="85" workbookViewId="0">
      <pane xSplit="4" ySplit="8" topLeftCell="E9" activePane="bottomRight" state="frozen"/>
      <selection activeCell="B29" sqref="A9:XFD29"/>
      <selection pane="topRight" activeCell="B29" sqref="A9:XFD29"/>
      <selection pane="bottomLeft" activeCell="B29" sqref="A9:XFD29"/>
      <selection pane="bottomRight" activeCell="B29" sqref="A9:XFD29"/>
    </sheetView>
  </sheetViews>
  <sheetFormatPr defaultRowHeight="15" x14ac:dyDescent="0.25"/>
  <cols>
    <col min="2" max="2" width="27.140625" bestFit="1" customWidth="1"/>
  </cols>
  <sheetData>
    <row r="1" spans="1:23" x14ac:dyDescent="0.25">
      <c r="A1" s="1" t="s">
        <v>304</v>
      </c>
    </row>
    <row r="2" spans="1:23" x14ac:dyDescent="0.25">
      <c r="A2" s="1" t="s">
        <v>1</v>
      </c>
      <c r="L2" s="2"/>
    </row>
    <row r="3" spans="1:23" x14ac:dyDescent="0.25">
      <c r="A3" s="1" t="s">
        <v>2</v>
      </c>
      <c r="L3" s="2"/>
    </row>
    <row r="4" spans="1:23" x14ac:dyDescent="0.25">
      <c r="A4" s="1"/>
      <c r="L4" s="2"/>
      <c r="M4" s="3" t="s">
        <v>3</v>
      </c>
      <c r="N4" s="3"/>
      <c r="O4" s="3"/>
      <c r="P4" s="3"/>
      <c r="Q4" s="3"/>
      <c r="R4" s="3"/>
      <c r="S4" s="3"/>
      <c r="T4" s="3"/>
      <c r="U4" s="3"/>
      <c r="V4" s="3"/>
    </row>
    <row r="5" spans="1:23" x14ac:dyDescent="0.25">
      <c r="A5" s="1"/>
      <c r="L5" s="2"/>
      <c r="M5" s="3" t="s">
        <v>4</v>
      </c>
      <c r="N5" s="3"/>
      <c r="O5" s="3" t="s">
        <v>5</v>
      </c>
      <c r="P5" s="3"/>
      <c r="Q5" s="3" t="s">
        <v>6</v>
      </c>
      <c r="R5" s="3"/>
      <c r="S5" s="3" t="s">
        <v>7</v>
      </c>
      <c r="T5" s="3"/>
      <c r="U5" s="3" t="s">
        <v>8</v>
      </c>
      <c r="V5" s="3"/>
    </row>
    <row r="6" spans="1:23" x14ac:dyDescent="0.25">
      <c r="M6" s="4" t="s">
        <v>9</v>
      </c>
      <c r="N6" s="4" t="s">
        <v>10</v>
      </c>
      <c r="O6" s="4" t="s">
        <v>9</v>
      </c>
      <c r="P6" s="4" t="s">
        <v>10</v>
      </c>
      <c r="Q6" s="4" t="s">
        <v>9</v>
      </c>
      <c r="R6" s="4" t="s">
        <v>10</v>
      </c>
      <c r="S6" s="4" t="s">
        <v>9</v>
      </c>
      <c r="T6" s="4" t="s">
        <v>10</v>
      </c>
      <c r="U6" s="4" t="s">
        <v>9</v>
      </c>
      <c r="V6" s="4" t="s">
        <v>10</v>
      </c>
    </row>
    <row r="7" spans="1:23" x14ac:dyDescent="0.25">
      <c r="M7" s="5">
        <f>SUM(M9:M49)</f>
        <v>98</v>
      </c>
      <c r="N7" s="5">
        <f>SUM(N9:N49)</f>
        <v>112</v>
      </c>
      <c r="O7" s="5">
        <f>SUM(O9:O49)</f>
        <v>39</v>
      </c>
      <c r="P7" s="5">
        <f>SUM(P9:P49)</f>
        <v>62</v>
      </c>
      <c r="Q7" s="5">
        <f>SUM(Q9:Q49)</f>
        <v>21</v>
      </c>
      <c r="R7" s="5">
        <f>SUM(R9:R49)</f>
        <v>39</v>
      </c>
      <c r="S7" s="5">
        <f>SUM(S9:S49)</f>
        <v>7</v>
      </c>
      <c r="T7" s="5">
        <f>SUM(T9:T49)</f>
        <v>7</v>
      </c>
      <c r="U7" s="5">
        <f>SUM(U9:U49)</f>
        <v>2</v>
      </c>
      <c r="V7" s="5">
        <f>SUM(V9:V49)</f>
        <v>0</v>
      </c>
    </row>
    <row r="8" spans="1:23" x14ac:dyDescent="0.25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6" t="s">
        <v>20</v>
      </c>
      <c r="K8" s="6" t="s">
        <v>21</v>
      </c>
      <c r="L8" s="7" t="s">
        <v>22</v>
      </c>
      <c r="M8" s="8" t="s">
        <v>23</v>
      </c>
      <c r="N8" s="8" t="s">
        <v>24</v>
      </c>
      <c r="O8" s="8" t="s">
        <v>305</v>
      </c>
      <c r="P8" s="8" t="s">
        <v>306</v>
      </c>
      <c r="Q8" s="8" t="s">
        <v>27</v>
      </c>
      <c r="R8" s="8" t="s">
        <v>28</v>
      </c>
      <c r="S8" s="8" t="s">
        <v>29</v>
      </c>
      <c r="T8" s="8" t="s">
        <v>30</v>
      </c>
      <c r="U8" s="8" t="s">
        <v>31</v>
      </c>
      <c r="V8" s="8" t="s">
        <v>32</v>
      </c>
      <c r="W8" s="8" t="s">
        <v>33</v>
      </c>
    </row>
    <row r="9" spans="1:23" x14ac:dyDescent="0.25">
      <c r="A9" t="s">
        <v>34</v>
      </c>
      <c r="B9" t="s">
        <v>41</v>
      </c>
      <c r="C9" t="s">
        <v>42</v>
      </c>
      <c r="D9">
        <v>304325</v>
      </c>
      <c r="E9" t="s">
        <v>227</v>
      </c>
      <c r="F9" t="s">
        <v>228</v>
      </c>
      <c r="G9" t="s">
        <v>45</v>
      </c>
      <c r="H9" t="s">
        <v>46</v>
      </c>
      <c r="I9" t="s">
        <v>35</v>
      </c>
      <c r="J9" t="s">
        <v>55</v>
      </c>
      <c r="K9" t="s">
        <v>223</v>
      </c>
      <c r="L9" s="9" t="s">
        <v>224</v>
      </c>
      <c r="M9">
        <v>8</v>
      </c>
      <c r="N9">
        <v>10</v>
      </c>
      <c r="O9">
        <v>6</v>
      </c>
      <c r="P9">
        <v>12</v>
      </c>
      <c r="Q9">
        <v>3</v>
      </c>
      <c r="R9">
        <v>2</v>
      </c>
      <c r="S9">
        <v>1</v>
      </c>
      <c r="T9">
        <v>0</v>
      </c>
      <c r="U9">
        <v>0</v>
      </c>
      <c r="V9">
        <v>0</v>
      </c>
    </row>
    <row r="10" spans="1:23" x14ac:dyDescent="0.25">
      <c r="A10" t="s">
        <v>34</v>
      </c>
      <c r="B10" t="s">
        <v>41</v>
      </c>
      <c r="C10" t="s">
        <v>42</v>
      </c>
      <c r="D10">
        <v>304326</v>
      </c>
      <c r="E10" t="s">
        <v>229</v>
      </c>
      <c r="F10" t="s">
        <v>230</v>
      </c>
      <c r="G10" t="s">
        <v>45</v>
      </c>
      <c r="H10" t="s">
        <v>46</v>
      </c>
      <c r="I10" t="s">
        <v>35</v>
      </c>
      <c r="J10" t="s">
        <v>55</v>
      </c>
      <c r="K10" t="s">
        <v>223</v>
      </c>
      <c r="L10" s="9" t="s">
        <v>224</v>
      </c>
      <c r="M10">
        <v>5</v>
      </c>
      <c r="N10">
        <v>5</v>
      </c>
      <c r="O10">
        <v>3</v>
      </c>
      <c r="P10">
        <v>5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3" x14ac:dyDescent="0.25">
      <c r="A11" t="s">
        <v>34</v>
      </c>
      <c r="B11" t="s">
        <v>41</v>
      </c>
      <c r="C11" t="s">
        <v>42</v>
      </c>
      <c r="D11">
        <v>325104</v>
      </c>
      <c r="E11" t="s">
        <v>233</v>
      </c>
      <c r="F11" t="s">
        <v>234</v>
      </c>
      <c r="G11" t="s">
        <v>45</v>
      </c>
      <c r="H11" t="s">
        <v>46</v>
      </c>
      <c r="I11" t="s">
        <v>35</v>
      </c>
      <c r="J11" t="s">
        <v>47</v>
      </c>
      <c r="K11" t="s">
        <v>223</v>
      </c>
      <c r="L11" s="9" t="s">
        <v>224</v>
      </c>
      <c r="M11">
        <v>0</v>
      </c>
      <c r="N11">
        <v>0</v>
      </c>
      <c r="O11">
        <v>3</v>
      </c>
      <c r="P11">
        <v>0</v>
      </c>
      <c r="Q11">
        <v>1</v>
      </c>
      <c r="R11">
        <v>2</v>
      </c>
      <c r="S11">
        <v>0</v>
      </c>
      <c r="T11">
        <v>0</v>
      </c>
      <c r="U11">
        <v>0</v>
      </c>
      <c r="V11">
        <v>0</v>
      </c>
    </row>
    <row r="12" spans="1:23" x14ac:dyDescent="0.25">
      <c r="A12" t="s">
        <v>34</v>
      </c>
      <c r="B12" t="s">
        <v>41</v>
      </c>
      <c r="C12" t="s">
        <v>42</v>
      </c>
      <c r="D12">
        <v>500454</v>
      </c>
      <c r="E12" t="s">
        <v>71</v>
      </c>
      <c r="F12" t="s">
        <v>72</v>
      </c>
      <c r="G12" t="s">
        <v>45</v>
      </c>
      <c r="H12" t="s">
        <v>46</v>
      </c>
      <c r="I12" t="s">
        <v>35</v>
      </c>
      <c r="J12" t="s">
        <v>55</v>
      </c>
      <c r="K12" t="s">
        <v>73</v>
      </c>
      <c r="L12" s="9" t="s">
        <v>74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3" x14ac:dyDescent="0.25">
      <c r="A13" t="s">
        <v>34</v>
      </c>
      <c r="B13" t="s">
        <v>41</v>
      </c>
      <c r="C13" t="s">
        <v>78</v>
      </c>
      <c r="D13">
        <v>304303</v>
      </c>
      <c r="E13" t="s">
        <v>235</v>
      </c>
      <c r="F13" t="s">
        <v>236</v>
      </c>
      <c r="G13" t="s">
        <v>45</v>
      </c>
      <c r="H13" t="s">
        <v>46</v>
      </c>
      <c r="I13" t="s">
        <v>35</v>
      </c>
      <c r="J13" t="s">
        <v>84</v>
      </c>
      <c r="K13" t="s">
        <v>223</v>
      </c>
      <c r="L13" s="9" t="s">
        <v>224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3" x14ac:dyDescent="0.25">
      <c r="A14" t="s">
        <v>34</v>
      </c>
      <c r="B14" t="s">
        <v>41</v>
      </c>
      <c r="C14" t="s">
        <v>78</v>
      </c>
      <c r="D14">
        <v>304305</v>
      </c>
      <c r="E14" t="s">
        <v>237</v>
      </c>
      <c r="F14" t="s">
        <v>238</v>
      </c>
      <c r="G14" t="s">
        <v>45</v>
      </c>
      <c r="H14" t="s">
        <v>46</v>
      </c>
      <c r="I14" t="s">
        <v>35</v>
      </c>
      <c r="J14" t="s">
        <v>95</v>
      </c>
      <c r="K14" t="s">
        <v>223</v>
      </c>
      <c r="L14" s="9" t="s">
        <v>224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</row>
    <row r="15" spans="1:23" x14ac:dyDescent="0.25">
      <c r="A15" t="s">
        <v>34</v>
      </c>
      <c r="B15" t="s">
        <v>41</v>
      </c>
      <c r="C15" t="s">
        <v>78</v>
      </c>
      <c r="D15">
        <v>304314</v>
      </c>
      <c r="E15" t="s">
        <v>239</v>
      </c>
      <c r="F15" t="s">
        <v>115</v>
      </c>
      <c r="G15" t="s">
        <v>45</v>
      </c>
      <c r="H15" t="s">
        <v>46</v>
      </c>
      <c r="I15" t="s">
        <v>35</v>
      </c>
      <c r="J15" t="s">
        <v>116</v>
      </c>
      <c r="K15" t="s">
        <v>223</v>
      </c>
      <c r="L15" s="9" t="s">
        <v>224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3" x14ac:dyDescent="0.25">
      <c r="A16" t="s">
        <v>34</v>
      </c>
      <c r="B16" t="s">
        <v>41</v>
      </c>
      <c r="C16" t="s">
        <v>78</v>
      </c>
      <c r="D16">
        <v>304327</v>
      </c>
      <c r="E16" t="s">
        <v>240</v>
      </c>
      <c r="F16" t="s">
        <v>241</v>
      </c>
      <c r="G16" t="s">
        <v>45</v>
      </c>
      <c r="H16" t="s">
        <v>46</v>
      </c>
      <c r="I16" t="s">
        <v>35</v>
      </c>
      <c r="J16" t="s">
        <v>113</v>
      </c>
      <c r="K16" t="s">
        <v>223</v>
      </c>
      <c r="L16" s="9" t="s">
        <v>224</v>
      </c>
      <c r="M16">
        <v>1</v>
      </c>
      <c r="N16">
        <v>2</v>
      </c>
      <c r="O16">
        <v>2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</row>
    <row r="17" spans="1:22" x14ac:dyDescent="0.25">
      <c r="A17" t="s">
        <v>34</v>
      </c>
      <c r="B17" t="s">
        <v>41</v>
      </c>
      <c r="C17" t="s">
        <v>78</v>
      </c>
      <c r="D17">
        <v>304328</v>
      </c>
      <c r="E17" t="s">
        <v>242</v>
      </c>
      <c r="F17" t="s">
        <v>243</v>
      </c>
      <c r="G17" t="s">
        <v>45</v>
      </c>
      <c r="H17" t="s">
        <v>46</v>
      </c>
      <c r="I17" t="s">
        <v>35</v>
      </c>
      <c r="J17" t="s">
        <v>90</v>
      </c>
      <c r="K17" t="s">
        <v>223</v>
      </c>
      <c r="L17" s="9" t="s">
        <v>224</v>
      </c>
      <c r="M17">
        <v>3</v>
      </c>
      <c r="N17">
        <v>3</v>
      </c>
      <c r="O17">
        <v>0</v>
      </c>
      <c r="P17">
        <v>0</v>
      </c>
      <c r="Q17">
        <v>3</v>
      </c>
      <c r="R17">
        <v>3</v>
      </c>
      <c r="S17">
        <v>2</v>
      </c>
      <c r="T17">
        <v>2</v>
      </c>
      <c r="U17">
        <v>0</v>
      </c>
      <c r="V17">
        <v>0</v>
      </c>
    </row>
    <row r="18" spans="1:22" x14ac:dyDescent="0.25">
      <c r="A18" t="s">
        <v>34</v>
      </c>
      <c r="B18" t="s">
        <v>41</v>
      </c>
      <c r="C18" t="s">
        <v>78</v>
      </c>
      <c r="D18">
        <v>304338</v>
      </c>
      <c r="E18" t="s">
        <v>244</v>
      </c>
      <c r="F18" t="s">
        <v>245</v>
      </c>
      <c r="G18" t="s">
        <v>45</v>
      </c>
      <c r="H18" t="s">
        <v>46</v>
      </c>
      <c r="I18" t="s">
        <v>35</v>
      </c>
      <c r="J18" t="s">
        <v>130</v>
      </c>
      <c r="K18" t="s">
        <v>223</v>
      </c>
      <c r="L18" s="9" t="s">
        <v>224</v>
      </c>
      <c r="M18">
        <v>1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34</v>
      </c>
      <c r="B19" t="s">
        <v>41</v>
      </c>
      <c r="C19" t="s">
        <v>78</v>
      </c>
      <c r="D19">
        <v>316104</v>
      </c>
      <c r="E19" t="s">
        <v>246</v>
      </c>
      <c r="F19" t="s">
        <v>211</v>
      </c>
      <c r="G19" t="s">
        <v>45</v>
      </c>
      <c r="H19" t="s">
        <v>46</v>
      </c>
      <c r="I19" t="s">
        <v>35</v>
      </c>
      <c r="J19" t="s">
        <v>101</v>
      </c>
      <c r="K19" t="s">
        <v>223</v>
      </c>
      <c r="L19" s="9" t="s">
        <v>224</v>
      </c>
      <c r="M19">
        <v>0</v>
      </c>
      <c r="N19">
        <v>1</v>
      </c>
      <c r="O19">
        <v>2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34</v>
      </c>
      <c r="B20" t="s">
        <v>41</v>
      </c>
      <c r="C20" t="s">
        <v>78</v>
      </c>
      <c r="D20">
        <v>325102</v>
      </c>
      <c r="E20" t="s">
        <v>249</v>
      </c>
      <c r="F20" t="s">
        <v>250</v>
      </c>
      <c r="G20" t="s">
        <v>45</v>
      </c>
      <c r="H20" t="s">
        <v>46</v>
      </c>
      <c r="I20" t="s">
        <v>35</v>
      </c>
      <c r="J20" t="s">
        <v>87</v>
      </c>
      <c r="K20" t="s">
        <v>223</v>
      </c>
      <c r="L20" s="9" t="s">
        <v>224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</row>
    <row r="21" spans="1:22" x14ac:dyDescent="0.25">
      <c r="A21" t="s">
        <v>34</v>
      </c>
      <c r="B21" t="s">
        <v>41</v>
      </c>
      <c r="C21" t="s">
        <v>78</v>
      </c>
      <c r="D21">
        <v>325106</v>
      </c>
      <c r="E21" t="s">
        <v>251</v>
      </c>
      <c r="F21" t="s">
        <v>165</v>
      </c>
      <c r="G21" t="s">
        <v>45</v>
      </c>
      <c r="H21" t="s">
        <v>46</v>
      </c>
      <c r="I21" t="s">
        <v>35</v>
      </c>
      <c r="J21" t="s">
        <v>139</v>
      </c>
      <c r="K21" t="s">
        <v>223</v>
      </c>
      <c r="L21" s="9" t="s">
        <v>224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34</v>
      </c>
      <c r="B22" t="s">
        <v>41</v>
      </c>
      <c r="C22" t="s">
        <v>142</v>
      </c>
      <c r="D22">
        <v>304313</v>
      </c>
      <c r="E22" t="s">
        <v>252</v>
      </c>
      <c r="F22" t="s">
        <v>253</v>
      </c>
      <c r="G22" t="s">
        <v>45</v>
      </c>
      <c r="H22" t="s">
        <v>46</v>
      </c>
      <c r="I22" t="s">
        <v>35</v>
      </c>
      <c r="J22" t="s">
        <v>151</v>
      </c>
      <c r="K22" t="s">
        <v>223</v>
      </c>
      <c r="L22" s="9" t="s">
        <v>224</v>
      </c>
      <c r="M22">
        <v>2</v>
      </c>
      <c r="N22">
        <v>3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34</v>
      </c>
      <c r="B23" t="s">
        <v>41</v>
      </c>
      <c r="C23" t="s">
        <v>142</v>
      </c>
      <c r="D23">
        <v>304318</v>
      </c>
      <c r="E23" t="s">
        <v>254</v>
      </c>
      <c r="F23" t="s">
        <v>255</v>
      </c>
      <c r="G23" t="s">
        <v>45</v>
      </c>
      <c r="H23" t="s">
        <v>46</v>
      </c>
      <c r="I23" t="s">
        <v>35</v>
      </c>
      <c r="J23" t="s">
        <v>159</v>
      </c>
      <c r="K23" t="s">
        <v>223</v>
      </c>
      <c r="L23" s="9" t="s">
        <v>224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34</v>
      </c>
      <c r="B24" t="s">
        <v>41</v>
      </c>
      <c r="C24" t="s">
        <v>142</v>
      </c>
      <c r="D24">
        <v>325105</v>
      </c>
      <c r="E24" t="s">
        <v>256</v>
      </c>
      <c r="F24" t="s">
        <v>161</v>
      </c>
      <c r="G24" t="s">
        <v>45</v>
      </c>
      <c r="H24" t="s">
        <v>46</v>
      </c>
      <c r="I24" t="s">
        <v>35</v>
      </c>
      <c r="J24" t="s">
        <v>145</v>
      </c>
      <c r="K24" t="s">
        <v>223</v>
      </c>
      <c r="L24" s="9" t="s">
        <v>224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181</v>
      </c>
      <c r="C25" t="s">
        <v>182</v>
      </c>
      <c r="D25">
        <v>304272</v>
      </c>
      <c r="E25" t="s">
        <v>257</v>
      </c>
      <c r="F25" t="s">
        <v>258</v>
      </c>
      <c r="G25" t="s">
        <v>183</v>
      </c>
      <c r="H25" t="s">
        <v>184</v>
      </c>
      <c r="I25" t="s">
        <v>185</v>
      </c>
      <c r="J25" t="s">
        <v>186</v>
      </c>
      <c r="K25" t="s">
        <v>223</v>
      </c>
      <c r="L25" s="9" t="s">
        <v>224</v>
      </c>
      <c r="M25">
        <v>2</v>
      </c>
      <c r="N25">
        <v>3</v>
      </c>
      <c r="O25">
        <v>0</v>
      </c>
      <c r="P25">
        <v>0</v>
      </c>
      <c r="Q25">
        <v>1</v>
      </c>
      <c r="R25">
        <v>0</v>
      </c>
      <c r="S25">
        <v>2</v>
      </c>
      <c r="T25">
        <v>1</v>
      </c>
      <c r="U25">
        <v>0</v>
      </c>
      <c r="V25">
        <v>0</v>
      </c>
    </row>
    <row r="26" spans="1:22" x14ac:dyDescent="0.25">
      <c r="A26" t="s">
        <v>34</v>
      </c>
      <c r="B26" t="s">
        <v>181</v>
      </c>
      <c r="C26" t="s">
        <v>182</v>
      </c>
      <c r="D26">
        <v>304291</v>
      </c>
      <c r="E26" t="s">
        <v>259</v>
      </c>
      <c r="F26" t="s">
        <v>260</v>
      </c>
      <c r="G26" t="s">
        <v>183</v>
      </c>
      <c r="H26" t="s">
        <v>184</v>
      </c>
      <c r="I26" t="s">
        <v>185</v>
      </c>
      <c r="J26" t="s">
        <v>189</v>
      </c>
      <c r="K26" t="s">
        <v>223</v>
      </c>
      <c r="L26" s="9" t="s">
        <v>224</v>
      </c>
      <c r="M26">
        <v>1</v>
      </c>
      <c r="N26">
        <v>4</v>
      </c>
      <c r="O26">
        <v>4</v>
      </c>
      <c r="P26">
        <v>3</v>
      </c>
      <c r="Q26">
        <v>0</v>
      </c>
      <c r="R26">
        <v>2</v>
      </c>
      <c r="S26">
        <v>0</v>
      </c>
      <c r="T26">
        <v>0</v>
      </c>
      <c r="U26">
        <v>1</v>
      </c>
      <c r="V26">
        <v>0</v>
      </c>
    </row>
    <row r="27" spans="1:22" x14ac:dyDescent="0.25">
      <c r="A27" t="s">
        <v>34</v>
      </c>
      <c r="B27" t="s">
        <v>181</v>
      </c>
      <c r="C27" t="s">
        <v>182</v>
      </c>
      <c r="D27">
        <v>304292</v>
      </c>
      <c r="E27" t="s">
        <v>261</v>
      </c>
      <c r="F27" t="s">
        <v>262</v>
      </c>
      <c r="G27" t="s">
        <v>183</v>
      </c>
      <c r="H27" t="s">
        <v>184</v>
      </c>
      <c r="I27" t="s">
        <v>185</v>
      </c>
      <c r="J27" t="s">
        <v>191</v>
      </c>
      <c r="K27" t="s">
        <v>223</v>
      </c>
      <c r="L27" s="9" t="s">
        <v>224</v>
      </c>
      <c r="M27">
        <v>5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34</v>
      </c>
      <c r="B28" t="s">
        <v>181</v>
      </c>
      <c r="C28" t="s">
        <v>182</v>
      </c>
      <c r="D28">
        <v>316012</v>
      </c>
      <c r="E28" t="s">
        <v>263</v>
      </c>
      <c r="F28" t="s">
        <v>264</v>
      </c>
      <c r="G28" t="s">
        <v>183</v>
      </c>
      <c r="H28" t="s">
        <v>184</v>
      </c>
      <c r="I28" t="s">
        <v>188</v>
      </c>
      <c r="J28" t="s">
        <v>187</v>
      </c>
      <c r="K28" t="s">
        <v>223</v>
      </c>
      <c r="L28" s="9" t="s">
        <v>224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34</v>
      </c>
      <c r="B29" t="s">
        <v>181</v>
      </c>
      <c r="C29" t="s">
        <v>192</v>
      </c>
      <c r="D29">
        <v>304264</v>
      </c>
      <c r="E29" t="s">
        <v>265</v>
      </c>
      <c r="F29" t="s">
        <v>266</v>
      </c>
      <c r="G29" t="s">
        <v>183</v>
      </c>
      <c r="H29" t="s">
        <v>193</v>
      </c>
      <c r="I29" t="s">
        <v>185</v>
      </c>
      <c r="J29" t="s">
        <v>197</v>
      </c>
      <c r="K29" t="s">
        <v>223</v>
      </c>
      <c r="L29" s="9" t="s">
        <v>224</v>
      </c>
      <c r="M29">
        <v>1</v>
      </c>
      <c r="N29">
        <v>4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34</v>
      </c>
      <c r="B30" t="s">
        <v>181</v>
      </c>
      <c r="C30" t="s">
        <v>192</v>
      </c>
      <c r="D30">
        <v>304273</v>
      </c>
      <c r="E30" t="s">
        <v>267</v>
      </c>
      <c r="F30" t="s">
        <v>268</v>
      </c>
      <c r="G30" t="s">
        <v>183</v>
      </c>
      <c r="H30" t="s">
        <v>193</v>
      </c>
      <c r="I30" t="s">
        <v>185</v>
      </c>
      <c r="J30" t="s">
        <v>198</v>
      </c>
      <c r="K30" t="s">
        <v>223</v>
      </c>
      <c r="L30" s="9" t="s">
        <v>224</v>
      </c>
      <c r="M30">
        <v>1</v>
      </c>
      <c r="N30">
        <v>2</v>
      </c>
      <c r="O30">
        <v>1</v>
      </c>
      <c r="P30">
        <v>1</v>
      </c>
      <c r="Q30">
        <v>1</v>
      </c>
      <c r="R30">
        <v>2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34</v>
      </c>
      <c r="B31" t="s">
        <v>181</v>
      </c>
      <c r="C31" t="s">
        <v>192</v>
      </c>
      <c r="D31">
        <v>304281</v>
      </c>
      <c r="E31" t="s">
        <v>269</v>
      </c>
      <c r="F31" t="s">
        <v>270</v>
      </c>
      <c r="G31" t="s">
        <v>183</v>
      </c>
      <c r="H31" t="s">
        <v>193</v>
      </c>
      <c r="I31" t="s">
        <v>185</v>
      </c>
      <c r="J31" t="s">
        <v>194</v>
      </c>
      <c r="K31" t="s">
        <v>223</v>
      </c>
      <c r="L31" s="9" t="s">
        <v>224</v>
      </c>
      <c r="M31">
        <v>5</v>
      </c>
      <c r="N31">
        <v>4</v>
      </c>
      <c r="O31">
        <v>1</v>
      </c>
      <c r="P31">
        <v>3</v>
      </c>
      <c r="Q31">
        <v>0</v>
      </c>
      <c r="R31">
        <v>2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34</v>
      </c>
      <c r="B32" t="s">
        <v>181</v>
      </c>
      <c r="C32" t="s">
        <v>192</v>
      </c>
      <c r="D32">
        <v>304283</v>
      </c>
      <c r="E32" t="s">
        <v>271</v>
      </c>
      <c r="F32" t="s">
        <v>107</v>
      </c>
      <c r="G32" t="s">
        <v>183</v>
      </c>
      <c r="H32" t="s">
        <v>193</v>
      </c>
      <c r="I32" t="s">
        <v>185</v>
      </c>
      <c r="J32" t="s">
        <v>195</v>
      </c>
      <c r="K32" t="s">
        <v>223</v>
      </c>
      <c r="L32" s="9" t="s">
        <v>224</v>
      </c>
      <c r="M32">
        <v>4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</row>
    <row r="33" spans="1:22" x14ac:dyDescent="0.25">
      <c r="A33" t="s">
        <v>34</v>
      </c>
      <c r="B33" t="s">
        <v>181</v>
      </c>
      <c r="C33" t="s">
        <v>192</v>
      </c>
      <c r="D33">
        <v>316008</v>
      </c>
      <c r="E33" t="s">
        <v>272</v>
      </c>
      <c r="F33" t="s">
        <v>190</v>
      </c>
      <c r="G33" t="s">
        <v>183</v>
      </c>
      <c r="H33" t="s">
        <v>193</v>
      </c>
      <c r="I33" t="s">
        <v>188</v>
      </c>
      <c r="J33" t="s">
        <v>196</v>
      </c>
      <c r="K33" t="s">
        <v>223</v>
      </c>
      <c r="L33" s="9" t="s">
        <v>224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34</v>
      </c>
      <c r="B34" t="s">
        <v>181</v>
      </c>
      <c r="C34" t="s">
        <v>200</v>
      </c>
      <c r="D34">
        <v>302772</v>
      </c>
      <c r="E34" t="s">
        <v>273</v>
      </c>
      <c r="F34" t="s">
        <v>274</v>
      </c>
      <c r="G34" t="s">
        <v>183</v>
      </c>
      <c r="H34" t="s">
        <v>201</v>
      </c>
      <c r="I34" t="s">
        <v>185</v>
      </c>
      <c r="J34" t="s">
        <v>214</v>
      </c>
      <c r="K34" t="s">
        <v>223</v>
      </c>
      <c r="L34" s="9" t="s">
        <v>224</v>
      </c>
      <c r="M34">
        <v>0</v>
      </c>
      <c r="N34">
        <v>3</v>
      </c>
      <c r="O34">
        <v>0</v>
      </c>
      <c r="P34">
        <v>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34</v>
      </c>
      <c r="B35" t="s">
        <v>181</v>
      </c>
      <c r="C35" t="s">
        <v>200</v>
      </c>
      <c r="D35">
        <v>304267</v>
      </c>
      <c r="E35" t="s">
        <v>275</v>
      </c>
      <c r="F35" t="s">
        <v>276</v>
      </c>
      <c r="G35" t="s">
        <v>183</v>
      </c>
      <c r="H35" t="s">
        <v>201</v>
      </c>
      <c r="I35" t="s">
        <v>185</v>
      </c>
      <c r="J35" t="s">
        <v>208</v>
      </c>
      <c r="K35" t="s">
        <v>223</v>
      </c>
      <c r="L35" s="9" t="s">
        <v>224</v>
      </c>
      <c r="M35">
        <v>5</v>
      </c>
      <c r="N35">
        <v>6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34</v>
      </c>
      <c r="B36" t="s">
        <v>181</v>
      </c>
      <c r="C36" t="s">
        <v>200</v>
      </c>
      <c r="D36">
        <v>304268</v>
      </c>
      <c r="E36" t="s">
        <v>277</v>
      </c>
      <c r="F36" t="s">
        <v>278</v>
      </c>
      <c r="G36" t="s">
        <v>183</v>
      </c>
      <c r="H36" t="s">
        <v>201</v>
      </c>
      <c r="I36" t="s">
        <v>185</v>
      </c>
      <c r="J36" t="s">
        <v>207</v>
      </c>
      <c r="K36" t="s">
        <v>223</v>
      </c>
      <c r="L36" s="9" t="s">
        <v>224</v>
      </c>
      <c r="M36">
        <v>3</v>
      </c>
      <c r="N36">
        <v>5</v>
      </c>
      <c r="O36">
        <v>0</v>
      </c>
      <c r="P36">
        <v>1</v>
      </c>
      <c r="Q36">
        <v>1</v>
      </c>
      <c r="R36">
        <v>2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34</v>
      </c>
      <c r="B37" t="s">
        <v>181</v>
      </c>
      <c r="C37" t="s">
        <v>200</v>
      </c>
      <c r="D37">
        <v>304269</v>
      </c>
      <c r="E37" t="s">
        <v>279</v>
      </c>
      <c r="F37" t="s">
        <v>280</v>
      </c>
      <c r="G37" t="s">
        <v>183</v>
      </c>
      <c r="H37" t="s">
        <v>201</v>
      </c>
      <c r="I37" t="s">
        <v>185</v>
      </c>
      <c r="J37" t="s">
        <v>210</v>
      </c>
      <c r="K37" t="s">
        <v>223</v>
      </c>
      <c r="L37" s="9" t="s">
        <v>224</v>
      </c>
      <c r="M37">
        <v>3</v>
      </c>
      <c r="N37">
        <v>5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34</v>
      </c>
      <c r="B38" t="s">
        <v>181</v>
      </c>
      <c r="C38" t="s">
        <v>200</v>
      </c>
      <c r="D38">
        <v>304271</v>
      </c>
      <c r="E38" t="s">
        <v>281</v>
      </c>
      <c r="F38" t="s">
        <v>282</v>
      </c>
      <c r="G38" t="s">
        <v>183</v>
      </c>
      <c r="H38" t="s">
        <v>201</v>
      </c>
      <c r="I38" t="s">
        <v>185</v>
      </c>
      <c r="J38" t="s">
        <v>213</v>
      </c>
      <c r="K38" t="s">
        <v>223</v>
      </c>
      <c r="L38" s="9" t="s">
        <v>224</v>
      </c>
      <c r="M38">
        <v>5</v>
      </c>
      <c r="N38">
        <v>1</v>
      </c>
      <c r="O38">
        <v>2</v>
      </c>
      <c r="P38">
        <v>2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34</v>
      </c>
      <c r="B39" t="s">
        <v>181</v>
      </c>
      <c r="C39" t="s">
        <v>200</v>
      </c>
      <c r="D39">
        <v>304287</v>
      </c>
      <c r="E39" t="s">
        <v>283</v>
      </c>
      <c r="F39" t="s">
        <v>284</v>
      </c>
      <c r="G39" t="s">
        <v>183</v>
      </c>
      <c r="H39" t="s">
        <v>201</v>
      </c>
      <c r="I39" t="s">
        <v>185</v>
      </c>
      <c r="J39" t="s">
        <v>209</v>
      </c>
      <c r="K39" t="s">
        <v>223</v>
      </c>
      <c r="L39" s="9" t="s">
        <v>224</v>
      </c>
      <c r="M39">
        <v>11</v>
      </c>
      <c r="N39">
        <v>14</v>
      </c>
      <c r="O39">
        <v>6</v>
      </c>
      <c r="P39">
        <v>16</v>
      </c>
      <c r="Q39">
        <v>3</v>
      </c>
      <c r="R39">
        <v>8</v>
      </c>
      <c r="S39">
        <v>0</v>
      </c>
      <c r="T39">
        <v>1</v>
      </c>
      <c r="U39">
        <v>0</v>
      </c>
      <c r="V39">
        <v>0</v>
      </c>
    </row>
    <row r="40" spans="1:22" x14ac:dyDescent="0.25">
      <c r="A40" t="s">
        <v>34</v>
      </c>
      <c r="B40" t="s">
        <v>181</v>
      </c>
      <c r="C40" t="s">
        <v>200</v>
      </c>
      <c r="D40">
        <v>304293</v>
      </c>
      <c r="E40" t="s">
        <v>285</v>
      </c>
      <c r="F40" t="s">
        <v>286</v>
      </c>
      <c r="G40" t="s">
        <v>183</v>
      </c>
      <c r="H40" t="s">
        <v>201</v>
      </c>
      <c r="I40" t="s">
        <v>185</v>
      </c>
      <c r="J40" t="s">
        <v>212</v>
      </c>
      <c r="K40" t="s">
        <v>223</v>
      </c>
      <c r="L40" s="9" t="s">
        <v>224</v>
      </c>
      <c r="M40">
        <v>2</v>
      </c>
      <c r="N40">
        <v>3</v>
      </c>
      <c r="O40">
        <v>0</v>
      </c>
      <c r="P40">
        <v>2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34</v>
      </c>
      <c r="B41" t="s">
        <v>181</v>
      </c>
      <c r="C41" t="s">
        <v>200</v>
      </c>
      <c r="D41">
        <v>316007</v>
      </c>
      <c r="E41" t="s">
        <v>287</v>
      </c>
      <c r="F41" t="s">
        <v>288</v>
      </c>
      <c r="G41" t="s">
        <v>183</v>
      </c>
      <c r="H41" t="s">
        <v>201</v>
      </c>
      <c r="I41" t="s">
        <v>185</v>
      </c>
      <c r="J41" t="s">
        <v>204</v>
      </c>
      <c r="K41" t="s">
        <v>223</v>
      </c>
      <c r="L41" s="9" t="s">
        <v>224</v>
      </c>
      <c r="M41">
        <v>4</v>
      </c>
      <c r="N41">
        <v>3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34</v>
      </c>
      <c r="B42" t="s">
        <v>181</v>
      </c>
      <c r="C42" t="s">
        <v>202</v>
      </c>
      <c r="D42">
        <v>305677</v>
      </c>
      <c r="E42" t="s">
        <v>289</v>
      </c>
      <c r="F42" t="s">
        <v>290</v>
      </c>
      <c r="G42" t="s">
        <v>183</v>
      </c>
      <c r="H42" t="s">
        <v>201</v>
      </c>
      <c r="I42" t="s">
        <v>188</v>
      </c>
      <c r="J42" t="s">
        <v>203</v>
      </c>
      <c r="K42" t="s">
        <v>223</v>
      </c>
      <c r="L42" s="9" t="s">
        <v>224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34</v>
      </c>
      <c r="B43" t="s">
        <v>181</v>
      </c>
      <c r="C43" t="s">
        <v>205</v>
      </c>
      <c r="D43">
        <v>305673</v>
      </c>
      <c r="E43" t="s">
        <v>291</v>
      </c>
      <c r="F43" t="s">
        <v>292</v>
      </c>
      <c r="G43" t="s">
        <v>183</v>
      </c>
      <c r="H43" t="s">
        <v>201</v>
      </c>
      <c r="I43" t="s">
        <v>188</v>
      </c>
      <c r="J43" t="s">
        <v>206</v>
      </c>
      <c r="K43" t="s">
        <v>223</v>
      </c>
      <c r="L43" s="9" t="s">
        <v>224</v>
      </c>
      <c r="M43">
        <v>1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34</v>
      </c>
      <c r="B44" t="s">
        <v>181</v>
      </c>
      <c r="C44" t="s">
        <v>215</v>
      </c>
      <c r="D44">
        <v>304262</v>
      </c>
      <c r="E44" t="s">
        <v>293</v>
      </c>
      <c r="F44" t="s">
        <v>294</v>
      </c>
      <c r="G44" t="s">
        <v>183</v>
      </c>
      <c r="H44" t="s">
        <v>216</v>
      </c>
      <c r="I44" t="s">
        <v>185</v>
      </c>
      <c r="J44" t="s">
        <v>217</v>
      </c>
      <c r="K44" t="s">
        <v>223</v>
      </c>
      <c r="L44" s="9" t="s">
        <v>224</v>
      </c>
      <c r="M44">
        <v>6</v>
      </c>
      <c r="N44">
        <v>1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</row>
    <row r="45" spans="1:22" x14ac:dyDescent="0.25">
      <c r="A45" t="s">
        <v>34</v>
      </c>
      <c r="B45" t="s">
        <v>181</v>
      </c>
      <c r="C45" t="s">
        <v>215</v>
      </c>
      <c r="D45">
        <v>304282</v>
      </c>
      <c r="E45" t="s">
        <v>295</v>
      </c>
      <c r="F45" t="s">
        <v>296</v>
      </c>
      <c r="G45" t="s">
        <v>183</v>
      </c>
      <c r="H45" t="s">
        <v>216</v>
      </c>
      <c r="I45" t="s">
        <v>185</v>
      </c>
      <c r="J45" t="s">
        <v>218</v>
      </c>
      <c r="K45" t="s">
        <v>223</v>
      </c>
      <c r="L45" s="9" t="s">
        <v>224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34</v>
      </c>
      <c r="B46" t="s">
        <v>181</v>
      </c>
      <c r="C46" t="s">
        <v>219</v>
      </c>
      <c r="D46">
        <v>304266</v>
      </c>
      <c r="E46" t="s">
        <v>297</v>
      </c>
      <c r="F46" t="s">
        <v>298</v>
      </c>
      <c r="G46" t="s">
        <v>183</v>
      </c>
      <c r="H46" t="s">
        <v>220</v>
      </c>
      <c r="I46" t="s">
        <v>185</v>
      </c>
      <c r="J46" t="s">
        <v>221</v>
      </c>
      <c r="K46" t="s">
        <v>223</v>
      </c>
      <c r="L46" s="9" t="s">
        <v>224</v>
      </c>
      <c r="M46">
        <v>2</v>
      </c>
      <c r="N46">
        <v>4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</row>
    <row r="47" spans="1:22" x14ac:dyDescent="0.25">
      <c r="A47" t="s">
        <v>34</v>
      </c>
      <c r="B47" t="s">
        <v>181</v>
      </c>
      <c r="C47" t="s">
        <v>219</v>
      </c>
      <c r="D47">
        <v>304276</v>
      </c>
      <c r="E47" t="s">
        <v>299</v>
      </c>
      <c r="F47" t="s">
        <v>107</v>
      </c>
      <c r="G47" t="s">
        <v>183</v>
      </c>
      <c r="H47" t="s">
        <v>220</v>
      </c>
      <c r="I47" t="s">
        <v>185</v>
      </c>
      <c r="J47" t="s">
        <v>209</v>
      </c>
      <c r="K47" t="s">
        <v>223</v>
      </c>
      <c r="L47" s="9" t="s">
        <v>224</v>
      </c>
      <c r="M47">
        <v>5</v>
      </c>
      <c r="N47">
        <v>9</v>
      </c>
      <c r="O47">
        <v>1</v>
      </c>
      <c r="P47">
        <v>4</v>
      </c>
      <c r="Q47">
        <v>1</v>
      </c>
      <c r="R47">
        <v>2</v>
      </c>
      <c r="S47">
        <v>0</v>
      </c>
      <c r="T47">
        <v>0</v>
      </c>
      <c r="U47">
        <v>1</v>
      </c>
      <c r="V47">
        <v>0</v>
      </c>
    </row>
    <row r="48" spans="1:22" x14ac:dyDescent="0.25">
      <c r="A48" t="s">
        <v>34</v>
      </c>
      <c r="B48" t="s">
        <v>181</v>
      </c>
      <c r="C48" t="s">
        <v>219</v>
      </c>
      <c r="D48">
        <v>304296</v>
      </c>
      <c r="E48" t="s">
        <v>300</v>
      </c>
      <c r="F48" t="s">
        <v>301</v>
      </c>
      <c r="G48" t="s">
        <v>183</v>
      </c>
      <c r="H48" t="s">
        <v>220</v>
      </c>
      <c r="I48" t="s">
        <v>185</v>
      </c>
      <c r="J48" t="s">
        <v>38</v>
      </c>
      <c r="K48" t="s">
        <v>223</v>
      </c>
      <c r="L48" s="9" t="s">
        <v>224</v>
      </c>
      <c r="M48">
        <v>3</v>
      </c>
      <c r="N48">
        <v>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34</v>
      </c>
      <c r="B49" t="s">
        <v>181</v>
      </c>
      <c r="C49" t="s">
        <v>219</v>
      </c>
      <c r="D49">
        <v>316018</v>
      </c>
      <c r="E49" t="s">
        <v>302</v>
      </c>
      <c r="F49" t="s">
        <v>303</v>
      </c>
      <c r="G49" t="s">
        <v>183</v>
      </c>
      <c r="H49" t="s">
        <v>220</v>
      </c>
      <c r="I49" t="s">
        <v>188</v>
      </c>
      <c r="J49" t="s">
        <v>199</v>
      </c>
      <c r="K49" t="s">
        <v>223</v>
      </c>
      <c r="L49" s="9" t="s">
        <v>224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</sheetData>
  <autoFilter ref="A8:W8" xr:uid="{00000000-0009-0000-0000-000002000000}"/>
  <mergeCells count="6">
    <mergeCell ref="M4:V4"/>
    <mergeCell ref="M5:N5"/>
    <mergeCell ref="O5:P5"/>
    <mergeCell ref="Q5:R5"/>
    <mergeCell ref="S5:T5"/>
    <mergeCell ref="U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2023-07-31T06:43:28Z</dcterms:created>
  <dcterms:modified xsi:type="dcterms:W3CDTF">2023-07-31T06:44:30Z</dcterms:modified>
</cp:coreProperties>
</file>