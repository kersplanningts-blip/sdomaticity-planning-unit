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EBBCD10B-3916-4015-8DA3-5AF7DC05F79B}" xr6:coauthVersionLast="47" xr6:coauthVersionMax="47" xr10:uidLastSave="{00000000-0000-0000-0000-000000000000}"/>
  <bookViews>
    <workbookView xWindow="-120" yWindow="-120" windowWidth="29040" windowHeight="15720" activeTab="1" xr2:uid="{2ED5C7CB-B0AB-440B-8BAD-ECD6B03178CD}"/>
  </bookViews>
  <sheets>
    <sheet name="JHS" sheetId="1" r:id="rId1"/>
    <sheet name="SHS" sheetId="2" r:id="rId2"/>
  </sheets>
  <definedNames>
    <definedName name="_xlnm._FilterDatabase" localSheetId="0" hidden="1">JHS!$A$8:$BG$30</definedName>
    <definedName name="_xlnm._FilterDatabase" localSheetId="1" hidden="1">SHS!$A$8:$CY$24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7" i="2" l="1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BH30" i="1"/>
  <c r="BB30" i="1"/>
  <c r="AV30" i="1"/>
  <c r="AP30" i="1"/>
  <c r="AJ30" i="1"/>
  <c r="AD30" i="1"/>
  <c r="X30" i="1"/>
  <c r="R30" i="1"/>
  <c r="BH29" i="1"/>
  <c r="BB29" i="1"/>
  <c r="BB7" i="1" s="1"/>
  <c r="AV29" i="1"/>
  <c r="AP29" i="1"/>
  <c r="AJ29" i="1"/>
  <c r="AD29" i="1"/>
  <c r="X29" i="1"/>
  <c r="R29" i="1"/>
  <c r="BH28" i="1"/>
  <c r="BB28" i="1"/>
  <c r="AV28" i="1"/>
  <c r="AP28" i="1"/>
  <c r="AJ28" i="1"/>
  <c r="AD28" i="1"/>
  <c r="X28" i="1"/>
  <c r="R28" i="1"/>
  <c r="BH27" i="1"/>
  <c r="BB27" i="1"/>
  <c r="AV27" i="1"/>
  <c r="AP27" i="1"/>
  <c r="AJ27" i="1"/>
  <c r="AD27" i="1"/>
  <c r="X27" i="1"/>
  <c r="R27" i="1"/>
  <c r="BH26" i="1"/>
  <c r="BB26" i="1"/>
  <c r="AV26" i="1"/>
  <c r="AP26" i="1"/>
  <c r="AJ26" i="1"/>
  <c r="AD26" i="1"/>
  <c r="X26" i="1"/>
  <c r="R26" i="1"/>
  <c r="BH25" i="1"/>
  <c r="BB25" i="1"/>
  <c r="AV25" i="1"/>
  <c r="AP25" i="1"/>
  <c r="AJ25" i="1"/>
  <c r="AD25" i="1"/>
  <c r="X25" i="1"/>
  <c r="R25" i="1"/>
  <c r="BH24" i="1"/>
  <c r="BB24" i="1"/>
  <c r="AV24" i="1"/>
  <c r="AP24" i="1"/>
  <c r="AJ24" i="1"/>
  <c r="AD24" i="1"/>
  <c r="X24" i="1"/>
  <c r="R24" i="1"/>
  <c r="BH23" i="1"/>
  <c r="BB23" i="1"/>
  <c r="AV23" i="1"/>
  <c r="AP23" i="1"/>
  <c r="AJ23" i="1"/>
  <c r="AD23" i="1"/>
  <c r="X23" i="1"/>
  <c r="R23" i="1"/>
  <c r="BH22" i="1"/>
  <c r="BB22" i="1"/>
  <c r="AV22" i="1"/>
  <c r="AP22" i="1"/>
  <c r="AJ22" i="1"/>
  <c r="AD22" i="1"/>
  <c r="X22" i="1"/>
  <c r="R22" i="1"/>
  <c r="BH21" i="1"/>
  <c r="BB21" i="1"/>
  <c r="AV21" i="1"/>
  <c r="AP21" i="1"/>
  <c r="AJ21" i="1"/>
  <c r="AD21" i="1"/>
  <c r="X21" i="1"/>
  <c r="R21" i="1"/>
  <c r="BH20" i="1"/>
  <c r="BB20" i="1"/>
  <c r="AV20" i="1"/>
  <c r="AP20" i="1"/>
  <c r="AJ20" i="1"/>
  <c r="AD20" i="1"/>
  <c r="X20" i="1"/>
  <c r="R20" i="1"/>
  <c r="BH19" i="1"/>
  <c r="BB19" i="1"/>
  <c r="AV19" i="1"/>
  <c r="AP19" i="1"/>
  <c r="AJ19" i="1"/>
  <c r="AD19" i="1"/>
  <c r="X19" i="1"/>
  <c r="R19" i="1"/>
  <c r="BH18" i="1"/>
  <c r="BB18" i="1"/>
  <c r="AV18" i="1"/>
  <c r="AP18" i="1"/>
  <c r="AJ18" i="1"/>
  <c r="AD18" i="1"/>
  <c r="X18" i="1"/>
  <c r="R18" i="1"/>
  <c r="BH17" i="1"/>
  <c r="BB17" i="1"/>
  <c r="AV17" i="1"/>
  <c r="AP17" i="1"/>
  <c r="AJ17" i="1"/>
  <c r="AD17" i="1"/>
  <c r="X17" i="1"/>
  <c r="R17" i="1"/>
  <c r="BH16" i="1"/>
  <c r="BB16" i="1"/>
  <c r="AV16" i="1"/>
  <c r="AP16" i="1"/>
  <c r="AJ16" i="1"/>
  <c r="AD16" i="1"/>
  <c r="X16" i="1"/>
  <c r="R16" i="1"/>
  <c r="BH15" i="1"/>
  <c r="BB15" i="1"/>
  <c r="AV15" i="1"/>
  <c r="AP15" i="1"/>
  <c r="AJ15" i="1"/>
  <c r="AD15" i="1"/>
  <c r="X15" i="1"/>
  <c r="R15" i="1"/>
  <c r="BH14" i="1"/>
  <c r="BB14" i="1"/>
  <c r="AV14" i="1"/>
  <c r="AP14" i="1"/>
  <c r="AJ14" i="1"/>
  <c r="AD14" i="1"/>
  <c r="X14" i="1"/>
  <c r="R14" i="1"/>
  <c r="BH13" i="1"/>
  <c r="BB13" i="1"/>
  <c r="AV13" i="1"/>
  <c r="AP13" i="1"/>
  <c r="AJ13" i="1"/>
  <c r="AD13" i="1"/>
  <c r="X13" i="1"/>
  <c r="R13" i="1"/>
  <c r="BH12" i="1"/>
  <c r="BB12" i="1"/>
  <c r="AV12" i="1"/>
  <c r="AP12" i="1"/>
  <c r="AJ12" i="1"/>
  <c r="AD12" i="1"/>
  <c r="X12" i="1"/>
  <c r="R12" i="1"/>
  <c r="BH11" i="1"/>
  <c r="BB11" i="1"/>
  <c r="AV11" i="1"/>
  <c r="AP11" i="1"/>
  <c r="AJ11" i="1"/>
  <c r="AD11" i="1"/>
  <c r="X11" i="1"/>
  <c r="R11" i="1"/>
  <c r="BH10" i="1"/>
  <c r="BB10" i="1"/>
  <c r="AV10" i="1"/>
  <c r="AP10" i="1"/>
  <c r="AJ10" i="1"/>
  <c r="AD10" i="1"/>
  <c r="AD7" i="1" s="1"/>
  <c r="X10" i="1"/>
  <c r="R10" i="1"/>
  <c r="BH9" i="1"/>
  <c r="BB9" i="1"/>
  <c r="AV9" i="1"/>
  <c r="AP9" i="1"/>
  <c r="AJ9" i="1"/>
  <c r="AD9" i="1"/>
  <c r="X9" i="1"/>
  <c r="X7" i="1" s="1"/>
  <c r="R9" i="1"/>
  <c r="R7" i="1"/>
  <c r="BG7" i="1"/>
  <c r="BF7" i="1"/>
  <c r="BE7" i="1"/>
  <c r="BD7" i="1"/>
  <c r="BC7" i="1"/>
  <c r="BA7" i="1"/>
  <c r="AZ7" i="1"/>
  <c r="AY7" i="1"/>
  <c r="AX7" i="1"/>
  <c r="AW7" i="1"/>
  <c r="AU7" i="1"/>
  <c r="AT7" i="1"/>
  <c r="AS7" i="1"/>
  <c r="AR7" i="1"/>
  <c r="AQ7" i="1"/>
  <c r="AO7" i="1"/>
  <c r="AN7" i="1"/>
  <c r="AM7" i="1"/>
  <c r="AL7" i="1"/>
  <c r="AK7" i="1"/>
  <c r="AI7" i="1"/>
  <c r="AH7" i="1"/>
  <c r="AG7" i="1"/>
  <c r="AF7" i="1"/>
  <c r="AE7" i="1"/>
  <c r="AC7" i="1"/>
  <c r="AB7" i="1"/>
  <c r="AA7" i="1"/>
  <c r="Z7" i="1"/>
  <c r="Y7" i="1"/>
  <c r="W7" i="1"/>
  <c r="V7" i="1"/>
  <c r="U7" i="1"/>
  <c r="T7" i="1"/>
  <c r="S7" i="1"/>
  <c r="Q7" i="1"/>
  <c r="P7" i="1"/>
  <c r="O7" i="1"/>
  <c r="N7" i="1"/>
  <c r="M7" i="1"/>
  <c r="BH7" i="1" l="1"/>
  <c r="AV7" i="1"/>
  <c r="AJ7" i="1"/>
  <c r="AP7" i="1"/>
</calcChain>
</file>

<file path=xl/sharedStrings.xml><?xml version="1.0" encoding="utf-8"?>
<sst xmlns="http://schemas.openxmlformats.org/spreadsheetml/2006/main" count="821" uniqueCount="248">
  <si>
    <t>School Level Data on Number of Teachers by Teaching Assignment and Area of Specialization (Junior High School)</t>
  </si>
  <si>
    <t>SY 2019-2020</t>
  </si>
  <si>
    <t>Based on BEIS, generated as of April 20, 2020</t>
  </si>
  <si>
    <t>English</t>
  </si>
  <si>
    <t>Mathematics</t>
  </si>
  <si>
    <t>Filipino</t>
  </si>
  <si>
    <t>Science</t>
  </si>
  <si>
    <t>Araling Panlipunan</t>
  </si>
  <si>
    <t>Edukasyon sa Pagpapakatao</t>
  </si>
  <si>
    <t>Technology and Livelihood Education (TLE)</t>
  </si>
  <si>
    <t>MAPEH</t>
  </si>
  <si>
    <t>With Major/Minor</t>
  </si>
  <si>
    <t>Not their Major/Minor</t>
  </si>
  <si>
    <t>Total</t>
  </si>
  <si>
    <t>Graduate Degree Major</t>
  </si>
  <si>
    <t>Bachelor's Degree Major</t>
  </si>
  <si>
    <t>Bachelor's Degree Minor</t>
  </si>
  <si>
    <t>With Special Training</t>
  </si>
  <si>
    <t>Without Special Training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</si>
  <si>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</si>
  <si>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</si>
  <si>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</si>
  <si>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</si>
  <si>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</si>
  <si>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</si>
  <si>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</si>
  <si>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</si>
  <si>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</si>
  <si>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</si>
  <si>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</si>
  <si>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</si>
  <si>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areaspec_gradmaj_eng</t>
  </si>
  <si>
    <t>areaspec_bachelormaj_eng</t>
  </si>
  <si>
    <t>areaspec_bachelormin_eng</t>
  </si>
  <si>
    <t>areaspec_wspcltrng_eng</t>
  </si>
  <si>
    <t>areaspec_wospcltrng_eng</t>
  </si>
  <si>
    <t>areaspec_gradmaj_math</t>
  </si>
  <si>
    <t>areaspec_bachelormaj_math</t>
  </si>
  <si>
    <t>areaspec_bachelormin_math</t>
  </si>
  <si>
    <t>areaspec_wspcltrng_math</t>
  </si>
  <si>
    <t>areaspec_wospcltrng_math</t>
  </si>
  <si>
    <t>areaspec_gradmaj_fil</t>
  </si>
  <si>
    <t>areaspec_bachelormaj_fil</t>
  </si>
  <si>
    <t>areaspec_bachelormin_fil</t>
  </si>
  <si>
    <t>areaspec_wspcltrng_fil</t>
  </si>
  <si>
    <t>areaspec_wospcltrng_fil</t>
  </si>
  <si>
    <t>areaspec_gradmaj_sci</t>
  </si>
  <si>
    <t>areaspec_bachelormaj_sci</t>
  </si>
  <si>
    <t>areaspec_bachelormin_sci</t>
  </si>
  <si>
    <t>areaspec_wspcltrng_sci</t>
  </si>
  <si>
    <t>areaspec_wospcltrng_sci</t>
  </si>
  <si>
    <t>areaspec_gradmaj_ap</t>
  </si>
  <si>
    <t>areaspec_bachelormaj_ap</t>
  </si>
  <si>
    <t>areaspec_bachelormin_ap</t>
  </si>
  <si>
    <t>areaspec_wspcltrng_ap</t>
  </si>
  <si>
    <t>areaspec_wospcltrng_ap</t>
  </si>
  <si>
    <t>areaspec_gradmaj_esp</t>
  </si>
  <si>
    <t>areaspec_bachelormaj_esp</t>
  </si>
  <si>
    <t>areaspec_bachelormin_esp</t>
  </si>
  <si>
    <t>areaspec_wspcltrng_esp</t>
  </si>
  <si>
    <t>areaspec_wospcltrng_esp</t>
  </si>
  <si>
    <t>areaspec_gradmaj_tle</t>
  </si>
  <si>
    <t>areaspec_bachelormaj_tle</t>
  </si>
  <si>
    <t>areaspec_bachelormin_tle</t>
  </si>
  <si>
    <t>areaspec_wspcltrng_tle</t>
  </si>
  <si>
    <t>areaspec_wospcltrng_tle</t>
  </si>
  <si>
    <t>areaspec_gradmaj_mapeh</t>
  </si>
  <si>
    <t>areaspec_bachelormaj_mapeh</t>
  </si>
  <si>
    <t>areaspec_bachelormin_mapeh</t>
  </si>
  <si>
    <t>areaspec_wspcltrng_mapeh</t>
  </si>
  <si>
    <t>areaspec_wospcltrng_mapeh</t>
  </si>
  <si>
    <t>Region XI</t>
  </si>
  <si>
    <t>2nd District</t>
  </si>
  <si>
    <t>Grade 7-10 &amp; Grade 11-12</t>
  </si>
  <si>
    <t>JHS with SHS</t>
  </si>
  <si>
    <t>Grade 7-10</t>
  </si>
  <si>
    <t>Purely JHS</t>
  </si>
  <si>
    <t>Kinder, Grade 1-6, Grade 7-10</t>
  </si>
  <si>
    <t>ES and JHS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</si>
  <si>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</si>
  <si>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</si>
  <si>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</si>
  <si>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</si>
  <si>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</si>
  <si>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</si>
  <si>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</si>
  <si>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</si>
  <si>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</si>
  <si>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</si>
  <si>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</si>
  <si>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</si>
  <si>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</si>
  <si>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</si>
  <si>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BADAS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</si>
  <si>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</si>
  <si>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</si>
  <si>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</si>
  <si>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</si>
  <si>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</si>
  <si>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</si>
  <si>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</si>
  <si>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</si>
  <si>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</si>
  <si>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</si>
  <si>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</si>
  <si>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</si>
  <si>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</si>
  <si>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</si>
  <si>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</si>
  <si>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</si>
  <si>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</si>
  <si>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</si>
  <si>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</si>
  <si>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</si>
  <si>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</si>
  <si>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</si>
  <si>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Taguibo Agri. Voc. High School</t>
  </si>
  <si>
    <t>Purok Mahayahay</t>
  </si>
  <si>
    <t>TAGUIBO</t>
  </si>
  <si>
    <t>Don Salvador Lopez NHS</t>
  </si>
  <si>
    <t>Centro</t>
  </si>
  <si>
    <t>DON SALVADOR LOPEZ, SR.</t>
  </si>
  <si>
    <t>Doña Rosa G. Rabat MHS</t>
  </si>
  <si>
    <t>Purok 30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</si>
  <si>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</si>
  <si>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</si>
  <si>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</si>
  <si>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</si>
  <si>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</si>
  <si>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</si>
  <si>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</si>
  <si>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</si>
  <si>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</si>
  <si>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</si>
  <si>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</si>
  <si>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</si>
  <si>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</si>
  <si>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</si>
  <si>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</si>
  <si>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</si>
  <si>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</si>
  <si>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</si>
  <si>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</si>
  <si>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</si>
  <si>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</si>
  <si>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</si>
  <si>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</si>
  <si>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</si>
  <si>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LUBAN</t>
  </si>
  <si>
    <t>School Level Data on Number of Teachers by Teaching Assignment and Area of Specialization (Senior High School)</t>
  </si>
  <si>
    <t>Humanities</t>
  </si>
  <si>
    <t>Communication</t>
  </si>
  <si>
    <t>Social Science</t>
  </si>
  <si>
    <t>Philosophy</t>
  </si>
  <si>
    <t>PE and Health</t>
  </si>
  <si>
    <t>Number of Classes with Class Size Not Greater than 50</t>
  </si>
  <si>
    <t>Number of Classes with Class Size Greater than 50</t>
  </si>
  <si>
    <t>teachassign_spcl_eng_gradmajor_notgreaterthan50</t>
  </si>
  <si>
    <t>teachassign_spcl_eng_gradmajor_greaterthan50</t>
  </si>
  <si>
    <t>teachassign_spcl_eng_bachmajor_notgreaterthan50</t>
  </si>
  <si>
    <t>teachassign_spcl_eng_bachmajor_greaterthan50</t>
  </si>
  <si>
    <t>teachassign_spcl_eng_bachminor_notgreaterthan50</t>
  </si>
  <si>
    <t>teachassign_spcl_eng_bachminor_greaterthan50</t>
  </si>
  <si>
    <t>teachassign_spcl_eng_withspcltraining_notgreaterthan50</t>
  </si>
  <si>
    <t>teachassign_spcl_eng_withspcltraining_greaterthan50</t>
  </si>
  <si>
    <t>teachassign_spcl_eng_nospcltraining_notgreaterthan50</t>
  </si>
  <si>
    <t>teachassign_spcl_eng_nospcltraining_greaterthan50</t>
  </si>
  <si>
    <t>teachassign_spcl_fil_gradmajor_notgreaterthan50</t>
  </si>
  <si>
    <t>teachassign_spcl_fil_gradmajor_greaterthan50</t>
  </si>
  <si>
    <t>teachassign_spcl_fil_bachmajor_notgreaterthan50</t>
  </si>
  <si>
    <t>teachassign_spcl_fil_bachmajor_greaterthan50</t>
  </si>
  <si>
    <t>teachassign_spcl_fil_bachminor_notgreaterthan50</t>
  </si>
  <si>
    <t>teachassign_spcl_fil_bachminor_greaterthan50</t>
  </si>
  <si>
    <t>teachassign_spcl_fil_withspcltraining_notgreaterthan50</t>
  </si>
  <si>
    <t>teachassign_spcl_fil_withspcltraining_greaterthan50</t>
  </si>
  <si>
    <t>teachassign_spcl_fil_nospcltraining_notgreaterthan50</t>
  </si>
  <si>
    <t>teachassign_spcl_fil_nospcltraining_greaterthan50</t>
  </si>
  <si>
    <t>teachassign_spcl_hum_gradmajor_notgreaterthan50</t>
  </si>
  <si>
    <t>teachassign_spcl_hum_gradmajor_greaterthan50</t>
  </si>
  <si>
    <t>teachassign_spcl_hum_bachmajor_notgreaterthan50</t>
  </si>
  <si>
    <t>teachassign_spcl_hum_bachmajor_greaterthan50</t>
  </si>
  <si>
    <t>teachassign_spcl_hum_bachminor_notgreaterthan50</t>
  </si>
  <si>
    <t>teachassign_spcl_hum_bachminor_greaterthan50</t>
  </si>
  <si>
    <t>teachassign_spcl_hum_withspcltraining_notgreaterthan50</t>
  </si>
  <si>
    <t>teachassign_spcl_hum_withspcltraining_greaterthan50</t>
  </si>
  <si>
    <t>teachassign_spcl_hum_nospcltraining_notgreaterthan50</t>
  </si>
  <si>
    <t>teachassign_spcl_hum_nospcltraining_greaterthan50</t>
  </si>
  <si>
    <t>teachassign_spcl_com_gradmajor_notgreaterthan50</t>
  </si>
  <si>
    <t>teachassign_spcl_com_gradmajor_greaterthan50</t>
  </si>
  <si>
    <t>teachassign_spcl_com_bachmajor_notgreaterthan50</t>
  </si>
  <si>
    <t>teachassign_spcl_com_bachmajor_greaterthan50</t>
  </si>
  <si>
    <t>teachassign_spcl_com_bachminor_notgreaterthan50</t>
  </si>
  <si>
    <t>teachassign_spcl_com_bachminor_greaterthan50</t>
  </si>
  <si>
    <t>teachassign_spcl_com_withspcltraining_notgreaterthan50</t>
  </si>
  <si>
    <t>teachassign_spcl_com_withspcltraining_greaterthan50</t>
  </si>
  <si>
    <t>teachassign_spcl_com_nospcltraining_notgreaterthan50</t>
  </si>
  <si>
    <t>teachassign_spcl_com_nospcltraining_greaterthan50</t>
  </si>
  <si>
    <t>teachassign_spcl_math_gradmajor_notgreaterthan50</t>
  </si>
  <si>
    <t>teachassign_spcl_math_gradmajor_greaterthan50</t>
  </si>
  <si>
    <t>teachassign_spcl_math_bachmajor_notgreaterthan50</t>
  </si>
  <si>
    <t>teachassign_spcl_math_bachmajor_greaterthan50</t>
  </si>
  <si>
    <t>teachassign_spcl_math_bachminor_notgreaterthan50</t>
  </si>
  <si>
    <t>teachassign_spcl_math_bachminor_greaterthan50</t>
  </si>
  <si>
    <t>teachassign_spcl_math_withspcltraining_notgreaterthan50</t>
  </si>
  <si>
    <t>teachassign_spcl_math_withspcltraining_greaterthan50</t>
  </si>
  <si>
    <t>teachassign_spcl_math_nospcltraining_notgreaterthan50</t>
  </si>
  <si>
    <t>teachassign_spcl_math_nospcltraining_greaterthan50</t>
  </si>
  <si>
    <t>teachassign_spcl_sci_gradmajor_notgreaterthan50</t>
  </si>
  <si>
    <t>teachassign_spcl_sci_gradmajor_greaterthan50</t>
  </si>
  <si>
    <t>teachassign_spcl_sci_bachmajor_notgreaterthan50</t>
  </si>
  <si>
    <t>teachassign_spcl_sci_bachmajor_greaterthan50</t>
  </si>
  <si>
    <t>teachassign_spcl_sci_bachminor_notgreaterthan50</t>
  </si>
  <si>
    <t>teachassign_spcl_sci_bachminor_greaterthan50</t>
  </si>
  <si>
    <t>teachassign_spcl_sci_withspcltraining_notgreaterthan50</t>
  </si>
  <si>
    <t>teachassign_spcl_sci_withspcltraining_greaterthan50</t>
  </si>
  <si>
    <t>teachassign_spcl_sci_nospcltraining_notgreaterthan50</t>
  </si>
  <si>
    <t>teachassign_spcl_sci_nospcltraining_greaterthan50</t>
  </si>
  <si>
    <t>teachassign_spcl_socsci_gradmajor_notgreaterthan50</t>
  </si>
  <si>
    <t>teachassign_spcl_socsci_gradmajor_greaterthan50</t>
  </si>
  <si>
    <t>teachassign_spcl_socsci_bachmajor_notgreaterthan50</t>
  </si>
  <si>
    <t>teachassign_spcl_socsci_bachmajor_greaterthan50</t>
  </si>
  <si>
    <t>teachassign_spcl_socsci_bachminor_notgreaterthan50</t>
  </si>
  <si>
    <t>teachassign_spcl_socsci_bachminor_greaterthan50</t>
  </si>
  <si>
    <t>teachassign_spcl_socsci_withspcltraining_notgreaterthan50</t>
  </si>
  <si>
    <t>teachassign_spcl_socsci_withspcltraining_greaterthan50</t>
  </si>
  <si>
    <t>teachassign_spcl_socsci_nospcltraining_notgreaterthan50</t>
  </si>
  <si>
    <t>teachassign_spcl_socsci_nospcltraining_greaterthan50</t>
  </si>
  <si>
    <t>teachassign_spcl_philo_gradmajor_notgreaterthan50</t>
  </si>
  <si>
    <t>teachassign_spcl_philo_gradmajor_greaterthan50</t>
  </si>
  <si>
    <t>teachassign_spcl_philo_bachmajor_notgreaterthan50</t>
  </si>
  <si>
    <t>teachassign_spcl_philo_bachmajor_greaterthan50</t>
  </si>
  <si>
    <t>teachassign_spcl_philo_bachminor_notgreaterthan50</t>
  </si>
  <si>
    <t>teachassign_spcl_philo_bachminor_greaterthan50</t>
  </si>
  <si>
    <t>teachassign_spcl_philo_withspcltraining_notgreaterthan50</t>
  </si>
  <si>
    <t>teachassign_spcl_philo_withspcltraining_greaterthan50</t>
  </si>
  <si>
    <t>teachassign_spcl_philo_nospcltraining_notgreaterthan50</t>
  </si>
  <si>
    <t>teachassign_spcl_philo_nospcltraining_greaterthan50</t>
  </si>
  <si>
    <t>teachassign_spcl_penhealth_gradmajor_notgreaterthan50</t>
  </si>
  <si>
    <t>teachassign_spcl_penhealth_gradmajor_greaterthan50</t>
  </si>
  <si>
    <t>teachassign_spcl_penhealth_bachmajor_notgreaterthan50</t>
  </si>
  <si>
    <t>teachassign_spcl_penhealth_bachmajor_greaterthan50</t>
  </si>
  <si>
    <t>teachassign_spcl_penhealth_bachminor_notgreaterthan50</t>
  </si>
  <si>
    <t>teachassign_spcl_penhealth_bachminor_greaterthan50</t>
  </si>
  <si>
    <t>teachassign_spcl_penhealth_withspcltraining_notgreaterthan50</t>
  </si>
  <si>
    <t>teachassign_spcl_penhealth_withspcltraining_greaterthan50</t>
  </si>
  <si>
    <t>teachassign_spcl_penhealth_nospcltraining_notgreaterthan50</t>
  </si>
  <si>
    <t>teachassign_spcl_penhealth_nospcltraining_greaterthan50</t>
  </si>
  <si>
    <t>Ramarks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</si>
</sst>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D2DE-3984-4A75-8C30-5C131DA54634}">
  <dimension ref="A1:BH30"/>
  <sheetViews>
    <sheetView zoomScale="85" zoomScaleNormal="85" workbookViewId="0">
      <pane xSplit="4" ySplit="8" topLeftCell="E11" activePane="bottomRight" state="frozen"/>
      <selection activeCell="A29" sqref="A9:XFD29"/>
      <selection pane="topRight" activeCell="A29" sqref="A9:XFD29"/>
      <selection pane="bottomLeft" activeCell="A29" sqref="A9:XFD29"/>
      <selection pane="bottomRight" activeCell="B31" sqref="A31:XFD76"/>
    </sheetView>
  </sheetViews>
  <sheetFormatPr defaultRowHeight="15" x14ac:dyDescent="0.25"/>
  <cols>
    <col min="2" max="2" width="27.140625" bestFit="1" customWidth="1"/>
    <col min="13" max="59" width="12" customWidth="1"/>
  </cols>
  <sheetData>
    <row r="1" spans="1:60" x14ac:dyDescent="0.25">
      <c r="A1" s="1" t="s">
        <v>0</v>
      </c>
    </row>
    <row r="2" spans="1:60" x14ac:dyDescent="0.25">
      <c r="A2" s="1" t="s">
        <v>1</v>
      </c>
      <c r="L2" s="2"/>
    </row>
    <row r="3" spans="1:60" x14ac:dyDescent="0.25">
      <c r="A3" s="1" t="s">
        <v>2</v>
      </c>
      <c r="L3" s="2"/>
    </row>
    <row r="4" spans="1:60" x14ac:dyDescent="0.25">
      <c r="M4" s="3" t="s">
        <v>3</v>
      </c>
      <c r="N4" s="4"/>
      <c r="O4" s="4"/>
      <c r="P4" s="4"/>
      <c r="Q4" s="4"/>
      <c r="R4" s="5"/>
      <c r="S4" s="3" t="s">
        <v>4</v>
      </c>
      <c r="T4" s="4"/>
      <c r="U4" s="4"/>
      <c r="V4" s="4"/>
      <c r="W4" s="4"/>
      <c r="X4" s="5"/>
      <c r="Y4" s="3" t="s">
        <v>5</v>
      </c>
      <c r="Z4" s="4"/>
      <c r="AA4" s="4"/>
      <c r="AB4" s="4"/>
      <c r="AC4" s="4"/>
      <c r="AD4" s="5"/>
      <c r="AE4" s="3" t="s">
        <v>6</v>
      </c>
      <c r="AF4" s="4"/>
      <c r="AG4" s="4"/>
      <c r="AH4" s="4"/>
      <c r="AI4" s="4"/>
      <c r="AJ4" s="5"/>
      <c r="AK4" s="3" t="s">
        <v>7</v>
      </c>
      <c r="AL4" s="4"/>
      <c r="AM4" s="4"/>
      <c r="AN4" s="4"/>
      <c r="AO4" s="4"/>
      <c r="AP4" s="5"/>
      <c r="AQ4" s="3" t="s">
        <v>8</v>
      </c>
      <c r="AR4" s="4"/>
      <c r="AS4" s="4"/>
      <c r="AT4" s="4"/>
      <c r="AU4" s="4"/>
      <c r="AV4" s="5"/>
      <c r="AW4" s="3" t="s">
        <v>9</v>
      </c>
      <c r="AX4" s="4"/>
      <c r="AY4" s="4"/>
      <c r="AZ4" s="4"/>
      <c r="BA4" s="4"/>
      <c r="BB4" s="5"/>
      <c r="BC4" s="6" t="s">
        <v>10</v>
      </c>
      <c r="BD4" s="6"/>
      <c r="BE4" s="6"/>
      <c r="BF4" s="6"/>
      <c r="BG4" s="6"/>
      <c r="BH4" s="6"/>
    </row>
    <row r="5" spans="1:60" x14ac:dyDescent="0.25">
      <c r="M5" s="6" t="s">
        <v>11</v>
      </c>
      <c r="N5" s="6"/>
      <c r="O5" s="6"/>
      <c r="P5" s="6" t="s">
        <v>12</v>
      </c>
      <c r="Q5" s="6"/>
      <c r="R5" s="7" t="s">
        <v>13</v>
      </c>
      <c r="S5" s="6" t="s">
        <v>11</v>
      </c>
      <c r="T5" s="6"/>
      <c r="U5" s="6"/>
      <c r="V5" s="6" t="s">
        <v>12</v>
      </c>
      <c r="W5" s="6"/>
      <c r="X5" s="7" t="s">
        <v>13</v>
      </c>
      <c r="Y5" s="6" t="s">
        <v>11</v>
      </c>
      <c r="Z5" s="6"/>
      <c r="AA5" s="6"/>
      <c r="AB5" s="6" t="s">
        <v>12</v>
      </c>
      <c r="AC5" s="6"/>
      <c r="AD5" s="7" t="s">
        <v>13</v>
      </c>
      <c r="AE5" s="6" t="s">
        <v>11</v>
      </c>
      <c r="AF5" s="6"/>
      <c r="AG5" s="6"/>
      <c r="AH5" s="6" t="s">
        <v>12</v>
      </c>
      <c r="AI5" s="6"/>
      <c r="AJ5" s="7" t="s">
        <v>13</v>
      </c>
      <c r="AK5" s="6" t="s">
        <v>11</v>
      </c>
      <c r="AL5" s="6"/>
      <c r="AM5" s="6"/>
      <c r="AN5" s="6" t="s">
        <v>12</v>
      </c>
      <c r="AO5" s="6"/>
      <c r="AP5" s="7" t="s">
        <v>13</v>
      </c>
      <c r="AQ5" s="6" t="s">
        <v>11</v>
      </c>
      <c r="AR5" s="6"/>
      <c r="AS5" s="6"/>
      <c r="AT5" s="6" t="s">
        <v>12</v>
      </c>
      <c r="AU5" s="6"/>
      <c r="AV5" s="7" t="s">
        <v>13</v>
      </c>
      <c r="AW5" s="6" t="s">
        <v>11</v>
      </c>
      <c r="AX5" s="6"/>
      <c r="AY5" s="6"/>
      <c r="AZ5" s="6" t="s">
        <v>12</v>
      </c>
      <c r="BA5" s="6"/>
      <c r="BB5" s="7" t="s">
        <v>13</v>
      </c>
      <c r="BC5" s="6" t="s">
        <v>11</v>
      </c>
      <c r="BD5" s="6"/>
      <c r="BE5" s="6"/>
      <c r="BF5" s="6" t="s">
        <v>12</v>
      </c>
      <c r="BG5" s="6"/>
      <c r="BH5" s="8" t="s">
        <v>13</v>
      </c>
    </row>
    <row r="6" spans="1:60" s="9" customFormat="1" ht="45" x14ac:dyDescent="0.25">
      <c r="M6" s="10" t="s">
        <v>14</v>
      </c>
      <c r="N6" s="10" t="s">
        <v>15</v>
      </c>
      <c r="O6" s="10" t="s">
        <v>16</v>
      </c>
      <c r="P6" s="10" t="s">
        <v>17</v>
      </c>
      <c r="Q6" s="10" t="s">
        <v>18</v>
      </c>
      <c r="R6" s="11"/>
      <c r="S6" s="10" t="s">
        <v>14</v>
      </c>
      <c r="T6" s="10" t="s">
        <v>15</v>
      </c>
      <c r="U6" s="10" t="s">
        <v>16</v>
      </c>
      <c r="V6" s="10" t="s">
        <v>17</v>
      </c>
      <c r="W6" s="10" t="s">
        <v>18</v>
      </c>
      <c r="X6" s="11"/>
      <c r="Y6" s="10" t="s">
        <v>14</v>
      </c>
      <c r="Z6" s="10" t="s">
        <v>15</v>
      </c>
      <c r="AA6" s="10" t="s">
        <v>16</v>
      </c>
      <c r="AB6" s="10" t="s">
        <v>17</v>
      </c>
      <c r="AC6" s="10" t="s">
        <v>18</v>
      </c>
      <c r="AD6" s="11"/>
      <c r="AE6" s="10" t="s">
        <v>14</v>
      </c>
      <c r="AF6" s="10" t="s">
        <v>15</v>
      </c>
      <c r="AG6" s="10" t="s">
        <v>16</v>
      </c>
      <c r="AH6" s="10" t="s">
        <v>17</v>
      </c>
      <c r="AI6" s="10" t="s">
        <v>18</v>
      </c>
      <c r="AJ6" s="11"/>
      <c r="AK6" s="10" t="s">
        <v>14</v>
      </c>
      <c r="AL6" s="10" t="s">
        <v>15</v>
      </c>
      <c r="AM6" s="10" t="s">
        <v>16</v>
      </c>
      <c r="AN6" s="10" t="s">
        <v>17</v>
      </c>
      <c r="AO6" s="10" t="s">
        <v>18</v>
      </c>
      <c r="AP6" s="11"/>
      <c r="AQ6" s="10" t="s">
        <v>14</v>
      </c>
      <c r="AR6" s="10" t="s">
        <v>15</v>
      </c>
      <c r="AS6" s="10" t="s">
        <v>16</v>
      </c>
      <c r="AT6" s="10" t="s">
        <v>17</v>
      </c>
      <c r="AU6" s="10" t="s">
        <v>18</v>
      </c>
      <c r="AV6" s="11"/>
      <c r="AW6" s="10" t="s">
        <v>14</v>
      </c>
      <c r="AX6" s="10" t="s">
        <v>15</v>
      </c>
      <c r="AY6" s="10" t="s">
        <v>16</v>
      </c>
      <c r="AZ6" s="10" t="s">
        <v>17</v>
      </c>
      <c r="BA6" s="10" t="s">
        <v>18</v>
      </c>
      <c r="BB6" s="11"/>
      <c r="BC6" s="10" t="s">
        <v>14</v>
      </c>
      <c r="BD6" s="10" t="s">
        <v>15</v>
      </c>
      <c r="BE6" s="10" t="s">
        <v>16</v>
      </c>
      <c r="BF6" s="10" t="s">
        <v>17</v>
      </c>
      <c r="BG6" s="10" t="s">
        <v>18</v>
      </c>
      <c r="BH6" s="8"/>
    </row>
    <row r="7" spans="1:60" s="9" customFormat="1" x14ac:dyDescent="0.25">
      <c r="M7" s="12">
        <f>SUM(M9:M30)</f>
        <v>17</v>
      </c>
      <c r="N7" s="12">
        <f>SUM(N9:N30)</f>
        <v>74</v>
      </c>
      <c r="O7" s="12">
        <f>SUM(O9:O30)</f>
        <v>1</v>
      </c>
      <c r="P7" s="12">
        <f>SUM(P9:P30)</f>
        <v>2</v>
      </c>
      <c r="Q7" s="12">
        <f>SUM(Q9:Q30)</f>
        <v>7</v>
      </c>
      <c r="R7" s="12">
        <f>SUM(R9:R30)</f>
        <v>101</v>
      </c>
      <c r="S7" s="12">
        <f>SUM(S9:S30)</f>
        <v>13</v>
      </c>
      <c r="T7" s="12">
        <f>SUM(T9:T30)</f>
        <v>66</v>
      </c>
      <c r="U7" s="12">
        <f>SUM(U9:U30)</f>
        <v>2</v>
      </c>
      <c r="V7" s="12">
        <f>SUM(V9:V30)</f>
        <v>4</v>
      </c>
      <c r="W7" s="12">
        <f>SUM(W9:W30)</f>
        <v>12</v>
      </c>
      <c r="X7" s="12">
        <f>SUM(X9:X30)</f>
        <v>97</v>
      </c>
      <c r="Y7" s="12">
        <f>SUM(Y9:Y30)</f>
        <v>2</v>
      </c>
      <c r="Z7" s="12">
        <f>SUM(Z9:Z30)</f>
        <v>15</v>
      </c>
      <c r="AA7" s="12">
        <f>SUM(AA9:AA30)</f>
        <v>2</v>
      </c>
      <c r="AB7" s="12">
        <f>SUM(AB9:AB30)</f>
        <v>15</v>
      </c>
      <c r="AC7" s="12">
        <f>SUM(AC9:AC30)</f>
        <v>25</v>
      </c>
      <c r="AD7" s="12">
        <f>SUM(AD9:AD30)</f>
        <v>59</v>
      </c>
      <c r="AE7" s="12">
        <f>SUM(AE9:AE30)</f>
        <v>16</v>
      </c>
      <c r="AF7" s="12">
        <f>SUM(AF9:AF30)</f>
        <v>88</v>
      </c>
      <c r="AG7" s="12">
        <f>SUM(AG9:AG30)</f>
        <v>4</v>
      </c>
      <c r="AH7" s="12">
        <f>SUM(AH9:AH30)</f>
        <v>6</v>
      </c>
      <c r="AI7" s="12">
        <f>SUM(AI9:AI30)</f>
        <v>11</v>
      </c>
      <c r="AJ7" s="12">
        <f>SUM(AJ9:AJ30)</f>
        <v>125</v>
      </c>
      <c r="AK7" s="12">
        <f>SUM(AK9:AK30)</f>
        <v>5</v>
      </c>
      <c r="AL7" s="12">
        <f>SUM(AL9:AL30)</f>
        <v>17</v>
      </c>
      <c r="AM7" s="12">
        <f>SUM(AM9:AM30)</f>
        <v>2</v>
      </c>
      <c r="AN7" s="12">
        <f>SUM(AN9:AN30)</f>
        <v>6</v>
      </c>
      <c r="AO7" s="12">
        <f>SUM(AO9:AO30)</f>
        <v>23</v>
      </c>
      <c r="AP7" s="12">
        <f>SUM(AP9:AP30)</f>
        <v>53</v>
      </c>
      <c r="AQ7" s="12">
        <f>SUM(AQ9:AQ30)</f>
        <v>1</v>
      </c>
      <c r="AR7" s="12">
        <f>SUM(AR9:AR30)</f>
        <v>5</v>
      </c>
      <c r="AS7" s="12">
        <f>SUM(AS9:AS30)</f>
        <v>2</v>
      </c>
      <c r="AT7" s="12">
        <f>SUM(AT9:AT30)</f>
        <v>13</v>
      </c>
      <c r="AU7" s="12">
        <f>SUM(AU9:AU30)</f>
        <v>50</v>
      </c>
      <c r="AV7" s="12">
        <f>SUM(AV9:AV30)</f>
        <v>71</v>
      </c>
      <c r="AW7" s="12">
        <f>SUM(AW9:AW30)</f>
        <v>5</v>
      </c>
      <c r="AX7" s="12">
        <f>SUM(AX9:AX30)</f>
        <v>48</v>
      </c>
      <c r="AY7" s="12">
        <f>SUM(AY9:AY30)</f>
        <v>0</v>
      </c>
      <c r="AZ7" s="12">
        <f>SUM(AZ9:AZ30)</f>
        <v>20</v>
      </c>
      <c r="BA7" s="12">
        <f>SUM(BA9:BA30)</f>
        <v>12</v>
      </c>
      <c r="BB7" s="12">
        <f>SUM(BB9:BB30)</f>
        <v>85</v>
      </c>
      <c r="BC7" s="12">
        <f>SUM(BC9:BC30)</f>
        <v>4</v>
      </c>
      <c r="BD7" s="12">
        <f>SUM(BD9:BD30)</f>
        <v>33</v>
      </c>
      <c r="BE7" s="12">
        <f>SUM(BE9:BE30)</f>
        <v>2</v>
      </c>
      <c r="BF7" s="12">
        <f>SUM(BF9:BF30)</f>
        <v>7</v>
      </c>
      <c r="BG7" s="12">
        <f>SUM(BG9:BG30)</f>
        <v>23</v>
      </c>
      <c r="BH7" s="12">
        <f>SUM(BH9:BH30)</f>
        <v>69</v>
      </c>
    </row>
    <row r="8" spans="1:60" x14ac:dyDescent="0.25">
      <c r="A8" s="13" t="s">
        <v>19</v>
      </c>
      <c r="B8" s="13" t="s">
        <v>20</v>
      </c>
      <c r="C8" s="13" t="s">
        <v>21</v>
      </c>
      <c r="D8" s="13" t="s">
        <v>22</v>
      </c>
      <c r="E8" s="13" t="s">
        <v>23</v>
      </c>
      <c r="F8" s="13" t="s">
        <v>24</v>
      </c>
      <c r="G8" s="13" t="s">
        <v>25</v>
      </c>
      <c r="H8" s="13" t="s">
        <v>26</v>
      </c>
      <c r="I8" s="13" t="s">
        <v>27</v>
      </c>
      <c r="J8" s="13" t="s">
        <v>28</v>
      </c>
      <c r="K8" s="13" t="s">
        <v>29</v>
      </c>
      <c r="L8" s="14" t="s">
        <v>30</v>
      </c>
      <c r="M8" s="15" t="s">
        <v>31</v>
      </c>
      <c r="N8" s="15" t="s">
        <v>32</v>
      </c>
      <c r="O8" s="15" t="s">
        <v>33</v>
      </c>
      <c r="P8" s="15" t="s">
        <v>34</v>
      </c>
      <c r="Q8" s="15" t="s">
        <v>35</v>
      </c>
      <c r="R8" s="15" t="s">
        <v>13</v>
      </c>
      <c r="S8" s="15" t="s">
        <v>36</v>
      </c>
      <c r="T8" s="15" t="s">
        <v>37</v>
      </c>
      <c r="U8" s="15" t="s">
        <v>38</v>
      </c>
      <c r="V8" s="15" t="s">
        <v>39</v>
      </c>
      <c r="W8" s="15" t="s">
        <v>40</v>
      </c>
      <c r="X8" s="15" t="s">
        <v>13</v>
      </c>
      <c r="Y8" s="15" t="s">
        <v>41</v>
      </c>
      <c r="Z8" s="15" t="s">
        <v>42</v>
      </c>
      <c r="AA8" s="15" t="s">
        <v>43</v>
      </c>
      <c r="AB8" s="15" t="s">
        <v>44</v>
      </c>
      <c r="AC8" s="15" t="s">
        <v>45</v>
      </c>
      <c r="AD8" s="15" t="s">
        <v>13</v>
      </c>
      <c r="AE8" s="15" t="s">
        <v>46</v>
      </c>
      <c r="AF8" s="15" t="s">
        <v>47</v>
      </c>
      <c r="AG8" s="15" t="s">
        <v>48</v>
      </c>
      <c r="AH8" s="15" t="s">
        <v>49</v>
      </c>
      <c r="AI8" s="15" t="s">
        <v>50</v>
      </c>
      <c r="AJ8" s="15" t="s">
        <v>13</v>
      </c>
      <c r="AK8" s="15" t="s">
        <v>51</v>
      </c>
      <c r="AL8" s="15" t="s">
        <v>52</v>
      </c>
      <c r="AM8" s="15" t="s">
        <v>53</v>
      </c>
      <c r="AN8" s="15" t="s">
        <v>54</v>
      </c>
      <c r="AO8" s="15" t="s">
        <v>55</v>
      </c>
      <c r="AP8" s="15" t="s">
        <v>13</v>
      </c>
      <c r="AQ8" s="15" t="s">
        <v>56</v>
      </c>
      <c r="AR8" s="15" t="s">
        <v>57</v>
      </c>
      <c r="AS8" s="15" t="s">
        <v>58</v>
      </c>
      <c r="AT8" s="15" t="s">
        <v>59</v>
      </c>
      <c r="AU8" s="15" t="s">
        <v>60</v>
      </c>
      <c r="AV8" s="15" t="s">
        <v>13</v>
      </c>
      <c r="AW8" s="15" t="s">
        <v>61</v>
      </c>
      <c r="AX8" s="15" t="s">
        <v>62</v>
      </c>
      <c r="AY8" s="15" t="s">
        <v>63</v>
      </c>
      <c r="AZ8" s="15" t="s">
        <v>64</v>
      </c>
      <c r="BA8" s="15" t="s">
        <v>65</v>
      </c>
      <c r="BB8" s="15" t="s">
        <v>13</v>
      </c>
      <c r="BC8" s="15" t="s">
        <v>66</v>
      </c>
      <c r="BD8" s="15" t="s">
        <v>67</v>
      </c>
      <c r="BE8" s="15" t="s">
        <v>68</v>
      </c>
      <c r="BF8" s="15" t="s">
        <v>69</v>
      </c>
      <c r="BG8" s="15" t="s">
        <v>70</v>
      </c>
      <c r="BH8" s="15" t="s">
        <v>13</v>
      </c>
    </row>
    <row r="9" spans="1:60" x14ac:dyDescent="0.25">
      <c r="A9" t="s">
        <v>71</v>
      </c>
      <c r="B9" t="s">
        <v>79</v>
      </c>
      <c r="C9" t="s">
        <v>80</v>
      </c>
      <c r="D9">
        <v>304325</v>
      </c>
      <c r="E9" t="s">
        <v>81</v>
      </c>
      <c r="F9" t="s">
        <v>82</v>
      </c>
      <c r="G9" t="s">
        <v>83</v>
      </c>
      <c r="H9" t="s">
        <v>84</v>
      </c>
      <c r="I9" t="s">
        <v>72</v>
      </c>
      <c r="J9" t="s">
        <v>85</v>
      </c>
      <c r="K9" t="s">
        <v>73</v>
      </c>
      <c r="L9" s="16" t="s">
        <v>74</v>
      </c>
      <c r="M9">
        <v>0</v>
      </c>
      <c r="N9">
        <v>16</v>
      </c>
      <c r="O9">
        <v>0</v>
      </c>
      <c r="P9">
        <v>0</v>
      </c>
      <c r="Q9">
        <v>0</v>
      </c>
      <c r="R9">
        <f t="shared" ref="R9:R30" si="0">SUM(M9:Q9)</f>
        <v>16</v>
      </c>
      <c r="S9">
        <v>0</v>
      </c>
      <c r="T9">
        <v>14</v>
      </c>
      <c r="U9">
        <v>0</v>
      </c>
      <c r="V9">
        <v>1</v>
      </c>
      <c r="W9">
        <v>0</v>
      </c>
      <c r="X9">
        <f t="shared" ref="X9:X30" si="1">SUM(S9:W9)</f>
        <v>15</v>
      </c>
      <c r="Y9">
        <v>0</v>
      </c>
      <c r="Z9">
        <v>7</v>
      </c>
      <c r="AA9">
        <v>0</v>
      </c>
      <c r="AB9">
        <v>8</v>
      </c>
      <c r="AC9">
        <v>0</v>
      </c>
      <c r="AD9">
        <f t="shared" ref="AD9:AD30" si="2">SUM(Y9:AC9)</f>
        <v>15</v>
      </c>
      <c r="AE9">
        <v>0</v>
      </c>
      <c r="AF9">
        <v>12</v>
      </c>
      <c r="AG9">
        <v>0</v>
      </c>
      <c r="AH9">
        <v>3</v>
      </c>
      <c r="AI9">
        <v>0</v>
      </c>
      <c r="AJ9">
        <f t="shared" ref="AJ9:AJ30" si="3">SUM(AE9:AI9)</f>
        <v>15</v>
      </c>
      <c r="AK9">
        <v>0</v>
      </c>
      <c r="AL9">
        <v>5</v>
      </c>
      <c r="AM9">
        <v>0</v>
      </c>
      <c r="AN9">
        <v>5</v>
      </c>
      <c r="AO9">
        <v>0</v>
      </c>
      <c r="AP9">
        <f t="shared" ref="AP9:AP30" si="4">SUM(AK9:AO9)</f>
        <v>10</v>
      </c>
      <c r="AQ9">
        <v>0</v>
      </c>
      <c r="AR9">
        <v>1</v>
      </c>
      <c r="AS9">
        <v>0</v>
      </c>
      <c r="AT9">
        <v>9</v>
      </c>
      <c r="AU9">
        <v>0</v>
      </c>
      <c r="AV9">
        <f t="shared" ref="AV9:AV30" si="5">SUM(AQ9:AU9)</f>
        <v>10</v>
      </c>
      <c r="AW9">
        <v>0</v>
      </c>
      <c r="AX9">
        <v>16</v>
      </c>
      <c r="AY9">
        <v>0</v>
      </c>
      <c r="AZ9">
        <v>3</v>
      </c>
      <c r="BA9">
        <v>0</v>
      </c>
      <c r="BB9">
        <f t="shared" ref="BB9:BB30" si="6">SUM(AW9:BA9)</f>
        <v>19</v>
      </c>
      <c r="BC9">
        <v>0</v>
      </c>
      <c r="BD9">
        <v>15</v>
      </c>
      <c r="BE9">
        <v>0</v>
      </c>
      <c r="BF9">
        <v>3</v>
      </c>
      <c r="BG9">
        <v>0</v>
      </c>
      <c r="BH9">
        <f t="shared" ref="BH9:BH30" si="7">SUM(BC9:BG9)</f>
        <v>18</v>
      </c>
    </row>
    <row r="10" spans="1:60" x14ac:dyDescent="0.25">
      <c r="A10" t="s">
        <v>71</v>
      </c>
      <c r="B10" t="s">
        <v>79</v>
      </c>
      <c r="C10" t="s">
        <v>80</v>
      </c>
      <c r="D10">
        <v>304326</v>
      </c>
      <c r="E10" t="s">
        <v>86</v>
      </c>
      <c r="F10" t="s">
        <v>87</v>
      </c>
      <c r="G10" t="s">
        <v>83</v>
      </c>
      <c r="H10" t="s">
        <v>84</v>
      </c>
      <c r="I10" t="s">
        <v>72</v>
      </c>
      <c r="J10" t="s">
        <v>85</v>
      </c>
      <c r="K10" t="s">
        <v>73</v>
      </c>
      <c r="L10" s="16" t="s">
        <v>74</v>
      </c>
      <c r="M10">
        <v>0</v>
      </c>
      <c r="N10">
        <v>6</v>
      </c>
      <c r="O10">
        <v>0</v>
      </c>
      <c r="P10">
        <v>0</v>
      </c>
      <c r="Q10">
        <v>0</v>
      </c>
      <c r="R10">
        <f t="shared" si="0"/>
        <v>6</v>
      </c>
      <c r="S10">
        <v>0</v>
      </c>
      <c r="T10">
        <v>4</v>
      </c>
      <c r="U10">
        <v>0</v>
      </c>
      <c r="V10">
        <v>0</v>
      </c>
      <c r="W10">
        <v>0</v>
      </c>
      <c r="X10">
        <f t="shared" si="1"/>
        <v>4</v>
      </c>
      <c r="Y10">
        <v>0</v>
      </c>
      <c r="Z10">
        <v>0</v>
      </c>
      <c r="AA10">
        <v>2</v>
      </c>
      <c r="AB10">
        <v>2</v>
      </c>
      <c r="AC10">
        <v>2</v>
      </c>
      <c r="AD10">
        <f t="shared" si="2"/>
        <v>6</v>
      </c>
      <c r="AE10">
        <v>1</v>
      </c>
      <c r="AF10">
        <v>8</v>
      </c>
      <c r="AG10">
        <v>0</v>
      </c>
      <c r="AH10">
        <v>0</v>
      </c>
      <c r="AI10">
        <v>0</v>
      </c>
      <c r="AJ10">
        <f t="shared" si="3"/>
        <v>9</v>
      </c>
      <c r="AK10">
        <v>0</v>
      </c>
      <c r="AL10">
        <v>2</v>
      </c>
      <c r="AM10">
        <v>0</v>
      </c>
      <c r="AN10">
        <v>0</v>
      </c>
      <c r="AO10">
        <v>3</v>
      </c>
      <c r="AP10">
        <f t="shared" si="4"/>
        <v>5</v>
      </c>
      <c r="AQ10">
        <v>0</v>
      </c>
      <c r="AR10">
        <v>0</v>
      </c>
      <c r="AS10">
        <v>0</v>
      </c>
      <c r="AT10">
        <v>2</v>
      </c>
      <c r="AU10">
        <v>8</v>
      </c>
      <c r="AV10">
        <f t="shared" si="5"/>
        <v>10</v>
      </c>
      <c r="AW10">
        <v>0</v>
      </c>
      <c r="AX10">
        <v>11</v>
      </c>
      <c r="AY10">
        <v>0</v>
      </c>
      <c r="AZ10">
        <v>5</v>
      </c>
      <c r="BA10">
        <v>0</v>
      </c>
      <c r="BB10">
        <f t="shared" si="6"/>
        <v>16</v>
      </c>
      <c r="BC10">
        <v>0</v>
      </c>
      <c r="BD10">
        <v>0</v>
      </c>
      <c r="BE10">
        <v>0</v>
      </c>
      <c r="BF10">
        <v>1</v>
      </c>
      <c r="BG10">
        <v>6</v>
      </c>
      <c r="BH10">
        <f t="shared" si="7"/>
        <v>7</v>
      </c>
    </row>
    <row r="11" spans="1:60" x14ac:dyDescent="0.25">
      <c r="A11" t="s">
        <v>71</v>
      </c>
      <c r="B11" t="s">
        <v>79</v>
      </c>
      <c r="C11" t="s">
        <v>80</v>
      </c>
      <c r="D11">
        <v>305680</v>
      </c>
      <c r="E11" t="s">
        <v>88</v>
      </c>
      <c r="F11" t="s">
        <v>89</v>
      </c>
      <c r="G11" t="s">
        <v>83</v>
      </c>
      <c r="H11" t="s">
        <v>84</v>
      </c>
      <c r="I11" t="s">
        <v>72</v>
      </c>
      <c r="J11" t="s">
        <v>90</v>
      </c>
      <c r="K11" t="s">
        <v>75</v>
      </c>
      <c r="L11" s="16" t="s">
        <v>76</v>
      </c>
      <c r="M11">
        <v>0</v>
      </c>
      <c r="N11">
        <v>4</v>
      </c>
      <c r="O11">
        <v>0</v>
      </c>
      <c r="P11">
        <v>0</v>
      </c>
      <c r="Q11">
        <v>0</v>
      </c>
      <c r="R11">
        <f t="shared" si="0"/>
        <v>4</v>
      </c>
      <c r="S11">
        <v>0</v>
      </c>
      <c r="T11">
        <v>1</v>
      </c>
      <c r="U11">
        <v>0</v>
      </c>
      <c r="V11">
        <v>0</v>
      </c>
      <c r="W11">
        <v>0</v>
      </c>
      <c r="X11">
        <f t="shared" si="1"/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f t="shared" si="2"/>
        <v>0</v>
      </c>
      <c r="AE11">
        <v>1</v>
      </c>
      <c r="AF11">
        <v>5</v>
      </c>
      <c r="AG11">
        <v>0</v>
      </c>
      <c r="AH11">
        <v>0</v>
      </c>
      <c r="AI11">
        <v>0</v>
      </c>
      <c r="AJ11">
        <f t="shared" si="3"/>
        <v>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f t="shared" si="4"/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f t="shared" si="5"/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f t="shared" si="6"/>
        <v>0</v>
      </c>
      <c r="BC11">
        <v>0</v>
      </c>
      <c r="BD11">
        <v>3</v>
      </c>
      <c r="BE11">
        <v>0</v>
      </c>
      <c r="BF11">
        <v>0</v>
      </c>
      <c r="BG11">
        <v>0</v>
      </c>
      <c r="BH11">
        <f t="shared" si="7"/>
        <v>3</v>
      </c>
    </row>
    <row r="12" spans="1:60" x14ac:dyDescent="0.25">
      <c r="A12" t="s">
        <v>71</v>
      </c>
      <c r="B12" t="s">
        <v>79</v>
      </c>
      <c r="C12" t="s">
        <v>80</v>
      </c>
      <c r="D12">
        <v>325104</v>
      </c>
      <c r="E12" t="s">
        <v>91</v>
      </c>
      <c r="F12" t="s">
        <v>92</v>
      </c>
      <c r="G12" t="s">
        <v>83</v>
      </c>
      <c r="H12" t="s">
        <v>84</v>
      </c>
      <c r="I12" t="s">
        <v>72</v>
      </c>
      <c r="J12" t="s">
        <v>93</v>
      </c>
      <c r="K12" t="s">
        <v>73</v>
      </c>
      <c r="L12" s="16" t="s">
        <v>74</v>
      </c>
      <c r="M12">
        <v>7</v>
      </c>
      <c r="N12">
        <v>6</v>
      </c>
      <c r="O12">
        <v>1</v>
      </c>
      <c r="P12">
        <v>0</v>
      </c>
      <c r="Q12">
        <v>1</v>
      </c>
      <c r="R12">
        <f t="shared" si="0"/>
        <v>15</v>
      </c>
      <c r="S12">
        <v>6</v>
      </c>
      <c r="T12">
        <v>4</v>
      </c>
      <c r="U12">
        <v>2</v>
      </c>
      <c r="V12">
        <v>0</v>
      </c>
      <c r="W12">
        <v>2</v>
      </c>
      <c r="X12">
        <f t="shared" si="1"/>
        <v>14</v>
      </c>
      <c r="Y12">
        <v>0</v>
      </c>
      <c r="Z12">
        <v>0</v>
      </c>
      <c r="AA12">
        <v>0</v>
      </c>
      <c r="AB12">
        <v>0</v>
      </c>
      <c r="AC12">
        <v>3</v>
      </c>
      <c r="AD12">
        <f t="shared" si="2"/>
        <v>3</v>
      </c>
      <c r="AE12">
        <v>7</v>
      </c>
      <c r="AF12">
        <v>6</v>
      </c>
      <c r="AG12">
        <v>1</v>
      </c>
      <c r="AH12">
        <v>0</v>
      </c>
      <c r="AI12">
        <v>1</v>
      </c>
      <c r="AJ12">
        <f t="shared" si="3"/>
        <v>15</v>
      </c>
      <c r="AK12">
        <v>1</v>
      </c>
      <c r="AL12">
        <v>1</v>
      </c>
      <c r="AM12">
        <v>2</v>
      </c>
      <c r="AN12">
        <v>0</v>
      </c>
      <c r="AO12">
        <v>2</v>
      </c>
      <c r="AP12">
        <f t="shared" si="4"/>
        <v>6</v>
      </c>
      <c r="AQ12">
        <v>0</v>
      </c>
      <c r="AR12">
        <v>0</v>
      </c>
      <c r="AS12">
        <v>2</v>
      </c>
      <c r="AT12">
        <v>0</v>
      </c>
      <c r="AU12">
        <v>2</v>
      </c>
      <c r="AV12">
        <f t="shared" si="5"/>
        <v>4</v>
      </c>
      <c r="AW12">
        <v>3</v>
      </c>
      <c r="AX12">
        <v>3</v>
      </c>
      <c r="AY12">
        <v>0</v>
      </c>
      <c r="AZ12">
        <v>3</v>
      </c>
      <c r="BA12">
        <v>2</v>
      </c>
      <c r="BB12">
        <f t="shared" si="6"/>
        <v>11</v>
      </c>
      <c r="BC12">
        <v>1</v>
      </c>
      <c r="BD12">
        <v>1</v>
      </c>
      <c r="BE12">
        <v>2</v>
      </c>
      <c r="BF12">
        <v>0</v>
      </c>
      <c r="BG12">
        <v>3</v>
      </c>
      <c r="BH12">
        <f t="shared" si="7"/>
        <v>7</v>
      </c>
    </row>
    <row r="13" spans="1:60" x14ac:dyDescent="0.25">
      <c r="A13" t="s">
        <v>71</v>
      </c>
      <c r="B13" t="s">
        <v>79</v>
      </c>
      <c r="C13" t="s">
        <v>80</v>
      </c>
      <c r="D13">
        <v>500454</v>
      </c>
      <c r="E13" t="s">
        <v>94</v>
      </c>
      <c r="F13" t="s">
        <v>95</v>
      </c>
      <c r="G13" t="s">
        <v>83</v>
      </c>
      <c r="H13" t="s">
        <v>84</v>
      </c>
      <c r="I13" t="s">
        <v>72</v>
      </c>
      <c r="J13" t="s">
        <v>85</v>
      </c>
      <c r="K13" t="s">
        <v>96</v>
      </c>
      <c r="L13" s="16" t="s">
        <v>97</v>
      </c>
      <c r="M13">
        <v>0</v>
      </c>
      <c r="N13">
        <v>1</v>
      </c>
      <c r="O13">
        <v>0</v>
      </c>
      <c r="P13">
        <v>0</v>
      </c>
      <c r="Q13">
        <v>0</v>
      </c>
      <c r="R13">
        <f t="shared" si="0"/>
        <v>1</v>
      </c>
      <c r="S13">
        <v>0</v>
      </c>
      <c r="T13">
        <v>2</v>
      </c>
      <c r="U13">
        <v>0</v>
      </c>
      <c r="V13">
        <v>0</v>
      </c>
      <c r="W13">
        <v>0</v>
      </c>
      <c r="X13">
        <f t="shared" si="1"/>
        <v>2</v>
      </c>
      <c r="Y13">
        <v>0</v>
      </c>
      <c r="Z13">
        <v>0</v>
      </c>
      <c r="AA13">
        <v>0</v>
      </c>
      <c r="AB13">
        <v>0</v>
      </c>
      <c r="AC13">
        <v>3</v>
      </c>
      <c r="AD13">
        <f t="shared" si="2"/>
        <v>3</v>
      </c>
      <c r="AE13">
        <v>0</v>
      </c>
      <c r="AF13">
        <v>2</v>
      </c>
      <c r="AG13">
        <v>0</v>
      </c>
      <c r="AH13">
        <v>0</v>
      </c>
      <c r="AI13">
        <v>0</v>
      </c>
      <c r="AJ13">
        <f t="shared" si="3"/>
        <v>2</v>
      </c>
      <c r="AK13">
        <v>0</v>
      </c>
      <c r="AL13">
        <v>0</v>
      </c>
      <c r="AM13">
        <v>0</v>
      </c>
      <c r="AN13">
        <v>0</v>
      </c>
      <c r="AO13">
        <v>4</v>
      </c>
      <c r="AP13">
        <f t="shared" si="4"/>
        <v>4</v>
      </c>
      <c r="AQ13">
        <v>0</v>
      </c>
      <c r="AR13">
        <v>0</v>
      </c>
      <c r="AS13">
        <v>0</v>
      </c>
      <c r="AT13">
        <v>0</v>
      </c>
      <c r="AU13">
        <v>4</v>
      </c>
      <c r="AV13">
        <f t="shared" si="5"/>
        <v>4</v>
      </c>
      <c r="AW13">
        <v>0</v>
      </c>
      <c r="AX13">
        <v>1</v>
      </c>
      <c r="AY13">
        <v>0</v>
      </c>
      <c r="AZ13">
        <v>0</v>
      </c>
      <c r="BA13">
        <v>0</v>
      </c>
      <c r="BB13">
        <f t="shared" si="6"/>
        <v>1</v>
      </c>
      <c r="BC13">
        <v>0</v>
      </c>
      <c r="BD13">
        <v>1</v>
      </c>
      <c r="BE13">
        <v>0</v>
      </c>
      <c r="BF13">
        <v>0</v>
      </c>
      <c r="BG13">
        <v>0</v>
      </c>
      <c r="BH13">
        <f t="shared" si="7"/>
        <v>1</v>
      </c>
    </row>
    <row r="14" spans="1:60" x14ac:dyDescent="0.25">
      <c r="A14" t="s">
        <v>71</v>
      </c>
      <c r="B14" t="s">
        <v>79</v>
      </c>
      <c r="C14" t="s">
        <v>80</v>
      </c>
      <c r="D14">
        <v>501424</v>
      </c>
      <c r="E14" t="s">
        <v>98</v>
      </c>
      <c r="F14" t="s">
        <v>99</v>
      </c>
      <c r="G14" t="s">
        <v>83</v>
      </c>
      <c r="H14" t="s">
        <v>84</v>
      </c>
      <c r="I14" t="s">
        <v>72</v>
      </c>
      <c r="J14" t="s">
        <v>100</v>
      </c>
      <c r="K14" t="s">
        <v>77</v>
      </c>
      <c r="L14" s="16" t="s">
        <v>78</v>
      </c>
      <c r="M14">
        <v>0</v>
      </c>
      <c r="N14">
        <v>0</v>
      </c>
      <c r="O14">
        <v>0</v>
      </c>
      <c r="P14">
        <v>0</v>
      </c>
      <c r="Q14">
        <v>0</v>
      </c>
      <c r="R14">
        <f t="shared" si="0"/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f t="shared" si="1"/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f t="shared" si="2"/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f t="shared" si="3"/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f t="shared" si="4"/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f t="shared" si="5"/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f t="shared" si="6"/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f t="shared" si="7"/>
        <v>0</v>
      </c>
    </row>
    <row r="15" spans="1:60" x14ac:dyDescent="0.25">
      <c r="A15" t="s">
        <v>71</v>
      </c>
      <c r="B15" t="s">
        <v>79</v>
      </c>
      <c r="C15" t="s">
        <v>101</v>
      </c>
      <c r="D15">
        <v>304303</v>
      </c>
      <c r="E15" t="s">
        <v>102</v>
      </c>
      <c r="F15" t="s">
        <v>103</v>
      </c>
      <c r="G15" t="s">
        <v>83</v>
      </c>
      <c r="H15" t="s">
        <v>84</v>
      </c>
      <c r="I15" t="s">
        <v>72</v>
      </c>
      <c r="J15" t="s">
        <v>104</v>
      </c>
      <c r="K15" t="s">
        <v>73</v>
      </c>
      <c r="L15" s="16" t="s">
        <v>74</v>
      </c>
      <c r="M15">
        <v>1</v>
      </c>
      <c r="N15">
        <v>0</v>
      </c>
      <c r="O15">
        <v>0</v>
      </c>
      <c r="P15">
        <v>0</v>
      </c>
      <c r="Q15">
        <v>0</v>
      </c>
      <c r="R15">
        <f t="shared" si="0"/>
        <v>1</v>
      </c>
      <c r="S15">
        <v>0</v>
      </c>
      <c r="T15">
        <v>3</v>
      </c>
      <c r="U15">
        <v>0</v>
      </c>
      <c r="V15">
        <v>0</v>
      </c>
      <c r="W15">
        <v>0</v>
      </c>
      <c r="X15">
        <f t="shared" si="1"/>
        <v>3</v>
      </c>
      <c r="Y15">
        <v>0</v>
      </c>
      <c r="Z15">
        <v>1</v>
      </c>
      <c r="AA15">
        <v>0</v>
      </c>
      <c r="AB15">
        <v>0</v>
      </c>
      <c r="AC15">
        <v>0</v>
      </c>
      <c r="AD15">
        <f t="shared" si="2"/>
        <v>1</v>
      </c>
      <c r="AE15">
        <v>0</v>
      </c>
      <c r="AF15">
        <v>5</v>
      </c>
      <c r="AG15">
        <v>0</v>
      </c>
      <c r="AH15">
        <v>0</v>
      </c>
      <c r="AI15">
        <v>0</v>
      </c>
      <c r="AJ15">
        <f t="shared" si="3"/>
        <v>5</v>
      </c>
      <c r="AK15">
        <v>0</v>
      </c>
      <c r="AL15">
        <v>1</v>
      </c>
      <c r="AM15">
        <v>0</v>
      </c>
      <c r="AN15">
        <v>0</v>
      </c>
      <c r="AO15">
        <v>0</v>
      </c>
      <c r="AP15">
        <f t="shared" si="4"/>
        <v>1</v>
      </c>
      <c r="AQ15">
        <v>0</v>
      </c>
      <c r="AR15">
        <v>1</v>
      </c>
      <c r="AS15">
        <v>0</v>
      </c>
      <c r="AT15">
        <v>0</v>
      </c>
      <c r="AU15">
        <v>0</v>
      </c>
      <c r="AV15">
        <f t="shared" si="5"/>
        <v>1</v>
      </c>
      <c r="AW15">
        <v>0</v>
      </c>
      <c r="AX15">
        <v>2</v>
      </c>
      <c r="AY15">
        <v>0</v>
      </c>
      <c r="AZ15">
        <v>0</v>
      </c>
      <c r="BA15">
        <v>0</v>
      </c>
      <c r="BB15">
        <f t="shared" si="6"/>
        <v>2</v>
      </c>
      <c r="BC15">
        <v>0</v>
      </c>
      <c r="BD15">
        <v>1</v>
      </c>
      <c r="BE15">
        <v>0</v>
      </c>
      <c r="BF15">
        <v>0</v>
      </c>
      <c r="BG15">
        <v>0</v>
      </c>
      <c r="BH15">
        <f t="shared" si="7"/>
        <v>1</v>
      </c>
    </row>
    <row r="16" spans="1:60" x14ac:dyDescent="0.25">
      <c r="A16" t="s">
        <v>71</v>
      </c>
      <c r="B16" t="s">
        <v>79</v>
      </c>
      <c r="C16" t="s">
        <v>101</v>
      </c>
      <c r="D16">
        <v>304305</v>
      </c>
      <c r="E16" t="s">
        <v>105</v>
      </c>
      <c r="F16" t="s">
        <v>106</v>
      </c>
      <c r="G16" t="s">
        <v>83</v>
      </c>
      <c r="H16" t="s">
        <v>84</v>
      </c>
      <c r="I16" t="s">
        <v>72</v>
      </c>
      <c r="J16" t="s">
        <v>107</v>
      </c>
      <c r="K16" t="s">
        <v>73</v>
      </c>
      <c r="L16" s="16" t="s">
        <v>74</v>
      </c>
      <c r="M16">
        <v>5</v>
      </c>
      <c r="N16">
        <v>0</v>
      </c>
      <c r="O16">
        <v>0</v>
      </c>
      <c r="P16">
        <v>0</v>
      </c>
      <c r="Q16">
        <v>0</v>
      </c>
      <c r="R16">
        <f t="shared" si="0"/>
        <v>5</v>
      </c>
      <c r="S16">
        <v>4</v>
      </c>
      <c r="T16">
        <v>0</v>
      </c>
      <c r="U16">
        <v>0</v>
      </c>
      <c r="V16">
        <v>0</v>
      </c>
      <c r="W16">
        <v>0</v>
      </c>
      <c r="X16">
        <f t="shared" si="1"/>
        <v>4</v>
      </c>
      <c r="Y16">
        <v>1</v>
      </c>
      <c r="Z16">
        <v>0</v>
      </c>
      <c r="AA16">
        <v>0</v>
      </c>
      <c r="AB16">
        <v>0</v>
      </c>
      <c r="AC16">
        <v>2</v>
      </c>
      <c r="AD16">
        <f t="shared" si="2"/>
        <v>3</v>
      </c>
      <c r="AE16">
        <v>4</v>
      </c>
      <c r="AF16">
        <v>0</v>
      </c>
      <c r="AG16">
        <v>0</v>
      </c>
      <c r="AH16">
        <v>0</v>
      </c>
      <c r="AI16">
        <v>0</v>
      </c>
      <c r="AJ16">
        <f t="shared" si="3"/>
        <v>4</v>
      </c>
      <c r="AK16">
        <v>2</v>
      </c>
      <c r="AL16">
        <v>0</v>
      </c>
      <c r="AM16">
        <v>0</v>
      </c>
      <c r="AN16">
        <v>0</v>
      </c>
      <c r="AO16">
        <v>2</v>
      </c>
      <c r="AP16">
        <f t="shared" si="4"/>
        <v>4</v>
      </c>
      <c r="AQ16">
        <v>1</v>
      </c>
      <c r="AR16">
        <v>0</v>
      </c>
      <c r="AS16">
        <v>0</v>
      </c>
      <c r="AT16">
        <v>0</v>
      </c>
      <c r="AU16">
        <v>1</v>
      </c>
      <c r="AV16">
        <f t="shared" si="5"/>
        <v>2</v>
      </c>
      <c r="AW16">
        <v>2</v>
      </c>
      <c r="AX16">
        <v>0</v>
      </c>
      <c r="AY16">
        <v>0</v>
      </c>
      <c r="AZ16">
        <v>0</v>
      </c>
      <c r="BA16">
        <v>3</v>
      </c>
      <c r="BB16">
        <f t="shared" si="6"/>
        <v>5</v>
      </c>
      <c r="BC16">
        <v>2</v>
      </c>
      <c r="BD16">
        <v>0</v>
      </c>
      <c r="BE16">
        <v>0</v>
      </c>
      <c r="BF16">
        <v>0</v>
      </c>
      <c r="BG16">
        <v>0</v>
      </c>
      <c r="BH16">
        <f t="shared" si="7"/>
        <v>2</v>
      </c>
    </row>
    <row r="17" spans="1:60" x14ac:dyDescent="0.25">
      <c r="A17" t="s">
        <v>71</v>
      </c>
      <c r="B17" t="s">
        <v>79</v>
      </c>
      <c r="C17" t="s">
        <v>101</v>
      </c>
      <c r="D17">
        <v>304314</v>
      </c>
      <c r="E17" t="s">
        <v>108</v>
      </c>
      <c r="F17" t="s">
        <v>109</v>
      </c>
      <c r="G17" t="s">
        <v>83</v>
      </c>
      <c r="H17" t="s">
        <v>84</v>
      </c>
      <c r="I17" t="s">
        <v>72</v>
      </c>
      <c r="J17" t="s">
        <v>110</v>
      </c>
      <c r="K17" t="s">
        <v>73</v>
      </c>
      <c r="L17" s="16" t="s">
        <v>74</v>
      </c>
      <c r="M17">
        <v>0</v>
      </c>
      <c r="N17">
        <v>4</v>
      </c>
      <c r="O17">
        <v>0</v>
      </c>
      <c r="P17">
        <v>0</v>
      </c>
      <c r="Q17">
        <v>0</v>
      </c>
      <c r="R17">
        <f t="shared" si="0"/>
        <v>4</v>
      </c>
      <c r="S17">
        <v>0</v>
      </c>
      <c r="T17">
        <v>2</v>
      </c>
      <c r="U17">
        <v>0</v>
      </c>
      <c r="V17">
        <v>0</v>
      </c>
      <c r="W17">
        <v>0</v>
      </c>
      <c r="X17">
        <f t="shared" si="1"/>
        <v>2</v>
      </c>
      <c r="Y17">
        <v>0</v>
      </c>
      <c r="Z17">
        <v>0</v>
      </c>
      <c r="AA17">
        <v>0</v>
      </c>
      <c r="AB17">
        <v>0</v>
      </c>
      <c r="AC17">
        <v>0</v>
      </c>
      <c r="AD17">
        <f t="shared" si="2"/>
        <v>0</v>
      </c>
      <c r="AE17">
        <v>0</v>
      </c>
      <c r="AF17">
        <v>3</v>
      </c>
      <c r="AG17">
        <v>0</v>
      </c>
      <c r="AH17">
        <v>0</v>
      </c>
      <c r="AI17">
        <v>0</v>
      </c>
      <c r="AJ17">
        <f t="shared" si="3"/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f t="shared" si="4"/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f t="shared" si="5"/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f t="shared" si="6"/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f t="shared" si="7"/>
        <v>0</v>
      </c>
    </row>
    <row r="18" spans="1:60" x14ac:dyDescent="0.25">
      <c r="A18" t="s">
        <v>71</v>
      </c>
      <c r="B18" t="s">
        <v>79</v>
      </c>
      <c r="C18" t="s">
        <v>101</v>
      </c>
      <c r="D18">
        <v>304327</v>
      </c>
      <c r="E18" t="s">
        <v>111</v>
      </c>
      <c r="F18" t="s">
        <v>112</v>
      </c>
      <c r="G18" t="s">
        <v>83</v>
      </c>
      <c r="H18" t="s">
        <v>84</v>
      </c>
      <c r="I18" t="s">
        <v>72</v>
      </c>
      <c r="J18" t="s">
        <v>113</v>
      </c>
      <c r="K18" t="s">
        <v>73</v>
      </c>
      <c r="L18" s="16" t="s">
        <v>74</v>
      </c>
      <c r="M18">
        <v>1</v>
      </c>
      <c r="N18">
        <v>7</v>
      </c>
      <c r="O18">
        <v>0</v>
      </c>
      <c r="P18">
        <v>2</v>
      </c>
      <c r="Q18">
        <v>6</v>
      </c>
      <c r="R18">
        <f t="shared" si="0"/>
        <v>16</v>
      </c>
      <c r="S18">
        <v>0</v>
      </c>
      <c r="T18">
        <v>9</v>
      </c>
      <c r="U18">
        <v>0</v>
      </c>
      <c r="V18">
        <v>2</v>
      </c>
      <c r="W18">
        <v>7</v>
      </c>
      <c r="X18">
        <f t="shared" si="1"/>
        <v>18</v>
      </c>
      <c r="Y18">
        <v>0</v>
      </c>
      <c r="Z18">
        <v>3</v>
      </c>
      <c r="AA18">
        <v>0</v>
      </c>
      <c r="AB18">
        <v>2</v>
      </c>
      <c r="AC18">
        <v>1</v>
      </c>
      <c r="AD18">
        <f t="shared" si="2"/>
        <v>6</v>
      </c>
      <c r="AE18">
        <v>1</v>
      </c>
      <c r="AF18">
        <v>11</v>
      </c>
      <c r="AG18">
        <v>0</v>
      </c>
      <c r="AH18">
        <v>2</v>
      </c>
      <c r="AI18">
        <v>10</v>
      </c>
      <c r="AJ18">
        <f t="shared" si="3"/>
        <v>24</v>
      </c>
      <c r="AK18">
        <v>0</v>
      </c>
      <c r="AL18">
        <v>3</v>
      </c>
      <c r="AM18">
        <v>0</v>
      </c>
      <c r="AN18">
        <v>1</v>
      </c>
      <c r="AO18">
        <v>2</v>
      </c>
      <c r="AP18">
        <f t="shared" si="4"/>
        <v>6</v>
      </c>
      <c r="AQ18">
        <v>0</v>
      </c>
      <c r="AR18">
        <v>2</v>
      </c>
      <c r="AS18">
        <v>0</v>
      </c>
      <c r="AT18">
        <v>1</v>
      </c>
      <c r="AU18">
        <v>1</v>
      </c>
      <c r="AV18">
        <f t="shared" si="5"/>
        <v>4</v>
      </c>
      <c r="AW18">
        <v>0</v>
      </c>
      <c r="AX18">
        <v>3</v>
      </c>
      <c r="AY18">
        <v>0</v>
      </c>
      <c r="AZ18">
        <v>1</v>
      </c>
      <c r="BA18">
        <v>2</v>
      </c>
      <c r="BB18">
        <f t="shared" si="6"/>
        <v>6</v>
      </c>
      <c r="BC18">
        <v>0</v>
      </c>
      <c r="BD18">
        <v>4</v>
      </c>
      <c r="BE18">
        <v>0</v>
      </c>
      <c r="BF18">
        <v>1</v>
      </c>
      <c r="BG18">
        <v>3</v>
      </c>
      <c r="BH18">
        <f t="shared" si="7"/>
        <v>8</v>
      </c>
    </row>
    <row r="19" spans="1:60" x14ac:dyDescent="0.25">
      <c r="A19" t="s">
        <v>71</v>
      </c>
      <c r="B19" t="s">
        <v>79</v>
      </c>
      <c r="C19" t="s">
        <v>101</v>
      </c>
      <c r="D19">
        <v>304328</v>
      </c>
      <c r="E19" t="s">
        <v>114</v>
      </c>
      <c r="F19" t="s">
        <v>115</v>
      </c>
      <c r="G19" t="s">
        <v>83</v>
      </c>
      <c r="H19" t="s">
        <v>84</v>
      </c>
      <c r="I19" t="s">
        <v>72</v>
      </c>
      <c r="J19" t="s">
        <v>90</v>
      </c>
      <c r="K19" t="s">
        <v>73</v>
      </c>
      <c r="L19" s="16" t="s">
        <v>74</v>
      </c>
      <c r="M19">
        <v>0</v>
      </c>
      <c r="N19">
        <v>6</v>
      </c>
      <c r="O19">
        <v>0</v>
      </c>
      <c r="P19">
        <v>0</v>
      </c>
      <c r="Q19">
        <v>0</v>
      </c>
      <c r="R19">
        <f t="shared" si="0"/>
        <v>6</v>
      </c>
      <c r="S19">
        <v>0</v>
      </c>
      <c r="T19">
        <v>4</v>
      </c>
      <c r="U19">
        <v>0</v>
      </c>
      <c r="V19">
        <v>0</v>
      </c>
      <c r="W19">
        <v>0</v>
      </c>
      <c r="X19">
        <f t="shared" si="1"/>
        <v>4</v>
      </c>
      <c r="Y19">
        <v>0</v>
      </c>
      <c r="Z19">
        <v>1</v>
      </c>
      <c r="AA19">
        <v>0</v>
      </c>
      <c r="AB19">
        <v>0</v>
      </c>
      <c r="AC19">
        <v>0</v>
      </c>
      <c r="AD19">
        <f t="shared" si="2"/>
        <v>1</v>
      </c>
      <c r="AE19">
        <v>0</v>
      </c>
      <c r="AF19">
        <v>7</v>
      </c>
      <c r="AG19">
        <v>3</v>
      </c>
      <c r="AH19">
        <v>0</v>
      </c>
      <c r="AI19">
        <v>0</v>
      </c>
      <c r="AJ19">
        <f t="shared" si="3"/>
        <v>10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f t="shared" si="4"/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f t="shared" si="5"/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f t="shared" si="6"/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f t="shared" si="7"/>
        <v>1</v>
      </c>
    </row>
    <row r="20" spans="1:60" x14ac:dyDescent="0.25">
      <c r="A20" t="s">
        <v>71</v>
      </c>
      <c r="B20" t="s">
        <v>79</v>
      </c>
      <c r="C20" t="s">
        <v>101</v>
      </c>
      <c r="D20">
        <v>304338</v>
      </c>
      <c r="E20" t="s">
        <v>116</v>
      </c>
      <c r="F20" t="s">
        <v>117</v>
      </c>
      <c r="G20" t="s">
        <v>83</v>
      </c>
      <c r="H20" t="s">
        <v>84</v>
      </c>
      <c r="I20" t="s">
        <v>72</v>
      </c>
      <c r="J20" t="s">
        <v>118</v>
      </c>
      <c r="K20" t="s">
        <v>73</v>
      </c>
      <c r="L20" s="16" t="s">
        <v>74</v>
      </c>
      <c r="M20">
        <v>0</v>
      </c>
      <c r="N20">
        <v>2</v>
      </c>
      <c r="O20">
        <v>0</v>
      </c>
      <c r="P20">
        <v>0</v>
      </c>
      <c r="Q20">
        <v>0</v>
      </c>
      <c r="R20">
        <f t="shared" si="0"/>
        <v>2</v>
      </c>
      <c r="S20">
        <v>0</v>
      </c>
      <c r="T20">
        <v>2</v>
      </c>
      <c r="U20">
        <v>0</v>
      </c>
      <c r="V20">
        <v>0</v>
      </c>
      <c r="W20">
        <v>0</v>
      </c>
      <c r="X20">
        <f t="shared" si="1"/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f t="shared" si="2"/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f t="shared" si="3"/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f t="shared" si="4"/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f t="shared" si="5"/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f t="shared" si="6"/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f t="shared" si="7"/>
        <v>0</v>
      </c>
    </row>
    <row r="21" spans="1:60" x14ac:dyDescent="0.25">
      <c r="A21" t="s">
        <v>71</v>
      </c>
      <c r="B21" t="s">
        <v>79</v>
      </c>
      <c r="C21" t="s">
        <v>101</v>
      </c>
      <c r="D21">
        <v>316104</v>
      </c>
      <c r="E21" t="s">
        <v>119</v>
      </c>
      <c r="F21" t="s">
        <v>120</v>
      </c>
      <c r="G21" t="s">
        <v>83</v>
      </c>
      <c r="H21" t="s">
        <v>84</v>
      </c>
      <c r="I21" t="s">
        <v>72</v>
      </c>
      <c r="J21" t="s">
        <v>121</v>
      </c>
      <c r="K21" t="s">
        <v>73</v>
      </c>
      <c r="L21" s="16" t="s">
        <v>74</v>
      </c>
      <c r="M21">
        <v>2</v>
      </c>
      <c r="N21">
        <v>4</v>
      </c>
      <c r="O21">
        <v>0</v>
      </c>
      <c r="P21">
        <v>0</v>
      </c>
      <c r="Q21">
        <v>0</v>
      </c>
      <c r="R21">
        <f t="shared" si="0"/>
        <v>6</v>
      </c>
      <c r="S21">
        <v>1</v>
      </c>
      <c r="T21">
        <v>4</v>
      </c>
      <c r="U21">
        <v>0</v>
      </c>
      <c r="V21">
        <v>0</v>
      </c>
      <c r="W21">
        <v>0</v>
      </c>
      <c r="X21">
        <f t="shared" si="1"/>
        <v>5</v>
      </c>
      <c r="Y21">
        <v>0</v>
      </c>
      <c r="Z21">
        <v>0</v>
      </c>
      <c r="AA21">
        <v>0</v>
      </c>
      <c r="AB21">
        <v>2</v>
      </c>
      <c r="AC21">
        <v>3</v>
      </c>
      <c r="AD21">
        <f t="shared" si="2"/>
        <v>5</v>
      </c>
      <c r="AE21">
        <v>2</v>
      </c>
      <c r="AF21">
        <v>3</v>
      </c>
      <c r="AG21">
        <v>0</v>
      </c>
      <c r="AH21">
        <v>0</v>
      </c>
      <c r="AI21">
        <v>0</v>
      </c>
      <c r="AJ21">
        <f t="shared" si="3"/>
        <v>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f t="shared" si="4"/>
        <v>0</v>
      </c>
      <c r="AQ21">
        <v>0</v>
      </c>
      <c r="AR21">
        <v>0</v>
      </c>
      <c r="AS21">
        <v>0</v>
      </c>
      <c r="AT21">
        <v>0</v>
      </c>
      <c r="AU21">
        <v>13</v>
      </c>
      <c r="AV21">
        <f t="shared" si="5"/>
        <v>13</v>
      </c>
      <c r="AW21">
        <v>0</v>
      </c>
      <c r="AX21">
        <v>3</v>
      </c>
      <c r="AY21">
        <v>0</v>
      </c>
      <c r="AZ21">
        <v>2</v>
      </c>
      <c r="BA21">
        <v>3</v>
      </c>
      <c r="BB21">
        <f t="shared" si="6"/>
        <v>8</v>
      </c>
      <c r="BC21">
        <v>0</v>
      </c>
      <c r="BD21">
        <v>2</v>
      </c>
      <c r="BE21">
        <v>0</v>
      </c>
      <c r="BF21">
        <v>1</v>
      </c>
      <c r="BG21">
        <v>0</v>
      </c>
      <c r="BH21">
        <f t="shared" si="7"/>
        <v>3</v>
      </c>
    </row>
    <row r="22" spans="1:60" x14ac:dyDescent="0.25">
      <c r="A22" t="s">
        <v>71</v>
      </c>
      <c r="B22" t="s">
        <v>79</v>
      </c>
      <c r="C22" t="s">
        <v>101</v>
      </c>
      <c r="D22">
        <v>325101</v>
      </c>
      <c r="E22" t="s">
        <v>122</v>
      </c>
      <c r="F22" t="s">
        <v>123</v>
      </c>
      <c r="G22" t="s">
        <v>83</v>
      </c>
      <c r="H22" t="s">
        <v>84</v>
      </c>
      <c r="I22" t="s">
        <v>72</v>
      </c>
      <c r="J22" t="s">
        <v>90</v>
      </c>
      <c r="K22" t="s">
        <v>75</v>
      </c>
      <c r="L22" s="16" t="s">
        <v>76</v>
      </c>
      <c r="M22">
        <v>1</v>
      </c>
      <c r="N22">
        <v>2</v>
      </c>
      <c r="O22">
        <v>0</v>
      </c>
      <c r="P22">
        <v>0</v>
      </c>
      <c r="Q22">
        <v>0</v>
      </c>
      <c r="R22">
        <f t="shared" si="0"/>
        <v>3</v>
      </c>
      <c r="S22">
        <v>2</v>
      </c>
      <c r="T22">
        <v>2</v>
      </c>
      <c r="U22">
        <v>0</v>
      </c>
      <c r="V22">
        <v>0</v>
      </c>
      <c r="W22">
        <v>0</v>
      </c>
      <c r="X22">
        <f t="shared" si="1"/>
        <v>4</v>
      </c>
      <c r="Y22">
        <v>1</v>
      </c>
      <c r="Z22">
        <v>1</v>
      </c>
      <c r="AA22">
        <v>0</v>
      </c>
      <c r="AB22">
        <v>0</v>
      </c>
      <c r="AC22">
        <v>0</v>
      </c>
      <c r="AD22">
        <f t="shared" si="2"/>
        <v>2</v>
      </c>
      <c r="AE22">
        <v>0</v>
      </c>
      <c r="AF22">
        <v>4</v>
      </c>
      <c r="AG22">
        <v>0</v>
      </c>
      <c r="AH22">
        <v>0</v>
      </c>
      <c r="AI22">
        <v>0</v>
      </c>
      <c r="AJ22">
        <f t="shared" si="3"/>
        <v>4</v>
      </c>
      <c r="AK22">
        <v>0</v>
      </c>
      <c r="AL22">
        <v>1</v>
      </c>
      <c r="AM22">
        <v>0</v>
      </c>
      <c r="AN22">
        <v>0</v>
      </c>
      <c r="AO22">
        <v>0</v>
      </c>
      <c r="AP22">
        <f t="shared" si="4"/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f t="shared" si="5"/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f t="shared" si="6"/>
        <v>1</v>
      </c>
      <c r="BC22">
        <v>1</v>
      </c>
      <c r="BD22">
        <v>1</v>
      </c>
      <c r="BE22">
        <v>0</v>
      </c>
      <c r="BF22">
        <v>0</v>
      </c>
      <c r="BG22">
        <v>0</v>
      </c>
      <c r="BH22">
        <f t="shared" si="7"/>
        <v>2</v>
      </c>
    </row>
    <row r="23" spans="1:60" x14ac:dyDescent="0.25">
      <c r="A23" t="s">
        <v>71</v>
      </c>
      <c r="B23" t="s">
        <v>79</v>
      </c>
      <c r="C23" t="s">
        <v>101</v>
      </c>
      <c r="D23">
        <v>325102</v>
      </c>
      <c r="E23" t="s">
        <v>124</v>
      </c>
      <c r="F23" t="s">
        <v>125</v>
      </c>
      <c r="G23" t="s">
        <v>83</v>
      </c>
      <c r="H23" t="s">
        <v>84</v>
      </c>
      <c r="I23" t="s">
        <v>72</v>
      </c>
      <c r="J23" t="s">
        <v>126</v>
      </c>
      <c r="K23" t="s">
        <v>73</v>
      </c>
      <c r="L23" s="16" t="s">
        <v>74</v>
      </c>
      <c r="M23">
        <v>0</v>
      </c>
      <c r="N23">
        <v>4</v>
      </c>
      <c r="O23">
        <v>0</v>
      </c>
      <c r="P23">
        <v>0</v>
      </c>
      <c r="Q23">
        <v>0</v>
      </c>
      <c r="R23">
        <f t="shared" si="0"/>
        <v>4</v>
      </c>
      <c r="S23">
        <v>0</v>
      </c>
      <c r="T23">
        <v>3</v>
      </c>
      <c r="U23">
        <v>0</v>
      </c>
      <c r="V23">
        <v>0</v>
      </c>
      <c r="W23">
        <v>0</v>
      </c>
      <c r="X23">
        <f t="shared" si="1"/>
        <v>3</v>
      </c>
      <c r="Y23">
        <v>0</v>
      </c>
      <c r="Z23">
        <v>0</v>
      </c>
      <c r="AA23">
        <v>0</v>
      </c>
      <c r="AB23">
        <v>0</v>
      </c>
      <c r="AC23">
        <v>4</v>
      </c>
      <c r="AD23">
        <f t="shared" si="2"/>
        <v>4</v>
      </c>
      <c r="AE23">
        <v>0</v>
      </c>
      <c r="AF23">
        <v>4</v>
      </c>
      <c r="AG23">
        <v>0</v>
      </c>
      <c r="AH23">
        <v>0</v>
      </c>
      <c r="AI23">
        <v>0</v>
      </c>
      <c r="AJ23">
        <f t="shared" si="3"/>
        <v>4</v>
      </c>
      <c r="AK23">
        <v>0</v>
      </c>
      <c r="AL23">
        <v>1</v>
      </c>
      <c r="AM23">
        <v>0</v>
      </c>
      <c r="AN23">
        <v>0</v>
      </c>
      <c r="AO23">
        <v>4</v>
      </c>
      <c r="AP23">
        <f t="shared" si="4"/>
        <v>5</v>
      </c>
      <c r="AQ23">
        <v>0</v>
      </c>
      <c r="AR23">
        <v>0</v>
      </c>
      <c r="AS23">
        <v>0</v>
      </c>
      <c r="AT23">
        <v>0</v>
      </c>
      <c r="AU23">
        <v>10</v>
      </c>
      <c r="AV23">
        <f t="shared" si="5"/>
        <v>10</v>
      </c>
      <c r="AW23">
        <v>0</v>
      </c>
      <c r="AX23">
        <v>2</v>
      </c>
      <c r="AY23">
        <v>0</v>
      </c>
      <c r="AZ23">
        <v>0</v>
      </c>
      <c r="BA23">
        <v>1</v>
      </c>
      <c r="BB23">
        <f t="shared" si="6"/>
        <v>3</v>
      </c>
      <c r="BC23">
        <v>0</v>
      </c>
      <c r="BD23">
        <v>1</v>
      </c>
      <c r="BE23">
        <v>0</v>
      </c>
      <c r="BF23">
        <v>0</v>
      </c>
      <c r="BG23">
        <v>3</v>
      </c>
      <c r="BH23">
        <f t="shared" si="7"/>
        <v>4</v>
      </c>
    </row>
    <row r="24" spans="1:60" x14ac:dyDescent="0.25">
      <c r="A24" t="s">
        <v>71</v>
      </c>
      <c r="B24" t="s">
        <v>79</v>
      </c>
      <c r="C24" t="s">
        <v>101</v>
      </c>
      <c r="D24">
        <v>325106</v>
      </c>
      <c r="E24" t="s">
        <v>127</v>
      </c>
      <c r="F24" t="s">
        <v>128</v>
      </c>
      <c r="G24" t="s">
        <v>83</v>
      </c>
      <c r="H24" t="s">
        <v>84</v>
      </c>
      <c r="I24" t="s">
        <v>72</v>
      </c>
      <c r="J24" t="s">
        <v>129</v>
      </c>
      <c r="K24" t="s">
        <v>73</v>
      </c>
      <c r="L24" s="16" t="s">
        <v>74</v>
      </c>
      <c r="M24">
        <v>0</v>
      </c>
      <c r="N24">
        <v>3</v>
      </c>
      <c r="O24">
        <v>0</v>
      </c>
      <c r="P24">
        <v>0</v>
      </c>
      <c r="Q24">
        <v>0</v>
      </c>
      <c r="R24">
        <f t="shared" si="0"/>
        <v>3</v>
      </c>
      <c r="S24">
        <v>0</v>
      </c>
      <c r="T24">
        <v>3</v>
      </c>
      <c r="U24">
        <v>0</v>
      </c>
      <c r="V24">
        <v>0</v>
      </c>
      <c r="W24">
        <v>0</v>
      </c>
      <c r="X24">
        <f t="shared" si="1"/>
        <v>3</v>
      </c>
      <c r="Y24">
        <v>0</v>
      </c>
      <c r="Z24">
        <v>0</v>
      </c>
      <c r="AA24">
        <v>0</v>
      </c>
      <c r="AB24">
        <v>0</v>
      </c>
      <c r="AC24">
        <v>4</v>
      </c>
      <c r="AD24">
        <f t="shared" si="2"/>
        <v>4</v>
      </c>
      <c r="AE24">
        <v>0</v>
      </c>
      <c r="AF24">
        <v>3</v>
      </c>
      <c r="AG24">
        <v>0</v>
      </c>
      <c r="AH24">
        <v>0</v>
      </c>
      <c r="AI24">
        <v>0</v>
      </c>
      <c r="AJ24">
        <f t="shared" si="3"/>
        <v>3</v>
      </c>
      <c r="AK24">
        <v>1</v>
      </c>
      <c r="AL24">
        <v>0</v>
      </c>
      <c r="AM24">
        <v>0</v>
      </c>
      <c r="AN24">
        <v>0</v>
      </c>
      <c r="AO24">
        <v>2</v>
      </c>
      <c r="AP24">
        <f t="shared" si="4"/>
        <v>3</v>
      </c>
      <c r="AQ24">
        <v>0</v>
      </c>
      <c r="AR24">
        <v>0</v>
      </c>
      <c r="AS24">
        <v>0</v>
      </c>
      <c r="AT24">
        <v>0</v>
      </c>
      <c r="AU24">
        <v>6</v>
      </c>
      <c r="AV24">
        <f t="shared" si="5"/>
        <v>6</v>
      </c>
      <c r="AW24">
        <v>0</v>
      </c>
      <c r="AX24">
        <v>2</v>
      </c>
      <c r="AY24">
        <v>0</v>
      </c>
      <c r="AZ24">
        <v>0</v>
      </c>
      <c r="BA24">
        <v>1</v>
      </c>
      <c r="BB24">
        <f t="shared" si="6"/>
        <v>3</v>
      </c>
      <c r="BC24">
        <v>0</v>
      </c>
      <c r="BD24">
        <v>1</v>
      </c>
      <c r="BE24">
        <v>0</v>
      </c>
      <c r="BF24">
        <v>0</v>
      </c>
      <c r="BG24">
        <v>3</v>
      </c>
      <c r="BH24">
        <f t="shared" si="7"/>
        <v>4</v>
      </c>
    </row>
    <row r="25" spans="1:60" x14ac:dyDescent="0.25">
      <c r="A25" t="s">
        <v>71</v>
      </c>
      <c r="B25" t="s">
        <v>79</v>
      </c>
      <c r="C25" t="s">
        <v>130</v>
      </c>
      <c r="D25">
        <v>304313</v>
      </c>
      <c r="E25" t="s">
        <v>131</v>
      </c>
      <c r="F25" t="s">
        <v>132</v>
      </c>
      <c r="G25" t="s">
        <v>83</v>
      </c>
      <c r="H25" t="s">
        <v>84</v>
      </c>
      <c r="I25" t="s">
        <v>72</v>
      </c>
      <c r="J25" t="s">
        <v>133</v>
      </c>
      <c r="K25" t="s">
        <v>73</v>
      </c>
      <c r="L25" s="16" t="s">
        <v>74</v>
      </c>
      <c r="M25">
        <v>0</v>
      </c>
      <c r="N25">
        <v>3</v>
      </c>
      <c r="O25">
        <v>0</v>
      </c>
      <c r="P25">
        <v>0</v>
      </c>
      <c r="Q25">
        <v>0</v>
      </c>
      <c r="R25">
        <f t="shared" si="0"/>
        <v>3</v>
      </c>
      <c r="S25">
        <v>0</v>
      </c>
      <c r="T25">
        <v>3</v>
      </c>
      <c r="U25">
        <v>0</v>
      </c>
      <c r="V25">
        <v>1</v>
      </c>
      <c r="W25">
        <v>0</v>
      </c>
      <c r="X25">
        <f t="shared" si="1"/>
        <v>4</v>
      </c>
      <c r="Y25">
        <v>0</v>
      </c>
      <c r="Z25">
        <v>0</v>
      </c>
      <c r="AA25">
        <v>0</v>
      </c>
      <c r="AB25">
        <v>0</v>
      </c>
      <c r="AC25">
        <v>3</v>
      </c>
      <c r="AD25">
        <f t="shared" si="2"/>
        <v>3</v>
      </c>
      <c r="AE25">
        <v>0</v>
      </c>
      <c r="AF25">
        <v>6</v>
      </c>
      <c r="AG25">
        <v>0</v>
      </c>
      <c r="AH25">
        <v>1</v>
      </c>
      <c r="AI25">
        <v>0</v>
      </c>
      <c r="AJ25">
        <f t="shared" si="3"/>
        <v>7</v>
      </c>
      <c r="AK25">
        <v>0</v>
      </c>
      <c r="AL25">
        <v>1</v>
      </c>
      <c r="AM25">
        <v>0</v>
      </c>
      <c r="AN25">
        <v>0</v>
      </c>
      <c r="AO25">
        <v>2</v>
      </c>
      <c r="AP25">
        <f t="shared" si="4"/>
        <v>3</v>
      </c>
      <c r="AQ25">
        <v>0</v>
      </c>
      <c r="AR25">
        <v>0</v>
      </c>
      <c r="AS25">
        <v>0</v>
      </c>
      <c r="AT25">
        <v>0</v>
      </c>
      <c r="AU25">
        <v>3</v>
      </c>
      <c r="AV25">
        <f t="shared" si="5"/>
        <v>3</v>
      </c>
      <c r="AW25">
        <v>0</v>
      </c>
      <c r="AX25">
        <v>1</v>
      </c>
      <c r="AY25">
        <v>0</v>
      </c>
      <c r="AZ25">
        <v>3</v>
      </c>
      <c r="BA25">
        <v>0</v>
      </c>
      <c r="BB25">
        <f t="shared" si="6"/>
        <v>4</v>
      </c>
      <c r="BC25">
        <v>0</v>
      </c>
      <c r="BD25">
        <v>1</v>
      </c>
      <c r="BE25">
        <v>0</v>
      </c>
      <c r="BF25">
        <v>0</v>
      </c>
      <c r="BG25">
        <v>2</v>
      </c>
      <c r="BH25">
        <f t="shared" si="7"/>
        <v>3</v>
      </c>
    </row>
    <row r="26" spans="1:60" x14ac:dyDescent="0.25">
      <c r="A26" t="s">
        <v>71</v>
      </c>
      <c r="B26" t="s">
        <v>79</v>
      </c>
      <c r="C26" t="s">
        <v>130</v>
      </c>
      <c r="D26">
        <v>304318</v>
      </c>
      <c r="E26" t="s">
        <v>134</v>
      </c>
      <c r="F26" t="s">
        <v>135</v>
      </c>
      <c r="G26" t="s">
        <v>83</v>
      </c>
      <c r="H26" t="s">
        <v>84</v>
      </c>
      <c r="I26" t="s">
        <v>72</v>
      </c>
      <c r="J26" t="s">
        <v>136</v>
      </c>
      <c r="K26" t="s">
        <v>73</v>
      </c>
      <c r="L26" s="16" t="s">
        <v>74</v>
      </c>
      <c r="M26">
        <v>0</v>
      </c>
      <c r="N26">
        <v>3</v>
      </c>
      <c r="O26">
        <v>0</v>
      </c>
      <c r="P26">
        <v>0</v>
      </c>
      <c r="Q26">
        <v>0</v>
      </c>
      <c r="R26">
        <f t="shared" si="0"/>
        <v>3</v>
      </c>
      <c r="S26">
        <v>0</v>
      </c>
      <c r="T26">
        <v>3</v>
      </c>
      <c r="U26">
        <v>0</v>
      </c>
      <c r="V26">
        <v>0</v>
      </c>
      <c r="W26">
        <v>1</v>
      </c>
      <c r="X26">
        <f t="shared" si="1"/>
        <v>4</v>
      </c>
      <c r="Y26">
        <v>0</v>
      </c>
      <c r="Z26">
        <v>1</v>
      </c>
      <c r="AA26">
        <v>0</v>
      </c>
      <c r="AB26">
        <v>1</v>
      </c>
      <c r="AC26">
        <v>0</v>
      </c>
      <c r="AD26">
        <f t="shared" si="2"/>
        <v>2</v>
      </c>
      <c r="AE26">
        <v>0</v>
      </c>
      <c r="AF26">
        <v>4</v>
      </c>
      <c r="AG26">
        <v>0</v>
      </c>
      <c r="AH26">
        <v>0</v>
      </c>
      <c r="AI26">
        <v>0</v>
      </c>
      <c r="AJ26">
        <f t="shared" si="3"/>
        <v>4</v>
      </c>
      <c r="AK26">
        <v>0</v>
      </c>
      <c r="AL26">
        <v>1</v>
      </c>
      <c r="AM26">
        <v>0</v>
      </c>
      <c r="AN26">
        <v>0</v>
      </c>
      <c r="AO26">
        <v>2</v>
      </c>
      <c r="AP26">
        <f t="shared" si="4"/>
        <v>3</v>
      </c>
      <c r="AQ26">
        <v>0</v>
      </c>
      <c r="AR26">
        <v>0</v>
      </c>
      <c r="AS26">
        <v>0</v>
      </c>
      <c r="AT26">
        <v>1</v>
      </c>
      <c r="AU26">
        <v>2</v>
      </c>
      <c r="AV26">
        <f t="shared" si="5"/>
        <v>3</v>
      </c>
      <c r="AW26">
        <v>0</v>
      </c>
      <c r="AX26">
        <v>1</v>
      </c>
      <c r="AY26">
        <v>0</v>
      </c>
      <c r="AZ26">
        <v>1</v>
      </c>
      <c r="BA26">
        <v>0</v>
      </c>
      <c r="BB26">
        <f t="shared" si="6"/>
        <v>2</v>
      </c>
      <c r="BC26">
        <v>0</v>
      </c>
      <c r="BD26">
        <v>1</v>
      </c>
      <c r="BE26">
        <v>0</v>
      </c>
      <c r="BF26">
        <v>1</v>
      </c>
      <c r="BG26">
        <v>3</v>
      </c>
      <c r="BH26">
        <f t="shared" si="7"/>
        <v>5</v>
      </c>
    </row>
    <row r="27" spans="1:60" x14ac:dyDescent="0.25">
      <c r="A27" t="s">
        <v>71</v>
      </c>
      <c r="B27" t="s">
        <v>79</v>
      </c>
      <c r="C27" t="s">
        <v>130</v>
      </c>
      <c r="D27">
        <v>325105</v>
      </c>
      <c r="E27" t="s">
        <v>137</v>
      </c>
      <c r="F27" t="s">
        <v>138</v>
      </c>
      <c r="G27" t="s">
        <v>83</v>
      </c>
      <c r="H27" t="s">
        <v>84</v>
      </c>
      <c r="I27" t="s">
        <v>72</v>
      </c>
      <c r="J27" t="s">
        <v>139</v>
      </c>
      <c r="K27" t="s">
        <v>73</v>
      </c>
      <c r="L27" s="16" t="s">
        <v>74</v>
      </c>
      <c r="M27">
        <v>0</v>
      </c>
      <c r="N27">
        <v>3</v>
      </c>
      <c r="O27">
        <v>0</v>
      </c>
      <c r="P27">
        <v>0</v>
      </c>
      <c r="Q27">
        <v>0</v>
      </c>
      <c r="R27">
        <f t="shared" si="0"/>
        <v>3</v>
      </c>
      <c r="S27">
        <v>0</v>
      </c>
      <c r="T27">
        <v>2</v>
      </c>
      <c r="U27">
        <v>0</v>
      </c>
      <c r="V27">
        <v>0</v>
      </c>
      <c r="W27">
        <v>0</v>
      </c>
      <c r="X27">
        <f t="shared" si="1"/>
        <v>2</v>
      </c>
      <c r="Y27">
        <v>0</v>
      </c>
      <c r="Z27">
        <v>1</v>
      </c>
      <c r="AA27">
        <v>0</v>
      </c>
      <c r="AB27">
        <v>0</v>
      </c>
      <c r="AC27">
        <v>0</v>
      </c>
      <c r="AD27">
        <f t="shared" si="2"/>
        <v>1</v>
      </c>
      <c r="AE27">
        <v>0</v>
      </c>
      <c r="AF27">
        <v>3</v>
      </c>
      <c r="AG27">
        <v>0</v>
      </c>
      <c r="AH27">
        <v>0</v>
      </c>
      <c r="AI27">
        <v>0</v>
      </c>
      <c r="AJ27">
        <f t="shared" si="3"/>
        <v>3</v>
      </c>
      <c r="AK27">
        <v>0</v>
      </c>
      <c r="AL27">
        <v>1</v>
      </c>
      <c r="AM27">
        <v>0</v>
      </c>
      <c r="AN27">
        <v>0</v>
      </c>
      <c r="AO27">
        <v>0</v>
      </c>
      <c r="AP27">
        <f t="shared" si="4"/>
        <v>1</v>
      </c>
      <c r="AQ27">
        <v>0</v>
      </c>
      <c r="AR27">
        <v>1</v>
      </c>
      <c r="AS27">
        <v>0</v>
      </c>
      <c r="AT27">
        <v>0</v>
      </c>
      <c r="AU27">
        <v>0</v>
      </c>
      <c r="AV27">
        <f t="shared" si="5"/>
        <v>1</v>
      </c>
      <c r="AW27">
        <v>0</v>
      </c>
      <c r="AX27">
        <v>0</v>
      </c>
      <c r="AY27">
        <v>0</v>
      </c>
      <c r="AZ27">
        <v>2</v>
      </c>
      <c r="BA27">
        <v>0</v>
      </c>
      <c r="BB27">
        <f t="shared" si="6"/>
        <v>2</v>
      </c>
      <c r="BC27">
        <v>0</v>
      </c>
      <c r="BD27">
        <v>0</v>
      </c>
      <c r="BE27">
        <v>0</v>
      </c>
      <c r="BF27">
        <v>0</v>
      </c>
      <c r="BG27">
        <v>0</v>
      </c>
      <c r="BH27">
        <f t="shared" si="7"/>
        <v>0</v>
      </c>
    </row>
    <row r="28" spans="1:60" x14ac:dyDescent="0.25">
      <c r="A28" t="s">
        <v>71</v>
      </c>
      <c r="B28" t="s">
        <v>79</v>
      </c>
      <c r="C28" t="s">
        <v>130</v>
      </c>
      <c r="D28">
        <v>501085</v>
      </c>
      <c r="E28" t="s">
        <v>140</v>
      </c>
      <c r="F28" t="s">
        <v>141</v>
      </c>
      <c r="G28" t="s">
        <v>83</v>
      </c>
      <c r="H28" t="s">
        <v>84</v>
      </c>
      <c r="I28" t="s">
        <v>72</v>
      </c>
      <c r="J28" t="s">
        <v>142</v>
      </c>
      <c r="K28" t="s">
        <v>77</v>
      </c>
      <c r="L28" s="16" t="s">
        <v>78</v>
      </c>
      <c r="M28">
        <v>0</v>
      </c>
      <c r="N28">
        <v>0</v>
      </c>
      <c r="O28">
        <v>0</v>
      </c>
      <c r="P28">
        <v>0</v>
      </c>
      <c r="Q28">
        <v>0</v>
      </c>
      <c r="R28">
        <f t="shared" si="0"/>
        <v>0</v>
      </c>
      <c r="S28">
        <v>0</v>
      </c>
      <c r="T28">
        <v>1</v>
      </c>
      <c r="U28">
        <v>0</v>
      </c>
      <c r="V28">
        <v>0</v>
      </c>
      <c r="W28">
        <v>2</v>
      </c>
      <c r="X28">
        <f t="shared" si="1"/>
        <v>3</v>
      </c>
      <c r="Y28">
        <v>0</v>
      </c>
      <c r="Z28">
        <v>0</v>
      </c>
      <c r="AA28">
        <v>0</v>
      </c>
      <c r="AB28">
        <v>0</v>
      </c>
      <c r="AC28">
        <v>0</v>
      </c>
      <c r="AD28">
        <f t="shared" si="2"/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f t="shared" si="3"/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f t="shared" si="4"/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f t="shared" si="5"/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f t="shared" si="6"/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f t="shared" si="7"/>
        <v>0</v>
      </c>
    </row>
    <row r="29" spans="1:60" x14ac:dyDescent="0.25">
      <c r="A29" t="s">
        <v>71</v>
      </c>
      <c r="B29" t="s">
        <v>79</v>
      </c>
      <c r="C29" t="s">
        <v>130</v>
      </c>
      <c r="D29">
        <v>501086</v>
      </c>
      <c r="E29" t="s">
        <v>143</v>
      </c>
      <c r="F29" t="s">
        <v>144</v>
      </c>
      <c r="G29" t="s">
        <v>83</v>
      </c>
      <c r="H29" t="s">
        <v>84</v>
      </c>
      <c r="I29" t="s">
        <v>72</v>
      </c>
      <c r="J29" t="s">
        <v>145</v>
      </c>
      <c r="K29" t="s">
        <v>77</v>
      </c>
      <c r="L29" s="16" t="s">
        <v>78</v>
      </c>
      <c r="M29">
        <v>0</v>
      </c>
      <c r="N29">
        <v>0</v>
      </c>
      <c r="O29">
        <v>0</v>
      </c>
      <c r="P29">
        <v>0</v>
      </c>
      <c r="Q29">
        <v>0</v>
      </c>
      <c r="R29">
        <f t="shared" si="0"/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f t="shared" si="1"/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f t="shared" si="2"/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f t="shared" si="3"/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f t="shared" si="4"/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f t="shared" si="5"/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f t="shared" si="6"/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f t="shared" si="7"/>
        <v>0</v>
      </c>
    </row>
    <row r="30" spans="1:60" x14ac:dyDescent="0.25">
      <c r="A30" t="s">
        <v>71</v>
      </c>
      <c r="B30" t="s">
        <v>79</v>
      </c>
      <c r="C30" t="s">
        <v>130</v>
      </c>
      <c r="D30">
        <v>501087</v>
      </c>
      <c r="E30" t="s">
        <v>146</v>
      </c>
      <c r="F30" t="s">
        <v>147</v>
      </c>
      <c r="G30" t="s">
        <v>83</v>
      </c>
      <c r="H30" t="s">
        <v>84</v>
      </c>
      <c r="I30" t="s">
        <v>72</v>
      </c>
      <c r="J30" t="s">
        <v>148</v>
      </c>
      <c r="K30" t="s">
        <v>77</v>
      </c>
      <c r="L30" s="16" t="s">
        <v>78</v>
      </c>
      <c r="M30">
        <v>0</v>
      </c>
      <c r="N30">
        <v>0</v>
      </c>
      <c r="O30">
        <v>0</v>
      </c>
      <c r="P30">
        <v>0</v>
      </c>
      <c r="Q30">
        <v>0</v>
      </c>
      <c r="R30">
        <f t="shared" si="0"/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f t="shared" si="1"/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f t="shared" si="2"/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f t="shared" si="3"/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f t="shared" si="4"/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f t="shared" si="5"/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f t="shared" si="6"/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f t="shared" si="7"/>
        <v>0</v>
      </c>
    </row>
  </sheetData>
  <autoFilter ref="A8:BG30" xr:uid="{00000000-0009-0000-0000-000000000000}"/>
  <mergeCells count="32">
    <mergeCell ref="BB5:BB6"/>
    <mergeCell ref="BC5:BE5"/>
    <mergeCell ref="BF5:BG5"/>
    <mergeCell ref="BH5:BH6"/>
    <mergeCell ref="AP5:AP6"/>
    <mergeCell ref="AQ5:AS5"/>
    <mergeCell ref="AT5:AU5"/>
    <mergeCell ref="AV5:AV6"/>
    <mergeCell ref="AW5:AY5"/>
    <mergeCell ref="AZ5:BA5"/>
    <mergeCell ref="AD5:AD6"/>
    <mergeCell ref="AE5:AG5"/>
    <mergeCell ref="AH5:AI5"/>
    <mergeCell ref="AJ5:AJ6"/>
    <mergeCell ref="AK5:AM5"/>
    <mergeCell ref="AN5:AO5"/>
    <mergeCell ref="AW4:BB4"/>
    <mergeCell ref="BC4:BH4"/>
    <mergeCell ref="M5:O5"/>
    <mergeCell ref="P5:Q5"/>
    <mergeCell ref="R5:R6"/>
    <mergeCell ref="S5:U5"/>
    <mergeCell ref="V5:W5"/>
    <mergeCell ref="X5:X6"/>
    <mergeCell ref="Y5:AA5"/>
    <mergeCell ref="AB5:AC5"/>
    <mergeCell ref="M4:R4"/>
    <mergeCell ref="S4:X4"/>
    <mergeCell ref="Y4:AD4"/>
    <mergeCell ref="AE4:AJ4"/>
    <mergeCell ref="AK4:AP4"/>
    <mergeCell ref="AQ4:AV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679E-4C9D-440B-B073-B59DC2388544}">
  <dimension ref="A1:CY24"/>
  <sheetViews>
    <sheetView tabSelected="1" zoomScale="85" zoomScaleNormal="85" workbookViewId="0">
      <pane xSplit="4" ySplit="8" topLeftCell="E10" activePane="bottomRight" state="frozen"/>
      <selection activeCell="A29" sqref="A9:XFD29"/>
      <selection pane="topRight" activeCell="A29" sqref="A9:XFD29"/>
      <selection pane="bottomLeft" activeCell="A29" sqref="A9:XFD29"/>
      <selection pane="bottomRight" activeCell="F33" sqref="F33"/>
    </sheetView>
  </sheetViews>
  <sheetFormatPr defaultRowHeight="15" x14ac:dyDescent="0.25"/>
  <cols>
    <col min="2" max="2" width="27.140625" bestFit="1" customWidth="1"/>
    <col min="13" max="102" width="17.85546875" customWidth="1"/>
  </cols>
  <sheetData>
    <row r="1" spans="1:103" x14ac:dyDescent="0.25">
      <c r="A1" s="1" t="s">
        <v>149</v>
      </c>
    </row>
    <row r="2" spans="1:103" x14ac:dyDescent="0.25">
      <c r="A2" s="1" t="s">
        <v>1</v>
      </c>
      <c r="L2" s="2"/>
    </row>
    <row r="3" spans="1:103" x14ac:dyDescent="0.25">
      <c r="A3" s="1" t="s">
        <v>2</v>
      </c>
      <c r="L3" s="2"/>
      <c r="M3" s="6" t="s">
        <v>3</v>
      </c>
      <c r="N3" s="6"/>
      <c r="O3" s="6"/>
      <c r="P3" s="6"/>
      <c r="Q3" s="6"/>
      <c r="R3" s="6"/>
      <c r="S3" s="6"/>
      <c r="T3" s="6"/>
      <c r="U3" s="6"/>
      <c r="V3" s="6"/>
      <c r="W3" s="6" t="s">
        <v>5</v>
      </c>
      <c r="X3" s="6"/>
      <c r="Y3" s="6"/>
      <c r="Z3" s="6"/>
      <c r="AA3" s="6"/>
      <c r="AB3" s="6"/>
      <c r="AC3" s="6"/>
      <c r="AD3" s="6"/>
      <c r="AE3" s="6"/>
      <c r="AF3" s="6"/>
      <c r="AG3" s="6" t="s">
        <v>150</v>
      </c>
      <c r="AH3" s="6"/>
      <c r="AI3" s="6"/>
      <c r="AJ3" s="6"/>
      <c r="AK3" s="6"/>
      <c r="AL3" s="6"/>
      <c r="AM3" s="6"/>
      <c r="AN3" s="6"/>
      <c r="AO3" s="6"/>
      <c r="AP3" s="6"/>
      <c r="AQ3" s="6" t="s">
        <v>151</v>
      </c>
      <c r="AR3" s="6"/>
      <c r="AS3" s="6"/>
      <c r="AT3" s="6"/>
      <c r="AU3" s="6"/>
      <c r="AV3" s="6"/>
      <c r="AW3" s="6"/>
      <c r="AX3" s="6"/>
      <c r="AY3" s="6"/>
      <c r="AZ3" s="6"/>
      <c r="BA3" s="6" t="s">
        <v>4</v>
      </c>
      <c r="BB3" s="6"/>
      <c r="BC3" s="6"/>
      <c r="BD3" s="6"/>
      <c r="BE3" s="6"/>
      <c r="BF3" s="6"/>
      <c r="BG3" s="6"/>
      <c r="BH3" s="6"/>
      <c r="BI3" s="6"/>
      <c r="BJ3" s="6"/>
      <c r="BK3" s="6" t="s">
        <v>6</v>
      </c>
      <c r="BL3" s="6"/>
      <c r="BM3" s="6"/>
      <c r="BN3" s="6"/>
      <c r="BO3" s="6"/>
      <c r="BP3" s="6"/>
      <c r="BQ3" s="6"/>
      <c r="BR3" s="6"/>
      <c r="BS3" s="6"/>
      <c r="BT3" s="6"/>
      <c r="BU3" s="6" t="s">
        <v>152</v>
      </c>
      <c r="BV3" s="6"/>
      <c r="BW3" s="6"/>
      <c r="BX3" s="6"/>
      <c r="BY3" s="6"/>
      <c r="BZ3" s="6"/>
      <c r="CA3" s="6"/>
      <c r="CB3" s="6"/>
      <c r="CC3" s="6"/>
      <c r="CD3" s="6"/>
      <c r="CE3" s="6" t="s">
        <v>153</v>
      </c>
      <c r="CF3" s="6"/>
      <c r="CG3" s="6"/>
      <c r="CH3" s="6"/>
      <c r="CI3" s="6"/>
      <c r="CJ3" s="6"/>
      <c r="CK3" s="6"/>
      <c r="CL3" s="6"/>
      <c r="CM3" s="6"/>
      <c r="CN3" s="6"/>
      <c r="CO3" s="6" t="s">
        <v>154</v>
      </c>
      <c r="CP3" s="6"/>
      <c r="CQ3" s="6"/>
      <c r="CR3" s="6"/>
      <c r="CS3" s="6"/>
      <c r="CT3" s="6"/>
      <c r="CU3" s="6"/>
      <c r="CV3" s="6"/>
      <c r="CW3" s="6"/>
      <c r="CX3" s="6"/>
    </row>
    <row r="4" spans="1:103" x14ac:dyDescent="0.25">
      <c r="M4" s="6" t="s">
        <v>11</v>
      </c>
      <c r="N4" s="6"/>
      <c r="O4" s="6"/>
      <c r="P4" s="6"/>
      <c r="Q4" s="6"/>
      <c r="R4" s="6"/>
      <c r="S4" s="6" t="s">
        <v>12</v>
      </c>
      <c r="T4" s="6"/>
      <c r="U4" s="6"/>
      <c r="V4" s="6"/>
      <c r="W4" s="6" t="s">
        <v>11</v>
      </c>
      <c r="X4" s="6"/>
      <c r="Y4" s="6"/>
      <c r="Z4" s="6"/>
      <c r="AA4" s="6"/>
      <c r="AB4" s="6"/>
      <c r="AC4" s="6" t="s">
        <v>12</v>
      </c>
      <c r="AD4" s="6"/>
      <c r="AE4" s="6"/>
      <c r="AF4" s="6"/>
      <c r="AG4" s="6" t="s">
        <v>11</v>
      </c>
      <c r="AH4" s="6"/>
      <c r="AI4" s="6"/>
      <c r="AJ4" s="6"/>
      <c r="AK4" s="6"/>
      <c r="AL4" s="6"/>
      <c r="AM4" s="6" t="s">
        <v>12</v>
      </c>
      <c r="AN4" s="6"/>
      <c r="AO4" s="6"/>
      <c r="AP4" s="6"/>
      <c r="AQ4" s="6" t="s">
        <v>11</v>
      </c>
      <c r="AR4" s="6"/>
      <c r="AS4" s="6"/>
      <c r="AT4" s="6"/>
      <c r="AU4" s="6"/>
      <c r="AV4" s="6"/>
      <c r="AW4" s="6" t="s">
        <v>12</v>
      </c>
      <c r="AX4" s="6"/>
      <c r="AY4" s="6"/>
      <c r="AZ4" s="6"/>
      <c r="BA4" s="6" t="s">
        <v>11</v>
      </c>
      <c r="BB4" s="6"/>
      <c r="BC4" s="6"/>
      <c r="BD4" s="6"/>
      <c r="BE4" s="6"/>
      <c r="BF4" s="6"/>
      <c r="BG4" s="6" t="s">
        <v>12</v>
      </c>
      <c r="BH4" s="6"/>
      <c r="BI4" s="6"/>
      <c r="BJ4" s="6"/>
      <c r="BK4" s="6" t="s">
        <v>11</v>
      </c>
      <c r="BL4" s="6"/>
      <c r="BM4" s="6"/>
      <c r="BN4" s="6"/>
      <c r="BO4" s="6"/>
      <c r="BP4" s="6"/>
      <c r="BQ4" s="6" t="s">
        <v>12</v>
      </c>
      <c r="BR4" s="6"/>
      <c r="BS4" s="6"/>
      <c r="BT4" s="6"/>
      <c r="BU4" s="6" t="s">
        <v>11</v>
      </c>
      <c r="BV4" s="6"/>
      <c r="BW4" s="6"/>
      <c r="BX4" s="6"/>
      <c r="BY4" s="6"/>
      <c r="BZ4" s="6"/>
      <c r="CA4" s="6" t="s">
        <v>12</v>
      </c>
      <c r="CB4" s="6"/>
      <c r="CC4" s="6"/>
      <c r="CD4" s="6"/>
      <c r="CE4" s="6" t="s">
        <v>11</v>
      </c>
      <c r="CF4" s="6"/>
      <c r="CG4" s="6"/>
      <c r="CH4" s="6"/>
      <c r="CI4" s="6"/>
      <c r="CJ4" s="6"/>
      <c r="CK4" s="6" t="s">
        <v>12</v>
      </c>
      <c r="CL4" s="6"/>
      <c r="CM4" s="6"/>
      <c r="CN4" s="6"/>
      <c r="CO4" s="6" t="s">
        <v>11</v>
      </c>
      <c r="CP4" s="6"/>
      <c r="CQ4" s="6"/>
      <c r="CR4" s="6"/>
      <c r="CS4" s="6"/>
      <c r="CT4" s="6"/>
      <c r="CU4" s="6" t="s">
        <v>12</v>
      </c>
      <c r="CV4" s="6"/>
      <c r="CW4" s="6"/>
      <c r="CX4" s="6"/>
    </row>
    <row r="5" spans="1:103" x14ac:dyDescent="0.25">
      <c r="M5" s="6" t="s">
        <v>14</v>
      </c>
      <c r="N5" s="6"/>
      <c r="O5" s="6" t="s">
        <v>15</v>
      </c>
      <c r="P5" s="6"/>
      <c r="Q5" s="6" t="s">
        <v>16</v>
      </c>
      <c r="R5" s="6"/>
      <c r="S5" s="6" t="s">
        <v>17</v>
      </c>
      <c r="T5" s="6"/>
      <c r="U5" s="6" t="s">
        <v>18</v>
      </c>
      <c r="V5" s="6"/>
      <c r="W5" s="6" t="s">
        <v>14</v>
      </c>
      <c r="X5" s="6"/>
      <c r="Y5" s="6" t="s">
        <v>15</v>
      </c>
      <c r="Z5" s="6"/>
      <c r="AA5" s="6" t="s">
        <v>16</v>
      </c>
      <c r="AB5" s="6"/>
      <c r="AC5" s="6" t="s">
        <v>17</v>
      </c>
      <c r="AD5" s="6"/>
      <c r="AE5" s="6" t="s">
        <v>18</v>
      </c>
      <c r="AF5" s="6"/>
      <c r="AG5" s="6" t="s">
        <v>14</v>
      </c>
      <c r="AH5" s="6"/>
      <c r="AI5" s="6" t="s">
        <v>15</v>
      </c>
      <c r="AJ5" s="6"/>
      <c r="AK5" s="6" t="s">
        <v>16</v>
      </c>
      <c r="AL5" s="6"/>
      <c r="AM5" s="6" t="s">
        <v>17</v>
      </c>
      <c r="AN5" s="6"/>
      <c r="AO5" s="6" t="s">
        <v>18</v>
      </c>
      <c r="AP5" s="6"/>
      <c r="AQ5" s="6" t="s">
        <v>14</v>
      </c>
      <c r="AR5" s="6"/>
      <c r="AS5" s="6" t="s">
        <v>15</v>
      </c>
      <c r="AT5" s="6"/>
      <c r="AU5" s="6" t="s">
        <v>16</v>
      </c>
      <c r="AV5" s="6"/>
      <c r="AW5" s="6" t="s">
        <v>17</v>
      </c>
      <c r="AX5" s="6"/>
      <c r="AY5" s="6" t="s">
        <v>18</v>
      </c>
      <c r="AZ5" s="6"/>
      <c r="BA5" s="6" t="s">
        <v>14</v>
      </c>
      <c r="BB5" s="6"/>
      <c r="BC5" s="6" t="s">
        <v>15</v>
      </c>
      <c r="BD5" s="6"/>
      <c r="BE5" s="6" t="s">
        <v>16</v>
      </c>
      <c r="BF5" s="6"/>
      <c r="BG5" s="6" t="s">
        <v>17</v>
      </c>
      <c r="BH5" s="6"/>
      <c r="BI5" s="6" t="s">
        <v>18</v>
      </c>
      <c r="BJ5" s="6"/>
      <c r="BK5" s="6" t="s">
        <v>14</v>
      </c>
      <c r="BL5" s="6"/>
      <c r="BM5" s="6" t="s">
        <v>15</v>
      </c>
      <c r="BN5" s="6"/>
      <c r="BO5" s="6" t="s">
        <v>16</v>
      </c>
      <c r="BP5" s="6"/>
      <c r="BQ5" s="6" t="s">
        <v>17</v>
      </c>
      <c r="BR5" s="6"/>
      <c r="BS5" s="6" t="s">
        <v>18</v>
      </c>
      <c r="BT5" s="6"/>
      <c r="BU5" s="6" t="s">
        <v>14</v>
      </c>
      <c r="BV5" s="6"/>
      <c r="BW5" s="6" t="s">
        <v>15</v>
      </c>
      <c r="BX5" s="6"/>
      <c r="BY5" s="6" t="s">
        <v>16</v>
      </c>
      <c r="BZ5" s="6"/>
      <c r="CA5" s="6" t="s">
        <v>17</v>
      </c>
      <c r="CB5" s="6"/>
      <c r="CC5" s="6" t="s">
        <v>18</v>
      </c>
      <c r="CD5" s="6"/>
      <c r="CE5" s="6" t="s">
        <v>14</v>
      </c>
      <c r="CF5" s="6"/>
      <c r="CG5" s="6" t="s">
        <v>15</v>
      </c>
      <c r="CH5" s="6"/>
      <c r="CI5" s="6" t="s">
        <v>16</v>
      </c>
      <c r="CJ5" s="6"/>
      <c r="CK5" s="6" t="s">
        <v>17</v>
      </c>
      <c r="CL5" s="6"/>
      <c r="CM5" s="6" t="s">
        <v>18</v>
      </c>
      <c r="CN5" s="6"/>
      <c r="CO5" s="6" t="s">
        <v>14</v>
      </c>
      <c r="CP5" s="6"/>
      <c r="CQ5" s="6" t="s">
        <v>15</v>
      </c>
      <c r="CR5" s="6"/>
      <c r="CS5" s="6" t="s">
        <v>16</v>
      </c>
      <c r="CT5" s="6"/>
      <c r="CU5" s="6" t="s">
        <v>17</v>
      </c>
      <c r="CV5" s="6"/>
      <c r="CW5" s="6" t="s">
        <v>18</v>
      </c>
      <c r="CX5" s="6"/>
    </row>
    <row r="6" spans="1:103" ht="45" x14ac:dyDescent="0.25">
      <c r="M6" s="10" t="s">
        <v>155</v>
      </c>
      <c r="N6" s="10" t="s">
        <v>156</v>
      </c>
      <c r="O6" s="10" t="s">
        <v>155</v>
      </c>
      <c r="P6" s="10" t="s">
        <v>156</v>
      </c>
      <c r="Q6" s="10" t="s">
        <v>155</v>
      </c>
      <c r="R6" s="10" t="s">
        <v>156</v>
      </c>
      <c r="S6" s="10" t="s">
        <v>155</v>
      </c>
      <c r="T6" s="10" t="s">
        <v>156</v>
      </c>
      <c r="U6" s="10" t="s">
        <v>155</v>
      </c>
      <c r="V6" s="10" t="s">
        <v>156</v>
      </c>
      <c r="W6" s="10" t="s">
        <v>155</v>
      </c>
      <c r="X6" s="10" t="s">
        <v>156</v>
      </c>
      <c r="Y6" s="10" t="s">
        <v>155</v>
      </c>
      <c r="Z6" s="10" t="s">
        <v>156</v>
      </c>
      <c r="AA6" s="10" t="s">
        <v>155</v>
      </c>
      <c r="AB6" s="10" t="s">
        <v>156</v>
      </c>
      <c r="AC6" s="10" t="s">
        <v>155</v>
      </c>
      <c r="AD6" s="10" t="s">
        <v>156</v>
      </c>
      <c r="AE6" s="10" t="s">
        <v>155</v>
      </c>
      <c r="AF6" s="10" t="s">
        <v>156</v>
      </c>
      <c r="AG6" s="10" t="s">
        <v>155</v>
      </c>
      <c r="AH6" s="10" t="s">
        <v>156</v>
      </c>
      <c r="AI6" s="10" t="s">
        <v>155</v>
      </c>
      <c r="AJ6" s="10" t="s">
        <v>156</v>
      </c>
      <c r="AK6" s="10" t="s">
        <v>155</v>
      </c>
      <c r="AL6" s="10" t="s">
        <v>156</v>
      </c>
      <c r="AM6" s="10" t="s">
        <v>155</v>
      </c>
      <c r="AN6" s="10" t="s">
        <v>156</v>
      </c>
      <c r="AO6" s="10" t="s">
        <v>155</v>
      </c>
      <c r="AP6" s="10" t="s">
        <v>156</v>
      </c>
      <c r="AQ6" s="10" t="s">
        <v>155</v>
      </c>
      <c r="AR6" s="10" t="s">
        <v>156</v>
      </c>
      <c r="AS6" s="10" t="s">
        <v>155</v>
      </c>
      <c r="AT6" s="10" t="s">
        <v>156</v>
      </c>
      <c r="AU6" s="10" t="s">
        <v>155</v>
      </c>
      <c r="AV6" s="10" t="s">
        <v>156</v>
      </c>
      <c r="AW6" s="10" t="s">
        <v>155</v>
      </c>
      <c r="AX6" s="10" t="s">
        <v>156</v>
      </c>
      <c r="AY6" s="10" t="s">
        <v>155</v>
      </c>
      <c r="AZ6" s="10" t="s">
        <v>156</v>
      </c>
      <c r="BA6" s="10" t="s">
        <v>155</v>
      </c>
      <c r="BB6" s="10" t="s">
        <v>156</v>
      </c>
      <c r="BC6" s="10" t="s">
        <v>155</v>
      </c>
      <c r="BD6" s="10" t="s">
        <v>156</v>
      </c>
      <c r="BE6" s="10" t="s">
        <v>155</v>
      </c>
      <c r="BF6" s="10" t="s">
        <v>156</v>
      </c>
      <c r="BG6" s="10" t="s">
        <v>155</v>
      </c>
      <c r="BH6" s="10" t="s">
        <v>156</v>
      </c>
      <c r="BI6" s="10" t="s">
        <v>155</v>
      </c>
      <c r="BJ6" s="10" t="s">
        <v>156</v>
      </c>
      <c r="BK6" s="10" t="s">
        <v>155</v>
      </c>
      <c r="BL6" s="10" t="s">
        <v>156</v>
      </c>
      <c r="BM6" s="10" t="s">
        <v>155</v>
      </c>
      <c r="BN6" s="10" t="s">
        <v>156</v>
      </c>
      <c r="BO6" s="10" t="s">
        <v>155</v>
      </c>
      <c r="BP6" s="10" t="s">
        <v>156</v>
      </c>
      <c r="BQ6" s="10" t="s">
        <v>155</v>
      </c>
      <c r="BR6" s="10" t="s">
        <v>156</v>
      </c>
      <c r="BS6" s="10" t="s">
        <v>155</v>
      </c>
      <c r="BT6" s="10" t="s">
        <v>156</v>
      </c>
      <c r="BU6" s="10" t="s">
        <v>155</v>
      </c>
      <c r="BV6" s="10" t="s">
        <v>156</v>
      </c>
      <c r="BW6" s="10" t="s">
        <v>155</v>
      </c>
      <c r="BX6" s="10" t="s">
        <v>156</v>
      </c>
      <c r="BY6" s="10" t="s">
        <v>155</v>
      </c>
      <c r="BZ6" s="10" t="s">
        <v>156</v>
      </c>
      <c r="CA6" s="10" t="s">
        <v>155</v>
      </c>
      <c r="CB6" s="10" t="s">
        <v>156</v>
      </c>
      <c r="CC6" s="10" t="s">
        <v>155</v>
      </c>
      <c r="CD6" s="10" t="s">
        <v>156</v>
      </c>
      <c r="CE6" s="10" t="s">
        <v>155</v>
      </c>
      <c r="CF6" s="10" t="s">
        <v>156</v>
      </c>
      <c r="CG6" s="10" t="s">
        <v>155</v>
      </c>
      <c r="CH6" s="10" t="s">
        <v>156</v>
      </c>
      <c r="CI6" s="10" t="s">
        <v>155</v>
      </c>
      <c r="CJ6" s="10" t="s">
        <v>156</v>
      </c>
      <c r="CK6" s="10" t="s">
        <v>155</v>
      </c>
      <c r="CL6" s="10" t="s">
        <v>156</v>
      </c>
      <c r="CM6" s="10" t="s">
        <v>155</v>
      </c>
      <c r="CN6" s="10" t="s">
        <v>156</v>
      </c>
      <c r="CO6" s="10" t="s">
        <v>155</v>
      </c>
      <c r="CP6" s="10" t="s">
        <v>156</v>
      </c>
      <c r="CQ6" s="10" t="s">
        <v>155</v>
      </c>
      <c r="CR6" s="10" t="s">
        <v>156</v>
      </c>
      <c r="CS6" s="10" t="s">
        <v>155</v>
      </c>
      <c r="CT6" s="10" t="s">
        <v>156</v>
      </c>
      <c r="CU6" s="10" t="s">
        <v>155</v>
      </c>
      <c r="CV6" s="10" t="s">
        <v>156</v>
      </c>
      <c r="CW6" s="10" t="s">
        <v>155</v>
      </c>
      <c r="CX6" s="10" t="s">
        <v>156</v>
      </c>
    </row>
    <row r="7" spans="1:103" x14ac:dyDescent="0.25">
      <c r="M7" s="17">
        <f>SUM(M9:M24)</f>
        <v>1</v>
      </c>
      <c r="N7" s="17">
        <f>SUM(N9:N24)</f>
        <v>4</v>
      </c>
      <c r="O7" s="17">
        <f>SUM(O9:O24)</f>
        <v>8</v>
      </c>
      <c r="P7" s="17">
        <f>SUM(P9:P24)</f>
        <v>6</v>
      </c>
      <c r="Q7" s="17">
        <f>SUM(Q9:Q24)</f>
        <v>0</v>
      </c>
      <c r="R7" s="17">
        <f>SUM(R9:R24)</f>
        <v>1</v>
      </c>
      <c r="S7" s="17">
        <f>SUM(S9:S24)</f>
        <v>2</v>
      </c>
      <c r="T7" s="17">
        <f>SUM(T9:T24)</f>
        <v>1</v>
      </c>
      <c r="U7" s="17">
        <f>SUM(U9:U24)</f>
        <v>1</v>
      </c>
      <c r="V7" s="17">
        <f>SUM(V9:V24)</f>
        <v>1</v>
      </c>
      <c r="W7" s="17">
        <f>SUM(W9:W24)</f>
        <v>0</v>
      </c>
      <c r="X7" s="17">
        <f>SUM(X9:X24)</f>
        <v>0</v>
      </c>
      <c r="Y7" s="17">
        <f>SUM(Y9:Y24)</f>
        <v>3</v>
      </c>
      <c r="Z7" s="17">
        <f>SUM(Z9:Z24)</f>
        <v>1</v>
      </c>
      <c r="AA7" s="17">
        <f>SUM(AA9:AA24)</f>
        <v>0</v>
      </c>
      <c r="AB7" s="17">
        <f>SUM(AB9:AB24)</f>
        <v>0</v>
      </c>
      <c r="AC7" s="17">
        <f>SUM(AC9:AC24)</f>
        <v>3</v>
      </c>
      <c r="AD7" s="17">
        <f>SUM(AD9:AD24)</f>
        <v>1</v>
      </c>
      <c r="AE7" s="17">
        <f>SUM(AE9:AE24)</f>
        <v>3</v>
      </c>
      <c r="AF7" s="17">
        <f>SUM(AF9:AF24)</f>
        <v>3</v>
      </c>
      <c r="AG7" s="17">
        <f>SUM(AG9:AG24)</f>
        <v>0</v>
      </c>
      <c r="AH7" s="17">
        <f>SUM(AH9:AH24)</f>
        <v>0</v>
      </c>
      <c r="AI7" s="17">
        <f>SUM(AI9:AI24)</f>
        <v>2</v>
      </c>
      <c r="AJ7" s="17">
        <f>SUM(AJ9:AJ24)</f>
        <v>2</v>
      </c>
      <c r="AK7" s="17">
        <f>SUM(AK9:AK24)</f>
        <v>0</v>
      </c>
      <c r="AL7" s="17">
        <f>SUM(AL9:AL24)</f>
        <v>0</v>
      </c>
      <c r="AM7" s="17">
        <f>SUM(AM9:AM24)</f>
        <v>1</v>
      </c>
      <c r="AN7" s="17">
        <f>SUM(AN9:AN24)</f>
        <v>0</v>
      </c>
      <c r="AO7" s="17">
        <f>SUM(AO9:AO24)</f>
        <v>5</v>
      </c>
      <c r="AP7" s="17">
        <f>SUM(AP9:AP24)</f>
        <v>10</v>
      </c>
      <c r="AQ7" s="17">
        <f>SUM(AQ9:AQ24)</f>
        <v>1</v>
      </c>
      <c r="AR7" s="17">
        <f>SUM(AR9:AR24)</f>
        <v>2</v>
      </c>
      <c r="AS7" s="17">
        <f>SUM(AS9:AS24)</f>
        <v>1</v>
      </c>
      <c r="AT7" s="17">
        <f>SUM(AT9:AT24)</f>
        <v>2</v>
      </c>
      <c r="AU7" s="17">
        <f>SUM(AU9:AU24)</f>
        <v>0</v>
      </c>
      <c r="AV7" s="17">
        <f>SUM(AV9:AV24)</f>
        <v>0</v>
      </c>
      <c r="AW7" s="17">
        <f>SUM(AW9:AW24)</f>
        <v>1</v>
      </c>
      <c r="AX7" s="17">
        <f>SUM(AX9:AX24)</f>
        <v>1</v>
      </c>
      <c r="AY7" s="17">
        <f>SUM(AY9:AY24)</f>
        <v>4</v>
      </c>
      <c r="AZ7" s="17">
        <f>SUM(AZ9:AZ24)</f>
        <v>2</v>
      </c>
      <c r="BA7" s="17">
        <f>SUM(BA9:BA24)</f>
        <v>3</v>
      </c>
      <c r="BB7" s="17">
        <f>SUM(BB9:BB24)</f>
        <v>0</v>
      </c>
      <c r="BC7" s="17">
        <f>SUM(BC9:BC24)</f>
        <v>13</v>
      </c>
      <c r="BD7" s="17">
        <f>SUM(BD9:BD24)</f>
        <v>4</v>
      </c>
      <c r="BE7" s="17">
        <f>SUM(BE9:BE24)</f>
        <v>0</v>
      </c>
      <c r="BF7" s="17">
        <f>SUM(BF9:BF24)</f>
        <v>0</v>
      </c>
      <c r="BG7" s="17">
        <f>SUM(BG9:BG24)</f>
        <v>0</v>
      </c>
      <c r="BH7" s="17">
        <f>SUM(BH9:BH24)</f>
        <v>1</v>
      </c>
      <c r="BI7" s="17">
        <f>SUM(BI9:BI24)</f>
        <v>0</v>
      </c>
      <c r="BJ7" s="17">
        <f>SUM(BJ9:BJ24)</f>
        <v>1</v>
      </c>
      <c r="BK7" s="17">
        <f>SUM(BK9:BK24)</f>
        <v>2</v>
      </c>
      <c r="BL7" s="17">
        <f>SUM(BL9:BL24)</f>
        <v>2</v>
      </c>
      <c r="BM7" s="17">
        <f>SUM(BM9:BM24)</f>
        <v>13</v>
      </c>
      <c r="BN7" s="17">
        <f>SUM(BN9:BN24)</f>
        <v>3</v>
      </c>
      <c r="BO7" s="17">
        <f>SUM(BO9:BO24)</f>
        <v>0</v>
      </c>
      <c r="BP7" s="17">
        <f>SUM(BP9:BP24)</f>
        <v>0</v>
      </c>
      <c r="BQ7" s="17">
        <f>SUM(BQ9:BQ24)</f>
        <v>0</v>
      </c>
      <c r="BR7" s="17">
        <f>SUM(BR9:BR24)</f>
        <v>1</v>
      </c>
      <c r="BS7" s="17">
        <f>SUM(BS9:BS24)</f>
        <v>1</v>
      </c>
      <c r="BT7" s="17">
        <f>SUM(BT9:BT24)</f>
        <v>0</v>
      </c>
      <c r="BU7" s="17">
        <f>SUM(BU9:BU24)</f>
        <v>0</v>
      </c>
      <c r="BV7" s="17">
        <f>SUM(BV9:BV24)</f>
        <v>0</v>
      </c>
      <c r="BW7" s="17">
        <f>SUM(BW9:BW24)</f>
        <v>1</v>
      </c>
      <c r="BX7" s="17">
        <f>SUM(BX9:BX24)</f>
        <v>1</v>
      </c>
      <c r="BY7" s="17">
        <f>SUM(BY9:BY24)</f>
        <v>0</v>
      </c>
      <c r="BZ7" s="17">
        <f>SUM(BZ9:BZ24)</f>
        <v>0</v>
      </c>
      <c r="CA7" s="17">
        <f>SUM(CA9:CA24)</f>
        <v>1</v>
      </c>
      <c r="CB7" s="17">
        <f>SUM(CB9:CB24)</f>
        <v>1</v>
      </c>
      <c r="CC7" s="17">
        <f>SUM(CC9:CC24)</f>
        <v>7</v>
      </c>
      <c r="CD7" s="17">
        <f>SUM(CD9:CD24)</f>
        <v>5</v>
      </c>
      <c r="CE7" s="17">
        <f>SUM(CE9:CE24)</f>
        <v>1</v>
      </c>
      <c r="CF7" s="17">
        <f>SUM(CF9:CF24)</f>
        <v>0</v>
      </c>
      <c r="CG7" s="17">
        <f>SUM(CG9:CG24)</f>
        <v>4</v>
      </c>
      <c r="CH7" s="17">
        <f>SUM(CH9:CH24)</f>
        <v>5</v>
      </c>
      <c r="CI7" s="17">
        <f>SUM(CI9:CI24)</f>
        <v>0</v>
      </c>
      <c r="CJ7" s="17">
        <f>SUM(CJ9:CJ24)</f>
        <v>0</v>
      </c>
      <c r="CK7" s="17">
        <f>SUM(CK9:CK24)</f>
        <v>0</v>
      </c>
      <c r="CL7" s="17">
        <f>SUM(CL9:CL24)</f>
        <v>0</v>
      </c>
      <c r="CM7" s="17">
        <f>SUM(CM9:CM24)</f>
        <v>3</v>
      </c>
      <c r="CN7" s="17">
        <f>SUM(CN9:CN24)</f>
        <v>4</v>
      </c>
      <c r="CO7" s="17">
        <f>SUM(CO9:CO24)</f>
        <v>0</v>
      </c>
      <c r="CP7" s="17">
        <f>SUM(CP9:CP24)</f>
        <v>0</v>
      </c>
      <c r="CQ7" s="17">
        <f>SUM(CQ9:CQ24)</f>
        <v>2</v>
      </c>
      <c r="CR7" s="17">
        <f>SUM(CR9:CR24)</f>
        <v>2</v>
      </c>
      <c r="CS7" s="17">
        <f>SUM(CS9:CS24)</f>
        <v>0</v>
      </c>
      <c r="CT7" s="17">
        <f>SUM(CT9:CT24)</f>
        <v>0</v>
      </c>
      <c r="CU7" s="17">
        <f>SUM(CU9:CU24)</f>
        <v>1</v>
      </c>
      <c r="CV7" s="17">
        <f>SUM(CV9:CV24)</f>
        <v>0</v>
      </c>
      <c r="CW7" s="17">
        <f>SUM(CW9:CW24)</f>
        <v>3</v>
      </c>
      <c r="CX7" s="17">
        <f>SUM(CX9:CX24)</f>
        <v>4</v>
      </c>
    </row>
    <row r="8" spans="1:103" x14ac:dyDescent="0.25">
      <c r="A8" s="13" t="s">
        <v>19</v>
      </c>
      <c r="B8" s="13" t="s">
        <v>20</v>
      </c>
      <c r="C8" s="13" t="s">
        <v>21</v>
      </c>
      <c r="D8" s="13" t="s">
        <v>22</v>
      </c>
      <c r="E8" s="13" t="s">
        <v>23</v>
      </c>
      <c r="F8" s="13" t="s">
        <v>24</v>
      </c>
      <c r="G8" s="13" t="s">
        <v>25</v>
      </c>
      <c r="H8" s="13" t="s">
        <v>26</v>
      </c>
      <c r="I8" s="13" t="s">
        <v>27</v>
      </c>
      <c r="J8" s="13" t="s">
        <v>28</v>
      </c>
      <c r="K8" s="13" t="s">
        <v>29</v>
      </c>
      <c r="L8" s="14" t="s">
        <v>30</v>
      </c>
      <c r="M8" s="15" t="s">
        <v>157</v>
      </c>
      <c r="N8" s="15" t="s">
        <v>158</v>
      </c>
      <c r="O8" s="15" t="s">
        <v>159</v>
      </c>
      <c r="P8" s="15" t="s">
        <v>160</v>
      </c>
      <c r="Q8" s="15" t="s">
        <v>161</v>
      </c>
      <c r="R8" s="15" t="s">
        <v>162</v>
      </c>
      <c r="S8" s="15" t="s">
        <v>163</v>
      </c>
      <c r="T8" s="15" t="s">
        <v>164</v>
      </c>
      <c r="U8" s="15" t="s">
        <v>165</v>
      </c>
      <c r="V8" s="15" t="s">
        <v>166</v>
      </c>
      <c r="W8" s="15" t="s">
        <v>167</v>
      </c>
      <c r="X8" s="15" t="s">
        <v>168</v>
      </c>
      <c r="Y8" s="15" t="s">
        <v>169</v>
      </c>
      <c r="Z8" s="15" t="s">
        <v>170</v>
      </c>
      <c r="AA8" s="15" t="s">
        <v>171</v>
      </c>
      <c r="AB8" s="15" t="s">
        <v>172</v>
      </c>
      <c r="AC8" s="15" t="s">
        <v>173</v>
      </c>
      <c r="AD8" s="15" t="s">
        <v>174</v>
      </c>
      <c r="AE8" s="15" t="s">
        <v>175</v>
      </c>
      <c r="AF8" s="15" t="s">
        <v>176</v>
      </c>
      <c r="AG8" s="15" t="s">
        <v>177</v>
      </c>
      <c r="AH8" s="15" t="s">
        <v>178</v>
      </c>
      <c r="AI8" s="15" t="s">
        <v>179</v>
      </c>
      <c r="AJ8" s="15" t="s">
        <v>180</v>
      </c>
      <c r="AK8" s="15" t="s">
        <v>181</v>
      </c>
      <c r="AL8" s="15" t="s">
        <v>182</v>
      </c>
      <c r="AM8" s="15" t="s">
        <v>183</v>
      </c>
      <c r="AN8" s="15" t="s">
        <v>184</v>
      </c>
      <c r="AO8" s="15" t="s">
        <v>185</v>
      </c>
      <c r="AP8" s="15" t="s">
        <v>186</v>
      </c>
      <c r="AQ8" s="15" t="s">
        <v>187</v>
      </c>
      <c r="AR8" s="15" t="s">
        <v>188</v>
      </c>
      <c r="AS8" s="15" t="s">
        <v>189</v>
      </c>
      <c r="AT8" s="15" t="s">
        <v>190</v>
      </c>
      <c r="AU8" s="15" t="s">
        <v>191</v>
      </c>
      <c r="AV8" s="15" t="s">
        <v>192</v>
      </c>
      <c r="AW8" s="15" t="s">
        <v>193</v>
      </c>
      <c r="AX8" s="15" t="s">
        <v>194</v>
      </c>
      <c r="AY8" s="15" t="s">
        <v>195</v>
      </c>
      <c r="AZ8" s="15" t="s">
        <v>196</v>
      </c>
      <c r="BA8" s="15" t="s">
        <v>197</v>
      </c>
      <c r="BB8" s="15" t="s">
        <v>198</v>
      </c>
      <c r="BC8" s="15" t="s">
        <v>199</v>
      </c>
      <c r="BD8" s="15" t="s">
        <v>200</v>
      </c>
      <c r="BE8" s="15" t="s">
        <v>201</v>
      </c>
      <c r="BF8" s="15" t="s">
        <v>202</v>
      </c>
      <c r="BG8" s="15" t="s">
        <v>203</v>
      </c>
      <c r="BH8" s="15" t="s">
        <v>204</v>
      </c>
      <c r="BI8" s="15" t="s">
        <v>205</v>
      </c>
      <c r="BJ8" s="15" t="s">
        <v>206</v>
      </c>
      <c r="BK8" s="15" t="s">
        <v>207</v>
      </c>
      <c r="BL8" s="15" t="s">
        <v>208</v>
      </c>
      <c r="BM8" s="15" t="s">
        <v>209</v>
      </c>
      <c r="BN8" s="15" t="s">
        <v>210</v>
      </c>
      <c r="BO8" s="15" t="s">
        <v>211</v>
      </c>
      <c r="BP8" s="15" t="s">
        <v>212</v>
      </c>
      <c r="BQ8" s="15" t="s">
        <v>213</v>
      </c>
      <c r="BR8" s="15" t="s">
        <v>214</v>
      </c>
      <c r="BS8" s="15" t="s">
        <v>215</v>
      </c>
      <c r="BT8" s="15" t="s">
        <v>216</v>
      </c>
      <c r="BU8" s="15" t="s">
        <v>217</v>
      </c>
      <c r="BV8" s="15" t="s">
        <v>218</v>
      </c>
      <c r="BW8" s="15" t="s">
        <v>219</v>
      </c>
      <c r="BX8" s="15" t="s">
        <v>220</v>
      </c>
      <c r="BY8" s="15" t="s">
        <v>221</v>
      </c>
      <c r="BZ8" s="15" t="s">
        <v>222</v>
      </c>
      <c r="CA8" s="15" t="s">
        <v>223</v>
      </c>
      <c r="CB8" s="15" t="s">
        <v>224</v>
      </c>
      <c r="CC8" s="15" t="s">
        <v>225</v>
      </c>
      <c r="CD8" s="15" t="s">
        <v>226</v>
      </c>
      <c r="CE8" s="15" t="s">
        <v>227</v>
      </c>
      <c r="CF8" s="15" t="s">
        <v>228</v>
      </c>
      <c r="CG8" s="15" t="s">
        <v>229</v>
      </c>
      <c r="CH8" s="15" t="s">
        <v>230</v>
      </c>
      <c r="CI8" s="15" t="s">
        <v>231</v>
      </c>
      <c r="CJ8" s="15" t="s">
        <v>232</v>
      </c>
      <c r="CK8" s="15" t="s">
        <v>233</v>
      </c>
      <c r="CL8" s="15" t="s">
        <v>234</v>
      </c>
      <c r="CM8" s="15" t="s">
        <v>235</v>
      </c>
      <c r="CN8" s="15" t="s">
        <v>236</v>
      </c>
      <c r="CO8" s="15" t="s">
        <v>237</v>
      </c>
      <c r="CP8" s="15" t="s">
        <v>238</v>
      </c>
      <c r="CQ8" s="15" t="s">
        <v>239</v>
      </c>
      <c r="CR8" s="15" t="s">
        <v>240</v>
      </c>
      <c r="CS8" s="15" t="s">
        <v>241</v>
      </c>
      <c r="CT8" s="15" t="s">
        <v>242</v>
      </c>
      <c r="CU8" s="15" t="s">
        <v>243</v>
      </c>
      <c r="CV8" s="15" t="s">
        <v>244</v>
      </c>
      <c r="CW8" s="15" t="s">
        <v>245</v>
      </c>
      <c r="CX8" s="15" t="s">
        <v>246</v>
      </c>
      <c r="CY8" s="15" t="s">
        <v>247</v>
      </c>
    </row>
    <row r="9" spans="1:103" x14ac:dyDescent="0.25">
      <c r="A9" t="s">
        <v>71</v>
      </c>
      <c r="B9" t="s">
        <v>79</v>
      </c>
      <c r="C9" t="s">
        <v>80</v>
      </c>
      <c r="D9">
        <v>304325</v>
      </c>
      <c r="E9" t="s">
        <v>81</v>
      </c>
      <c r="F9" t="s">
        <v>82</v>
      </c>
      <c r="G9" t="s">
        <v>83</v>
      </c>
      <c r="H9" t="s">
        <v>84</v>
      </c>
      <c r="I9" t="s">
        <v>72</v>
      </c>
      <c r="J9" t="s">
        <v>85</v>
      </c>
      <c r="K9" t="s">
        <v>73</v>
      </c>
      <c r="L9" s="16" t="s">
        <v>74</v>
      </c>
      <c r="M9">
        <v>0</v>
      </c>
      <c r="N9">
        <v>0</v>
      </c>
      <c r="O9">
        <v>2</v>
      </c>
      <c r="P9">
        <v>2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2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5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4</v>
      </c>
      <c r="BD9">
        <v>2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3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2</v>
      </c>
      <c r="CE9">
        <v>0</v>
      </c>
      <c r="CF9">
        <v>0</v>
      </c>
      <c r="CG9">
        <v>3</v>
      </c>
      <c r="CH9">
        <v>5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2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</row>
    <row r="10" spans="1:103" x14ac:dyDescent="0.25">
      <c r="A10" t="s">
        <v>71</v>
      </c>
      <c r="B10" t="s">
        <v>79</v>
      </c>
      <c r="C10" t="s">
        <v>80</v>
      </c>
      <c r="D10">
        <v>304326</v>
      </c>
      <c r="E10" t="s">
        <v>86</v>
      </c>
      <c r="F10" t="s">
        <v>87</v>
      </c>
      <c r="G10" t="s">
        <v>83</v>
      </c>
      <c r="H10" t="s">
        <v>84</v>
      </c>
      <c r="I10" t="s">
        <v>72</v>
      </c>
      <c r="J10" t="s">
        <v>85</v>
      </c>
      <c r="K10" t="s">
        <v>73</v>
      </c>
      <c r="L10" s="16" t="s">
        <v>74</v>
      </c>
      <c r="M10">
        <v>0</v>
      </c>
      <c r="N10">
        <v>0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3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1</v>
      </c>
      <c r="CV10">
        <v>0</v>
      </c>
      <c r="CW10">
        <v>0</v>
      </c>
      <c r="CX10">
        <v>0</v>
      </c>
    </row>
    <row r="11" spans="1:103" x14ac:dyDescent="0.25">
      <c r="A11" t="s">
        <v>71</v>
      </c>
      <c r="B11" t="s">
        <v>79</v>
      </c>
      <c r="C11" t="s">
        <v>80</v>
      </c>
      <c r="D11">
        <v>325104</v>
      </c>
      <c r="E11" t="s">
        <v>91</v>
      </c>
      <c r="F11" t="s">
        <v>92</v>
      </c>
      <c r="G11" t="s">
        <v>83</v>
      </c>
      <c r="H11" t="s">
        <v>84</v>
      </c>
      <c r="I11" t="s">
        <v>72</v>
      </c>
      <c r="J11" t="s">
        <v>93</v>
      </c>
      <c r="K11" t="s">
        <v>73</v>
      </c>
      <c r="L11" s="16" t="s">
        <v>74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2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0</v>
      </c>
    </row>
    <row r="12" spans="1:103" x14ac:dyDescent="0.25">
      <c r="A12" t="s">
        <v>71</v>
      </c>
      <c r="B12" t="s">
        <v>79</v>
      </c>
      <c r="C12" t="s">
        <v>80</v>
      </c>
      <c r="D12">
        <v>500454</v>
      </c>
      <c r="E12" t="s">
        <v>94</v>
      </c>
      <c r="F12" t="s">
        <v>95</v>
      </c>
      <c r="G12" t="s">
        <v>83</v>
      </c>
      <c r="H12" t="s">
        <v>84</v>
      </c>
      <c r="I12" t="s">
        <v>72</v>
      </c>
      <c r="J12" t="s">
        <v>85</v>
      </c>
      <c r="K12" t="s">
        <v>96</v>
      </c>
      <c r="L12" s="16" t="s">
        <v>97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</row>
    <row r="13" spans="1:103" x14ac:dyDescent="0.25">
      <c r="A13" t="s">
        <v>71</v>
      </c>
      <c r="B13" t="s">
        <v>79</v>
      </c>
      <c r="C13" t="s">
        <v>101</v>
      </c>
      <c r="D13">
        <v>304303</v>
      </c>
      <c r="E13" t="s">
        <v>102</v>
      </c>
      <c r="F13" t="s">
        <v>103</v>
      </c>
      <c r="G13" t="s">
        <v>83</v>
      </c>
      <c r="H13" t="s">
        <v>84</v>
      </c>
      <c r="I13" t="s">
        <v>72</v>
      </c>
      <c r="J13" t="s">
        <v>104</v>
      </c>
      <c r="K13" t="s">
        <v>73</v>
      </c>
      <c r="L13" s="16" t="s">
        <v>74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  <row r="14" spans="1:103" x14ac:dyDescent="0.25">
      <c r="A14" t="s">
        <v>71</v>
      </c>
      <c r="B14" t="s">
        <v>79</v>
      </c>
      <c r="C14" t="s">
        <v>101</v>
      </c>
      <c r="D14">
        <v>304305</v>
      </c>
      <c r="E14" t="s">
        <v>105</v>
      </c>
      <c r="F14" t="s">
        <v>106</v>
      </c>
      <c r="G14" t="s">
        <v>83</v>
      </c>
      <c r="H14" t="s">
        <v>84</v>
      </c>
      <c r="I14" t="s">
        <v>72</v>
      </c>
      <c r="J14" t="s">
        <v>107</v>
      </c>
      <c r="K14" t="s">
        <v>73</v>
      </c>
      <c r="L14" s="16" t="s">
        <v>74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0</v>
      </c>
    </row>
    <row r="15" spans="1:103" x14ac:dyDescent="0.25">
      <c r="A15" t="s">
        <v>71</v>
      </c>
      <c r="B15" t="s">
        <v>79</v>
      </c>
      <c r="C15" t="s">
        <v>101</v>
      </c>
      <c r="D15">
        <v>304314</v>
      </c>
      <c r="E15" t="s">
        <v>108</v>
      </c>
      <c r="F15" t="s">
        <v>109</v>
      </c>
      <c r="G15" t="s">
        <v>83</v>
      </c>
      <c r="H15" t="s">
        <v>84</v>
      </c>
      <c r="I15" t="s">
        <v>72</v>
      </c>
      <c r="J15" t="s">
        <v>110</v>
      </c>
      <c r="K15" t="s">
        <v>73</v>
      </c>
      <c r="L15" s="16" t="s">
        <v>74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</row>
    <row r="16" spans="1:103" x14ac:dyDescent="0.25">
      <c r="A16" t="s">
        <v>71</v>
      </c>
      <c r="B16" t="s">
        <v>79</v>
      </c>
      <c r="C16" t="s">
        <v>101</v>
      </c>
      <c r="D16">
        <v>304327</v>
      </c>
      <c r="E16" t="s">
        <v>111</v>
      </c>
      <c r="F16" t="s">
        <v>112</v>
      </c>
      <c r="G16" t="s">
        <v>83</v>
      </c>
      <c r="H16" t="s">
        <v>84</v>
      </c>
      <c r="I16" t="s">
        <v>72</v>
      </c>
      <c r="J16" t="s">
        <v>113</v>
      </c>
      <c r="K16" t="s">
        <v>73</v>
      </c>
      <c r="L16" s="16" t="s">
        <v>74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3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1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</row>
    <row r="17" spans="1:102" x14ac:dyDescent="0.25">
      <c r="A17" t="s">
        <v>71</v>
      </c>
      <c r="B17" t="s">
        <v>79</v>
      </c>
      <c r="C17" t="s">
        <v>101</v>
      </c>
      <c r="D17">
        <v>304328</v>
      </c>
      <c r="E17" t="s">
        <v>114</v>
      </c>
      <c r="F17" t="s">
        <v>115</v>
      </c>
      <c r="G17" t="s">
        <v>83</v>
      </c>
      <c r="H17" t="s">
        <v>84</v>
      </c>
      <c r="I17" t="s">
        <v>72</v>
      </c>
      <c r="J17" t="s">
        <v>90</v>
      </c>
      <c r="K17" t="s">
        <v>73</v>
      </c>
      <c r="L17" s="16" t="s">
        <v>74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2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</row>
    <row r="18" spans="1:102" x14ac:dyDescent="0.25">
      <c r="A18" t="s">
        <v>71</v>
      </c>
      <c r="B18" t="s">
        <v>79</v>
      </c>
      <c r="C18" t="s">
        <v>101</v>
      </c>
      <c r="D18">
        <v>304338</v>
      </c>
      <c r="E18" t="s">
        <v>116</v>
      </c>
      <c r="F18" t="s">
        <v>117</v>
      </c>
      <c r="G18" t="s">
        <v>83</v>
      </c>
      <c r="H18" t="s">
        <v>84</v>
      </c>
      <c r="I18" t="s">
        <v>72</v>
      </c>
      <c r="J18" t="s">
        <v>118</v>
      </c>
      <c r="K18" t="s">
        <v>73</v>
      </c>
      <c r="L18" s="16" t="s">
        <v>74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</row>
    <row r="19" spans="1:102" x14ac:dyDescent="0.25">
      <c r="A19" t="s">
        <v>71</v>
      </c>
      <c r="B19" t="s">
        <v>79</v>
      </c>
      <c r="C19" t="s">
        <v>101</v>
      </c>
      <c r="D19">
        <v>316104</v>
      </c>
      <c r="E19" t="s">
        <v>119</v>
      </c>
      <c r="F19" t="s">
        <v>120</v>
      </c>
      <c r="G19" t="s">
        <v>83</v>
      </c>
      <c r="H19" t="s">
        <v>84</v>
      </c>
      <c r="I19" t="s">
        <v>72</v>
      </c>
      <c r="J19" t="s">
        <v>121</v>
      </c>
      <c r="K19" t="s">
        <v>73</v>
      </c>
      <c r="L19" s="16" t="s">
        <v>74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</v>
      </c>
    </row>
    <row r="20" spans="1:102" x14ac:dyDescent="0.25">
      <c r="A20" t="s">
        <v>71</v>
      </c>
      <c r="B20" t="s">
        <v>79</v>
      </c>
      <c r="C20" t="s">
        <v>101</v>
      </c>
      <c r="D20">
        <v>325102</v>
      </c>
      <c r="E20" t="s">
        <v>124</v>
      </c>
      <c r="F20" t="s">
        <v>125</v>
      </c>
      <c r="G20" t="s">
        <v>83</v>
      </c>
      <c r="H20" t="s">
        <v>84</v>
      </c>
      <c r="I20" t="s">
        <v>72</v>
      </c>
      <c r="J20" t="s">
        <v>126</v>
      </c>
      <c r="K20" t="s">
        <v>73</v>
      </c>
      <c r="L20" s="16" t="s">
        <v>74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2</v>
      </c>
    </row>
    <row r="21" spans="1:102" x14ac:dyDescent="0.25">
      <c r="A21" t="s">
        <v>71</v>
      </c>
      <c r="B21" t="s">
        <v>79</v>
      </c>
      <c r="C21" t="s">
        <v>101</v>
      </c>
      <c r="D21">
        <v>325106</v>
      </c>
      <c r="E21" t="s">
        <v>127</v>
      </c>
      <c r="F21" t="s">
        <v>128</v>
      </c>
      <c r="G21" t="s">
        <v>83</v>
      </c>
      <c r="H21" t="s">
        <v>84</v>
      </c>
      <c r="I21" t="s">
        <v>72</v>
      </c>
      <c r="J21" t="s">
        <v>129</v>
      </c>
      <c r="K21" t="s">
        <v>73</v>
      </c>
      <c r="L21" s="16" t="s">
        <v>74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</row>
    <row r="22" spans="1:102" x14ac:dyDescent="0.25">
      <c r="A22" t="s">
        <v>71</v>
      </c>
      <c r="B22" t="s">
        <v>79</v>
      </c>
      <c r="C22" t="s">
        <v>130</v>
      </c>
      <c r="D22">
        <v>304313</v>
      </c>
      <c r="E22" t="s">
        <v>131</v>
      </c>
      <c r="F22" t="s">
        <v>132</v>
      </c>
      <c r="G22" t="s">
        <v>83</v>
      </c>
      <c r="H22" t="s">
        <v>84</v>
      </c>
      <c r="I22" t="s">
        <v>72</v>
      </c>
      <c r="J22" t="s">
        <v>133</v>
      </c>
      <c r="K22" t="s">
        <v>73</v>
      </c>
      <c r="L22" s="16" t="s">
        <v>74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</row>
    <row r="23" spans="1:102" x14ac:dyDescent="0.25">
      <c r="A23" t="s">
        <v>71</v>
      </c>
      <c r="B23" t="s">
        <v>79</v>
      </c>
      <c r="C23" t="s">
        <v>130</v>
      </c>
      <c r="D23">
        <v>304318</v>
      </c>
      <c r="E23" t="s">
        <v>134</v>
      </c>
      <c r="F23" t="s">
        <v>135</v>
      </c>
      <c r="G23" t="s">
        <v>83</v>
      </c>
      <c r="H23" t="s">
        <v>84</v>
      </c>
      <c r="I23" t="s">
        <v>72</v>
      </c>
      <c r="J23" t="s">
        <v>136</v>
      </c>
      <c r="K23" t="s">
        <v>73</v>
      </c>
      <c r="L23" s="16" t="s">
        <v>74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2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2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0</v>
      </c>
    </row>
    <row r="24" spans="1:102" x14ac:dyDescent="0.25">
      <c r="A24" t="s">
        <v>71</v>
      </c>
      <c r="B24" t="s">
        <v>79</v>
      </c>
      <c r="C24" t="s">
        <v>130</v>
      </c>
      <c r="D24">
        <v>325105</v>
      </c>
      <c r="E24" t="s">
        <v>137</v>
      </c>
      <c r="F24" t="s">
        <v>138</v>
      </c>
      <c r="G24" t="s">
        <v>83</v>
      </c>
      <c r="H24" t="s">
        <v>84</v>
      </c>
      <c r="I24" t="s">
        <v>72</v>
      </c>
      <c r="J24" t="s">
        <v>139</v>
      </c>
      <c r="K24" t="s">
        <v>73</v>
      </c>
      <c r="L24" s="16" t="s">
        <v>74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</row>
  </sheetData>
  <autoFilter ref="A8:CY24" xr:uid="{00000000-0009-0000-0000-000001000000}"/>
  <mergeCells count="72">
    <mergeCell ref="CQ5:CR5"/>
    <mergeCell ref="CS5:CT5"/>
    <mergeCell ref="CU5:CV5"/>
    <mergeCell ref="CW5:CX5"/>
    <mergeCell ref="CE5:CF5"/>
    <mergeCell ref="CG5:CH5"/>
    <mergeCell ref="CI5:CJ5"/>
    <mergeCell ref="CK5:CL5"/>
    <mergeCell ref="CM5:CN5"/>
    <mergeCell ref="CO5:CP5"/>
    <mergeCell ref="BS5:BT5"/>
    <mergeCell ref="BU5:BV5"/>
    <mergeCell ref="BW5:BX5"/>
    <mergeCell ref="BY5:BZ5"/>
    <mergeCell ref="CA5:CB5"/>
    <mergeCell ref="CC5:CD5"/>
    <mergeCell ref="BG5:BH5"/>
    <mergeCell ref="BI5:BJ5"/>
    <mergeCell ref="BK5:BL5"/>
    <mergeCell ref="BM5:BN5"/>
    <mergeCell ref="BO5:BP5"/>
    <mergeCell ref="BQ5:BR5"/>
    <mergeCell ref="AU5:AV5"/>
    <mergeCell ref="AW5:AX5"/>
    <mergeCell ref="AY5:AZ5"/>
    <mergeCell ref="BA5:BB5"/>
    <mergeCell ref="BC5:BD5"/>
    <mergeCell ref="BE5:BF5"/>
    <mergeCell ref="AI5:AJ5"/>
    <mergeCell ref="AK5:AL5"/>
    <mergeCell ref="AM5:AN5"/>
    <mergeCell ref="AO5:AP5"/>
    <mergeCell ref="AQ5:AR5"/>
    <mergeCell ref="AS5:AT5"/>
    <mergeCell ref="W5:X5"/>
    <mergeCell ref="Y5:Z5"/>
    <mergeCell ref="AA5:AB5"/>
    <mergeCell ref="AC5:AD5"/>
    <mergeCell ref="AE5:AF5"/>
    <mergeCell ref="AG5:AH5"/>
    <mergeCell ref="CA4:CD4"/>
    <mergeCell ref="CE4:CJ4"/>
    <mergeCell ref="CK4:CN4"/>
    <mergeCell ref="CO4:CT4"/>
    <mergeCell ref="CU4:CX4"/>
    <mergeCell ref="M5:N5"/>
    <mergeCell ref="O5:P5"/>
    <mergeCell ref="Q5:R5"/>
    <mergeCell ref="S5:T5"/>
    <mergeCell ref="U5:V5"/>
    <mergeCell ref="AW4:AZ4"/>
    <mergeCell ref="BA4:BF4"/>
    <mergeCell ref="BG4:BJ4"/>
    <mergeCell ref="BK4:BP4"/>
    <mergeCell ref="BQ4:BT4"/>
    <mergeCell ref="BU4:BZ4"/>
    <mergeCell ref="BU3:CD3"/>
    <mergeCell ref="CE3:CN3"/>
    <mergeCell ref="CO3:CX3"/>
    <mergeCell ref="M4:R4"/>
    <mergeCell ref="S4:V4"/>
    <mergeCell ref="W4:AB4"/>
    <mergeCell ref="AC4:AF4"/>
    <mergeCell ref="AG4:AL4"/>
    <mergeCell ref="AM4:AP4"/>
    <mergeCell ref="AQ4:AV4"/>
    <mergeCell ref="M3:V3"/>
    <mergeCell ref="W3:AF3"/>
    <mergeCell ref="AG3:AP3"/>
    <mergeCell ref="AQ3:AZ3"/>
    <mergeCell ref="BA3:BJ3"/>
    <mergeCell ref="BK3:B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2023-08-01T02:52:56Z</dcterms:created>
  <dcterms:modified xsi:type="dcterms:W3CDTF">2023-08-01T02:53:54Z</dcterms:modified>
</cp:coreProperties>
</file>