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AF1D7B34-AFB8-47BC-AD4A-B216B470FEB3}" xr6:coauthVersionLast="47" xr6:coauthVersionMax="47" xr10:uidLastSave="{00000000-0000-0000-0000-000000000000}"/>
  <bookViews>
    <workbookView xWindow="-120" yWindow="-120" windowWidth="29040" windowHeight="15720" xr2:uid="{32DCE560-75EB-4BB9-9FE5-C8CFC052AD2C}"/>
  </bookViews>
  <sheets>
    <sheet name="DATABASE" sheetId="1" r:id="rId1"/>
  </sheets>
  <definedNames>
    <definedName name="_xlnm._FilterDatabase" localSheetId="0" hidden="1">DATABASE!$A$14:$KW$30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K30" i="1" l="1"/>
  <c r="OJ30" i="1"/>
  <c r="OI30" i="1"/>
  <c r="OH30" i="1"/>
  <c r="NA30" i="1"/>
  <c r="MZ30" i="1"/>
  <c r="MY30" i="1"/>
  <c r="MX30" i="1"/>
  <c r="LA30" i="1"/>
  <c r="KZ30" i="1"/>
  <c r="KY30" i="1"/>
  <c r="KX30" i="1"/>
  <c r="GW30" i="1"/>
  <c r="GV30" i="1"/>
  <c r="GU30" i="1"/>
  <c r="GT30" i="1"/>
  <c r="DE30" i="1"/>
  <c r="DD30" i="1"/>
  <c r="DC30" i="1"/>
  <c r="DB30" i="1"/>
  <c r="OK29" i="1"/>
  <c r="OJ29" i="1"/>
  <c r="OI29" i="1"/>
  <c r="OH29" i="1"/>
  <c r="NA29" i="1"/>
  <c r="MZ29" i="1"/>
  <c r="MY29" i="1"/>
  <c r="MX29" i="1"/>
  <c r="LA29" i="1"/>
  <c r="KZ29" i="1"/>
  <c r="KY29" i="1"/>
  <c r="KX29" i="1"/>
  <c r="GW29" i="1"/>
  <c r="GV29" i="1"/>
  <c r="GU29" i="1"/>
  <c r="GT29" i="1"/>
  <c r="DE29" i="1"/>
  <c r="DD29" i="1"/>
  <c r="DC29" i="1"/>
  <c r="DB29" i="1"/>
  <c r="OK28" i="1"/>
  <c r="OJ28" i="1"/>
  <c r="OI28" i="1"/>
  <c r="OH28" i="1"/>
  <c r="NA28" i="1"/>
  <c r="MZ28" i="1"/>
  <c r="MY28" i="1"/>
  <c r="MX28" i="1"/>
  <c r="LA28" i="1"/>
  <c r="KZ28" i="1"/>
  <c r="KY28" i="1"/>
  <c r="KX28" i="1"/>
  <c r="GW28" i="1"/>
  <c r="GV28" i="1"/>
  <c r="GU28" i="1"/>
  <c r="GT28" i="1"/>
  <c r="DE28" i="1"/>
  <c r="DD28" i="1"/>
  <c r="DC28" i="1"/>
  <c r="DB28" i="1"/>
  <c r="OL28" i="1" s="1"/>
  <c r="OK27" i="1"/>
  <c r="OJ27" i="1"/>
  <c r="OI27" i="1"/>
  <c r="OH27" i="1"/>
  <c r="NA27" i="1"/>
  <c r="MZ27" i="1"/>
  <c r="MY27" i="1"/>
  <c r="MX27" i="1"/>
  <c r="LA27" i="1"/>
  <c r="KZ27" i="1"/>
  <c r="KY27" i="1"/>
  <c r="KX27" i="1"/>
  <c r="GW27" i="1"/>
  <c r="GV27" i="1"/>
  <c r="GU27" i="1"/>
  <c r="GT27" i="1"/>
  <c r="DE27" i="1"/>
  <c r="DD27" i="1"/>
  <c r="DC27" i="1"/>
  <c r="DB27" i="1"/>
  <c r="OK26" i="1"/>
  <c r="OJ26" i="1"/>
  <c r="OI26" i="1"/>
  <c r="OH26" i="1"/>
  <c r="NA26" i="1"/>
  <c r="MZ26" i="1"/>
  <c r="MY26" i="1"/>
  <c r="MX26" i="1"/>
  <c r="LA26" i="1"/>
  <c r="KZ26" i="1"/>
  <c r="KY26" i="1"/>
  <c r="KX26" i="1"/>
  <c r="GW26" i="1"/>
  <c r="GV26" i="1"/>
  <c r="GU26" i="1"/>
  <c r="GT26" i="1"/>
  <c r="DE26" i="1"/>
  <c r="DD26" i="1"/>
  <c r="DC26" i="1"/>
  <c r="DB26" i="1"/>
  <c r="OK25" i="1"/>
  <c r="OJ25" i="1"/>
  <c r="OI25" i="1"/>
  <c r="OH25" i="1"/>
  <c r="NA25" i="1"/>
  <c r="MZ25" i="1"/>
  <c r="MY25" i="1"/>
  <c r="MX25" i="1"/>
  <c r="LA25" i="1"/>
  <c r="KZ25" i="1"/>
  <c r="KY25" i="1"/>
  <c r="KX25" i="1"/>
  <c r="GW25" i="1"/>
  <c r="GV25" i="1"/>
  <c r="GU25" i="1"/>
  <c r="GT25" i="1"/>
  <c r="DE25" i="1"/>
  <c r="DD25" i="1"/>
  <c r="DC25" i="1"/>
  <c r="DB25" i="1"/>
  <c r="OL25" i="1" s="1"/>
  <c r="OK24" i="1"/>
  <c r="OJ24" i="1"/>
  <c r="OI24" i="1"/>
  <c r="OH24" i="1"/>
  <c r="NA24" i="1"/>
  <c r="MZ24" i="1"/>
  <c r="MY24" i="1"/>
  <c r="MX24" i="1"/>
  <c r="LA24" i="1"/>
  <c r="KZ24" i="1"/>
  <c r="KY24" i="1"/>
  <c r="KX24" i="1"/>
  <c r="GW24" i="1"/>
  <c r="GV24" i="1"/>
  <c r="GU24" i="1"/>
  <c r="GT24" i="1"/>
  <c r="DE24" i="1"/>
  <c r="DD24" i="1"/>
  <c r="DC24" i="1"/>
  <c r="DB24" i="1"/>
  <c r="OK23" i="1"/>
  <c r="OJ23" i="1"/>
  <c r="OI23" i="1"/>
  <c r="OH23" i="1"/>
  <c r="NA23" i="1"/>
  <c r="MZ23" i="1"/>
  <c r="MY23" i="1"/>
  <c r="MX23" i="1"/>
  <c r="LA23" i="1"/>
  <c r="KZ23" i="1"/>
  <c r="KY23" i="1"/>
  <c r="KX23" i="1"/>
  <c r="GW23" i="1"/>
  <c r="GV23" i="1"/>
  <c r="GU23" i="1"/>
  <c r="GT23" i="1"/>
  <c r="DE23" i="1"/>
  <c r="DD23" i="1"/>
  <c r="DC23" i="1"/>
  <c r="DB23" i="1"/>
  <c r="OK22" i="1"/>
  <c r="OJ22" i="1"/>
  <c r="OI22" i="1"/>
  <c r="OH22" i="1"/>
  <c r="NA22" i="1"/>
  <c r="MZ22" i="1"/>
  <c r="MY22" i="1"/>
  <c r="MX22" i="1"/>
  <c r="LA22" i="1"/>
  <c r="KZ22" i="1"/>
  <c r="KY22" i="1"/>
  <c r="KX22" i="1"/>
  <c r="GW22" i="1"/>
  <c r="GV22" i="1"/>
  <c r="GU22" i="1"/>
  <c r="GT22" i="1"/>
  <c r="DE22" i="1"/>
  <c r="DD22" i="1"/>
  <c r="DC22" i="1"/>
  <c r="DB22" i="1"/>
  <c r="OL22" i="1" s="1"/>
  <c r="OK21" i="1"/>
  <c r="OJ21" i="1"/>
  <c r="OI21" i="1"/>
  <c r="OH21" i="1"/>
  <c r="NA21" i="1"/>
  <c r="MZ21" i="1"/>
  <c r="MY21" i="1"/>
  <c r="MX21" i="1"/>
  <c r="LA21" i="1"/>
  <c r="KZ21" i="1"/>
  <c r="KY21" i="1"/>
  <c r="KX21" i="1"/>
  <c r="GW21" i="1"/>
  <c r="GV21" i="1"/>
  <c r="GU21" i="1"/>
  <c r="GT21" i="1"/>
  <c r="DE21" i="1"/>
  <c r="DD21" i="1"/>
  <c r="DC21" i="1"/>
  <c r="DB21" i="1"/>
  <c r="OK20" i="1"/>
  <c r="OJ20" i="1"/>
  <c r="OI20" i="1"/>
  <c r="OH20" i="1"/>
  <c r="NA20" i="1"/>
  <c r="MZ20" i="1"/>
  <c r="MY20" i="1"/>
  <c r="MX20" i="1"/>
  <c r="LA20" i="1"/>
  <c r="KZ20" i="1"/>
  <c r="KY20" i="1"/>
  <c r="KX20" i="1"/>
  <c r="GW20" i="1"/>
  <c r="GV20" i="1"/>
  <c r="GU20" i="1"/>
  <c r="GT20" i="1"/>
  <c r="DE20" i="1"/>
  <c r="DD20" i="1"/>
  <c r="DC20" i="1"/>
  <c r="DB20" i="1"/>
  <c r="OK19" i="1"/>
  <c r="OJ19" i="1"/>
  <c r="OI19" i="1"/>
  <c r="OH19" i="1"/>
  <c r="NA19" i="1"/>
  <c r="MZ19" i="1"/>
  <c r="MY19" i="1"/>
  <c r="MX19" i="1"/>
  <c r="LA19" i="1"/>
  <c r="KZ19" i="1"/>
  <c r="KY19" i="1"/>
  <c r="KX19" i="1"/>
  <c r="GW19" i="1"/>
  <c r="GV19" i="1"/>
  <c r="GU19" i="1"/>
  <c r="GT19" i="1"/>
  <c r="DE19" i="1"/>
  <c r="DD19" i="1"/>
  <c r="DC19" i="1"/>
  <c r="DB19" i="1"/>
  <c r="OL19" i="1" s="1"/>
  <c r="OK18" i="1"/>
  <c r="OJ18" i="1"/>
  <c r="OI18" i="1"/>
  <c r="OH18" i="1"/>
  <c r="NA18" i="1"/>
  <c r="MZ18" i="1"/>
  <c r="MY18" i="1"/>
  <c r="MX18" i="1"/>
  <c r="LA18" i="1"/>
  <c r="KZ18" i="1"/>
  <c r="KY18" i="1"/>
  <c r="KX18" i="1"/>
  <c r="GW18" i="1"/>
  <c r="GV18" i="1"/>
  <c r="GU18" i="1"/>
  <c r="GT18" i="1"/>
  <c r="DE18" i="1"/>
  <c r="DD18" i="1"/>
  <c r="DC18" i="1"/>
  <c r="DB18" i="1"/>
  <c r="OK17" i="1"/>
  <c r="OJ17" i="1"/>
  <c r="OI17" i="1"/>
  <c r="OH17" i="1"/>
  <c r="OH13" i="1" s="1"/>
  <c r="NA17" i="1"/>
  <c r="MZ17" i="1"/>
  <c r="MY17" i="1"/>
  <c r="MX17" i="1"/>
  <c r="LA17" i="1"/>
  <c r="KZ17" i="1"/>
  <c r="KY17" i="1"/>
  <c r="KX17" i="1"/>
  <c r="GW17" i="1"/>
  <c r="GV17" i="1"/>
  <c r="GU17" i="1"/>
  <c r="GU13" i="1" s="1"/>
  <c r="GT17" i="1"/>
  <c r="GT13" i="1" s="1"/>
  <c r="DE17" i="1"/>
  <c r="DD17" i="1"/>
  <c r="DC17" i="1"/>
  <c r="DB17" i="1"/>
  <c r="OK16" i="1"/>
  <c r="OJ16" i="1"/>
  <c r="OI16" i="1"/>
  <c r="OH16" i="1"/>
  <c r="NA16" i="1"/>
  <c r="NA13" i="1" s="1"/>
  <c r="MZ16" i="1"/>
  <c r="MY16" i="1"/>
  <c r="MY13" i="1" s="1"/>
  <c r="MX16" i="1"/>
  <c r="MX13" i="1" s="1"/>
  <c r="LA16" i="1"/>
  <c r="KZ16" i="1"/>
  <c r="KY16" i="1"/>
  <c r="KX16" i="1"/>
  <c r="GW16" i="1"/>
  <c r="GV16" i="1"/>
  <c r="GU16" i="1"/>
  <c r="GT16" i="1"/>
  <c r="DE16" i="1"/>
  <c r="DD16" i="1"/>
  <c r="DC16" i="1"/>
  <c r="DB16" i="1"/>
  <c r="OL16" i="1" s="1"/>
  <c r="OK15" i="1"/>
  <c r="OK13" i="1" s="1"/>
  <c r="OJ15" i="1"/>
  <c r="OJ13" i="1" s="1"/>
  <c r="OI15" i="1"/>
  <c r="OH15" i="1"/>
  <c r="NA15" i="1"/>
  <c r="MZ15" i="1"/>
  <c r="MY15" i="1"/>
  <c r="MX15" i="1"/>
  <c r="LA15" i="1"/>
  <c r="KZ15" i="1"/>
  <c r="KY15" i="1"/>
  <c r="KY13" i="1" s="1"/>
  <c r="KX15" i="1"/>
  <c r="GW15" i="1"/>
  <c r="GW13" i="1" s="1"/>
  <c r="GV15" i="1"/>
  <c r="GU15" i="1"/>
  <c r="GT15" i="1"/>
  <c r="DE15" i="1"/>
  <c r="DD15" i="1"/>
  <c r="DC15" i="1"/>
  <c r="DB15" i="1"/>
  <c r="OG13" i="1"/>
  <c r="OF13" i="1"/>
  <c r="OE13" i="1"/>
  <c r="OD13" i="1"/>
  <c r="OC13" i="1"/>
  <c r="OB13" i="1"/>
  <c r="OA13" i="1"/>
  <c r="NZ13" i="1"/>
  <c r="NY13" i="1"/>
  <c r="NX13" i="1"/>
  <c r="NW13" i="1"/>
  <c r="NV13" i="1"/>
  <c r="NU13" i="1"/>
  <c r="NT13" i="1"/>
  <c r="NS13" i="1"/>
  <c r="NR13" i="1"/>
  <c r="NQ13" i="1"/>
  <c r="NP13" i="1"/>
  <c r="NO13" i="1"/>
  <c r="NN13" i="1"/>
  <c r="NM13" i="1"/>
  <c r="NL13" i="1"/>
  <c r="NK13" i="1"/>
  <c r="NJ13" i="1"/>
  <c r="NI13" i="1"/>
  <c r="NH13" i="1"/>
  <c r="NG13" i="1"/>
  <c r="NF13" i="1"/>
  <c r="NE13" i="1"/>
  <c r="ND13" i="1"/>
  <c r="NC13" i="1"/>
  <c r="NB13" i="1"/>
  <c r="MW13" i="1"/>
  <c r="MV13" i="1"/>
  <c r="MU13" i="1"/>
  <c r="MT13" i="1"/>
  <c r="MS13" i="1"/>
  <c r="MR13" i="1"/>
  <c r="MQ13" i="1"/>
  <c r="MP13" i="1"/>
  <c r="MO13" i="1"/>
  <c r="MN13" i="1"/>
  <c r="MM13" i="1"/>
  <c r="ML13" i="1"/>
  <c r="MK13" i="1"/>
  <c r="MJ13" i="1"/>
  <c r="MI13" i="1"/>
  <c r="MH13" i="1"/>
  <c r="MG13" i="1"/>
  <c r="MF13" i="1"/>
  <c r="ME13" i="1"/>
  <c r="MD13" i="1"/>
  <c r="MC13" i="1"/>
  <c r="MB13" i="1"/>
  <c r="MA13" i="1"/>
  <c r="LZ13" i="1"/>
  <c r="LY13" i="1"/>
  <c r="LX13" i="1"/>
  <c r="LW13" i="1"/>
  <c r="LV13" i="1"/>
  <c r="LU13" i="1"/>
  <c r="LT13" i="1"/>
  <c r="LS13" i="1"/>
  <c r="LR13" i="1"/>
  <c r="LQ13" i="1"/>
  <c r="LP13" i="1"/>
  <c r="LO13" i="1"/>
  <c r="LN13" i="1"/>
  <c r="LM13" i="1"/>
  <c r="LL13" i="1"/>
  <c r="LK13" i="1"/>
  <c r="LJ13" i="1"/>
  <c r="LI13" i="1"/>
  <c r="LH13" i="1"/>
  <c r="LG13" i="1"/>
  <c r="LF13" i="1"/>
  <c r="LE13" i="1"/>
  <c r="LD13" i="1"/>
  <c r="LC13" i="1"/>
  <c r="LB13" i="1"/>
  <c r="KW13" i="1"/>
  <c r="KV13" i="1"/>
  <c r="KU13" i="1"/>
  <c r="KT13" i="1"/>
  <c r="KS13" i="1"/>
  <c r="KR13" i="1"/>
  <c r="KQ13" i="1"/>
  <c r="KP13" i="1"/>
  <c r="KO13" i="1"/>
  <c r="KN13" i="1"/>
  <c r="KM13" i="1"/>
  <c r="KL13" i="1"/>
  <c r="KK13" i="1"/>
  <c r="KJ13" i="1"/>
  <c r="KI13" i="1"/>
  <c r="KH13" i="1"/>
  <c r="KG13" i="1"/>
  <c r="KF13" i="1"/>
  <c r="KE13" i="1"/>
  <c r="KD13" i="1"/>
  <c r="KC13" i="1"/>
  <c r="KB13" i="1"/>
  <c r="KA13" i="1"/>
  <c r="JZ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HO13" i="1"/>
  <c r="HN13" i="1"/>
  <c r="HM13" i="1"/>
  <c r="HL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C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KZ13" i="1" l="1"/>
  <c r="ON16" i="1"/>
  <c r="GV13" i="1"/>
  <c r="ON19" i="1"/>
  <c r="ON22" i="1"/>
  <c r="ON25" i="1"/>
  <c r="ON28" i="1"/>
  <c r="KX13" i="1"/>
  <c r="LA13" i="1"/>
  <c r="OO22" i="1"/>
  <c r="OO25" i="1"/>
  <c r="OO16" i="1"/>
  <c r="OO19" i="1"/>
  <c r="OO28" i="1"/>
  <c r="OM15" i="1"/>
  <c r="OI13" i="1"/>
  <c r="OM18" i="1"/>
  <c r="OM21" i="1"/>
  <c r="OM24" i="1"/>
  <c r="OM27" i="1"/>
  <c r="OM30" i="1"/>
  <c r="MZ13" i="1"/>
  <c r="OM17" i="1"/>
  <c r="OM20" i="1"/>
  <c r="OM23" i="1"/>
  <c r="OM26" i="1"/>
  <c r="OM29" i="1"/>
  <c r="OL17" i="1"/>
  <c r="OL20" i="1"/>
  <c r="OL23" i="1"/>
  <c r="OL26" i="1"/>
  <c r="OL29" i="1"/>
  <c r="ON17" i="1"/>
  <c r="ON20" i="1"/>
  <c r="ON23" i="1"/>
  <c r="ON26" i="1"/>
  <c r="ON29" i="1"/>
  <c r="OO17" i="1"/>
  <c r="OO20" i="1"/>
  <c r="OO23" i="1"/>
  <c r="OO26" i="1"/>
  <c r="OO29" i="1"/>
  <c r="OM16" i="1"/>
  <c r="OM19" i="1"/>
  <c r="OM22" i="1"/>
  <c r="OM25" i="1"/>
  <c r="OM28" i="1"/>
  <c r="DB13" i="1"/>
  <c r="OL15" i="1"/>
  <c r="OL18" i="1"/>
  <c r="OL21" i="1"/>
  <c r="OL24" i="1"/>
  <c r="OL27" i="1"/>
  <c r="OL30" i="1"/>
  <c r="DD13" i="1"/>
  <c r="ON15" i="1"/>
  <c r="ON13" i="1" s="1"/>
  <c r="ON18" i="1"/>
  <c r="ON21" i="1"/>
  <c r="ON24" i="1"/>
  <c r="ON27" i="1"/>
  <c r="ON30" i="1"/>
  <c r="DE13" i="1"/>
  <c r="OO15" i="1"/>
  <c r="OO18" i="1"/>
  <c r="OO21" i="1"/>
  <c r="OO24" i="1"/>
  <c r="OO27" i="1"/>
  <c r="OO30" i="1"/>
  <c r="OM13" i="1" l="1"/>
  <c r="OL13" i="1"/>
  <c r="OO13" i="1"/>
</calcChain>
</file>

<file path=xl/sharedStrings.xml><?xml version="1.0" encoding="utf-8"?>
<sst xmlns="http://schemas.openxmlformats.org/spreadsheetml/2006/main" count="1163" uniqueCount="507">
  <si>
    <t>Republic of the Philippines</t>
  </si>
  <si>
    <t>DEPARTMENT OF EDUCATION</t>
  </si>
  <si>
    <t>Government Senior High School Profile</t>
  </si>
  <si>
    <t>GRADE 12 LEARNERS IN TVL TRACK SPECIALIZATIONS WHO TOOK PASSED THE NC, PREVIOUS SY</t>
  </si>
  <si>
    <t>Date Generated: August 29, 2020</t>
  </si>
  <si>
    <t>Home Economics (HE)</t>
  </si>
  <si>
    <t>Agri-Fishery Arts (AFA)</t>
  </si>
  <si>
    <t>Industrial Arts  (IA)</t>
  </si>
  <si>
    <t>Information and Communication Technology (ICT)</t>
  </si>
  <si>
    <t>Technical-Vocational-Livelihood Maritime</t>
  </si>
  <si>
    <t>Grand Total</t>
  </si>
  <si>
    <t>Attractions and Theme Parks Operations with Ecotourism (NC II)</t>
  </si>
  <si>
    <t>Barbering (NC II)</t>
  </si>
  <si>
    <t>Bartending (NC II)</t>
  </si>
  <si>
    <t>Beauty/Nail Care (NC II)</t>
  </si>
  <si>
    <t>Bread and Pastry Production (NC II)</t>
  </si>
  <si>
    <t>Caregiving (NC II)</t>
  </si>
  <si>
    <t>Commercial Cooking (NC III)</t>
  </si>
  <si>
    <t>Cookery (NC II)</t>
  </si>
  <si>
    <t>Dressmaking (NC II)</t>
  </si>
  <si>
    <t>Events Management Services (NC III)</t>
  </si>
  <si>
    <t>Fashion Design (Apparel) (NC III)</t>
  </si>
  <si>
    <t>Food and Beverage Services (NC II)</t>
  </si>
  <si>
    <t>Front Office Services (NC II)</t>
  </si>
  <si>
    <t>Hairdressing (NC II)</t>
  </si>
  <si>
    <t xml:space="preserve">Hairdressing (NC III) </t>
  </si>
  <si>
    <t>Handicraft (Basketry, Macrame) (Non-NC)</t>
  </si>
  <si>
    <t>Handicraft (Fashion Accessories, Paper Craft) (Non-NC)</t>
  </si>
  <si>
    <t>Handicraft (Needlecraft) (Non-NC))</t>
  </si>
  <si>
    <t>Handicraft (Woodcraft, Leathercraft) (Non-NC)</t>
  </si>
  <si>
    <t xml:space="preserve">Housekeeping (NC II) </t>
  </si>
  <si>
    <t>Local Guiding Services (NC II)</t>
  </si>
  <si>
    <t>Tailoring (NC II)</t>
  </si>
  <si>
    <t>Tourism Promotion Services (NC II)</t>
  </si>
  <si>
    <t>Travel Services (NC II)</t>
  </si>
  <si>
    <t>Wellness Massage (NC II)</t>
  </si>
  <si>
    <t>Agricultural Crops Production (NC I)</t>
  </si>
  <si>
    <t>Agricultural Crops Production (NC II)</t>
  </si>
  <si>
    <t xml:space="preserve">Agricultural Crops Production (NC III) </t>
  </si>
  <si>
    <t xml:space="preserve">Animal Health Care Management (NC III) </t>
  </si>
  <si>
    <t>Animal Production (Poultry-Chicken) (NC II)</t>
  </si>
  <si>
    <t xml:space="preserve">Animal Production (Large Ruminants) (NC II) </t>
  </si>
  <si>
    <t xml:space="preserve">Animal Production (Swine) (NC II) </t>
  </si>
  <si>
    <t>Aquaculture (NC II)</t>
  </si>
  <si>
    <t>Artificial Insemination (Large Ruminants) (NC II)</t>
  </si>
  <si>
    <t xml:space="preserve">Artificial Insemination (Swine) (NC II) </t>
  </si>
  <si>
    <t>Fish Capture (NC II)</t>
  </si>
  <si>
    <t>Fishing Gear Repair and Maintenance (NC III)</t>
  </si>
  <si>
    <t>Fish-Products Packaging (NC II)</t>
  </si>
  <si>
    <t>Fish Wharf Operation (NC I)</t>
  </si>
  <si>
    <t>Food Processing (NC II)</t>
  </si>
  <si>
    <t xml:space="preserve">Horticulture (NC III) </t>
  </si>
  <si>
    <t>Landscape Installation and Maintenance (NC II)</t>
  </si>
  <si>
    <t>Organic Agriculture (NC II)</t>
  </si>
  <si>
    <t>Pest Management (NC II)</t>
  </si>
  <si>
    <t>Rice Machinery Operations (NC II)</t>
  </si>
  <si>
    <t>Rubber Processing (NC II)</t>
  </si>
  <si>
    <t>Slaughtering Operations (Hog/Swine/Pig) (NC II)</t>
  </si>
  <si>
    <t>Automotive Servicing (NC I)</t>
  </si>
  <si>
    <t>Automotive Servicing (NC II)</t>
  </si>
  <si>
    <t>Carpentry (NC II)</t>
  </si>
  <si>
    <t xml:space="preserve">Carpentry (NC III) </t>
  </si>
  <si>
    <t>Construction Painting (NC II)</t>
  </si>
  <si>
    <t>Domestic Refrigeration and Air-Conditioning (DOMRAC)
Servicing (NC II)</t>
  </si>
  <si>
    <t>Driving (NC II)</t>
  </si>
  <si>
    <t>Electrical Installation and Maintenance (NC II)</t>
  </si>
  <si>
    <t>Electric Power Distribution Line Construction (NC II)</t>
  </si>
  <si>
    <t xml:space="preserve">Electronic Products Assembly and Servicing (EPAS) (NC II) </t>
  </si>
  <si>
    <t>Furniture Making (Finishing) (NC II)</t>
  </si>
  <si>
    <t xml:space="preserve">Instrumentation and Control Servicing (NC II) </t>
  </si>
  <si>
    <t>Gas Metal Arc Welding (GMAW) (NC II)</t>
  </si>
  <si>
    <t>Gas Tungsten Arc Welding (GTAW) (NC II)</t>
  </si>
  <si>
    <t>Machining (NC I)</t>
  </si>
  <si>
    <t>Machining (NC II)</t>
  </si>
  <si>
    <t>Masonry (NC II)</t>
  </si>
  <si>
    <t xml:space="preserve">Mechatronics Servicing (NC II) </t>
  </si>
  <si>
    <t>Motorcycle/Small Engine Servicing (NC II)</t>
  </si>
  <si>
    <t>Plumbing (NC I)</t>
  </si>
  <si>
    <t>Plumbing (NC II)</t>
  </si>
  <si>
    <t>Refrigeration and Air-Conditioning  (Packaged Air-Conditioning Unit (PACU)/Commercial Refrigeration Equipment (CRE) Servicing (NC III)</t>
  </si>
  <si>
    <t>Shielded Metal Arc Welding (SMAW) (NC I)</t>
  </si>
  <si>
    <t>Shielded Metal Arc Welding (SMAW) (NC II)</t>
  </si>
  <si>
    <t>Tile Setting (NC II)</t>
  </si>
  <si>
    <t xml:space="preserve">Transmission Line Installation and Maintenance (NC II) </t>
  </si>
  <si>
    <t>Animation (NC II)</t>
  </si>
  <si>
    <t xml:space="preserve">Broadband Installation (Fixed Wireless Systems) (NC II) </t>
  </si>
  <si>
    <t>Computer Programming (.Net Technology) (NC III)</t>
  </si>
  <si>
    <t>Computer Programming (Java) (NC III)</t>
  </si>
  <si>
    <t xml:space="preserve">Computer Programming (Oracle Database) (NC III) </t>
  </si>
  <si>
    <t xml:space="preserve">Computer Systems Servicing (NC II) </t>
  </si>
  <si>
    <t>Contact Center Services (NC II)</t>
  </si>
  <si>
    <t>Illustration (NC II)</t>
  </si>
  <si>
    <t>Medical Transcription (NC II)</t>
  </si>
  <si>
    <t>Technical Drafting (NC II)</t>
  </si>
  <si>
    <t xml:space="preserve">Telecom OSP and Subscriber Line Installation
(Copper Cable/POTS and DSL) (NC II) </t>
  </si>
  <si>
    <t xml:space="preserve">Telecom OSP Installation (Fiber Optic Cable) (NC II) </t>
  </si>
  <si>
    <t>Navigational Watch 1</t>
  </si>
  <si>
    <t>Navigational Watch 2</t>
  </si>
  <si>
    <t>Navigational Watch 3</t>
  </si>
  <si>
    <t>Engine Watch 1</t>
  </si>
  <si>
    <t>Engine Watch 2</t>
  </si>
  <si>
    <t>Safety 1</t>
  </si>
  <si>
    <t>Safety 2</t>
  </si>
  <si>
    <t>Ship's Catering Services (NC I)</t>
  </si>
  <si>
    <t>TOOK THE NATIONAL CERTIFICATION EXAMINATION</t>
  </si>
  <si>
    <t xml:space="preserve">PASSED THE NATIONAL
CERTIFICATION  </t>
  </si>
  <si>
    <t>Male</t>
  </si>
  <si>
    <t>Female</t>
  </si>
  <si>
    <t>#</t>
  </si>
  <si>
    <t>Region</t>
  </si>
  <si>
    <t>Division</t>
  </si>
  <si>
    <t>School ID</t>
  </si>
  <si>
    <t>School Name</t>
  </si>
  <si>
    <t>HE Attractions and Theme Parks with Eco (NCII) Took NC M</t>
  </si>
  <si>
    <t>HE Attractions and Theme Parks with Eco (NCII) Took NC F</t>
  </si>
  <si>
    <t>HE Attractions and Theme Parks with Eco (NCII) Passed NC M</t>
  </si>
  <si>
    <t>HE Attractions and Theme Parks with Eco (NCII) Passed NC F</t>
  </si>
  <si>
    <t>HE Barbering (NCII) Took NC M</t>
  </si>
  <si>
    <t>HE Barbering (NCII) Took NC F</t>
  </si>
  <si>
    <t>HE Barbering (NCII) Passed NC M</t>
  </si>
  <si>
    <t>HE Barbering (NCII) Passed NC F</t>
  </si>
  <si>
    <t>HE Bartending (NCII) Took NC M</t>
  </si>
  <si>
    <t>HE Bartending (NCII) Took NC F</t>
  </si>
  <si>
    <t>HE Bartending (NCII) Passed NC M</t>
  </si>
  <si>
    <t>HE Bartending (NCII) Passed NC F</t>
  </si>
  <si>
    <t>HE Beauty/Nail Care (NCII) Took NC M</t>
  </si>
  <si>
    <t>HE Beauty/Nail Care (NCII) Took NC F</t>
  </si>
  <si>
    <t>HE Beauty/Nail Care (NCII) Passed NC M</t>
  </si>
  <si>
    <t>HE Beauty/Nail Care (NCII) Passed NC F</t>
  </si>
  <si>
    <t>HE Bread and Pastry Prod (NCII) Took NC M</t>
  </si>
  <si>
    <t>HE Bread and Pastry Prod (NCII) Took NC F</t>
  </si>
  <si>
    <t>HE Bread and Pastry Prod (NCII) Passed NC M</t>
  </si>
  <si>
    <t>HE Bread and Pastry Prod (NCII) Passed NC F</t>
  </si>
  <si>
    <t>HE Caregiving (NCII) Took NC M</t>
  </si>
  <si>
    <t>HE Caregiving (NCII) Took NC F</t>
  </si>
  <si>
    <t>HE Caregiving (NCII) Passed NC M</t>
  </si>
  <si>
    <t>HE Caregiving (NCII) Passed NC F</t>
  </si>
  <si>
    <t>HE Commercial Cooking (NCIII) Took NC M</t>
  </si>
  <si>
    <t>HE Commercial Cooking (NCIII) Took NC F</t>
  </si>
  <si>
    <t>HE Commercial Cooking (NCIII) Passed NC M</t>
  </si>
  <si>
    <t>HE Commercial Cooking (NCIII) Passed NC F</t>
  </si>
  <si>
    <t>HE Cookery (NCII) Took NC M</t>
  </si>
  <si>
    <t>HE Cookery (NCII) Took NC F</t>
  </si>
  <si>
    <t>HE Cookery (NCII) Passed NC M</t>
  </si>
  <si>
    <t>HE Cookery (NCII) Passed NC F</t>
  </si>
  <si>
    <t>HE Dressmaking (NCII) Took NC M</t>
  </si>
  <si>
    <t>HE Dressmaking (NCII) Took NC F</t>
  </si>
  <si>
    <t>HE Dressmaking (NCII) Passed NC M</t>
  </si>
  <si>
    <t>HE Dressmaking (NCII) Passed NC F</t>
  </si>
  <si>
    <t>HE Events Mngt Services (NCIII) Took NC M</t>
  </si>
  <si>
    <t>HE Events Mngt Services (NCIII) Took NC F</t>
  </si>
  <si>
    <t>HE Events Mngt Services (NCIII) Passed NC M</t>
  </si>
  <si>
    <t>HE Events Mngt Services (NCIII) Passed NC F</t>
  </si>
  <si>
    <t>HE Fashion Design (Apparel)(NCIII) Took NC M</t>
  </si>
  <si>
    <t>HE Fashion Design (Apparel)(NCIII) Took NC F</t>
  </si>
  <si>
    <t>HE Fashion Design (Apparel)(NCIII) Passed NC M</t>
  </si>
  <si>
    <t>HE Fashion Design (Apparel)(NCIII) Passed NC F</t>
  </si>
  <si>
    <t>HE Food and Beverage Services (NCII) Took NC M</t>
  </si>
  <si>
    <t>HE Food and Beverage Services (NCII) Took NC F</t>
  </si>
  <si>
    <t>HE Food and Beverage Services (NCII) Passed NC M</t>
  </si>
  <si>
    <t>HE Food and Beverage Services (NCII) Passed NC F</t>
  </si>
  <si>
    <t>HE Front Office Services (NCII) Took NC M</t>
  </si>
  <si>
    <t>HE Front Office Services (NCII) Took NC F</t>
  </si>
  <si>
    <t>HE Front Office Services (NCII) Passed NC M</t>
  </si>
  <si>
    <t>HE Front Office Services (NCII) Passed NC F</t>
  </si>
  <si>
    <t>HE Hairdressing (NCII) Took NC M</t>
  </si>
  <si>
    <t>HE Hairdressing (NCII) Took NC F</t>
  </si>
  <si>
    <t>HE Hairdressing (NCII) Passed NC M</t>
  </si>
  <si>
    <t>HE Hairdressing (NCII) Passed NC F</t>
  </si>
  <si>
    <t>HE Hairdressing (NCIII) Took NC M</t>
  </si>
  <si>
    <t>HE Hairdressing (NCIII) Took NC F</t>
  </si>
  <si>
    <t>HE Hairdressing (NCIII) Passed NC M</t>
  </si>
  <si>
    <t>HE Hairdressing (NCIII) Passed NC F</t>
  </si>
  <si>
    <t>HE Handicraft (Basketry, Macrame) (Non-NC) Took NC M</t>
  </si>
  <si>
    <t>HE Handicraft (Basketry, Macrame) (Non-NC) Took NC F</t>
  </si>
  <si>
    <t>HE Handicraft (Basketry, Macrame) (Non-NC) Passed NC M</t>
  </si>
  <si>
    <t>HE Handicraft (Basketry, Macrame) (Non-NC) Passed NC F</t>
  </si>
  <si>
    <t>HE Handicraft (Fashion Acce, Paper Craft) (Non-NC) Took NC M</t>
  </si>
  <si>
    <t>HE Handicraft (Fashion Acce, Paper Craft) (Non-NC) Took NC F</t>
  </si>
  <si>
    <t>HE Handicraft (Fashion Acce, Paper Craft) (Non-NC) Passed NC M</t>
  </si>
  <si>
    <t>HE Handicraft (Fashion Acce, Paper Craft) (Non-NC) Passed NC F</t>
  </si>
  <si>
    <t>HE Handicraft (Needlecraft) (Non-NC) Took NC M</t>
  </si>
  <si>
    <t>HE Handicraft (Needlecraft) (Non-NC) Took NC F</t>
  </si>
  <si>
    <t>HE Handicraft (Needlecraft) (Non-NC) Passed NC M</t>
  </si>
  <si>
    <t>HE Handicraft (Needlecraft) (Non-NC) Passed NC F</t>
  </si>
  <si>
    <t>HE Handicraft (Woodcraft, Leathercraft) (Non-NC) Took NC M</t>
  </si>
  <si>
    <t>HE Handicraft (Woodcraft, Leathercraft) (Non-NC) Took NC F</t>
  </si>
  <si>
    <t>HE Handicraft (Woodcraft, Leathercraft) (Non-NC) Passed NC M</t>
  </si>
  <si>
    <t>HE Handicraft (Woodcraft, Leathercraft) (Non-NC) Passed NC F</t>
  </si>
  <si>
    <t>HE Housekeeping (NCII) Took NC M</t>
  </si>
  <si>
    <t>HE Housekeeping (NCII) Took NC F</t>
  </si>
  <si>
    <t>HE Housekeeping (NCII) Passed NC M</t>
  </si>
  <si>
    <t>HE Housekeeping (NCII) Passed NC F</t>
  </si>
  <si>
    <t>HE Local Guiding Services (NCII) Took NC M</t>
  </si>
  <si>
    <t>HE Local Guiding Services (NCII) Took NC F</t>
  </si>
  <si>
    <t>HE Local Guiding Services (NCII) Passed NC M</t>
  </si>
  <si>
    <t>HE Local Guiding Services (NCII) Passed NC F</t>
  </si>
  <si>
    <t>HE Tailoring (NCII) Took NC M</t>
  </si>
  <si>
    <t>HE Tailoring (NCII) Took NC F</t>
  </si>
  <si>
    <t>HE Tailoring (NCII) Passed NC M</t>
  </si>
  <si>
    <t>HE Tailoring (NCII) Passed NC F</t>
  </si>
  <si>
    <t>HE Tourism Promotion Services (NCII) Took NC M</t>
  </si>
  <si>
    <t>HE Tourism Promotion Services (NCII) Took NC F</t>
  </si>
  <si>
    <t>HE Tourism Promotion Services (NCII) Passed NC M</t>
  </si>
  <si>
    <t>HE Tourism Promotion Services (NCII) Passed NC F</t>
  </si>
  <si>
    <t>HE Travel Services (NCII) Took NC M</t>
  </si>
  <si>
    <t>HE Travel Services (NCII) Took NC F</t>
  </si>
  <si>
    <t>HE Travel Services (NCII) Passed NC M</t>
  </si>
  <si>
    <t>HE Travel Services (NCII) Passed NC F</t>
  </si>
  <si>
    <t>HE Wellness Massage (NCII) Took NC M</t>
  </si>
  <si>
    <t>HE Wellness Massage (NCII) Took NC F</t>
  </si>
  <si>
    <t>HE Wellness Massage (NCII) Passed NC M</t>
  </si>
  <si>
    <t>HE Wellness Massage (NCII) Passed NC F</t>
  </si>
  <si>
    <t>AFA Agri Crops Prod (NCI) Took NC M</t>
  </si>
  <si>
    <t>AFA Agri Crops Prod (NCI) Took NC F</t>
  </si>
  <si>
    <t>AFA Agri Crops Prod (NCI) Passed NC M</t>
  </si>
  <si>
    <t>AFA Agri Crops Prod (NCI) Passed NC F</t>
  </si>
  <si>
    <t>AFA Agri Crops Prod (NCII) Took NC M</t>
  </si>
  <si>
    <t>AFA Agri Crops Prod (NCII) Took NC F</t>
  </si>
  <si>
    <t>AFA Agri Crops Prod (NCII) Passed NC M</t>
  </si>
  <si>
    <t>AFA Agri Crops Prod (NCII) Passed NC F</t>
  </si>
  <si>
    <t>AFA Agri Crops Prod (NCIII) Took NC M</t>
  </si>
  <si>
    <t>AFA Agri Crops Prod (NCIII) Took NC F</t>
  </si>
  <si>
    <t>AFA Agri Crops Prod (NCIII) Passed NC M</t>
  </si>
  <si>
    <t>AFA Agri Crops Prod (NCIII) Passed NC F</t>
  </si>
  <si>
    <t>AFA Animal Health Care Mngt (NCIII) Took NC M</t>
  </si>
  <si>
    <t>AFA Animal Health Care Mngt (NCIII) Took NC F</t>
  </si>
  <si>
    <t>AFA Animal Health Care Mngt (NCIII) Passed NC M</t>
  </si>
  <si>
    <t>AFA Animal Health Care Mngt (NCIII) Passed NC F</t>
  </si>
  <si>
    <t>AFA Animal Prod (Poultry-Chicken) (NCII) Took NC M</t>
  </si>
  <si>
    <t>AFA Animal Prod (Poultry-Chicken) (NCII) Took NC F</t>
  </si>
  <si>
    <t>AFA Animal Prod (Poultry-Chicken) (NCII) Passed NC M</t>
  </si>
  <si>
    <t>AFA Animal Prod (Poultry-Chicken) (NCII) Passed NC F</t>
  </si>
  <si>
    <t>AFA Animal Prod (Large Ruminants) (NCII) Took NC M</t>
  </si>
  <si>
    <t>AFA Animal Prod (Large Ruminants) (NCII) Took NC F</t>
  </si>
  <si>
    <t>AFA Animal Prod (Large Ruminants) (NCII) Passed NC M</t>
  </si>
  <si>
    <t>AFA Animal Prod (Large Ruminants) (NCII) Passed NC F</t>
  </si>
  <si>
    <t>AFA Animal Prod (Swine) (NCII) Took NC M</t>
  </si>
  <si>
    <t>AFA Animal Prod (Swine) (NCII) Took NC F</t>
  </si>
  <si>
    <t>AFA Animal Prod (Swine) (NCII) Passed NC M</t>
  </si>
  <si>
    <t>AFA Animal Prod (Swine) (NCII) Passed NC F</t>
  </si>
  <si>
    <t>AFA Aquaculture (NCII) Took NC M</t>
  </si>
  <si>
    <t>AFA Aquaculture (NCII) Took NC F</t>
  </si>
  <si>
    <t>AFA Aquaculture (NCII) Passed NC M</t>
  </si>
  <si>
    <t>AFA Aquaculture (NCII) Passed NC F</t>
  </si>
  <si>
    <t>AFA Arti Insemination (Large Ruminants) (NCII) Took NC M</t>
  </si>
  <si>
    <t>AFA Arti Insemination (Large Ruminants) (NCII) Took NC F</t>
  </si>
  <si>
    <t>AFA Arti Insemination (Large Ruminants) (NCII) Passed NC M</t>
  </si>
  <si>
    <t>AFA Arti Insemination (Large Ruminants) (NCII) Passed NC F</t>
  </si>
  <si>
    <t>AFA Arti Insemination (Swine) (NCII) Took NC M</t>
  </si>
  <si>
    <t>AFA Arti Insemination (Swine) (NCII) Took NC F</t>
  </si>
  <si>
    <t>AFA Arti Insemination (Swine) (NCII) Passed NC M</t>
  </si>
  <si>
    <t>AFA Arti Insemination (Swine) (NCII) Passed NC F</t>
  </si>
  <si>
    <t>AFA Fish Capture (NCII) Took NC M</t>
  </si>
  <si>
    <t>AFA Fish Capture (NCII) Took NC F</t>
  </si>
  <si>
    <t>AFA Fish Capture (NCII) Passed NC M</t>
  </si>
  <si>
    <t>AFA Fish Capture (NCII) Passed NC F</t>
  </si>
  <si>
    <t>AFA Fishing Gear Repair and Main (NCII) Took NC M</t>
  </si>
  <si>
    <t>AFA Fishing Gear Repair and Main (NCII) Took NC F</t>
  </si>
  <si>
    <t>AFA Fishing Gear Repair and Main (NCII) Passed NC M</t>
  </si>
  <si>
    <t>AFA Fishing Gear Repair and Main (NCII) Passed NC F</t>
  </si>
  <si>
    <t>AFA Fish-Products Packaging (NCII) Took NC M</t>
  </si>
  <si>
    <t>AFA Fish-Products Packaging (NCII) Took NC F</t>
  </si>
  <si>
    <t>AFA Fish-Products Packaging (NCII) Passed NC M</t>
  </si>
  <si>
    <t>AFA Fish-Products Packaging (NCII) Passed NC F</t>
  </si>
  <si>
    <t>AFA Fish Wharf Operation (NCI) Took NC M</t>
  </si>
  <si>
    <t>AFA Fish Wharf Operation (NCI) Took NC F</t>
  </si>
  <si>
    <t>AFA Fish Wharf Operation (NCI) Passed NC M</t>
  </si>
  <si>
    <t>AFA Fish Wharf Operation (NCI) Passed NC F</t>
  </si>
  <si>
    <t>AFA Food Processing (NCII) Took NC M</t>
  </si>
  <si>
    <t>AFA Food Processing (NCII) Took NC F</t>
  </si>
  <si>
    <t>AFA Food Processing (NCII) Passed NC M</t>
  </si>
  <si>
    <t>AFA Food Processing (NCII) Passed NC F</t>
  </si>
  <si>
    <t>AFA Horticulture (NCIII) Took NC M</t>
  </si>
  <si>
    <t>AFA Horticulture (NCIII) Took NC F</t>
  </si>
  <si>
    <t>AFA Horticulture (NCIII) Passed NC M</t>
  </si>
  <si>
    <t>AFA Horticulture (NCIII) Passed NC F</t>
  </si>
  <si>
    <t>AFA Landscape Install and Main (NCII) Took NC M</t>
  </si>
  <si>
    <t>AFA Landscape Install and Main (NCII) Took NC F</t>
  </si>
  <si>
    <t>AFA Landscape Install and Main (NCII) Passed NC M</t>
  </si>
  <si>
    <t>AFA Landscape Install and Main (NCII) Passed NC F</t>
  </si>
  <si>
    <t>AFA Organic Agriculture (NCII) Took NC M</t>
  </si>
  <si>
    <t>AFA Organic Agriculture (NCII) Took NC F</t>
  </si>
  <si>
    <t>AFA Organic Agriculture (NCII) Passed NC M</t>
  </si>
  <si>
    <t>AFA Organic Agriculture (NCII) Passed NC F</t>
  </si>
  <si>
    <t>AFA Pest Mngt (NCII) Took NC M</t>
  </si>
  <si>
    <t>AFA Pest Mngt (NCII) Took NC F</t>
  </si>
  <si>
    <t>AFA Pest Mngt (NCII) Passed NC M</t>
  </si>
  <si>
    <t>AFA Pest Mngt (NCII) Passed NC F</t>
  </si>
  <si>
    <t>AFA Rice Machinery Oper (NCII) Took NC M</t>
  </si>
  <si>
    <t>AFA Rice Machinery Oper (NCII) Took NC F</t>
  </si>
  <si>
    <t>AFA Rice Machinery Oper (NCII) Passed NC M</t>
  </si>
  <si>
    <t>AFA Rice Machinery Oper (NCII) Passed NC F</t>
  </si>
  <si>
    <t>AFA Rubber Processing (NCII) Took NC M</t>
  </si>
  <si>
    <t>AFA Rubber Processing (NCII) Took NC F</t>
  </si>
  <si>
    <t>AFA Rubber Processing (NCII) Passed NC M</t>
  </si>
  <si>
    <t>AFA Rubber Processing (NCII) Passed NC F</t>
  </si>
  <si>
    <t>AFA Rubber Production (NCII) Took NC M</t>
  </si>
  <si>
    <t>AFA Rubber Production (NCII) Took NC F</t>
  </si>
  <si>
    <t>AFA Rubber Production (NCII) Passed NC M</t>
  </si>
  <si>
    <t>AFA Rubber Production (NCII) Passed NC F</t>
  </si>
  <si>
    <t>AFA Slaughtering Oper (Hog/Swine/Pig) (NCII) Took NC M</t>
  </si>
  <si>
    <t>AFA Slaughtering Oper (Hog/Swine/Pig) (NCII) Took NC F</t>
  </si>
  <si>
    <t>AFA Slaughtering Oper (Hog/Swine/Pig) (NCII) Passed NC M</t>
  </si>
  <si>
    <t>AFA Slaughtering Oper (Hog/Swine/Pig) (NCII) Passed NC F</t>
  </si>
  <si>
    <t>IA Automotive Servicing (NCI) Gr11 M</t>
  </si>
  <si>
    <t>IA Automotive Servicing (NCI) Gr11 F</t>
  </si>
  <si>
    <t>IA Automotive Servicing (NCI) Gr12 M</t>
  </si>
  <si>
    <t>IA Automotive Servicing (NCI) Gr12 F</t>
  </si>
  <si>
    <t>IA Automotive Servicing (NCII) Gr11 M</t>
  </si>
  <si>
    <t>IA Automotive Servicing (NCII) Gr11 F</t>
  </si>
  <si>
    <t>IA Automotive Servicing (NCII) Gr12 M</t>
  </si>
  <si>
    <t>IA Automotive Servicing (NCII) Gr12 F</t>
  </si>
  <si>
    <t>IA Carpentry (NCII) Gr11 M</t>
  </si>
  <si>
    <t>IA Carpentry (NCII) Gr11 F</t>
  </si>
  <si>
    <t>IA Carpentry (NCII) Gr12 M</t>
  </si>
  <si>
    <t>IA Carpentry (NCII) Gr12 F</t>
  </si>
  <si>
    <t>IA Carpentry (NCIII) Gr11 M</t>
  </si>
  <si>
    <t>IA Carpentry (NCIII) Gr11 F</t>
  </si>
  <si>
    <t>IA Carpentry (NCIII) Gr12 M</t>
  </si>
  <si>
    <t>IA Carpentry (NCIII) Gr12 F</t>
  </si>
  <si>
    <t>IA Construction Painting (NCII) Gr11 M</t>
  </si>
  <si>
    <t>IA Construction Painting (NCII) Gr11 F</t>
  </si>
  <si>
    <t>IA Construction Painting (NCII) Gr12 M</t>
  </si>
  <si>
    <t>IA Construction Painting (NCII) Gr12 F</t>
  </si>
  <si>
    <t>IA DOMRAC (NCII) Gr11 M</t>
  </si>
  <si>
    <t>IA DOMRAC (NCII) Gr11 F</t>
  </si>
  <si>
    <t>IA DOMRAC (NCII) Gr12 M</t>
  </si>
  <si>
    <t>IA DOMRAC (NCII) Gr12 F</t>
  </si>
  <si>
    <t>IA Driving (NCII) Gr11 M</t>
  </si>
  <si>
    <t>IA Driving (NCII) Gr11 F</t>
  </si>
  <si>
    <t>IA Driving (NCII) Gr12 M</t>
  </si>
  <si>
    <t>IA Driving (NCII) Gr12 F</t>
  </si>
  <si>
    <t>IA Elect Install and Maint (NCII) Gr11 M</t>
  </si>
  <si>
    <t>IA Elect Install and Maint (NCII) Gr11 F</t>
  </si>
  <si>
    <t>IA Elect Install and Maint (NCII) Gr12 M</t>
  </si>
  <si>
    <t>IA Elect Install and Maint (NCII) Gr12 F</t>
  </si>
  <si>
    <t>IA Elect Power Distr Line (NCII) Gr11 M</t>
  </si>
  <si>
    <t>IA Elect Power Distr Line (NCII) Gr11 F</t>
  </si>
  <si>
    <t>IA Elect Power Distr Line (NCII) Gr12 M</t>
  </si>
  <si>
    <t>IA Elect Power Distr Line (NCII) Gr12 F</t>
  </si>
  <si>
    <t>IA EPAS (NCII) Gr11 M</t>
  </si>
  <si>
    <t>IA EPAS (NCII) Gr11 F</t>
  </si>
  <si>
    <t>IA EPAS (NCII) Gr12 M</t>
  </si>
  <si>
    <t>IA EPAS (NCII) Gr12 F</t>
  </si>
  <si>
    <t>IA Furniture Making (Finishing) (NCII) Gr11 M</t>
  </si>
  <si>
    <t>IA Furniture Making (Finishing) (NCII) Gr11 F</t>
  </si>
  <si>
    <t>IA Furniture Making (Finishing) (NCII) Gr12 M</t>
  </si>
  <si>
    <t>IA Furniture Making (Finishing) (NCII) Gr12 F</t>
  </si>
  <si>
    <t>IA Inst and Control Servicing (NCII) Gr11 M</t>
  </si>
  <si>
    <t>IA Inst and Control Servicing (NCII) Gr11 F</t>
  </si>
  <si>
    <t>IA Inst and Control Servicing (NCII) Gr12 M</t>
  </si>
  <si>
    <t>IA Inst and Control Servicing (NCII) Gr12 F</t>
  </si>
  <si>
    <t>IA GMAW (NCII) Gr11 M</t>
  </si>
  <si>
    <t>IA GMAW (NCII) Gr11 F</t>
  </si>
  <si>
    <t>IA GMAW (NCII) Gr12 M</t>
  </si>
  <si>
    <t>IA GMAW (NCII) Gr12 F</t>
  </si>
  <si>
    <t>IA GTAW (NCII) Gr11 M</t>
  </si>
  <si>
    <t>IA GTAW (NCII) Gr11 F</t>
  </si>
  <si>
    <t>IA GTAW (NCII) Gr12 M</t>
  </si>
  <si>
    <t>IA GTAW (NCII) Gr12 F</t>
  </si>
  <si>
    <t>IA Machining (NCI) Gr11 M</t>
  </si>
  <si>
    <t>IA Machining (NCI) Gr11 F</t>
  </si>
  <si>
    <t>IA Machining (NCI) Gr12 M</t>
  </si>
  <si>
    <t>IA Machining (NCI) Gr12 F</t>
  </si>
  <si>
    <t>IA Machining (NCII) Gr11 M</t>
  </si>
  <si>
    <t>IA Machining (NCII) Gr11 F</t>
  </si>
  <si>
    <t>IA Machining (NCII) Gr12 M</t>
  </si>
  <si>
    <t>IA Machining (NCII) Gr12 F</t>
  </si>
  <si>
    <t>IA Masonry (NCII) Gr11 M</t>
  </si>
  <si>
    <t>IA Masonry (NCII) Gr11 F</t>
  </si>
  <si>
    <t>IA Masonry (NCII) Gr12 M</t>
  </si>
  <si>
    <t>IA Masonry (NCII) Gr12 F</t>
  </si>
  <si>
    <t>IA Mechatronics Servicing (NCII) Gr11 M</t>
  </si>
  <si>
    <t>IA Mechatronics Servicing (NCII) Gr11 F</t>
  </si>
  <si>
    <t>IA Mechatronics Servicing (NCII) Gr12 M</t>
  </si>
  <si>
    <t>IA Mechatronics Servicing (NCII) Gr12 F</t>
  </si>
  <si>
    <t>IA Motor/SE Servicing (NCII) Gr11 M</t>
  </si>
  <si>
    <t>IA Motor/SE Servicing (NCII) Gr11 F</t>
  </si>
  <si>
    <t>IA Motor/SE Servicing (NCII) Gr12 M</t>
  </si>
  <si>
    <t>IA Motor/SE Servicing (NCII) Gr12 F</t>
  </si>
  <si>
    <t>IA Plumbing (NCI) Gr11 M</t>
  </si>
  <si>
    <t>IA Plumbing (NCI) Gr11 F</t>
  </si>
  <si>
    <t>IA Plumbing (NCI) Gr12 M</t>
  </si>
  <si>
    <t>IA Plumbing (NCI) Gr12 F</t>
  </si>
  <si>
    <t>IA Plumbing (NCII) Gr11 M</t>
  </si>
  <si>
    <t>IA Plumbing (NCII) Gr11 F</t>
  </si>
  <si>
    <t>IA Plumbing (NCII) Gr12 M</t>
  </si>
  <si>
    <t>IA Plumbing (NCII) Gr12 F</t>
  </si>
  <si>
    <t>IA PACU/CRE (NCIII) Gr11 M</t>
  </si>
  <si>
    <t>IA PACU/CRE (NCIII) Gr11 F</t>
  </si>
  <si>
    <t>IA PACU/CRE (NCIII) Gr12 M</t>
  </si>
  <si>
    <t>IA PACU/CRE (NCIII) Gr12 F</t>
  </si>
  <si>
    <t>IA SMAW (NCI) Gr11 M</t>
  </si>
  <si>
    <t>IA SMAW (NCI) Gr11 F</t>
  </si>
  <si>
    <t>IA SMAW (NCI) Gr12 M</t>
  </si>
  <si>
    <t>IA SMAW (NCI) Gr12 F</t>
  </si>
  <si>
    <t>IA SMAW (NCII) Gr11 M</t>
  </si>
  <si>
    <t>IA SMAW (NCII) Gr11 F</t>
  </si>
  <si>
    <t>IA SMAW (NCII) Gr12 M</t>
  </si>
  <si>
    <t>IA SMAW (NCII) Gr12 F</t>
  </si>
  <si>
    <t>IA Tile Setting (NCII) Gr11 M</t>
  </si>
  <si>
    <t>IA Tile Setting (NCII) Gr11 F</t>
  </si>
  <si>
    <t>IA Tile Setting (NCII) Gr12 M</t>
  </si>
  <si>
    <t>IA Tile Setting (NCII) Gr12 F</t>
  </si>
  <si>
    <t>IA Transmission Line Install and Maint (NCII) Gr11 M</t>
  </si>
  <si>
    <t>IA Transmission Line Install and Maint (NCII) Gr11 F</t>
  </si>
  <si>
    <t>IA Transmission Line Install and Maint (NCII) Gr12 M</t>
  </si>
  <si>
    <t>IA Transmission Line Install and Maint (NCII) Gr12 F</t>
  </si>
  <si>
    <t>ICT Animation (NCII) Gr11 M</t>
  </si>
  <si>
    <t>ICT Animation (NCII) Gr11 F</t>
  </si>
  <si>
    <t>ICT Animation (NCII) Gr12 M</t>
  </si>
  <si>
    <t>ICT Animation (NCII) Gr12 F</t>
  </si>
  <si>
    <t>ICT Broadband Install (Fixed Wireless Sys) (NCII) Gr11 M</t>
  </si>
  <si>
    <t>ICT Broadband Install (Fixed Wireless Sys) (NCII) Gr11 F</t>
  </si>
  <si>
    <t>ICT Broadband Install (Fixed Wireless Sys) (NCII) Gr12 M</t>
  </si>
  <si>
    <t>ICT Broadband Install (Fixed Wireless Sys) (NCII) Gr12 F</t>
  </si>
  <si>
    <t>ICT Comp Prog (.Net Technology) (NCIII) Gr11 M</t>
  </si>
  <si>
    <t>ICT Comp Prog (.Net Technology) (NCIII) Gr11 F</t>
  </si>
  <si>
    <t>ICT Comp Prog (.Net Technology) (NCIII) Gr12 M</t>
  </si>
  <si>
    <t>ICT Comp Prog (.Net Technology) (NCIII) Gr12 F</t>
  </si>
  <si>
    <t>ICT Comp Prog (Java) (NCIII) Gr11 M</t>
  </si>
  <si>
    <t>ICT Comp Prog (Java) (NCIII) Gr11 F</t>
  </si>
  <si>
    <t>ICT Comp Prog (Java) (NCIII) Gr12 M</t>
  </si>
  <si>
    <t>ICT Comp Prog (Java) (NCIII) Gr12 F</t>
  </si>
  <si>
    <t>ICT Comp Prog (Oracle DB) (NCIII) Gr11 M</t>
  </si>
  <si>
    <t>ICT Comp Prog (Oracle DB) (NCIII) Gr11 F</t>
  </si>
  <si>
    <t>ICT Comp Prog (Oracle DB) (NCIII) Gr12 M</t>
  </si>
  <si>
    <t>ICT Comp Prog (Oracle DB) (NCIII) Gr12 F</t>
  </si>
  <si>
    <t>ICT Comp Systems Servicing  (NCII) Gr11 M</t>
  </si>
  <si>
    <t>ICT Comp Systems Servicing  (NCII) Gr11 F</t>
  </si>
  <si>
    <t>ICT Comp Systems Servicing  (NCII) Gr12 M</t>
  </si>
  <si>
    <t>ICT Comp Systems Servicing  (NCII) Gr12 F</t>
  </si>
  <si>
    <t>ICT Contact Center Services (NCII) Gr11 M</t>
  </si>
  <si>
    <t>ICT Contact Center Services (NCII) Gr11 F</t>
  </si>
  <si>
    <t>ICT Contact Center Services (NCII) Gr12 M</t>
  </si>
  <si>
    <t>ICT Contact Center Services (NCII) Gr12 F</t>
  </si>
  <si>
    <t>ICT Illustration (NCII) Gr11 M</t>
  </si>
  <si>
    <t>ICT Illustration (NCII) Gr11 F</t>
  </si>
  <si>
    <t>ICT Illustration (NCII) Gr12 M</t>
  </si>
  <si>
    <t>ICT Illustration (NCII) Gr12 F</t>
  </si>
  <si>
    <t>ICT Med Transcription (NCII) Gr11 M</t>
  </si>
  <si>
    <t>ICT Med Transcription (NCII) Gr11 F</t>
  </si>
  <si>
    <t>ICT Med Transcription (NCII) Gr12 M</t>
  </si>
  <si>
    <t>ICT Med Transcription (NCII) Gr12 F</t>
  </si>
  <si>
    <t>ICT Tech Drafting (NCII) Gr11 M</t>
  </si>
  <si>
    <t>ICT Tech Drafting (NCII) Gr11 F</t>
  </si>
  <si>
    <t>ICT Tech Drafting (NCII) Gr12 M</t>
  </si>
  <si>
    <t>ICT Tech Drafting (NCII) Gr12 F</t>
  </si>
  <si>
    <t>ICT Telecom OSP and Subs Line Install (NCII) Gr11 M</t>
  </si>
  <si>
    <t>ICT Telecom OSP and Subs Line Install (NCII) Gr11 F</t>
  </si>
  <si>
    <t>ICT Telecom OSP and Subs Line Install (NCII) Gr12 M</t>
  </si>
  <si>
    <t>ICT Telecom OSP and Subs Line Install (NCII) Gr12 F</t>
  </si>
  <si>
    <t>ICT Telecom OSP Install (NCII) Gr11 M</t>
  </si>
  <si>
    <t>ICT Telecom OSP Install (NCII) Gr11 F</t>
  </si>
  <si>
    <t>ICT Telecom OSP Install (NCII) Gr12 M</t>
  </si>
  <si>
    <t>ICT Telecom OSP Install (NCII) Gr12 F</t>
  </si>
  <si>
    <t>TVL Maritime  Nav Watch 1 Gr11 M</t>
  </si>
  <si>
    <t>TVL Maritime  Nav Watch 1 Gr11 F</t>
  </si>
  <si>
    <t>TVL Maritime  Nav Watch 1 Gr12 M</t>
  </si>
  <si>
    <t>TVL Maritime  Nav Watch 1 Gr12 F</t>
  </si>
  <si>
    <t>TVL Maritime  Nav Watch 2 Gr11 M</t>
  </si>
  <si>
    <t>TVL Maritime  Nav Watch 2 Gr11 F</t>
  </si>
  <si>
    <t>TVL Maritime  Nav Watch 2 Gr12 M</t>
  </si>
  <si>
    <t>TVL Maritime  Nav Watch 2 Gr12 F</t>
  </si>
  <si>
    <t>TVL Maritime  Nav Watch 3 Gr11 M</t>
  </si>
  <si>
    <t>TVL Maritime  Nav Watch 3 Gr11 F</t>
  </si>
  <si>
    <t>TVL Maritime  Nav Watch 3 Gr12 M</t>
  </si>
  <si>
    <t>TVL Maritime  Nav Watch 3 Gr12 F</t>
  </si>
  <si>
    <t>TVL Maritime  Eng Watch 1 Gr11 M</t>
  </si>
  <si>
    <t>TVL Maritime  Eng Watch 1 Gr11 F</t>
  </si>
  <si>
    <t>TVL Maritime  Eng Watch 1 Gr12 M</t>
  </si>
  <si>
    <t>TVL Maritime  Eng Watch 1 Gr12 F</t>
  </si>
  <si>
    <t>TVL Maritime  Eng Watch 2 Gr11 M</t>
  </si>
  <si>
    <t>TVL Maritime  Eng Watch 2 Gr11 F</t>
  </si>
  <si>
    <t>TVL Maritime  Eng Watch 2 Gr12 M</t>
  </si>
  <si>
    <t>TVL Maritime  Eng Watch 2 Gr12 F</t>
  </si>
  <si>
    <t>TVL Maritime  Safety 1 Gr11 M</t>
  </si>
  <si>
    <t>TVL Maritime  Safety 1 Gr11 F</t>
  </si>
  <si>
    <t>TVL Maritime  Safety 1 Gr12 M</t>
  </si>
  <si>
    <t>TVL Maritime  Safety 1 Gr12 F</t>
  </si>
  <si>
    <t>TVL Maritime  Safety 2 Gr11 M</t>
  </si>
  <si>
    <t>TVL Maritime  Safety 2 Gr11 F</t>
  </si>
  <si>
    <t>TVL Maritime  Safety 2 Gr12 M</t>
  </si>
  <si>
    <t>TVL Maritime  Safety 2 Gr12 F</t>
  </si>
  <si>
    <t>TVL Maritime  Ships Catering Services 2 Gr11 M</t>
  </si>
  <si>
    <t>TVL Maritime  Ships Catering Services 2 Gr11 F</t>
  </si>
  <si>
    <t>TVL Maritime  Ships Catering Services 2 Gr12 M</t>
  </si>
  <si>
    <t>TVL Maritime  Ships Catering Services 2 Gr12 F</t>
  </si>
  <si>
    <t>Region XI</t>
  </si>
  <si>
    <t>Mati City</t>
  </si>
  <si>
    <t>Matiao NHS</t>
  </si>
  <si>
    <t>Lawigan National High School</t>
  </si>
  <si>
    <t>Mayo NHS</t>
  </si>
  <si>
    <t>Buso National High School</t>
  </si>
  <si>
    <t>Don Salvador Lopez NHS</t>
  </si>
  <si>
    <t>Libudon NHS</t>
  </si>
  <si>
    <t>Badas NHS</t>
  </si>
  <si>
    <t>Mati National Comprehensive High School</t>
  </si>
  <si>
    <t>Taguibo Agri. Voc. High School</t>
  </si>
  <si>
    <t>Mati SAT</t>
  </si>
  <si>
    <t>Don Enrique Lopez NHS</t>
  </si>
  <si>
    <t>Bobon NHS</t>
  </si>
  <si>
    <t>Licop Integrated School</t>
  </si>
  <si>
    <t>Macambol NHS</t>
  </si>
  <si>
    <t>Dawan NHS</t>
  </si>
  <si>
    <t>Davao Oriental Regional Science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</si>
</sst>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0"/>
      <color rgb="FF000000"/>
      <name val="Times New Roman"/>
    </font>
    <font>
      <b/>
      <i/>
      <sz val="11"/>
      <color rgb="FF000000"/>
      <name val="Times New Roman"/>
    </font>
    <font>
      <b/>
      <i/>
      <sz val="14"/>
      <color rgb="FF000000"/>
      <name val="Times New Roman"/>
    </font>
    <font>
      <b/>
      <i/>
      <sz val="20"/>
      <color rgb="FF000000"/>
      <name val="Times New Roman"/>
    </font>
    <font>
      <b/>
      <i/>
      <sz val="12"/>
      <color rgb="FF000000"/>
      <name val="Times New Roman"/>
      <family val="1"/>
    </font>
    <font>
      <b/>
      <i/>
      <sz val="12"/>
      <color rgb="FF000000"/>
      <name val="Times New Roman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1009650</xdr:colOff>
      <xdr:row>0</xdr:row>
      <xdr:rowOff>57150</xdr:rowOff>
    </xdr:from>
    <xdr:ext cx="771525" cy="742950"/>
    <xdr:pic>
      <xdr:nvPicPr>
        <xdr:cNvPr id="2" name="Picture 1">
          <a:extLst>
            <a:ext uri="{FF2B5EF4-FFF2-40B4-BE49-F238E27FC236}">
              <a16:creationId xmlns:a16="http://schemas.microsoft.com/office/drawing/2014/main" id="{A31E041D-11F2-44B5-9AF7-02B3C6793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57150"/>
          <a:ext cx="771525" cy="742950"/>
        </a:xfrm>
        <a:prstGeom prst="rect">
          <a:avLst/>
        </a:prstGeom>
      </xdr:spPr>
    </xdr:pic>
    <xdr:clientData/>
  </xdr:oneCellAnchor>
  <xdr:oneCellAnchor>
    <xdr:from>
      <xdr:col>7</xdr:col>
      <xdr:colOff>76200</xdr:colOff>
      <xdr:row>0</xdr:row>
      <xdr:rowOff>28575</xdr:rowOff>
    </xdr:from>
    <xdr:ext cx="971550" cy="723900"/>
    <xdr:pic>
      <xdr:nvPicPr>
        <xdr:cNvPr id="3" name="Picture 4">
          <a:extLst>
            <a:ext uri="{FF2B5EF4-FFF2-40B4-BE49-F238E27FC236}">
              <a16:creationId xmlns:a16="http://schemas.microsoft.com/office/drawing/2014/main" id="{64A47E8F-348F-410A-BF99-5BBEBE91E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53200" y="28575"/>
          <a:ext cx="971550" cy="723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E2E3-174A-4AAD-A389-5E98888D215B}">
  <dimension ref="A1:OO30"/>
  <sheetViews>
    <sheetView showGridLines="0" tabSelected="1" workbookViewId="0">
      <pane xSplit="5" ySplit="14" topLeftCell="F15" activePane="bottomRight" state="frozen"/>
      <selection pane="topRight" activeCell="F1" sqref="F1"/>
      <selection pane="bottomLeft" activeCell="A9" sqref="A9"/>
      <selection pane="bottomRight" activeCell="F25" sqref="F25"/>
    </sheetView>
  </sheetViews>
  <sheetFormatPr defaultRowHeight="15" x14ac:dyDescent="0.25"/>
  <cols>
    <col min="1" max="1" width="4.5703125" style="34" customWidth="1"/>
    <col min="2" max="2" width="11.85546875" customWidth="1"/>
    <col min="3" max="3" width="16" customWidth="1"/>
    <col min="4" max="4" width="9.140625" style="14" customWidth="1"/>
    <col min="5" max="5" width="31.28515625" customWidth="1"/>
    <col min="6" max="389" width="12.140625" customWidth="1"/>
  </cols>
  <sheetData>
    <row r="1" spans="1:405" s="3" customFormat="1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05" s="3" customFormat="1" ht="15.7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05" s="3" customFormat="1" ht="15.75" customHeight="1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05" s="3" customForma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</row>
    <row r="5" spans="1:405" s="3" customFormat="1" ht="15" customHeight="1" x14ac:dyDescent="0.25">
      <c r="A5" s="9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</row>
    <row r="6" spans="1:405" s="3" customFormat="1" ht="15" customHeight="1" x14ac:dyDescent="0.25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spans="1:405" x14ac:dyDescent="0.25">
      <c r="A7" s="13" t="s">
        <v>4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405" x14ac:dyDescent="0.25">
      <c r="A8" s="14"/>
      <c r="B8" s="14"/>
      <c r="C8" s="14"/>
      <c r="E8" s="14"/>
      <c r="F8" s="14"/>
      <c r="G8" s="14"/>
      <c r="H8" s="14"/>
      <c r="I8" s="14"/>
      <c r="J8" s="14"/>
      <c r="K8" s="14"/>
      <c r="L8" s="14"/>
    </row>
    <row r="9" spans="1:405" ht="14.45" customHeight="1" x14ac:dyDescent="0.25">
      <c r="A9" s="14"/>
      <c r="B9" s="14"/>
      <c r="C9" s="14"/>
      <c r="E9" s="14"/>
      <c r="F9" s="15" t="s">
        <v>5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6" t="s">
        <v>6</v>
      </c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5" t="s">
        <v>7</v>
      </c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 t="s">
        <v>8</v>
      </c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5"/>
      <c r="LX9" s="15"/>
      <c r="LY9" s="15"/>
      <c r="LZ9" s="15"/>
      <c r="MA9" s="15"/>
      <c r="MB9" s="15"/>
      <c r="MC9" s="15"/>
      <c r="MD9" s="15"/>
      <c r="ME9" s="15"/>
      <c r="MF9" s="15"/>
      <c r="MG9" s="15"/>
      <c r="MH9" s="15"/>
      <c r="MI9" s="15"/>
      <c r="MJ9" s="15"/>
      <c r="MK9" s="15"/>
      <c r="ML9" s="15"/>
      <c r="MM9" s="15"/>
      <c r="MN9" s="15"/>
      <c r="MO9" s="15"/>
      <c r="MP9" s="15"/>
      <c r="MQ9" s="15"/>
      <c r="MR9" s="15"/>
      <c r="MS9" s="15"/>
      <c r="MT9" s="15"/>
      <c r="MU9" s="15"/>
      <c r="MV9" s="15"/>
      <c r="MW9" s="15"/>
      <c r="MX9" s="15"/>
      <c r="MY9" s="15"/>
      <c r="MZ9" s="15"/>
      <c r="NA9" s="15"/>
      <c r="NB9" s="15" t="s">
        <v>9</v>
      </c>
      <c r="NC9" s="15"/>
      <c r="ND9" s="15"/>
      <c r="NE9" s="15"/>
      <c r="NF9" s="15"/>
      <c r="NG9" s="15"/>
      <c r="NH9" s="15"/>
      <c r="NI9" s="15"/>
      <c r="NJ9" s="15"/>
      <c r="NK9" s="15"/>
      <c r="NL9" s="15"/>
      <c r="NM9" s="15"/>
      <c r="NN9" s="15"/>
      <c r="NO9" s="15"/>
      <c r="NP9" s="15"/>
      <c r="NQ9" s="15"/>
      <c r="NR9" s="15"/>
      <c r="NS9" s="15"/>
      <c r="NT9" s="15"/>
      <c r="NU9" s="15"/>
      <c r="NV9" s="15"/>
      <c r="NW9" s="15"/>
      <c r="NX9" s="15"/>
      <c r="NY9" s="15"/>
      <c r="NZ9" s="15"/>
      <c r="OA9" s="15"/>
      <c r="OB9" s="15"/>
      <c r="OC9" s="15"/>
      <c r="OD9" s="15"/>
      <c r="OE9" s="15"/>
      <c r="OF9" s="15"/>
      <c r="OG9" s="15"/>
      <c r="OH9" s="15"/>
      <c r="OI9" s="15"/>
      <c r="OJ9" s="15"/>
      <c r="OK9" s="17"/>
      <c r="OL9" s="18" t="s">
        <v>10</v>
      </c>
      <c r="OM9" s="18"/>
      <c r="ON9" s="18"/>
      <c r="OO9" s="18"/>
    </row>
    <row r="10" spans="1:405" s="27" customFormat="1" ht="37.9" customHeight="1" x14ac:dyDescent="0.25">
      <c r="A10" s="19"/>
      <c r="B10" s="19"/>
      <c r="C10" s="19"/>
      <c r="D10" s="19"/>
      <c r="E10" s="19"/>
      <c r="F10" s="20" t="s">
        <v>11</v>
      </c>
      <c r="G10" s="20"/>
      <c r="H10" s="20"/>
      <c r="I10" s="20"/>
      <c r="J10" s="20" t="s">
        <v>12</v>
      </c>
      <c r="K10" s="20"/>
      <c r="L10" s="20"/>
      <c r="M10" s="20"/>
      <c r="N10" s="20" t="s">
        <v>13</v>
      </c>
      <c r="O10" s="20"/>
      <c r="P10" s="20"/>
      <c r="Q10" s="20"/>
      <c r="R10" s="20" t="s">
        <v>14</v>
      </c>
      <c r="S10" s="20"/>
      <c r="T10" s="20"/>
      <c r="U10" s="20"/>
      <c r="V10" s="20" t="s">
        <v>15</v>
      </c>
      <c r="W10" s="20"/>
      <c r="X10" s="20"/>
      <c r="Y10" s="20"/>
      <c r="Z10" s="20" t="s">
        <v>16</v>
      </c>
      <c r="AA10" s="20"/>
      <c r="AB10" s="20"/>
      <c r="AC10" s="20"/>
      <c r="AD10" s="20" t="s">
        <v>17</v>
      </c>
      <c r="AE10" s="20"/>
      <c r="AF10" s="20"/>
      <c r="AG10" s="20"/>
      <c r="AH10" s="20" t="s">
        <v>18</v>
      </c>
      <c r="AI10" s="20"/>
      <c r="AJ10" s="20"/>
      <c r="AK10" s="20"/>
      <c r="AL10" s="20" t="s">
        <v>19</v>
      </c>
      <c r="AM10" s="20"/>
      <c r="AN10" s="20"/>
      <c r="AO10" s="20"/>
      <c r="AP10" s="20" t="s">
        <v>20</v>
      </c>
      <c r="AQ10" s="20"/>
      <c r="AR10" s="20"/>
      <c r="AS10" s="20"/>
      <c r="AT10" s="20" t="s">
        <v>21</v>
      </c>
      <c r="AU10" s="20"/>
      <c r="AV10" s="20"/>
      <c r="AW10" s="20"/>
      <c r="AX10" s="20" t="s">
        <v>22</v>
      </c>
      <c r="AY10" s="20"/>
      <c r="AZ10" s="20"/>
      <c r="BA10" s="20"/>
      <c r="BB10" s="20" t="s">
        <v>23</v>
      </c>
      <c r="BC10" s="20"/>
      <c r="BD10" s="20"/>
      <c r="BE10" s="20"/>
      <c r="BF10" s="20" t="s">
        <v>24</v>
      </c>
      <c r="BG10" s="20"/>
      <c r="BH10" s="20"/>
      <c r="BI10" s="20"/>
      <c r="BJ10" s="20" t="s">
        <v>25</v>
      </c>
      <c r="BK10" s="20"/>
      <c r="BL10" s="20"/>
      <c r="BM10" s="20"/>
      <c r="BN10" s="20" t="s">
        <v>26</v>
      </c>
      <c r="BO10" s="20"/>
      <c r="BP10" s="20"/>
      <c r="BQ10" s="20"/>
      <c r="BR10" s="20" t="s">
        <v>27</v>
      </c>
      <c r="BS10" s="20"/>
      <c r="BT10" s="20"/>
      <c r="BU10" s="20"/>
      <c r="BV10" s="20" t="s">
        <v>28</v>
      </c>
      <c r="BW10" s="20"/>
      <c r="BX10" s="20"/>
      <c r="BY10" s="20"/>
      <c r="BZ10" s="20" t="s">
        <v>29</v>
      </c>
      <c r="CA10" s="20"/>
      <c r="CB10" s="20"/>
      <c r="CC10" s="20"/>
      <c r="CD10" s="20" t="s">
        <v>30</v>
      </c>
      <c r="CE10" s="20"/>
      <c r="CF10" s="20"/>
      <c r="CG10" s="20"/>
      <c r="CH10" s="20" t="s">
        <v>31</v>
      </c>
      <c r="CI10" s="20"/>
      <c r="CJ10" s="20"/>
      <c r="CK10" s="20"/>
      <c r="CL10" s="20" t="s">
        <v>32</v>
      </c>
      <c r="CM10" s="20"/>
      <c r="CN10" s="20"/>
      <c r="CO10" s="20"/>
      <c r="CP10" s="20" t="s">
        <v>33</v>
      </c>
      <c r="CQ10" s="20"/>
      <c r="CR10" s="20"/>
      <c r="CS10" s="20"/>
      <c r="CT10" s="20" t="s">
        <v>34</v>
      </c>
      <c r="CU10" s="20"/>
      <c r="CV10" s="20"/>
      <c r="CW10" s="20"/>
      <c r="CX10" s="20" t="s">
        <v>35</v>
      </c>
      <c r="CY10" s="20"/>
      <c r="CZ10" s="20"/>
      <c r="DA10" s="20"/>
      <c r="DB10" s="21" t="s">
        <v>5</v>
      </c>
      <c r="DC10" s="21"/>
      <c r="DD10" s="21"/>
      <c r="DE10" s="21"/>
      <c r="DF10" s="20" t="s">
        <v>36</v>
      </c>
      <c r="DG10" s="20"/>
      <c r="DH10" s="20"/>
      <c r="DI10" s="20"/>
      <c r="DJ10" s="20" t="s">
        <v>37</v>
      </c>
      <c r="DK10" s="20"/>
      <c r="DL10" s="20"/>
      <c r="DM10" s="20"/>
      <c r="DN10" s="20" t="s">
        <v>38</v>
      </c>
      <c r="DO10" s="20"/>
      <c r="DP10" s="20"/>
      <c r="DQ10" s="20"/>
      <c r="DR10" s="20" t="s">
        <v>39</v>
      </c>
      <c r="DS10" s="20"/>
      <c r="DT10" s="20"/>
      <c r="DU10" s="20"/>
      <c r="DV10" s="20" t="s">
        <v>40</v>
      </c>
      <c r="DW10" s="20"/>
      <c r="DX10" s="20"/>
      <c r="DY10" s="20"/>
      <c r="DZ10" s="20" t="s">
        <v>41</v>
      </c>
      <c r="EA10" s="20"/>
      <c r="EB10" s="20"/>
      <c r="EC10" s="20"/>
      <c r="ED10" s="20" t="s">
        <v>42</v>
      </c>
      <c r="EE10" s="20"/>
      <c r="EF10" s="20"/>
      <c r="EG10" s="20"/>
      <c r="EH10" s="20" t="s">
        <v>43</v>
      </c>
      <c r="EI10" s="20"/>
      <c r="EJ10" s="20"/>
      <c r="EK10" s="20"/>
      <c r="EL10" s="20" t="s">
        <v>44</v>
      </c>
      <c r="EM10" s="20"/>
      <c r="EN10" s="20"/>
      <c r="EO10" s="20"/>
      <c r="EP10" s="20" t="s">
        <v>45</v>
      </c>
      <c r="EQ10" s="20"/>
      <c r="ER10" s="20"/>
      <c r="ES10" s="20"/>
      <c r="ET10" s="20" t="s">
        <v>46</v>
      </c>
      <c r="EU10" s="20"/>
      <c r="EV10" s="20"/>
      <c r="EW10" s="20"/>
      <c r="EX10" s="20" t="s">
        <v>47</v>
      </c>
      <c r="EY10" s="22"/>
      <c r="EZ10" s="22"/>
      <c r="FA10" s="23"/>
      <c r="FB10" s="24" t="s">
        <v>48</v>
      </c>
      <c r="FC10" s="22"/>
      <c r="FD10" s="22"/>
      <c r="FE10" s="23"/>
      <c r="FF10" s="24" t="s">
        <v>49</v>
      </c>
      <c r="FG10" s="22"/>
      <c r="FH10" s="22"/>
      <c r="FI10" s="23"/>
      <c r="FJ10" s="24" t="s">
        <v>50</v>
      </c>
      <c r="FK10" s="22"/>
      <c r="FL10" s="22"/>
      <c r="FM10" s="23"/>
      <c r="FN10" s="24" t="s">
        <v>51</v>
      </c>
      <c r="FO10" s="22"/>
      <c r="FP10" s="22"/>
      <c r="FQ10" s="23"/>
      <c r="FR10" s="24" t="s">
        <v>52</v>
      </c>
      <c r="FS10" s="22"/>
      <c r="FT10" s="22"/>
      <c r="FU10" s="23"/>
      <c r="FV10" s="24" t="s">
        <v>53</v>
      </c>
      <c r="FW10" s="22"/>
      <c r="FX10" s="22"/>
      <c r="FY10" s="23"/>
      <c r="FZ10" s="24" t="s">
        <v>54</v>
      </c>
      <c r="GA10" s="22"/>
      <c r="GB10" s="22"/>
      <c r="GC10" s="23"/>
      <c r="GD10" s="24" t="s">
        <v>55</v>
      </c>
      <c r="GE10" s="22"/>
      <c r="GF10" s="22"/>
      <c r="GG10" s="23"/>
      <c r="GH10" s="24" t="s">
        <v>56</v>
      </c>
      <c r="GI10" s="22"/>
      <c r="GJ10" s="22"/>
      <c r="GK10" s="23"/>
      <c r="GL10" s="24" t="s">
        <v>56</v>
      </c>
      <c r="GM10" s="22"/>
      <c r="GN10" s="22"/>
      <c r="GO10" s="23"/>
      <c r="GP10" s="24" t="s">
        <v>57</v>
      </c>
      <c r="GQ10" s="22"/>
      <c r="GR10" s="22"/>
      <c r="GS10" s="23"/>
      <c r="GT10" s="25" t="s">
        <v>6</v>
      </c>
      <c r="GU10" s="25"/>
      <c r="GV10" s="25"/>
      <c r="GW10" s="25"/>
      <c r="GX10" s="20" t="s">
        <v>58</v>
      </c>
      <c r="GY10" s="20"/>
      <c r="GZ10" s="20"/>
      <c r="HA10" s="20"/>
      <c r="HB10" s="20" t="s">
        <v>59</v>
      </c>
      <c r="HC10" s="20"/>
      <c r="HD10" s="20"/>
      <c r="HE10" s="20"/>
      <c r="HF10" s="20" t="s">
        <v>60</v>
      </c>
      <c r="HG10" s="20"/>
      <c r="HH10" s="20"/>
      <c r="HI10" s="20"/>
      <c r="HJ10" s="20" t="s">
        <v>61</v>
      </c>
      <c r="HK10" s="20"/>
      <c r="HL10" s="20"/>
      <c r="HM10" s="20"/>
      <c r="HN10" s="20" t="s">
        <v>62</v>
      </c>
      <c r="HO10" s="20"/>
      <c r="HP10" s="20"/>
      <c r="HQ10" s="20"/>
      <c r="HR10" s="20" t="s">
        <v>63</v>
      </c>
      <c r="HS10" s="20"/>
      <c r="HT10" s="20"/>
      <c r="HU10" s="20"/>
      <c r="HV10" s="20" t="s">
        <v>64</v>
      </c>
      <c r="HW10" s="20"/>
      <c r="HX10" s="20"/>
      <c r="HY10" s="20"/>
      <c r="HZ10" s="20" t="s">
        <v>65</v>
      </c>
      <c r="IA10" s="20"/>
      <c r="IB10" s="20"/>
      <c r="IC10" s="20"/>
      <c r="ID10" s="20" t="s">
        <v>66</v>
      </c>
      <c r="IE10" s="20"/>
      <c r="IF10" s="20"/>
      <c r="IG10" s="20"/>
      <c r="IH10" s="20" t="s">
        <v>67</v>
      </c>
      <c r="II10" s="20"/>
      <c r="IJ10" s="20"/>
      <c r="IK10" s="20"/>
      <c r="IL10" s="20" t="s">
        <v>68</v>
      </c>
      <c r="IM10" s="20"/>
      <c r="IN10" s="20"/>
      <c r="IO10" s="20"/>
      <c r="IP10" s="20" t="s">
        <v>69</v>
      </c>
      <c r="IQ10" s="20"/>
      <c r="IR10" s="20"/>
      <c r="IS10" s="20"/>
      <c r="IT10" s="20" t="s">
        <v>70</v>
      </c>
      <c r="IU10" s="20"/>
      <c r="IV10" s="20"/>
      <c r="IW10" s="20"/>
      <c r="IX10" s="20" t="s">
        <v>71</v>
      </c>
      <c r="IY10" s="20"/>
      <c r="IZ10" s="20"/>
      <c r="JA10" s="20"/>
      <c r="JB10" s="20" t="s">
        <v>72</v>
      </c>
      <c r="JC10" s="20"/>
      <c r="JD10" s="20"/>
      <c r="JE10" s="20"/>
      <c r="JF10" s="20" t="s">
        <v>73</v>
      </c>
      <c r="JG10" s="20"/>
      <c r="JH10" s="20"/>
      <c r="JI10" s="20"/>
      <c r="JJ10" s="20" t="s">
        <v>74</v>
      </c>
      <c r="JK10" s="20"/>
      <c r="JL10" s="20"/>
      <c r="JM10" s="20"/>
      <c r="JN10" s="20" t="s">
        <v>75</v>
      </c>
      <c r="JO10" s="20"/>
      <c r="JP10" s="20"/>
      <c r="JQ10" s="20"/>
      <c r="JR10" s="20" t="s">
        <v>76</v>
      </c>
      <c r="JS10" s="20"/>
      <c r="JT10" s="20"/>
      <c r="JU10" s="20"/>
      <c r="JV10" s="20" t="s">
        <v>77</v>
      </c>
      <c r="JW10" s="20"/>
      <c r="JX10" s="20"/>
      <c r="JY10" s="20"/>
      <c r="JZ10" s="20" t="s">
        <v>78</v>
      </c>
      <c r="KA10" s="20"/>
      <c r="KB10" s="20"/>
      <c r="KC10" s="20"/>
      <c r="KD10" s="20" t="s">
        <v>79</v>
      </c>
      <c r="KE10" s="20"/>
      <c r="KF10" s="20"/>
      <c r="KG10" s="20"/>
      <c r="KH10" s="20" t="s">
        <v>80</v>
      </c>
      <c r="KI10" s="20"/>
      <c r="KJ10" s="20"/>
      <c r="KK10" s="20"/>
      <c r="KL10" s="20" t="s">
        <v>81</v>
      </c>
      <c r="KM10" s="20"/>
      <c r="KN10" s="20"/>
      <c r="KO10" s="20"/>
      <c r="KP10" s="20" t="s">
        <v>82</v>
      </c>
      <c r="KQ10" s="20"/>
      <c r="KR10" s="20"/>
      <c r="KS10" s="20"/>
      <c r="KT10" s="20" t="s">
        <v>83</v>
      </c>
      <c r="KU10" s="20"/>
      <c r="KV10" s="20"/>
      <c r="KW10" s="20"/>
      <c r="KX10" s="25" t="s">
        <v>7</v>
      </c>
      <c r="KY10" s="25"/>
      <c r="KZ10" s="25"/>
      <c r="LA10" s="25"/>
      <c r="LB10" s="20" t="s">
        <v>84</v>
      </c>
      <c r="LC10" s="20"/>
      <c r="LD10" s="20"/>
      <c r="LE10" s="20"/>
      <c r="LF10" s="20" t="s">
        <v>85</v>
      </c>
      <c r="LG10" s="20"/>
      <c r="LH10" s="20"/>
      <c r="LI10" s="20"/>
      <c r="LJ10" s="20" t="s">
        <v>86</v>
      </c>
      <c r="LK10" s="20"/>
      <c r="LL10" s="20"/>
      <c r="LM10" s="20"/>
      <c r="LN10" s="20" t="s">
        <v>87</v>
      </c>
      <c r="LO10" s="20"/>
      <c r="LP10" s="20"/>
      <c r="LQ10" s="20"/>
      <c r="LR10" s="20" t="s">
        <v>88</v>
      </c>
      <c r="LS10" s="20"/>
      <c r="LT10" s="20"/>
      <c r="LU10" s="20"/>
      <c r="LV10" s="20" t="s">
        <v>89</v>
      </c>
      <c r="LW10" s="20"/>
      <c r="LX10" s="20"/>
      <c r="LY10" s="20"/>
      <c r="LZ10" s="20" t="s">
        <v>90</v>
      </c>
      <c r="MA10" s="20"/>
      <c r="MB10" s="20"/>
      <c r="MC10" s="20"/>
      <c r="MD10" s="20" t="s">
        <v>91</v>
      </c>
      <c r="ME10" s="20"/>
      <c r="MF10" s="20"/>
      <c r="MG10" s="20"/>
      <c r="MH10" s="20" t="s">
        <v>92</v>
      </c>
      <c r="MI10" s="20"/>
      <c r="MJ10" s="20"/>
      <c r="MK10" s="20"/>
      <c r="ML10" s="20" t="s">
        <v>93</v>
      </c>
      <c r="MM10" s="20"/>
      <c r="MN10" s="20"/>
      <c r="MO10" s="20"/>
      <c r="MP10" s="20" t="s">
        <v>94</v>
      </c>
      <c r="MQ10" s="20"/>
      <c r="MR10" s="20"/>
      <c r="MS10" s="20"/>
      <c r="MT10" s="20" t="s">
        <v>95</v>
      </c>
      <c r="MU10" s="20"/>
      <c r="MV10" s="20"/>
      <c r="MW10" s="20"/>
      <c r="MX10" s="21" t="s">
        <v>8</v>
      </c>
      <c r="MY10" s="21"/>
      <c r="MZ10" s="21"/>
      <c r="NA10" s="21"/>
      <c r="NB10" s="20" t="s">
        <v>96</v>
      </c>
      <c r="NC10" s="20"/>
      <c r="ND10" s="20"/>
      <c r="NE10" s="20"/>
      <c r="NF10" s="20" t="s">
        <v>97</v>
      </c>
      <c r="NG10" s="20"/>
      <c r="NH10" s="20"/>
      <c r="NI10" s="20"/>
      <c r="NJ10" s="20" t="s">
        <v>98</v>
      </c>
      <c r="NK10" s="20"/>
      <c r="NL10" s="20"/>
      <c r="NM10" s="20"/>
      <c r="NN10" s="20" t="s">
        <v>99</v>
      </c>
      <c r="NO10" s="20"/>
      <c r="NP10" s="20"/>
      <c r="NQ10" s="20"/>
      <c r="NR10" s="20" t="s">
        <v>100</v>
      </c>
      <c r="NS10" s="20"/>
      <c r="NT10" s="20"/>
      <c r="NU10" s="20"/>
      <c r="NV10" s="20" t="s">
        <v>101</v>
      </c>
      <c r="NW10" s="20"/>
      <c r="NX10" s="20"/>
      <c r="NY10" s="20"/>
      <c r="NZ10" s="20" t="s">
        <v>102</v>
      </c>
      <c r="OA10" s="20"/>
      <c r="OB10" s="20"/>
      <c r="OC10" s="20"/>
      <c r="OD10" s="20" t="s">
        <v>103</v>
      </c>
      <c r="OE10" s="20"/>
      <c r="OF10" s="20"/>
      <c r="OG10" s="20"/>
      <c r="OH10" s="21" t="s">
        <v>9</v>
      </c>
      <c r="OI10" s="21"/>
      <c r="OJ10" s="21"/>
      <c r="OK10" s="26"/>
      <c r="OL10" s="18"/>
      <c r="OM10" s="18"/>
      <c r="ON10" s="18"/>
      <c r="OO10" s="18"/>
    </row>
    <row r="11" spans="1:405" s="27" customFormat="1" ht="43.15" customHeight="1" x14ac:dyDescent="0.25">
      <c r="A11" s="19"/>
      <c r="B11" s="19"/>
      <c r="C11" s="19"/>
      <c r="D11" s="19"/>
      <c r="E11" s="19"/>
      <c r="F11" s="20" t="s">
        <v>104</v>
      </c>
      <c r="G11" s="20"/>
      <c r="H11" s="20" t="s">
        <v>105</v>
      </c>
      <c r="I11" s="20"/>
      <c r="J11" s="20" t="s">
        <v>104</v>
      </c>
      <c r="K11" s="20"/>
      <c r="L11" s="20" t="s">
        <v>105</v>
      </c>
      <c r="M11" s="20"/>
      <c r="N11" s="20" t="s">
        <v>104</v>
      </c>
      <c r="O11" s="20"/>
      <c r="P11" s="20" t="s">
        <v>105</v>
      </c>
      <c r="Q11" s="20"/>
      <c r="R11" s="20" t="s">
        <v>104</v>
      </c>
      <c r="S11" s="20"/>
      <c r="T11" s="20" t="s">
        <v>105</v>
      </c>
      <c r="U11" s="20"/>
      <c r="V11" s="20" t="s">
        <v>104</v>
      </c>
      <c r="W11" s="20"/>
      <c r="X11" s="20" t="s">
        <v>105</v>
      </c>
      <c r="Y11" s="20"/>
      <c r="Z11" s="20" t="s">
        <v>104</v>
      </c>
      <c r="AA11" s="20"/>
      <c r="AB11" s="20" t="s">
        <v>105</v>
      </c>
      <c r="AC11" s="20"/>
      <c r="AD11" s="20" t="s">
        <v>104</v>
      </c>
      <c r="AE11" s="20"/>
      <c r="AF11" s="20" t="s">
        <v>105</v>
      </c>
      <c r="AG11" s="20"/>
      <c r="AH11" s="20" t="s">
        <v>104</v>
      </c>
      <c r="AI11" s="20"/>
      <c r="AJ11" s="20" t="s">
        <v>105</v>
      </c>
      <c r="AK11" s="20"/>
      <c r="AL11" s="20" t="s">
        <v>104</v>
      </c>
      <c r="AM11" s="20"/>
      <c r="AN11" s="20" t="s">
        <v>105</v>
      </c>
      <c r="AO11" s="20"/>
      <c r="AP11" s="20" t="s">
        <v>104</v>
      </c>
      <c r="AQ11" s="20"/>
      <c r="AR11" s="20" t="s">
        <v>105</v>
      </c>
      <c r="AS11" s="20"/>
      <c r="AT11" s="20" t="s">
        <v>104</v>
      </c>
      <c r="AU11" s="20"/>
      <c r="AV11" s="20" t="s">
        <v>105</v>
      </c>
      <c r="AW11" s="20"/>
      <c r="AX11" s="20" t="s">
        <v>104</v>
      </c>
      <c r="AY11" s="20"/>
      <c r="AZ11" s="20" t="s">
        <v>105</v>
      </c>
      <c r="BA11" s="20"/>
      <c r="BB11" s="20" t="s">
        <v>104</v>
      </c>
      <c r="BC11" s="20"/>
      <c r="BD11" s="20" t="s">
        <v>105</v>
      </c>
      <c r="BE11" s="20"/>
      <c r="BF11" s="20" t="s">
        <v>104</v>
      </c>
      <c r="BG11" s="20"/>
      <c r="BH11" s="20" t="s">
        <v>105</v>
      </c>
      <c r="BI11" s="20"/>
      <c r="BJ11" s="20" t="s">
        <v>104</v>
      </c>
      <c r="BK11" s="20"/>
      <c r="BL11" s="20" t="s">
        <v>105</v>
      </c>
      <c r="BM11" s="20"/>
      <c r="BN11" s="20" t="s">
        <v>104</v>
      </c>
      <c r="BO11" s="20"/>
      <c r="BP11" s="20" t="s">
        <v>105</v>
      </c>
      <c r="BQ11" s="20"/>
      <c r="BR11" s="20" t="s">
        <v>104</v>
      </c>
      <c r="BS11" s="20"/>
      <c r="BT11" s="20" t="s">
        <v>105</v>
      </c>
      <c r="BU11" s="20"/>
      <c r="BV11" s="20" t="s">
        <v>104</v>
      </c>
      <c r="BW11" s="20"/>
      <c r="BX11" s="20" t="s">
        <v>105</v>
      </c>
      <c r="BY11" s="20"/>
      <c r="BZ11" s="20" t="s">
        <v>104</v>
      </c>
      <c r="CA11" s="20"/>
      <c r="CB11" s="20" t="s">
        <v>105</v>
      </c>
      <c r="CC11" s="20"/>
      <c r="CD11" s="20" t="s">
        <v>104</v>
      </c>
      <c r="CE11" s="20"/>
      <c r="CF11" s="20" t="s">
        <v>105</v>
      </c>
      <c r="CG11" s="20"/>
      <c r="CH11" s="20" t="s">
        <v>104</v>
      </c>
      <c r="CI11" s="20"/>
      <c r="CJ11" s="20" t="s">
        <v>105</v>
      </c>
      <c r="CK11" s="20"/>
      <c r="CL11" s="20" t="s">
        <v>104</v>
      </c>
      <c r="CM11" s="20"/>
      <c r="CN11" s="20" t="s">
        <v>105</v>
      </c>
      <c r="CO11" s="20"/>
      <c r="CP11" s="24" t="s">
        <v>104</v>
      </c>
      <c r="CQ11" s="23"/>
      <c r="CR11" s="20" t="s">
        <v>105</v>
      </c>
      <c r="CS11" s="20"/>
      <c r="CT11" s="24" t="s">
        <v>104</v>
      </c>
      <c r="CU11" s="23"/>
      <c r="CV11" s="20" t="s">
        <v>105</v>
      </c>
      <c r="CW11" s="20"/>
      <c r="CX11" s="20" t="s">
        <v>104</v>
      </c>
      <c r="CY11" s="20"/>
      <c r="CZ11" s="20" t="s">
        <v>105</v>
      </c>
      <c r="DA11" s="20"/>
      <c r="DB11" s="25" t="s">
        <v>104</v>
      </c>
      <c r="DC11" s="25"/>
      <c r="DD11" s="25" t="s">
        <v>105</v>
      </c>
      <c r="DE11" s="25"/>
      <c r="DF11" s="20" t="s">
        <v>104</v>
      </c>
      <c r="DG11" s="20"/>
      <c r="DH11" s="20" t="s">
        <v>105</v>
      </c>
      <c r="DI11" s="20"/>
      <c r="DJ11" s="20" t="s">
        <v>104</v>
      </c>
      <c r="DK11" s="20"/>
      <c r="DL11" s="20" t="s">
        <v>105</v>
      </c>
      <c r="DM11" s="20"/>
      <c r="DN11" s="20" t="s">
        <v>104</v>
      </c>
      <c r="DO11" s="20"/>
      <c r="DP11" s="20" t="s">
        <v>105</v>
      </c>
      <c r="DQ11" s="20"/>
      <c r="DR11" s="20" t="s">
        <v>104</v>
      </c>
      <c r="DS11" s="20"/>
      <c r="DT11" s="20" t="s">
        <v>105</v>
      </c>
      <c r="DU11" s="20"/>
      <c r="DV11" s="20" t="s">
        <v>104</v>
      </c>
      <c r="DW11" s="20"/>
      <c r="DX11" s="20" t="s">
        <v>105</v>
      </c>
      <c r="DY11" s="20"/>
      <c r="DZ11" s="20" t="s">
        <v>104</v>
      </c>
      <c r="EA11" s="20"/>
      <c r="EB11" s="20" t="s">
        <v>105</v>
      </c>
      <c r="EC11" s="20"/>
      <c r="ED11" s="20" t="s">
        <v>104</v>
      </c>
      <c r="EE11" s="20"/>
      <c r="EF11" s="20" t="s">
        <v>105</v>
      </c>
      <c r="EG11" s="20"/>
      <c r="EH11" s="20" t="s">
        <v>104</v>
      </c>
      <c r="EI11" s="20"/>
      <c r="EJ11" s="20" t="s">
        <v>105</v>
      </c>
      <c r="EK11" s="20"/>
      <c r="EL11" s="20" t="s">
        <v>104</v>
      </c>
      <c r="EM11" s="20"/>
      <c r="EN11" s="20" t="s">
        <v>105</v>
      </c>
      <c r="EO11" s="20"/>
      <c r="EP11" s="20" t="s">
        <v>104</v>
      </c>
      <c r="EQ11" s="20"/>
      <c r="ER11" s="20" t="s">
        <v>105</v>
      </c>
      <c r="ES11" s="20"/>
      <c r="ET11" s="20" t="s">
        <v>104</v>
      </c>
      <c r="EU11" s="20"/>
      <c r="EV11" s="20" t="s">
        <v>105</v>
      </c>
      <c r="EW11" s="20"/>
      <c r="EX11" s="20" t="s">
        <v>104</v>
      </c>
      <c r="EY11" s="20"/>
      <c r="EZ11" s="20" t="s">
        <v>105</v>
      </c>
      <c r="FA11" s="20"/>
      <c r="FB11" s="20" t="s">
        <v>104</v>
      </c>
      <c r="FC11" s="20"/>
      <c r="FD11" s="20" t="s">
        <v>105</v>
      </c>
      <c r="FE11" s="20"/>
      <c r="FF11" s="20" t="s">
        <v>104</v>
      </c>
      <c r="FG11" s="20"/>
      <c r="FH11" s="20" t="s">
        <v>105</v>
      </c>
      <c r="FI11" s="20"/>
      <c r="FJ11" s="20" t="s">
        <v>104</v>
      </c>
      <c r="FK11" s="20"/>
      <c r="FL11" s="20" t="s">
        <v>105</v>
      </c>
      <c r="FM11" s="20"/>
      <c r="FN11" s="20" t="s">
        <v>104</v>
      </c>
      <c r="FO11" s="20"/>
      <c r="FP11" s="20" t="s">
        <v>105</v>
      </c>
      <c r="FQ11" s="20"/>
      <c r="FR11" s="20" t="s">
        <v>104</v>
      </c>
      <c r="FS11" s="20"/>
      <c r="FT11" s="20" t="s">
        <v>105</v>
      </c>
      <c r="FU11" s="20"/>
      <c r="FV11" s="20" t="s">
        <v>104</v>
      </c>
      <c r="FW11" s="20"/>
      <c r="FX11" s="20" t="s">
        <v>105</v>
      </c>
      <c r="FY11" s="20"/>
      <c r="FZ11" s="20" t="s">
        <v>104</v>
      </c>
      <c r="GA11" s="20"/>
      <c r="GB11" s="20" t="s">
        <v>105</v>
      </c>
      <c r="GC11" s="20"/>
      <c r="GD11" s="20" t="s">
        <v>104</v>
      </c>
      <c r="GE11" s="20"/>
      <c r="GF11" s="20" t="s">
        <v>105</v>
      </c>
      <c r="GG11" s="20"/>
      <c r="GH11" s="20" t="s">
        <v>104</v>
      </c>
      <c r="GI11" s="20"/>
      <c r="GJ11" s="20" t="s">
        <v>105</v>
      </c>
      <c r="GK11" s="20"/>
      <c r="GL11" s="20" t="s">
        <v>104</v>
      </c>
      <c r="GM11" s="20"/>
      <c r="GN11" s="20" t="s">
        <v>105</v>
      </c>
      <c r="GO11" s="20"/>
      <c r="GP11" s="20" t="s">
        <v>104</v>
      </c>
      <c r="GQ11" s="20"/>
      <c r="GR11" s="20" t="s">
        <v>105</v>
      </c>
      <c r="GS11" s="20"/>
      <c r="GT11" s="25" t="s">
        <v>104</v>
      </c>
      <c r="GU11" s="25"/>
      <c r="GV11" s="25" t="s">
        <v>105</v>
      </c>
      <c r="GW11" s="25"/>
      <c r="GX11" s="20" t="s">
        <v>104</v>
      </c>
      <c r="GY11" s="20"/>
      <c r="GZ11" s="20" t="s">
        <v>105</v>
      </c>
      <c r="HA11" s="20"/>
      <c r="HB11" s="20" t="s">
        <v>104</v>
      </c>
      <c r="HC11" s="20"/>
      <c r="HD11" s="20" t="s">
        <v>105</v>
      </c>
      <c r="HE11" s="20"/>
      <c r="HF11" s="20" t="s">
        <v>104</v>
      </c>
      <c r="HG11" s="20"/>
      <c r="HH11" s="20" t="s">
        <v>105</v>
      </c>
      <c r="HI11" s="20"/>
      <c r="HJ11" s="20" t="s">
        <v>104</v>
      </c>
      <c r="HK11" s="20"/>
      <c r="HL11" s="20" t="s">
        <v>105</v>
      </c>
      <c r="HM11" s="20"/>
      <c r="HN11" s="20" t="s">
        <v>104</v>
      </c>
      <c r="HO11" s="20"/>
      <c r="HP11" s="20" t="s">
        <v>105</v>
      </c>
      <c r="HQ11" s="20"/>
      <c r="HR11" s="20" t="s">
        <v>104</v>
      </c>
      <c r="HS11" s="20"/>
      <c r="HT11" s="20" t="s">
        <v>105</v>
      </c>
      <c r="HU11" s="20"/>
      <c r="HV11" s="20" t="s">
        <v>104</v>
      </c>
      <c r="HW11" s="20"/>
      <c r="HX11" s="20" t="s">
        <v>105</v>
      </c>
      <c r="HY11" s="20"/>
      <c r="HZ11" s="20" t="s">
        <v>104</v>
      </c>
      <c r="IA11" s="20"/>
      <c r="IB11" s="20" t="s">
        <v>105</v>
      </c>
      <c r="IC11" s="20"/>
      <c r="ID11" s="20" t="s">
        <v>104</v>
      </c>
      <c r="IE11" s="20"/>
      <c r="IF11" s="20" t="s">
        <v>105</v>
      </c>
      <c r="IG11" s="20"/>
      <c r="IH11" s="20" t="s">
        <v>104</v>
      </c>
      <c r="II11" s="20"/>
      <c r="IJ11" s="20" t="s">
        <v>105</v>
      </c>
      <c r="IK11" s="20"/>
      <c r="IL11" s="20" t="s">
        <v>104</v>
      </c>
      <c r="IM11" s="20"/>
      <c r="IN11" s="20" t="s">
        <v>105</v>
      </c>
      <c r="IO11" s="20"/>
      <c r="IP11" s="20" t="s">
        <v>104</v>
      </c>
      <c r="IQ11" s="20"/>
      <c r="IR11" s="20" t="s">
        <v>105</v>
      </c>
      <c r="IS11" s="20"/>
      <c r="IT11" s="20" t="s">
        <v>104</v>
      </c>
      <c r="IU11" s="20"/>
      <c r="IV11" s="20" t="s">
        <v>105</v>
      </c>
      <c r="IW11" s="20"/>
      <c r="IX11" s="20" t="s">
        <v>104</v>
      </c>
      <c r="IY11" s="20"/>
      <c r="IZ11" s="20" t="s">
        <v>105</v>
      </c>
      <c r="JA11" s="20"/>
      <c r="JB11" s="20" t="s">
        <v>104</v>
      </c>
      <c r="JC11" s="20"/>
      <c r="JD11" s="20" t="s">
        <v>105</v>
      </c>
      <c r="JE11" s="20"/>
      <c r="JF11" s="20" t="s">
        <v>104</v>
      </c>
      <c r="JG11" s="20"/>
      <c r="JH11" s="20" t="s">
        <v>105</v>
      </c>
      <c r="JI11" s="20"/>
      <c r="JJ11" s="20" t="s">
        <v>104</v>
      </c>
      <c r="JK11" s="20"/>
      <c r="JL11" s="20" t="s">
        <v>105</v>
      </c>
      <c r="JM11" s="20"/>
      <c r="JN11" s="20" t="s">
        <v>104</v>
      </c>
      <c r="JO11" s="20"/>
      <c r="JP11" s="20" t="s">
        <v>105</v>
      </c>
      <c r="JQ11" s="20"/>
      <c r="JR11" s="24" t="s">
        <v>104</v>
      </c>
      <c r="JS11" s="23"/>
      <c r="JT11" s="20" t="s">
        <v>105</v>
      </c>
      <c r="JU11" s="20"/>
      <c r="JV11" s="24" t="s">
        <v>104</v>
      </c>
      <c r="JW11" s="23"/>
      <c r="JX11" s="20" t="s">
        <v>105</v>
      </c>
      <c r="JY11" s="20"/>
      <c r="JZ11" s="20" t="s">
        <v>104</v>
      </c>
      <c r="KA11" s="20"/>
      <c r="KB11" s="20" t="s">
        <v>105</v>
      </c>
      <c r="KC11" s="20"/>
      <c r="KD11" s="20" t="s">
        <v>104</v>
      </c>
      <c r="KE11" s="20"/>
      <c r="KF11" s="20" t="s">
        <v>105</v>
      </c>
      <c r="KG11" s="20"/>
      <c r="KH11" s="20" t="s">
        <v>104</v>
      </c>
      <c r="KI11" s="20"/>
      <c r="KJ11" s="20" t="s">
        <v>105</v>
      </c>
      <c r="KK11" s="20"/>
      <c r="KL11" s="20" t="s">
        <v>104</v>
      </c>
      <c r="KM11" s="20"/>
      <c r="KN11" s="20" t="s">
        <v>105</v>
      </c>
      <c r="KO11" s="20"/>
      <c r="KP11" s="20" t="s">
        <v>104</v>
      </c>
      <c r="KQ11" s="20"/>
      <c r="KR11" s="20" t="s">
        <v>105</v>
      </c>
      <c r="KS11" s="20"/>
      <c r="KT11" s="20" t="s">
        <v>104</v>
      </c>
      <c r="KU11" s="20"/>
      <c r="KV11" s="20" t="s">
        <v>105</v>
      </c>
      <c r="KW11" s="20"/>
      <c r="KX11" s="25" t="s">
        <v>104</v>
      </c>
      <c r="KY11" s="25"/>
      <c r="KZ11" s="25" t="s">
        <v>105</v>
      </c>
      <c r="LA11" s="25"/>
      <c r="LB11" s="20" t="s">
        <v>104</v>
      </c>
      <c r="LC11" s="20"/>
      <c r="LD11" s="20" t="s">
        <v>105</v>
      </c>
      <c r="LE11" s="20"/>
      <c r="LF11" s="20" t="s">
        <v>104</v>
      </c>
      <c r="LG11" s="20"/>
      <c r="LH11" s="20" t="s">
        <v>105</v>
      </c>
      <c r="LI11" s="20"/>
      <c r="LJ11" s="20" t="s">
        <v>104</v>
      </c>
      <c r="LK11" s="20"/>
      <c r="LL11" s="20" t="s">
        <v>105</v>
      </c>
      <c r="LM11" s="20"/>
      <c r="LN11" s="20" t="s">
        <v>104</v>
      </c>
      <c r="LO11" s="20"/>
      <c r="LP11" s="20" t="s">
        <v>105</v>
      </c>
      <c r="LQ11" s="20"/>
      <c r="LR11" s="20" t="s">
        <v>104</v>
      </c>
      <c r="LS11" s="20"/>
      <c r="LT11" s="20" t="s">
        <v>105</v>
      </c>
      <c r="LU11" s="20"/>
      <c r="LV11" s="20" t="s">
        <v>104</v>
      </c>
      <c r="LW11" s="20"/>
      <c r="LX11" s="20" t="s">
        <v>105</v>
      </c>
      <c r="LY11" s="20"/>
      <c r="LZ11" s="20" t="s">
        <v>104</v>
      </c>
      <c r="MA11" s="20"/>
      <c r="MB11" s="20" t="s">
        <v>105</v>
      </c>
      <c r="MC11" s="20"/>
      <c r="MD11" s="20" t="s">
        <v>104</v>
      </c>
      <c r="ME11" s="20"/>
      <c r="MF11" s="20" t="s">
        <v>105</v>
      </c>
      <c r="MG11" s="20"/>
      <c r="MH11" s="20" t="s">
        <v>104</v>
      </c>
      <c r="MI11" s="20"/>
      <c r="MJ11" s="20" t="s">
        <v>105</v>
      </c>
      <c r="MK11" s="20"/>
      <c r="ML11" s="20" t="s">
        <v>104</v>
      </c>
      <c r="MM11" s="20"/>
      <c r="MN11" s="20" t="s">
        <v>105</v>
      </c>
      <c r="MO11" s="20"/>
      <c r="MP11" s="20" t="s">
        <v>104</v>
      </c>
      <c r="MQ11" s="20"/>
      <c r="MR11" s="20" t="s">
        <v>105</v>
      </c>
      <c r="MS11" s="20"/>
      <c r="MT11" s="20" t="s">
        <v>104</v>
      </c>
      <c r="MU11" s="20"/>
      <c r="MV11" s="20" t="s">
        <v>105</v>
      </c>
      <c r="MW11" s="20"/>
      <c r="MX11" s="25" t="s">
        <v>104</v>
      </c>
      <c r="MY11" s="25"/>
      <c r="MZ11" s="25" t="s">
        <v>105</v>
      </c>
      <c r="NA11" s="25"/>
      <c r="NB11" s="20" t="s">
        <v>104</v>
      </c>
      <c r="NC11" s="20"/>
      <c r="ND11" s="20" t="s">
        <v>105</v>
      </c>
      <c r="NE11" s="20"/>
      <c r="NF11" s="20" t="s">
        <v>104</v>
      </c>
      <c r="NG11" s="20"/>
      <c r="NH11" s="20" t="s">
        <v>105</v>
      </c>
      <c r="NI11" s="20"/>
      <c r="NJ11" s="20" t="s">
        <v>104</v>
      </c>
      <c r="NK11" s="20"/>
      <c r="NL11" s="20" t="s">
        <v>105</v>
      </c>
      <c r="NM11" s="20"/>
      <c r="NN11" s="20" t="s">
        <v>104</v>
      </c>
      <c r="NO11" s="20"/>
      <c r="NP11" s="20" t="s">
        <v>105</v>
      </c>
      <c r="NQ11" s="20"/>
      <c r="NR11" s="20" t="s">
        <v>104</v>
      </c>
      <c r="NS11" s="20"/>
      <c r="NT11" s="20" t="s">
        <v>105</v>
      </c>
      <c r="NU11" s="20"/>
      <c r="NV11" s="20" t="s">
        <v>104</v>
      </c>
      <c r="NW11" s="20"/>
      <c r="NX11" s="20" t="s">
        <v>105</v>
      </c>
      <c r="NY11" s="20"/>
      <c r="NZ11" s="20" t="s">
        <v>104</v>
      </c>
      <c r="OA11" s="20"/>
      <c r="OB11" s="20" t="s">
        <v>105</v>
      </c>
      <c r="OC11" s="20"/>
      <c r="OD11" s="20" t="s">
        <v>104</v>
      </c>
      <c r="OE11" s="20"/>
      <c r="OF11" s="20" t="s">
        <v>105</v>
      </c>
      <c r="OG11" s="20"/>
      <c r="OH11" s="25" t="s">
        <v>104</v>
      </c>
      <c r="OI11" s="25"/>
      <c r="OJ11" s="25" t="s">
        <v>105</v>
      </c>
      <c r="OK11" s="25"/>
      <c r="OL11" s="25" t="s">
        <v>104</v>
      </c>
      <c r="OM11" s="25"/>
      <c r="ON11" s="25" t="s">
        <v>105</v>
      </c>
      <c r="OO11" s="25"/>
    </row>
    <row r="12" spans="1:405" s="27" customFormat="1" x14ac:dyDescent="0.25">
      <c r="A12" s="19"/>
      <c r="B12" s="19"/>
      <c r="C12" s="19"/>
      <c r="D12" s="19"/>
      <c r="E12" s="19"/>
      <c r="F12" s="28" t="s">
        <v>106</v>
      </c>
      <c r="G12" s="28" t="s">
        <v>107</v>
      </c>
      <c r="H12" s="28" t="s">
        <v>106</v>
      </c>
      <c r="I12" s="28" t="s">
        <v>107</v>
      </c>
      <c r="J12" s="28" t="s">
        <v>106</v>
      </c>
      <c r="K12" s="28" t="s">
        <v>107</v>
      </c>
      <c r="L12" s="28" t="s">
        <v>106</v>
      </c>
      <c r="M12" s="28" t="s">
        <v>107</v>
      </c>
      <c r="N12" s="28" t="s">
        <v>106</v>
      </c>
      <c r="O12" s="28" t="s">
        <v>107</v>
      </c>
      <c r="P12" s="28" t="s">
        <v>106</v>
      </c>
      <c r="Q12" s="28" t="s">
        <v>107</v>
      </c>
      <c r="R12" s="28" t="s">
        <v>106</v>
      </c>
      <c r="S12" s="28" t="s">
        <v>107</v>
      </c>
      <c r="T12" s="28" t="s">
        <v>106</v>
      </c>
      <c r="U12" s="28" t="s">
        <v>107</v>
      </c>
      <c r="V12" s="28" t="s">
        <v>106</v>
      </c>
      <c r="W12" s="28" t="s">
        <v>107</v>
      </c>
      <c r="X12" s="28" t="s">
        <v>106</v>
      </c>
      <c r="Y12" s="28" t="s">
        <v>107</v>
      </c>
      <c r="Z12" s="28" t="s">
        <v>106</v>
      </c>
      <c r="AA12" s="28" t="s">
        <v>107</v>
      </c>
      <c r="AB12" s="28" t="s">
        <v>106</v>
      </c>
      <c r="AC12" s="28" t="s">
        <v>107</v>
      </c>
      <c r="AD12" s="28" t="s">
        <v>106</v>
      </c>
      <c r="AE12" s="28" t="s">
        <v>107</v>
      </c>
      <c r="AF12" s="28" t="s">
        <v>106</v>
      </c>
      <c r="AG12" s="28" t="s">
        <v>107</v>
      </c>
      <c r="AH12" s="28" t="s">
        <v>106</v>
      </c>
      <c r="AI12" s="28" t="s">
        <v>107</v>
      </c>
      <c r="AJ12" s="28" t="s">
        <v>106</v>
      </c>
      <c r="AK12" s="28" t="s">
        <v>107</v>
      </c>
      <c r="AL12" s="28" t="s">
        <v>106</v>
      </c>
      <c r="AM12" s="28" t="s">
        <v>107</v>
      </c>
      <c r="AN12" s="28" t="s">
        <v>106</v>
      </c>
      <c r="AO12" s="28" t="s">
        <v>107</v>
      </c>
      <c r="AP12" s="28" t="s">
        <v>106</v>
      </c>
      <c r="AQ12" s="28" t="s">
        <v>107</v>
      </c>
      <c r="AR12" s="28" t="s">
        <v>106</v>
      </c>
      <c r="AS12" s="28" t="s">
        <v>107</v>
      </c>
      <c r="AT12" s="28" t="s">
        <v>106</v>
      </c>
      <c r="AU12" s="28" t="s">
        <v>107</v>
      </c>
      <c r="AV12" s="28" t="s">
        <v>106</v>
      </c>
      <c r="AW12" s="28" t="s">
        <v>107</v>
      </c>
      <c r="AX12" s="28" t="s">
        <v>106</v>
      </c>
      <c r="AY12" s="28" t="s">
        <v>107</v>
      </c>
      <c r="AZ12" s="28" t="s">
        <v>106</v>
      </c>
      <c r="BA12" s="28" t="s">
        <v>107</v>
      </c>
      <c r="BB12" s="28" t="s">
        <v>106</v>
      </c>
      <c r="BC12" s="28" t="s">
        <v>107</v>
      </c>
      <c r="BD12" s="28" t="s">
        <v>106</v>
      </c>
      <c r="BE12" s="28" t="s">
        <v>107</v>
      </c>
      <c r="BF12" s="28" t="s">
        <v>106</v>
      </c>
      <c r="BG12" s="28" t="s">
        <v>107</v>
      </c>
      <c r="BH12" s="28" t="s">
        <v>106</v>
      </c>
      <c r="BI12" s="28" t="s">
        <v>107</v>
      </c>
      <c r="BJ12" s="28" t="s">
        <v>106</v>
      </c>
      <c r="BK12" s="28" t="s">
        <v>107</v>
      </c>
      <c r="BL12" s="28" t="s">
        <v>106</v>
      </c>
      <c r="BM12" s="28" t="s">
        <v>107</v>
      </c>
      <c r="BN12" s="28" t="s">
        <v>106</v>
      </c>
      <c r="BO12" s="28" t="s">
        <v>107</v>
      </c>
      <c r="BP12" s="28" t="s">
        <v>106</v>
      </c>
      <c r="BQ12" s="28" t="s">
        <v>107</v>
      </c>
      <c r="BR12" s="28" t="s">
        <v>106</v>
      </c>
      <c r="BS12" s="28" t="s">
        <v>107</v>
      </c>
      <c r="BT12" s="28" t="s">
        <v>106</v>
      </c>
      <c r="BU12" s="28" t="s">
        <v>107</v>
      </c>
      <c r="BV12" s="28" t="s">
        <v>106</v>
      </c>
      <c r="BW12" s="28" t="s">
        <v>107</v>
      </c>
      <c r="BX12" s="28" t="s">
        <v>106</v>
      </c>
      <c r="BY12" s="28" t="s">
        <v>107</v>
      </c>
      <c r="BZ12" s="28" t="s">
        <v>106</v>
      </c>
      <c r="CA12" s="28" t="s">
        <v>107</v>
      </c>
      <c r="CB12" s="28" t="s">
        <v>106</v>
      </c>
      <c r="CC12" s="28" t="s">
        <v>107</v>
      </c>
      <c r="CD12" s="28" t="s">
        <v>106</v>
      </c>
      <c r="CE12" s="28" t="s">
        <v>107</v>
      </c>
      <c r="CF12" s="28" t="s">
        <v>106</v>
      </c>
      <c r="CG12" s="28" t="s">
        <v>107</v>
      </c>
      <c r="CH12" s="28" t="s">
        <v>106</v>
      </c>
      <c r="CI12" s="28" t="s">
        <v>107</v>
      </c>
      <c r="CJ12" s="28" t="s">
        <v>106</v>
      </c>
      <c r="CK12" s="28" t="s">
        <v>107</v>
      </c>
      <c r="CL12" s="28" t="s">
        <v>106</v>
      </c>
      <c r="CM12" s="28" t="s">
        <v>107</v>
      </c>
      <c r="CN12" s="28" t="s">
        <v>106</v>
      </c>
      <c r="CO12" s="28" t="s">
        <v>107</v>
      </c>
      <c r="CP12" s="28" t="s">
        <v>106</v>
      </c>
      <c r="CQ12" s="28" t="s">
        <v>107</v>
      </c>
      <c r="CR12" s="28" t="s">
        <v>106</v>
      </c>
      <c r="CS12" s="28" t="s">
        <v>107</v>
      </c>
      <c r="CT12" s="28" t="s">
        <v>106</v>
      </c>
      <c r="CU12" s="28" t="s">
        <v>107</v>
      </c>
      <c r="CV12" s="28" t="s">
        <v>106</v>
      </c>
      <c r="CW12" s="28" t="s">
        <v>107</v>
      </c>
      <c r="CX12" s="28" t="s">
        <v>106</v>
      </c>
      <c r="CY12" s="28" t="s">
        <v>107</v>
      </c>
      <c r="CZ12" s="28" t="s">
        <v>106</v>
      </c>
      <c r="DA12" s="28" t="s">
        <v>107</v>
      </c>
      <c r="DB12" s="28" t="s">
        <v>106</v>
      </c>
      <c r="DC12" s="28" t="s">
        <v>107</v>
      </c>
      <c r="DD12" s="28" t="s">
        <v>106</v>
      </c>
      <c r="DE12" s="28" t="s">
        <v>107</v>
      </c>
      <c r="DF12" s="28" t="s">
        <v>106</v>
      </c>
      <c r="DG12" s="28" t="s">
        <v>107</v>
      </c>
      <c r="DH12" s="28" t="s">
        <v>106</v>
      </c>
      <c r="DI12" s="28" t="s">
        <v>107</v>
      </c>
      <c r="DJ12" s="28" t="s">
        <v>106</v>
      </c>
      <c r="DK12" s="28" t="s">
        <v>107</v>
      </c>
      <c r="DL12" s="28" t="s">
        <v>106</v>
      </c>
      <c r="DM12" s="28" t="s">
        <v>107</v>
      </c>
      <c r="DN12" s="28" t="s">
        <v>106</v>
      </c>
      <c r="DO12" s="28" t="s">
        <v>107</v>
      </c>
      <c r="DP12" s="28" t="s">
        <v>106</v>
      </c>
      <c r="DQ12" s="28" t="s">
        <v>107</v>
      </c>
      <c r="DR12" s="28" t="s">
        <v>106</v>
      </c>
      <c r="DS12" s="28" t="s">
        <v>107</v>
      </c>
      <c r="DT12" s="28" t="s">
        <v>106</v>
      </c>
      <c r="DU12" s="28" t="s">
        <v>107</v>
      </c>
      <c r="DV12" s="28" t="s">
        <v>106</v>
      </c>
      <c r="DW12" s="28" t="s">
        <v>107</v>
      </c>
      <c r="DX12" s="28" t="s">
        <v>106</v>
      </c>
      <c r="DY12" s="28" t="s">
        <v>107</v>
      </c>
      <c r="DZ12" s="28" t="s">
        <v>106</v>
      </c>
      <c r="EA12" s="28" t="s">
        <v>107</v>
      </c>
      <c r="EB12" s="28" t="s">
        <v>106</v>
      </c>
      <c r="EC12" s="28" t="s">
        <v>107</v>
      </c>
      <c r="ED12" s="28" t="s">
        <v>106</v>
      </c>
      <c r="EE12" s="28" t="s">
        <v>107</v>
      </c>
      <c r="EF12" s="28" t="s">
        <v>106</v>
      </c>
      <c r="EG12" s="28" t="s">
        <v>107</v>
      </c>
      <c r="EH12" s="28" t="s">
        <v>106</v>
      </c>
      <c r="EI12" s="28" t="s">
        <v>107</v>
      </c>
      <c r="EJ12" s="28" t="s">
        <v>106</v>
      </c>
      <c r="EK12" s="28" t="s">
        <v>107</v>
      </c>
      <c r="EL12" s="28" t="s">
        <v>106</v>
      </c>
      <c r="EM12" s="28" t="s">
        <v>107</v>
      </c>
      <c r="EN12" s="28" t="s">
        <v>106</v>
      </c>
      <c r="EO12" s="28" t="s">
        <v>107</v>
      </c>
      <c r="EP12" s="28" t="s">
        <v>106</v>
      </c>
      <c r="EQ12" s="28" t="s">
        <v>107</v>
      </c>
      <c r="ER12" s="28" t="s">
        <v>106</v>
      </c>
      <c r="ES12" s="28" t="s">
        <v>107</v>
      </c>
      <c r="ET12" s="28" t="s">
        <v>106</v>
      </c>
      <c r="EU12" s="28" t="s">
        <v>107</v>
      </c>
      <c r="EV12" s="28" t="s">
        <v>106</v>
      </c>
      <c r="EW12" s="28" t="s">
        <v>107</v>
      </c>
      <c r="EX12" s="28" t="s">
        <v>106</v>
      </c>
      <c r="EY12" s="28" t="s">
        <v>107</v>
      </c>
      <c r="EZ12" s="28" t="s">
        <v>106</v>
      </c>
      <c r="FA12" s="28" t="s">
        <v>107</v>
      </c>
      <c r="FB12" s="28" t="s">
        <v>106</v>
      </c>
      <c r="FC12" s="28" t="s">
        <v>107</v>
      </c>
      <c r="FD12" s="28" t="s">
        <v>106</v>
      </c>
      <c r="FE12" s="28" t="s">
        <v>107</v>
      </c>
      <c r="FF12" s="28" t="s">
        <v>106</v>
      </c>
      <c r="FG12" s="28" t="s">
        <v>107</v>
      </c>
      <c r="FH12" s="28" t="s">
        <v>106</v>
      </c>
      <c r="FI12" s="28" t="s">
        <v>107</v>
      </c>
      <c r="FJ12" s="28" t="s">
        <v>106</v>
      </c>
      <c r="FK12" s="28" t="s">
        <v>107</v>
      </c>
      <c r="FL12" s="28" t="s">
        <v>106</v>
      </c>
      <c r="FM12" s="28" t="s">
        <v>107</v>
      </c>
      <c r="FN12" s="28" t="s">
        <v>106</v>
      </c>
      <c r="FO12" s="28" t="s">
        <v>107</v>
      </c>
      <c r="FP12" s="28" t="s">
        <v>106</v>
      </c>
      <c r="FQ12" s="28" t="s">
        <v>107</v>
      </c>
      <c r="FR12" s="28" t="s">
        <v>106</v>
      </c>
      <c r="FS12" s="28" t="s">
        <v>107</v>
      </c>
      <c r="FT12" s="28" t="s">
        <v>106</v>
      </c>
      <c r="FU12" s="28" t="s">
        <v>107</v>
      </c>
      <c r="FV12" s="28" t="s">
        <v>106</v>
      </c>
      <c r="FW12" s="28" t="s">
        <v>107</v>
      </c>
      <c r="FX12" s="28" t="s">
        <v>106</v>
      </c>
      <c r="FY12" s="28" t="s">
        <v>107</v>
      </c>
      <c r="FZ12" s="28" t="s">
        <v>106</v>
      </c>
      <c r="GA12" s="28" t="s">
        <v>107</v>
      </c>
      <c r="GB12" s="28" t="s">
        <v>106</v>
      </c>
      <c r="GC12" s="28" t="s">
        <v>107</v>
      </c>
      <c r="GD12" s="28" t="s">
        <v>106</v>
      </c>
      <c r="GE12" s="28" t="s">
        <v>107</v>
      </c>
      <c r="GF12" s="28" t="s">
        <v>106</v>
      </c>
      <c r="GG12" s="28" t="s">
        <v>107</v>
      </c>
      <c r="GH12" s="28" t="s">
        <v>106</v>
      </c>
      <c r="GI12" s="28" t="s">
        <v>107</v>
      </c>
      <c r="GJ12" s="28" t="s">
        <v>106</v>
      </c>
      <c r="GK12" s="28" t="s">
        <v>107</v>
      </c>
      <c r="GL12" s="28" t="s">
        <v>106</v>
      </c>
      <c r="GM12" s="28" t="s">
        <v>107</v>
      </c>
      <c r="GN12" s="28" t="s">
        <v>106</v>
      </c>
      <c r="GO12" s="28" t="s">
        <v>107</v>
      </c>
      <c r="GP12" s="28" t="s">
        <v>106</v>
      </c>
      <c r="GQ12" s="28" t="s">
        <v>107</v>
      </c>
      <c r="GR12" s="28" t="s">
        <v>106</v>
      </c>
      <c r="GS12" s="28" t="s">
        <v>107</v>
      </c>
      <c r="GT12" s="28" t="s">
        <v>106</v>
      </c>
      <c r="GU12" s="28" t="s">
        <v>107</v>
      </c>
      <c r="GV12" s="28" t="s">
        <v>106</v>
      </c>
      <c r="GW12" s="28" t="s">
        <v>107</v>
      </c>
      <c r="GX12" s="28" t="s">
        <v>106</v>
      </c>
      <c r="GY12" s="28" t="s">
        <v>107</v>
      </c>
      <c r="GZ12" s="28" t="s">
        <v>106</v>
      </c>
      <c r="HA12" s="28" t="s">
        <v>107</v>
      </c>
      <c r="HB12" s="28" t="s">
        <v>106</v>
      </c>
      <c r="HC12" s="28" t="s">
        <v>107</v>
      </c>
      <c r="HD12" s="28" t="s">
        <v>106</v>
      </c>
      <c r="HE12" s="28" t="s">
        <v>107</v>
      </c>
      <c r="HF12" s="28" t="s">
        <v>106</v>
      </c>
      <c r="HG12" s="28" t="s">
        <v>107</v>
      </c>
      <c r="HH12" s="28" t="s">
        <v>106</v>
      </c>
      <c r="HI12" s="28" t="s">
        <v>107</v>
      </c>
      <c r="HJ12" s="28" t="s">
        <v>106</v>
      </c>
      <c r="HK12" s="28" t="s">
        <v>107</v>
      </c>
      <c r="HL12" s="28" t="s">
        <v>106</v>
      </c>
      <c r="HM12" s="28" t="s">
        <v>107</v>
      </c>
      <c r="HN12" s="28" t="s">
        <v>106</v>
      </c>
      <c r="HO12" s="28" t="s">
        <v>107</v>
      </c>
      <c r="HP12" s="28" t="s">
        <v>106</v>
      </c>
      <c r="HQ12" s="28" t="s">
        <v>107</v>
      </c>
      <c r="HR12" s="28" t="s">
        <v>106</v>
      </c>
      <c r="HS12" s="28" t="s">
        <v>107</v>
      </c>
      <c r="HT12" s="28" t="s">
        <v>106</v>
      </c>
      <c r="HU12" s="28" t="s">
        <v>107</v>
      </c>
      <c r="HV12" s="28" t="s">
        <v>106</v>
      </c>
      <c r="HW12" s="28" t="s">
        <v>107</v>
      </c>
      <c r="HX12" s="28" t="s">
        <v>106</v>
      </c>
      <c r="HY12" s="28" t="s">
        <v>107</v>
      </c>
      <c r="HZ12" s="28" t="s">
        <v>106</v>
      </c>
      <c r="IA12" s="28" t="s">
        <v>107</v>
      </c>
      <c r="IB12" s="28" t="s">
        <v>106</v>
      </c>
      <c r="IC12" s="28" t="s">
        <v>107</v>
      </c>
      <c r="ID12" s="28" t="s">
        <v>106</v>
      </c>
      <c r="IE12" s="28" t="s">
        <v>107</v>
      </c>
      <c r="IF12" s="28" t="s">
        <v>106</v>
      </c>
      <c r="IG12" s="28" t="s">
        <v>107</v>
      </c>
      <c r="IH12" s="28" t="s">
        <v>106</v>
      </c>
      <c r="II12" s="28" t="s">
        <v>107</v>
      </c>
      <c r="IJ12" s="28" t="s">
        <v>106</v>
      </c>
      <c r="IK12" s="28" t="s">
        <v>107</v>
      </c>
      <c r="IL12" s="28" t="s">
        <v>106</v>
      </c>
      <c r="IM12" s="28" t="s">
        <v>107</v>
      </c>
      <c r="IN12" s="28" t="s">
        <v>106</v>
      </c>
      <c r="IO12" s="28" t="s">
        <v>107</v>
      </c>
      <c r="IP12" s="28" t="s">
        <v>106</v>
      </c>
      <c r="IQ12" s="28" t="s">
        <v>107</v>
      </c>
      <c r="IR12" s="28" t="s">
        <v>106</v>
      </c>
      <c r="IS12" s="28" t="s">
        <v>107</v>
      </c>
      <c r="IT12" s="28" t="s">
        <v>106</v>
      </c>
      <c r="IU12" s="28" t="s">
        <v>107</v>
      </c>
      <c r="IV12" s="28" t="s">
        <v>106</v>
      </c>
      <c r="IW12" s="28" t="s">
        <v>107</v>
      </c>
      <c r="IX12" s="28" t="s">
        <v>106</v>
      </c>
      <c r="IY12" s="28" t="s">
        <v>107</v>
      </c>
      <c r="IZ12" s="28" t="s">
        <v>106</v>
      </c>
      <c r="JA12" s="28" t="s">
        <v>107</v>
      </c>
      <c r="JB12" s="28" t="s">
        <v>106</v>
      </c>
      <c r="JC12" s="28" t="s">
        <v>107</v>
      </c>
      <c r="JD12" s="28" t="s">
        <v>106</v>
      </c>
      <c r="JE12" s="28" t="s">
        <v>107</v>
      </c>
      <c r="JF12" s="28" t="s">
        <v>106</v>
      </c>
      <c r="JG12" s="28" t="s">
        <v>107</v>
      </c>
      <c r="JH12" s="28" t="s">
        <v>106</v>
      </c>
      <c r="JI12" s="28" t="s">
        <v>107</v>
      </c>
      <c r="JJ12" s="28" t="s">
        <v>106</v>
      </c>
      <c r="JK12" s="28" t="s">
        <v>107</v>
      </c>
      <c r="JL12" s="28" t="s">
        <v>106</v>
      </c>
      <c r="JM12" s="28" t="s">
        <v>107</v>
      </c>
      <c r="JN12" s="28" t="s">
        <v>106</v>
      </c>
      <c r="JO12" s="28" t="s">
        <v>107</v>
      </c>
      <c r="JP12" s="28" t="s">
        <v>106</v>
      </c>
      <c r="JQ12" s="28" t="s">
        <v>107</v>
      </c>
      <c r="JR12" s="28" t="s">
        <v>106</v>
      </c>
      <c r="JS12" s="28" t="s">
        <v>107</v>
      </c>
      <c r="JT12" s="28" t="s">
        <v>106</v>
      </c>
      <c r="JU12" s="28" t="s">
        <v>107</v>
      </c>
      <c r="JV12" s="28" t="s">
        <v>106</v>
      </c>
      <c r="JW12" s="28" t="s">
        <v>107</v>
      </c>
      <c r="JX12" s="28" t="s">
        <v>106</v>
      </c>
      <c r="JY12" s="28" t="s">
        <v>107</v>
      </c>
      <c r="JZ12" s="28" t="s">
        <v>106</v>
      </c>
      <c r="KA12" s="28" t="s">
        <v>107</v>
      </c>
      <c r="KB12" s="28" t="s">
        <v>106</v>
      </c>
      <c r="KC12" s="28" t="s">
        <v>107</v>
      </c>
      <c r="KD12" s="28" t="s">
        <v>106</v>
      </c>
      <c r="KE12" s="28" t="s">
        <v>107</v>
      </c>
      <c r="KF12" s="28" t="s">
        <v>106</v>
      </c>
      <c r="KG12" s="28" t="s">
        <v>107</v>
      </c>
      <c r="KH12" s="28" t="s">
        <v>106</v>
      </c>
      <c r="KI12" s="28" t="s">
        <v>107</v>
      </c>
      <c r="KJ12" s="28" t="s">
        <v>106</v>
      </c>
      <c r="KK12" s="28" t="s">
        <v>107</v>
      </c>
      <c r="KL12" s="28" t="s">
        <v>106</v>
      </c>
      <c r="KM12" s="28" t="s">
        <v>107</v>
      </c>
      <c r="KN12" s="28" t="s">
        <v>106</v>
      </c>
      <c r="KO12" s="28" t="s">
        <v>107</v>
      </c>
      <c r="KP12" s="28" t="s">
        <v>106</v>
      </c>
      <c r="KQ12" s="28" t="s">
        <v>107</v>
      </c>
      <c r="KR12" s="28" t="s">
        <v>106</v>
      </c>
      <c r="KS12" s="28" t="s">
        <v>107</v>
      </c>
      <c r="KT12" s="28" t="s">
        <v>106</v>
      </c>
      <c r="KU12" s="28" t="s">
        <v>107</v>
      </c>
      <c r="KV12" s="28" t="s">
        <v>106</v>
      </c>
      <c r="KW12" s="28" t="s">
        <v>107</v>
      </c>
      <c r="KX12" s="28" t="s">
        <v>106</v>
      </c>
      <c r="KY12" s="28" t="s">
        <v>107</v>
      </c>
      <c r="KZ12" s="28" t="s">
        <v>106</v>
      </c>
      <c r="LA12" s="28" t="s">
        <v>107</v>
      </c>
      <c r="LB12" s="28" t="s">
        <v>106</v>
      </c>
      <c r="LC12" s="28" t="s">
        <v>107</v>
      </c>
      <c r="LD12" s="28" t="s">
        <v>106</v>
      </c>
      <c r="LE12" s="28" t="s">
        <v>107</v>
      </c>
      <c r="LF12" s="28" t="s">
        <v>106</v>
      </c>
      <c r="LG12" s="28" t="s">
        <v>107</v>
      </c>
      <c r="LH12" s="28" t="s">
        <v>106</v>
      </c>
      <c r="LI12" s="28" t="s">
        <v>107</v>
      </c>
      <c r="LJ12" s="28" t="s">
        <v>106</v>
      </c>
      <c r="LK12" s="28" t="s">
        <v>107</v>
      </c>
      <c r="LL12" s="28" t="s">
        <v>106</v>
      </c>
      <c r="LM12" s="28" t="s">
        <v>107</v>
      </c>
      <c r="LN12" s="28" t="s">
        <v>106</v>
      </c>
      <c r="LO12" s="28" t="s">
        <v>107</v>
      </c>
      <c r="LP12" s="28" t="s">
        <v>106</v>
      </c>
      <c r="LQ12" s="28" t="s">
        <v>107</v>
      </c>
      <c r="LR12" s="28" t="s">
        <v>106</v>
      </c>
      <c r="LS12" s="28" t="s">
        <v>107</v>
      </c>
      <c r="LT12" s="28" t="s">
        <v>106</v>
      </c>
      <c r="LU12" s="28" t="s">
        <v>107</v>
      </c>
      <c r="LV12" s="28" t="s">
        <v>106</v>
      </c>
      <c r="LW12" s="28" t="s">
        <v>107</v>
      </c>
      <c r="LX12" s="28" t="s">
        <v>106</v>
      </c>
      <c r="LY12" s="28" t="s">
        <v>107</v>
      </c>
      <c r="LZ12" s="28" t="s">
        <v>106</v>
      </c>
      <c r="MA12" s="28" t="s">
        <v>107</v>
      </c>
      <c r="MB12" s="28" t="s">
        <v>106</v>
      </c>
      <c r="MC12" s="28" t="s">
        <v>107</v>
      </c>
      <c r="MD12" s="28" t="s">
        <v>106</v>
      </c>
      <c r="ME12" s="28" t="s">
        <v>107</v>
      </c>
      <c r="MF12" s="28" t="s">
        <v>106</v>
      </c>
      <c r="MG12" s="28" t="s">
        <v>107</v>
      </c>
      <c r="MH12" s="28" t="s">
        <v>106</v>
      </c>
      <c r="MI12" s="28" t="s">
        <v>107</v>
      </c>
      <c r="MJ12" s="28" t="s">
        <v>106</v>
      </c>
      <c r="MK12" s="28" t="s">
        <v>107</v>
      </c>
      <c r="ML12" s="28" t="s">
        <v>106</v>
      </c>
      <c r="MM12" s="28" t="s">
        <v>107</v>
      </c>
      <c r="MN12" s="28" t="s">
        <v>106</v>
      </c>
      <c r="MO12" s="28" t="s">
        <v>107</v>
      </c>
      <c r="MP12" s="28" t="s">
        <v>106</v>
      </c>
      <c r="MQ12" s="28" t="s">
        <v>107</v>
      </c>
      <c r="MR12" s="28" t="s">
        <v>106</v>
      </c>
      <c r="MS12" s="28" t="s">
        <v>107</v>
      </c>
      <c r="MT12" s="28" t="s">
        <v>106</v>
      </c>
      <c r="MU12" s="28" t="s">
        <v>107</v>
      </c>
      <c r="MV12" s="28" t="s">
        <v>106</v>
      </c>
      <c r="MW12" s="28" t="s">
        <v>107</v>
      </c>
      <c r="MX12" s="28" t="s">
        <v>106</v>
      </c>
      <c r="MY12" s="28" t="s">
        <v>107</v>
      </c>
      <c r="MZ12" s="28" t="s">
        <v>106</v>
      </c>
      <c r="NA12" s="28" t="s">
        <v>107</v>
      </c>
      <c r="NB12" s="28" t="s">
        <v>106</v>
      </c>
      <c r="NC12" s="28" t="s">
        <v>107</v>
      </c>
      <c r="ND12" s="28" t="s">
        <v>106</v>
      </c>
      <c r="NE12" s="28" t="s">
        <v>107</v>
      </c>
      <c r="NF12" s="28" t="s">
        <v>106</v>
      </c>
      <c r="NG12" s="28" t="s">
        <v>107</v>
      </c>
      <c r="NH12" s="28" t="s">
        <v>106</v>
      </c>
      <c r="NI12" s="28" t="s">
        <v>107</v>
      </c>
      <c r="NJ12" s="28" t="s">
        <v>106</v>
      </c>
      <c r="NK12" s="28" t="s">
        <v>107</v>
      </c>
      <c r="NL12" s="28" t="s">
        <v>106</v>
      </c>
      <c r="NM12" s="28" t="s">
        <v>107</v>
      </c>
      <c r="NN12" s="28" t="s">
        <v>106</v>
      </c>
      <c r="NO12" s="28" t="s">
        <v>107</v>
      </c>
      <c r="NP12" s="28" t="s">
        <v>106</v>
      </c>
      <c r="NQ12" s="28" t="s">
        <v>107</v>
      </c>
      <c r="NR12" s="28" t="s">
        <v>106</v>
      </c>
      <c r="NS12" s="28" t="s">
        <v>107</v>
      </c>
      <c r="NT12" s="28" t="s">
        <v>106</v>
      </c>
      <c r="NU12" s="28" t="s">
        <v>107</v>
      </c>
      <c r="NV12" s="28" t="s">
        <v>106</v>
      </c>
      <c r="NW12" s="28" t="s">
        <v>107</v>
      </c>
      <c r="NX12" s="28" t="s">
        <v>106</v>
      </c>
      <c r="NY12" s="28" t="s">
        <v>107</v>
      </c>
      <c r="NZ12" s="28" t="s">
        <v>106</v>
      </c>
      <c r="OA12" s="28" t="s">
        <v>107</v>
      </c>
      <c r="OB12" s="28" t="s">
        <v>106</v>
      </c>
      <c r="OC12" s="28" t="s">
        <v>107</v>
      </c>
      <c r="OD12" s="28" t="s">
        <v>106</v>
      </c>
      <c r="OE12" s="28" t="s">
        <v>107</v>
      </c>
      <c r="OF12" s="28" t="s">
        <v>106</v>
      </c>
      <c r="OG12" s="28" t="s">
        <v>107</v>
      </c>
      <c r="OH12" s="28" t="s">
        <v>106</v>
      </c>
      <c r="OI12" s="28" t="s">
        <v>107</v>
      </c>
      <c r="OJ12" s="28" t="s">
        <v>106</v>
      </c>
      <c r="OK12" s="29" t="s">
        <v>107</v>
      </c>
      <c r="OL12" s="28" t="s">
        <v>106</v>
      </c>
      <c r="OM12" s="28" t="s">
        <v>107</v>
      </c>
      <c r="ON12" s="28" t="s">
        <v>106</v>
      </c>
      <c r="OO12" s="28" t="s">
        <v>107</v>
      </c>
    </row>
    <row r="13" spans="1:405" s="27" customFormat="1" x14ac:dyDescent="0.25">
      <c r="A13" s="19"/>
      <c r="B13" s="19"/>
      <c r="C13" s="19"/>
      <c r="D13" s="19"/>
      <c r="E13" s="19"/>
      <c r="F13" s="30">
        <f>SUM(F15:F30)</f>
        <v>0</v>
      </c>
      <c r="G13" s="30">
        <f>SUM(G15:G30)</f>
        <v>0</v>
      </c>
      <c r="H13" s="30">
        <f>SUM(H15:H30)</f>
        <v>0</v>
      </c>
      <c r="I13" s="30">
        <f>SUM(I15:I30)</f>
        <v>0</v>
      </c>
      <c r="J13" s="30">
        <f>SUM(J15:J30)</f>
        <v>0</v>
      </c>
      <c r="K13" s="30">
        <f>SUM(K15:K30)</f>
        <v>0</v>
      </c>
      <c r="L13" s="30">
        <f>SUM(L15:L30)</f>
        <v>0</v>
      </c>
      <c r="M13" s="30">
        <f>SUM(M15:M30)</f>
        <v>0</v>
      </c>
      <c r="N13" s="30">
        <f>SUM(N15:N30)</f>
        <v>0</v>
      </c>
      <c r="O13" s="30">
        <f>SUM(O15:O30)</f>
        <v>0</v>
      </c>
      <c r="P13" s="30">
        <f>SUM(P15:P30)</f>
        <v>0</v>
      </c>
      <c r="Q13" s="30">
        <f>SUM(Q15:Q30)</f>
        <v>0</v>
      </c>
      <c r="R13" s="30">
        <f>SUM(R15:R30)</f>
        <v>0</v>
      </c>
      <c r="S13" s="30">
        <f>SUM(S15:S30)</f>
        <v>0</v>
      </c>
      <c r="T13" s="30">
        <f>SUM(T15:T30)</f>
        <v>0</v>
      </c>
      <c r="U13" s="30">
        <f>SUM(U15:U30)</f>
        <v>0</v>
      </c>
      <c r="V13" s="30">
        <f>SUM(V15:V30)</f>
        <v>4</v>
      </c>
      <c r="W13" s="30">
        <f>SUM(W15:W30)</f>
        <v>28</v>
      </c>
      <c r="X13" s="30">
        <f>SUM(X15:X30)</f>
        <v>0</v>
      </c>
      <c r="Y13" s="30">
        <f>SUM(Y15:Y30)</f>
        <v>0</v>
      </c>
      <c r="Z13" s="30">
        <f>SUM(Z15:Z30)</f>
        <v>0</v>
      </c>
      <c r="AA13" s="30">
        <f>SUM(AA15:AA30)</f>
        <v>0</v>
      </c>
      <c r="AB13" s="30">
        <f>SUM(AB15:AB30)</f>
        <v>0</v>
      </c>
      <c r="AC13" s="30">
        <f>SUM(AC15:AC30)</f>
        <v>0</v>
      </c>
      <c r="AD13" s="30">
        <f>SUM(AD15:AD30)</f>
        <v>0</v>
      </c>
      <c r="AE13" s="30">
        <f>SUM(AE15:AE30)</f>
        <v>0</v>
      </c>
      <c r="AF13" s="30">
        <f>SUM(AF15:AF30)</f>
        <v>0</v>
      </c>
      <c r="AG13" s="30">
        <f>SUM(AG15:AG30)</f>
        <v>0</v>
      </c>
      <c r="AH13" s="30">
        <f>SUM(AH15:AH30)</f>
        <v>14</v>
      </c>
      <c r="AI13" s="30">
        <f>SUM(AI15:AI30)</f>
        <v>140</v>
      </c>
      <c r="AJ13" s="30">
        <f>SUM(AJ15:AJ30)</f>
        <v>13</v>
      </c>
      <c r="AK13" s="30">
        <f>SUM(AK15:AK30)</f>
        <v>139</v>
      </c>
      <c r="AL13" s="30">
        <f>SUM(AL15:AL30)</f>
        <v>0</v>
      </c>
      <c r="AM13" s="30">
        <f>SUM(AM15:AM30)</f>
        <v>0</v>
      </c>
      <c r="AN13" s="30">
        <f>SUM(AN15:AN30)</f>
        <v>0</v>
      </c>
      <c r="AO13" s="30">
        <f>SUM(AO15:AO30)</f>
        <v>0</v>
      </c>
      <c r="AP13" s="30">
        <f>SUM(AP15:AP30)</f>
        <v>0</v>
      </c>
      <c r="AQ13" s="30">
        <f>SUM(AQ15:AQ30)</f>
        <v>0</v>
      </c>
      <c r="AR13" s="30">
        <f>SUM(AR15:AR30)</f>
        <v>0</v>
      </c>
      <c r="AS13" s="30">
        <f>SUM(AS15:AS30)</f>
        <v>0</v>
      </c>
      <c r="AT13" s="30">
        <f>SUM(AT15:AT30)</f>
        <v>0</v>
      </c>
      <c r="AU13" s="30">
        <f>SUM(AU15:AU30)</f>
        <v>0</v>
      </c>
      <c r="AV13" s="30">
        <f>SUM(AV15:AV30)</f>
        <v>0</v>
      </c>
      <c r="AW13" s="30">
        <f>SUM(AW15:AW30)</f>
        <v>0</v>
      </c>
      <c r="AX13" s="30">
        <f>SUM(AX15:AX30)</f>
        <v>4</v>
      </c>
      <c r="AY13" s="30">
        <f>SUM(AY15:AY30)</f>
        <v>28</v>
      </c>
      <c r="AZ13" s="30">
        <f>SUM(AZ15:AZ30)</f>
        <v>1</v>
      </c>
      <c r="BA13" s="30">
        <f>SUM(BA15:BA30)</f>
        <v>11</v>
      </c>
      <c r="BB13" s="30">
        <f>SUM(BB15:BB30)</f>
        <v>0</v>
      </c>
      <c r="BC13" s="30">
        <f>SUM(BC15:BC30)</f>
        <v>0</v>
      </c>
      <c r="BD13" s="30">
        <f>SUM(BD15:BD30)</f>
        <v>0</v>
      </c>
      <c r="BE13" s="30">
        <f>SUM(BE15:BE30)</f>
        <v>0</v>
      </c>
      <c r="BF13" s="30">
        <f>SUM(BF15:BF30)</f>
        <v>0</v>
      </c>
      <c r="BG13" s="30">
        <f>SUM(BG15:BG30)</f>
        <v>0</v>
      </c>
      <c r="BH13" s="30">
        <f>SUM(BH15:BH30)</f>
        <v>0</v>
      </c>
      <c r="BI13" s="30">
        <f>SUM(BI15:BI30)</f>
        <v>0</v>
      </c>
      <c r="BJ13" s="30">
        <f>SUM(BJ15:BJ30)</f>
        <v>0</v>
      </c>
      <c r="BK13" s="30">
        <f>SUM(BK15:BK30)</f>
        <v>0</v>
      </c>
      <c r="BL13" s="30">
        <f>SUM(BL15:BL30)</f>
        <v>0</v>
      </c>
      <c r="BM13" s="30">
        <f>SUM(BM15:BM30)</f>
        <v>0</v>
      </c>
      <c r="BN13" s="30">
        <f>SUM(BN15:BN30)</f>
        <v>0</v>
      </c>
      <c r="BO13" s="30">
        <f>SUM(BO15:BO30)</f>
        <v>0</v>
      </c>
      <c r="BP13" s="30">
        <f>SUM(BP15:BP30)</f>
        <v>0</v>
      </c>
      <c r="BQ13" s="30">
        <f>SUM(BQ15:BQ30)</f>
        <v>0</v>
      </c>
      <c r="BR13" s="30">
        <f>SUM(BR15:BR30)</f>
        <v>0</v>
      </c>
      <c r="BS13" s="30">
        <f>SUM(BS15:BS30)</f>
        <v>0</v>
      </c>
      <c r="BT13" s="30">
        <f>SUM(BT15:BT30)</f>
        <v>0</v>
      </c>
      <c r="BU13" s="30">
        <f>SUM(BU15:BU30)</f>
        <v>0</v>
      </c>
      <c r="BV13" s="30">
        <f>SUM(BV15:BV30)</f>
        <v>0</v>
      </c>
      <c r="BW13" s="30">
        <f>SUM(BW15:BW30)</f>
        <v>0</v>
      </c>
      <c r="BX13" s="30">
        <f>SUM(BX15:BX30)</f>
        <v>0</v>
      </c>
      <c r="BY13" s="30">
        <f>SUM(BY15:BY30)</f>
        <v>0</v>
      </c>
      <c r="BZ13" s="30">
        <f>SUM(BZ15:BZ30)</f>
        <v>0</v>
      </c>
      <c r="CA13" s="30">
        <f>SUM(CA15:CA30)</f>
        <v>0</v>
      </c>
      <c r="CB13" s="30">
        <f>SUM(CB15:CB30)</f>
        <v>0</v>
      </c>
      <c r="CC13" s="30">
        <f>SUM(CC15:CC30)</f>
        <v>0</v>
      </c>
      <c r="CD13" s="30">
        <f>SUM(CD15:CD30)</f>
        <v>0</v>
      </c>
      <c r="CE13" s="30">
        <f>SUM(CE15:CE30)</f>
        <v>0</v>
      </c>
      <c r="CF13" s="30">
        <f>SUM(CF15:CF30)</f>
        <v>0</v>
      </c>
      <c r="CG13" s="30">
        <f>SUM(CG15:CG30)</f>
        <v>0</v>
      </c>
      <c r="CH13" s="30">
        <f>SUM(CH15:CH30)</f>
        <v>0</v>
      </c>
      <c r="CI13" s="30">
        <f>SUM(CI15:CI30)</f>
        <v>0</v>
      </c>
      <c r="CJ13" s="30">
        <f>SUM(CJ15:CJ30)</f>
        <v>0</v>
      </c>
      <c r="CK13" s="30">
        <f>SUM(CK15:CK30)</f>
        <v>0</v>
      </c>
      <c r="CL13" s="30">
        <f>SUM(CL15:CL30)</f>
        <v>0</v>
      </c>
      <c r="CM13" s="30">
        <f>SUM(CM15:CM30)</f>
        <v>0</v>
      </c>
      <c r="CN13" s="30">
        <f>SUM(CN15:CN30)</f>
        <v>0</v>
      </c>
      <c r="CO13" s="30">
        <f>SUM(CO15:CO30)</f>
        <v>0</v>
      </c>
      <c r="CP13" s="30">
        <f>SUM(CP15:CP30)</f>
        <v>13</v>
      </c>
      <c r="CQ13" s="30">
        <f>SUM(CQ15:CQ30)</f>
        <v>10</v>
      </c>
      <c r="CR13" s="30">
        <f>SUM(CR15:CR30)</f>
        <v>12</v>
      </c>
      <c r="CS13" s="30">
        <f>SUM(CS15:CS30)</f>
        <v>9</v>
      </c>
      <c r="CT13" s="30">
        <f>SUM(CT15:CT30)</f>
        <v>0</v>
      </c>
      <c r="CU13" s="30">
        <f>SUM(CU15:CU30)</f>
        <v>0</v>
      </c>
      <c r="CV13" s="30">
        <f>SUM(CV15:CV30)</f>
        <v>0</v>
      </c>
      <c r="CW13" s="30">
        <f>SUM(CW15:CW30)</f>
        <v>0</v>
      </c>
      <c r="CX13" s="30">
        <f>SUM(CX15:CX30)</f>
        <v>7</v>
      </c>
      <c r="CY13" s="30">
        <f>SUM(CY15:CY30)</f>
        <v>10</v>
      </c>
      <c r="CZ13" s="30">
        <f>SUM(CZ15:CZ30)</f>
        <v>7</v>
      </c>
      <c r="DA13" s="30">
        <f>SUM(DA15:DA30)</f>
        <v>10</v>
      </c>
      <c r="DB13" s="30">
        <f>SUM(DB15:DB30)</f>
        <v>42</v>
      </c>
      <c r="DC13" s="30">
        <f>SUM(DC15:DC30)</f>
        <v>216</v>
      </c>
      <c r="DD13" s="30">
        <f>SUM(DD15:DD30)</f>
        <v>33</v>
      </c>
      <c r="DE13" s="30">
        <f>SUM(DE15:DE30)</f>
        <v>169</v>
      </c>
      <c r="DF13" s="30">
        <f>SUM(DF15:DF30)</f>
        <v>0</v>
      </c>
      <c r="DG13" s="30">
        <f>SUM(DG15:DG30)</f>
        <v>0</v>
      </c>
      <c r="DH13" s="30">
        <f>SUM(DH15:DH30)</f>
        <v>0</v>
      </c>
      <c r="DI13" s="30">
        <f>SUM(DI15:DI30)</f>
        <v>0</v>
      </c>
      <c r="DJ13" s="30">
        <f>SUM(DJ15:DJ30)</f>
        <v>0</v>
      </c>
      <c r="DK13" s="30">
        <f>SUM(DK15:DK30)</f>
        <v>0</v>
      </c>
      <c r="DL13" s="30">
        <f>SUM(DL15:DL30)</f>
        <v>0</v>
      </c>
      <c r="DM13" s="30">
        <f>SUM(DM15:DM30)</f>
        <v>0</v>
      </c>
      <c r="DN13" s="30">
        <f>SUM(DN15:DN30)</f>
        <v>0</v>
      </c>
      <c r="DO13" s="30">
        <f>SUM(DO15:DO30)</f>
        <v>0</v>
      </c>
      <c r="DP13" s="30">
        <f>SUM(DP15:DP30)</f>
        <v>0</v>
      </c>
      <c r="DQ13" s="30">
        <f>SUM(DQ15:DQ30)</f>
        <v>0</v>
      </c>
      <c r="DR13" s="30">
        <f>SUM(DR15:DR30)</f>
        <v>0</v>
      </c>
      <c r="DS13" s="30">
        <f>SUM(DS15:DS30)</f>
        <v>0</v>
      </c>
      <c r="DT13" s="30">
        <f>SUM(DT15:DT30)</f>
        <v>0</v>
      </c>
      <c r="DU13" s="30">
        <f>SUM(DU15:DU30)</f>
        <v>0</v>
      </c>
      <c r="DV13" s="30">
        <f>SUM(DV15:DV30)</f>
        <v>0</v>
      </c>
      <c r="DW13" s="30">
        <f>SUM(DW15:DW30)</f>
        <v>0</v>
      </c>
      <c r="DX13" s="30">
        <f>SUM(DX15:DX30)</f>
        <v>0</v>
      </c>
      <c r="DY13" s="30">
        <f>SUM(DY15:DY30)</f>
        <v>0</v>
      </c>
      <c r="DZ13" s="30">
        <f>SUM(DZ15:DZ30)</f>
        <v>0</v>
      </c>
      <c r="EA13" s="30">
        <f>SUM(EA15:EA30)</f>
        <v>0</v>
      </c>
      <c r="EB13" s="30">
        <f>SUM(EB15:EB30)</f>
        <v>0</v>
      </c>
      <c r="EC13" s="30">
        <f>SUM(EC15:EC30)</f>
        <v>0</v>
      </c>
      <c r="ED13" s="30">
        <f>SUM(ED15:ED30)</f>
        <v>0</v>
      </c>
      <c r="EE13" s="30">
        <f>SUM(EE15:EE30)</f>
        <v>0</v>
      </c>
      <c r="EF13" s="30">
        <f>SUM(EF15:EF30)</f>
        <v>0</v>
      </c>
      <c r="EG13" s="30">
        <f>SUM(EG15:EG30)</f>
        <v>0</v>
      </c>
      <c r="EH13" s="30">
        <f>SUM(EH15:EH30)</f>
        <v>0</v>
      </c>
      <c r="EI13" s="30">
        <f>SUM(EI15:EI30)</f>
        <v>0</v>
      </c>
      <c r="EJ13" s="30">
        <f>SUM(EJ15:EJ30)</f>
        <v>0</v>
      </c>
      <c r="EK13" s="30">
        <f>SUM(EK15:EK30)</f>
        <v>0</v>
      </c>
      <c r="EL13" s="30">
        <f>SUM(EL15:EL30)</f>
        <v>0</v>
      </c>
      <c r="EM13" s="30">
        <f>SUM(EM15:EM30)</f>
        <v>0</v>
      </c>
      <c r="EN13" s="30">
        <f>SUM(EN15:EN30)</f>
        <v>0</v>
      </c>
      <c r="EO13" s="30">
        <f>SUM(EO15:EO30)</f>
        <v>0</v>
      </c>
      <c r="EP13" s="30">
        <f>SUM(EP15:EP30)</f>
        <v>0</v>
      </c>
      <c r="EQ13" s="30">
        <f>SUM(EQ15:EQ30)</f>
        <v>0</v>
      </c>
      <c r="ER13" s="30">
        <f>SUM(ER15:ER30)</f>
        <v>0</v>
      </c>
      <c r="ES13" s="30">
        <f>SUM(ES15:ES30)</f>
        <v>0</v>
      </c>
      <c r="ET13" s="30">
        <f>SUM(ET15:ET30)</f>
        <v>0</v>
      </c>
      <c r="EU13" s="30">
        <f>SUM(EU15:EU30)</f>
        <v>0</v>
      </c>
      <c r="EV13" s="30">
        <f>SUM(EV15:EV30)</f>
        <v>0</v>
      </c>
      <c r="EW13" s="30">
        <f>SUM(EW15:EW30)</f>
        <v>0</v>
      </c>
      <c r="EX13" s="30">
        <f>SUM(EX15:EX30)</f>
        <v>0</v>
      </c>
      <c r="EY13" s="30">
        <f>SUM(EY15:EY30)</f>
        <v>0</v>
      </c>
      <c r="EZ13" s="30">
        <f>SUM(EZ15:EZ30)</f>
        <v>0</v>
      </c>
      <c r="FA13" s="30">
        <f>SUM(FA15:FA30)</f>
        <v>0</v>
      </c>
      <c r="FB13" s="30">
        <f>SUM(FB15:FB30)</f>
        <v>0</v>
      </c>
      <c r="FC13" s="30">
        <f>SUM(FC15:FC30)</f>
        <v>0</v>
      </c>
      <c r="FD13" s="30">
        <f>SUM(FD15:FD30)</f>
        <v>0</v>
      </c>
      <c r="FE13" s="30">
        <f>SUM(FE15:FE30)</f>
        <v>0</v>
      </c>
      <c r="FF13" s="30">
        <f>SUM(FF15:FF30)</f>
        <v>0</v>
      </c>
      <c r="FG13" s="30">
        <f>SUM(FG15:FG30)</f>
        <v>0</v>
      </c>
      <c r="FH13" s="30">
        <f>SUM(FH15:FH30)</f>
        <v>0</v>
      </c>
      <c r="FI13" s="30">
        <f>SUM(FI15:FI30)</f>
        <v>0</v>
      </c>
      <c r="FJ13" s="30">
        <f>SUM(FJ15:FJ30)</f>
        <v>1</v>
      </c>
      <c r="FK13" s="30">
        <f>SUM(FK15:FK30)</f>
        <v>18</v>
      </c>
      <c r="FL13" s="30">
        <f>SUM(FL15:FL30)</f>
        <v>1</v>
      </c>
      <c r="FM13" s="30">
        <f>SUM(FM15:FM30)</f>
        <v>18</v>
      </c>
      <c r="FN13" s="30">
        <f>SUM(FN15:FN30)</f>
        <v>0</v>
      </c>
      <c r="FO13" s="30">
        <f>SUM(FO15:FO30)</f>
        <v>0</v>
      </c>
      <c r="FP13" s="30">
        <f>SUM(FP15:FP30)</f>
        <v>0</v>
      </c>
      <c r="FQ13" s="30">
        <f>SUM(FQ15:FQ30)</f>
        <v>0</v>
      </c>
      <c r="FR13" s="30">
        <f>SUM(FR15:FR30)</f>
        <v>0</v>
      </c>
      <c r="FS13" s="30">
        <f>SUM(FS15:FS30)</f>
        <v>0</v>
      </c>
      <c r="FT13" s="30">
        <f>SUM(FT15:FT30)</f>
        <v>0</v>
      </c>
      <c r="FU13" s="30">
        <f>SUM(FU15:FU30)</f>
        <v>0</v>
      </c>
      <c r="FV13" s="30">
        <f>SUM(FV15:FV30)</f>
        <v>0</v>
      </c>
      <c r="FW13" s="30">
        <f>SUM(FW15:FW30)</f>
        <v>0</v>
      </c>
      <c r="FX13" s="30">
        <f>SUM(FX15:FX30)</f>
        <v>0</v>
      </c>
      <c r="FY13" s="30">
        <f>SUM(FY15:FY30)</f>
        <v>0</v>
      </c>
      <c r="FZ13" s="30">
        <f>SUM(FZ15:FZ30)</f>
        <v>0</v>
      </c>
      <c r="GA13" s="30">
        <f>SUM(GA15:GA30)</f>
        <v>0</v>
      </c>
      <c r="GB13" s="30">
        <f>SUM(GB15:GB30)</f>
        <v>0</v>
      </c>
      <c r="GC13" s="30">
        <f>SUM(GC15:GC30)</f>
        <v>0</v>
      </c>
      <c r="GD13" s="30">
        <f>SUM(GD15:GD30)</f>
        <v>0</v>
      </c>
      <c r="GE13" s="30">
        <f>SUM(GE15:GE30)</f>
        <v>0</v>
      </c>
      <c r="GF13" s="30">
        <f>SUM(GF15:GF30)</f>
        <v>0</v>
      </c>
      <c r="GG13" s="30">
        <f>SUM(GG15:GG30)</f>
        <v>0</v>
      </c>
      <c r="GH13" s="30">
        <f>SUM(GH15:GH30)</f>
        <v>0</v>
      </c>
      <c r="GI13" s="30">
        <f>SUM(GI15:GI30)</f>
        <v>0</v>
      </c>
      <c r="GJ13" s="30">
        <f>SUM(GJ15:GJ30)</f>
        <v>0</v>
      </c>
      <c r="GK13" s="30">
        <f>SUM(GK15:GK30)</f>
        <v>0</v>
      </c>
      <c r="GL13" s="30">
        <f>SUM(GL15:GL30)</f>
        <v>0</v>
      </c>
      <c r="GM13" s="30">
        <f>SUM(GM15:GM30)</f>
        <v>0</v>
      </c>
      <c r="GN13" s="30">
        <f>SUM(GN15:GN30)</f>
        <v>0</v>
      </c>
      <c r="GO13" s="30">
        <f>SUM(GO15:GO30)</f>
        <v>0</v>
      </c>
      <c r="GP13" s="30">
        <f>SUM(GP15:GP30)</f>
        <v>0</v>
      </c>
      <c r="GQ13" s="30">
        <f>SUM(GQ15:GQ30)</f>
        <v>0</v>
      </c>
      <c r="GR13" s="30">
        <f>SUM(GR15:GR30)</f>
        <v>0</v>
      </c>
      <c r="GS13" s="30">
        <f>SUM(GS15:GS30)</f>
        <v>0</v>
      </c>
      <c r="GT13" s="30">
        <f>SUM(GT15:GT30)</f>
        <v>1</v>
      </c>
      <c r="GU13" s="30">
        <f>SUM(GU15:GU30)</f>
        <v>18</v>
      </c>
      <c r="GV13" s="30">
        <f>SUM(GV15:GV30)</f>
        <v>1</v>
      </c>
      <c r="GW13" s="30">
        <f>SUM(GW15:GW30)</f>
        <v>18</v>
      </c>
      <c r="GX13" s="30">
        <f>SUM(GX15:GX30)</f>
        <v>24</v>
      </c>
      <c r="GY13" s="30">
        <f>SUM(GY15:GY30)</f>
        <v>13</v>
      </c>
      <c r="GZ13" s="30">
        <f>SUM(GZ15:GZ30)</f>
        <v>24</v>
      </c>
      <c r="HA13" s="30">
        <f>SUM(HA15:HA30)</f>
        <v>13</v>
      </c>
      <c r="HB13" s="30">
        <f>SUM(HB15:HB30)</f>
        <v>91</v>
      </c>
      <c r="HC13" s="30">
        <f>SUM(HC15:HC30)</f>
        <v>2</v>
      </c>
      <c r="HD13" s="30">
        <f>SUM(HD15:HD30)</f>
        <v>21</v>
      </c>
      <c r="HE13" s="30">
        <f>SUM(HE15:HE30)</f>
        <v>0</v>
      </c>
      <c r="HF13" s="30">
        <f>SUM(HF15:HF30)</f>
        <v>0</v>
      </c>
      <c r="HG13" s="30">
        <f>SUM(HG15:HG30)</f>
        <v>0</v>
      </c>
      <c r="HH13" s="30">
        <f>SUM(HH15:HH30)</f>
        <v>0</v>
      </c>
      <c r="HI13" s="30">
        <f>SUM(HI15:HI30)</f>
        <v>0</v>
      </c>
      <c r="HJ13" s="30">
        <f>SUM(HJ15:HJ30)</f>
        <v>0</v>
      </c>
      <c r="HK13" s="30">
        <f>SUM(HK15:HK30)</f>
        <v>0</v>
      </c>
      <c r="HL13" s="30">
        <f>SUM(HL15:HL30)</f>
        <v>0</v>
      </c>
      <c r="HM13" s="30">
        <f>SUM(HM15:HM30)</f>
        <v>0</v>
      </c>
      <c r="HN13" s="30">
        <f>SUM(HN15:HN30)</f>
        <v>0</v>
      </c>
      <c r="HO13" s="30">
        <f>SUM(HO15:HO30)</f>
        <v>0</v>
      </c>
      <c r="HP13" s="30">
        <f>SUM(HP15:HP30)</f>
        <v>0</v>
      </c>
      <c r="HQ13" s="30">
        <f>SUM(HQ15:HQ30)</f>
        <v>0</v>
      </c>
      <c r="HR13" s="30">
        <f>SUM(HR15:HR30)</f>
        <v>0</v>
      </c>
      <c r="HS13" s="30">
        <f>SUM(HS15:HS30)</f>
        <v>0</v>
      </c>
      <c r="HT13" s="30">
        <f>SUM(HT15:HT30)</f>
        <v>0</v>
      </c>
      <c r="HU13" s="30">
        <f>SUM(HU15:HU30)</f>
        <v>0</v>
      </c>
      <c r="HV13" s="30">
        <f>SUM(HV15:HV30)</f>
        <v>0</v>
      </c>
      <c r="HW13" s="30">
        <f>SUM(HW15:HW30)</f>
        <v>0</v>
      </c>
      <c r="HX13" s="30">
        <f>SUM(HX15:HX30)</f>
        <v>0</v>
      </c>
      <c r="HY13" s="30">
        <f>SUM(HY15:HY30)</f>
        <v>0</v>
      </c>
      <c r="HZ13" s="30">
        <f>SUM(HZ15:HZ30)</f>
        <v>0</v>
      </c>
      <c r="IA13" s="30">
        <f>SUM(IA15:IA30)</f>
        <v>0</v>
      </c>
      <c r="IB13" s="30">
        <f>SUM(IB15:IB30)</f>
        <v>0</v>
      </c>
      <c r="IC13" s="30">
        <f>SUM(IC15:IC30)</f>
        <v>0</v>
      </c>
      <c r="ID13" s="30">
        <f>SUM(ID15:ID30)</f>
        <v>0</v>
      </c>
      <c r="IE13" s="30">
        <f>SUM(IE15:IE30)</f>
        <v>0</v>
      </c>
      <c r="IF13" s="30">
        <f>SUM(IF15:IF30)</f>
        <v>0</v>
      </c>
      <c r="IG13" s="30">
        <f>SUM(IG15:IG30)</f>
        <v>0</v>
      </c>
      <c r="IH13" s="30">
        <f>SUM(IH15:IH30)</f>
        <v>0</v>
      </c>
      <c r="II13" s="30">
        <f>SUM(II15:II30)</f>
        <v>0</v>
      </c>
      <c r="IJ13" s="30">
        <f>SUM(IJ15:IJ30)</f>
        <v>0</v>
      </c>
      <c r="IK13" s="30">
        <f>SUM(IK15:IK30)</f>
        <v>0</v>
      </c>
      <c r="IL13" s="30">
        <f>SUM(IL15:IL30)</f>
        <v>0</v>
      </c>
      <c r="IM13" s="30">
        <f>SUM(IM15:IM30)</f>
        <v>0</v>
      </c>
      <c r="IN13" s="30">
        <f>SUM(IN15:IN30)</f>
        <v>0</v>
      </c>
      <c r="IO13" s="30">
        <f>SUM(IO15:IO30)</f>
        <v>0</v>
      </c>
      <c r="IP13" s="30">
        <f>SUM(IP15:IP30)</f>
        <v>0</v>
      </c>
      <c r="IQ13" s="30">
        <f>SUM(IQ15:IQ30)</f>
        <v>0</v>
      </c>
      <c r="IR13" s="30">
        <f>SUM(IR15:IR30)</f>
        <v>0</v>
      </c>
      <c r="IS13" s="30">
        <f>SUM(IS15:IS30)</f>
        <v>0</v>
      </c>
      <c r="IT13" s="30">
        <f>SUM(IT15:IT30)</f>
        <v>0</v>
      </c>
      <c r="IU13" s="30">
        <f>SUM(IU15:IU30)</f>
        <v>0</v>
      </c>
      <c r="IV13" s="30">
        <f>SUM(IV15:IV30)</f>
        <v>0</v>
      </c>
      <c r="IW13" s="30">
        <f>SUM(IW15:IW30)</f>
        <v>0</v>
      </c>
      <c r="IX13" s="30">
        <f>SUM(IX15:IX30)</f>
        <v>0</v>
      </c>
      <c r="IY13" s="30">
        <f>SUM(IY15:IY30)</f>
        <v>0</v>
      </c>
      <c r="IZ13" s="30">
        <f>SUM(IZ15:IZ30)</f>
        <v>0</v>
      </c>
      <c r="JA13" s="30">
        <f>SUM(JA15:JA30)</f>
        <v>0</v>
      </c>
      <c r="JB13" s="30">
        <f>SUM(JB15:JB30)</f>
        <v>0</v>
      </c>
      <c r="JC13" s="30">
        <f>SUM(JC15:JC30)</f>
        <v>0</v>
      </c>
      <c r="JD13" s="30">
        <f>SUM(JD15:JD30)</f>
        <v>0</v>
      </c>
      <c r="JE13" s="30">
        <f>SUM(JE15:JE30)</f>
        <v>0</v>
      </c>
      <c r="JF13" s="30">
        <f>SUM(JF15:JF30)</f>
        <v>0</v>
      </c>
      <c r="JG13" s="30">
        <f>SUM(JG15:JG30)</f>
        <v>0</v>
      </c>
      <c r="JH13" s="30">
        <f>SUM(JH15:JH30)</f>
        <v>0</v>
      </c>
      <c r="JI13" s="30">
        <f>SUM(JI15:JI30)</f>
        <v>0</v>
      </c>
      <c r="JJ13" s="30">
        <f>SUM(JJ15:JJ30)</f>
        <v>0</v>
      </c>
      <c r="JK13" s="30">
        <f>SUM(JK15:JK30)</f>
        <v>0</v>
      </c>
      <c r="JL13" s="30">
        <f>SUM(JL15:JL30)</f>
        <v>0</v>
      </c>
      <c r="JM13" s="30">
        <f>SUM(JM15:JM30)</f>
        <v>0</v>
      </c>
      <c r="JN13" s="30">
        <f>SUM(JN15:JN30)</f>
        <v>0</v>
      </c>
      <c r="JO13" s="30">
        <f>SUM(JO15:JO30)</f>
        <v>0</v>
      </c>
      <c r="JP13" s="30">
        <f>SUM(JP15:JP30)</f>
        <v>0</v>
      </c>
      <c r="JQ13" s="30">
        <f>SUM(JQ15:JQ30)</f>
        <v>0</v>
      </c>
      <c r="JR13" s="30">
        <f>SUM(JR15:JR30)</f>
        <v>0</v>
      </c>
      <c r="JS13" s="30">
        <f>SUM(JS15:JS30)</f>
        <v>0</v>
      </c>
      <c r="JT13" s="30">
        <f>SUM(JT15:JT30)</f>
        <v>0</v>
      </c>
      <c r="JU13" s="30">
        <f>SUM(JU15:JU30)</f>
        <v>0</v>
      </c>
      <c r="JV13" s="30">
        <f>SUM(JV15:JV30)</f>
        <v>0</v>
      </c>
      <c r="JW13" s="30">
        <f>SUM(JW15:JW30)</f>
        <v>0</v>
      </c>
      <c r="JX13" s="30">
        <f>SUM(JX15:JX30)</f>
        <v>0</v>
      </c>
      <c r="JY13" s="30">
        <f>SUM(JY15:JY30)</f>
        <v>0</v>
      </c>
      <c r="JZ13" s="30">
        <f>SUM(JZ15:JZ30)</f>
        <v>0</v>
      </c>
      <c r="KA13" s="30">
        <f>SUM(KA15:KA30)</f>
        <v>0</v>
      </c>
      <c r="KB13" s="30">
        <f>SUM(KB15:KB30)</f>
        <v>0</v>
      </c>
      <c r="KC13" s="30">
        <f>SUM(KC15:KC30)</f>
        <v>0</v>
      </c>
      <c r="KD13" s="30">
        <f>SUM(KD15:KD30)</f>
        <v>0</v>
      </c>
      <c r="KE13" s="30">
        <f>SUM(KE15:KE30)</f>
        <v>0</v>
      </c>
      <c r="KF13" s="30">
        <f>SUM(KF15:KF30)</f>
        <v>0</v>
      </c>
      <c r="KG13" s="30">
        <f>SUM(KG15:KG30)</f>
        <v>0</v>
      </c>
      <c r="KH13" s="30">
        <f>SUM(KH15:KH30)</f>
        <v>0</v>
      </c>
      <c r="KI13" s="30">
        <f>SUM(KI15:KI30)</f>
        <v>0</v>
      </c>
      <c r="KJ13" s="30">
        <f>SUM(KJ15:KJ30)</f>
        <v>0</v>
      </c>
      <c r="KK13" s="30">
        <f>SUM(KK15:KK30)</f>
        <v>0</v>
      </c>
      <c r="KL13" s="30">
        <f>SUM(KL15:KL30)</f>
        <v>0</v>
      </c>
      <c r="KM13" s="30">
        <f>SUM(KM15:KM30)</f>
        <v>0</v>
      </c>
      <c r="KN13" s="30">
        <f>SUM(KN15:KN30)</f>
        <v>0</v>
      </c>
      <c r="KO13" s="30">
        <f>SUM(KO15:KO30)</f>
        <v>0</v>
      </c>
      <c r="KP13" s="30">
        <f>SUM(KP15:KP30)</f>
        <v>0</v>
      </c>
      <c r="KQ13" s="30">
        <f>SUM(KQ15:KQ30)</f>
        <v>0</v>
      </c>
      <c r="KR13" s="30">
        <f>SUM(KR15:KR30)</f>
        <v>0</v>
      </c>
      <c r="KS13" s="30">
        <f>SUM(KS15:KS30)</f>
        <v>0</v>
      </c>
      <c r="KT13" s="30">
        <f>SUM(KT15:KT30)</f>
        <v>0</v>
      </c>
      <c r="KU13" s="30">
        <f>SUM(KU15:KU30)</f>
        <v>0</v>
      </c>
      <c r="KV13" s="30">
        <f>SUM(KV15:KV30)</f>
        <v>0</v>
      </c>
      <c r="KW13" s="30">
        <f>SUM(KW15:KW30)</f>
        <v>0</v>
      </c>
      <c r="KX13" s="30">
        <f>SUM(KX15:KX30)</f>
        <v>115</v>
      </c>
      <c r="KY13" s="30">
        <f>SUM(KY15:KY30)</f>
        <v>15</v>
      </c>
      <c r="KZ13" s="30">
        <f>SUM(KZ15:KZ30)</f>
        <v>45</v>
      </c>
      <c r="LA13" s="30">
        <f>SUM(LA15:LA30)</f>
        <v>13</v>
      </c>
      <c r="LB13" s="30">
        <f>SUM(LB15:LB30)</f>
        <v>0</v>
      </c>
      <c r="LC13" s="30">
        <f>SUM(LC15:LC30)</f>
        <v>0</v>
      </c>
      <c r="LD13" s="30">
        <f>SUM(LD15:LD30)</f>
        <v>0</v>
      </c>
      <c r="LE13" s="30">
        <f>SUM(LE15:LE30)</f>
        <v>0</v>
      </c>
      <c r="LF13" s="30">
        <f>SUM(LF15:LF30)</f>
        <v>0</v>
      </c>
      <c r="LG13" s="30">
        <f>SUM(LG15:LG30)</f>
        <v>0</v>
      </c>
      <c r="LH13" s="30">
        <f>SUM(LH15:LH30)</f>
        <v>0</v>
      </c>
      <c r="LI13" s="30">
        <f>SUM(LI15:LI30)</f>
        <v>0</v>
      </c>
      <c r="LJ13" s="30">
        <f>SUM(LJ15:LJ30)</f>
        <v>0</v>
      </c>
      <c r="LK13" s="30">
        <f>SUM(LK15:LK30)</f>
        <v>0</v>
      </c>
      <c r="LL13" s="30">
        <f>SUM(LL15:LL30)</f>
        <v>0</v>
      </c>
      <c r="LM13" s="30">
        <f>SUM(LM15:LM30)</f>
        <v>0</v>
      </c>
      <c r="LN13" s="30">
        <f>SUM(LN15:LN30)</f>
        <v>0</v>
      </c>
      <c r="LO13" s="30">
        <f>SUM(LO15:LO30)</f>
        <v>0</v>
      </c>
      <c r="LP13" s="30">
        <f>SUM(LP15:LP30)</f>
        <v>0</v>
      </c>
      <c r="LQ13" s="30">
        <f>SUM(LQ15:LQ30)</f>
        <v>0</v>
      </c>
      <c r="LR13" s="30">
        <f>SUM(LR15:LR30)</f>
        <v>0</v>
      </c>
      <c r="LS13" s="30">
        <f>SUM(LS15:LS30)</f>
        <v>0</v>
      </c>
      <c r="LT13" s="30">
        <f>SUM(LT15:LT30)</f>
        <v>0</v>
      </c>
      <c r="LU13" s="30">
        <f>SUM(LU15:LU30)</f>
        <v>0</v>
      </c>
      <c r="LV13" s="30">
        <f>SUM(LV15:LV30)</f>
        <v>42</v>
      </c>
      <c r="LW13" s="30">
        <f>SUM(LW15:LW30)</f>
        <v>37</v>
      </c>
      <c r="LX13" s="30">
        <f>SUM(LX15:LX30)</f>
        <v>40</v>
      </c>
      <c r="LY13" s="30">
        <f>SUM(LY15:LY30)</f>
        <v>36</v>
      </c>
      <c r="LZ13" s="30">
        <f>SUM(LZ15:LZ30)</f>
        <v>0</v>
      </c>
      <c r="MA13" s="30">
        <f>SUM(MA15:MA30)</f>
        <v>0</v>
      </c>
      <c r="MB13" s="30">
        <f>SUM(MB15:MB30)</f>
        <v>0</v>
      </c>
      <c r="MC13" s="30">
        <f>SUM(MC15:MC30)</f>
        <v>0</v>
      </c>
      <c r="MD13" s="30">
        <f>SUM(MD15:MD30)</f>
        <v>0</v>
      </c>
      <c r="ME13" s="30">
        <f>SUM(ME15:ME30)</f>
        <v>0</v>
      </c>
      <c r="MF13" s="30">
        <f>SUM(MF15:MF30)</f>
        <v>0</v>
      </c>
      <c r="MG13" s="30">
        <f>SUM(MG15:MG30)</f>
        <v>0</v>
      </c>
      <c r="MH13" s="30">
        <f>SUM(MH15:MH30)</f>
        <v>0</v>
      </c>
      <c r="MI13" s="30">
        <f>SUM(MI15:MI30)</f>
        <v>0</v>
      </c>
      <c r="MJ13" s="30">
        <f>SUM(MJ15:MJ30)</f>
        <v>0</v>
      </c>
      <c r="MK13" s="30">
        <f>SUM(MK15:MK30)</f>
        <v>0</v>
      </c>
      <c r="ML13" s="30">
        <f>SUM(ML15:ML30)</f>
        <v>0</v>
      </c>
      <c r="MM13" s="30">
        <f>SUM(MM15:MM30)</f>
        <v>0</v>
      </c>
      <c r="MN13" s="30">
        <f>SUM(MN15:MN30)</f>
        <v>0</v>
      </c>
      <c r="MO13" s="30">
        <f>SUM(MO15:MO30)</f>
        <v>0</v>
      </c>
      <c r="MP13" s="30">
        <f>SUM(MP15:MP30)</f>
        <v>0</v>
      </c>
      <c r="MQ13" s="30">
        <f>SUM(MQ15:MQ30)</f>
        <v>0</v>
      </c>
      <c r="MR13" s="30">
        <f>SUM(MR15:MR30)</f>
        <v>0</v>
      </c>
      <c r="MS13" s="30">
        <f>SUM(MS15:MS30)</f>
        <v>0</v>
      </c>
      <c r="MT13" s="30">
        <f>SUM(MT15:MT30)</f>
        <v>0</v>
      </c>
      <c r="MU13" s="30">
        <f>SUM(MU15:MU30)</f>
        <v>0</v>
      </c>
      <c r="MV13" s="30">
        <f>SUM(MV15:MV30)</f>
        <v>0</v>
      </c>
      <c r="MW13" s="30">
        <f>SUM(MW15:MW30)</f>
        <v>0</v>
      </c>
      <c r="MX13" s="30">
        <f>SUM(MX15:MX30)</f>
        <v>42</v>
      </c>
      <c r="MY13" s="30">
        <f>SUM(MY15:MY30)</f>
        <v>37</v>
      </c>
      <c r="MZ13" s="30">
        <f>SUM(MZ15:MZ30)</f>
        <v>40</v>
      </c>
      <c r="NA13" s="30">
        <f>SUM(NA15:NA30)</f>
        <v>36</v>
      </c>
      <c r="NB13" s="30">
        <f>SUM(NB15:NB30)</f>
        <v>0</v>
      </c>
      <c r="NC13" s="30">
        <f>SUM(NC15:NC30)</f>
        <v>0</v>
      </c>
      <c r="ND13" s="30">
        <f>SUM(ND15:ND30)</f>
        <v>0</v>
      </c>
      <c r="NE13" s="30">
        <f>SUM(NE15:NE30)</f>
        <v>0</v>
      </c>
      <c r="NF13" s="30">
        <f>SUM(NF15:NF30)</f>
        <v>0</v>
      </c>
      <c r="NG13" s="30">
        <f>SUM(NG15:NG30)</f>
        <v>0</v>
      </c>
      <c r="NH13" s="30">
        <f>SUM(NH15:NH30)</f>
        <v>0</v>
      </c>
      <c r="NI13" s="30">
        <f>SUM(NI15:NI30)</f>
        <v>0</v>
      </c>
      <c r="NJ13" s="30">
        <f>SUM(NJ15:NJ30)</f>
        <v>0</v>
      </c>
      <c r="NK13" s="30">
        <f>SUM(NK15:NK30)</f>
        <v>0</v>
      </c>
      <c r="NL13" s="30">
        <f>SUM(NL15:NL30)</f>
        <v>0</v>
      </c>
      <c r="NM13" s="30">
        <f>SUM(NM15:NM30)</f>
        <v>0</v>
      </c>
      <c r="NN13" s="30">
        <f>SUM(NN15:NN30)</f>
        <v>0</v>
      </c>
      <c r="NO13" s="30">
        <f>SUM(NO15:NO30)</f>
        <v>0</v>
      </c>
      <c r="NP13" s="30">
        <f>SUM(NP15:NP30)</f>
        <v>0</v>
      </c>
      <c r="NQ13" s="30">
        <f>SUM(NQ15:NQ30)</f>
        <v>0</v>
      </c>
      <c r="NR13" s="30">
        <f>SUM(NR15:NR30)</f>
        <v>0</v>
      </c>
      <c r="NS13" s="30">
        <f>SUM(NS15:NS30)</f>
        <v>0</v>
      </c>
      <c r="NT13" s="30">
        <f>SUM(NT15:NT30)</f>
        <v>0</v>
      </c>
      <c r="NU13" s="30">
        <f>SUM(NU15:NU30)</f>
        <v>0</v>
      </c>
      <c r="NV13" s="30">
        <f>SUM(NV15:NV30)</f>
        <v>0</v>
      </c>
      <c r="NW13" s="30">
        <f>SUM(NW15:NW30)</f>
        <v>0</v>
      </c>
      <c r="NX13" s="30">
        <f>SUM(NX15:NX30)</f>
        <v>0</v>
      </c>
      <c r="NY13" s="30">
        <f>SUM(NY15:NY30)</f>
        <v>0</v>
      </c>
      <c r="NZ13" s="30">
        <f>SUM(NZ15:NZ30)</f>
        <v>0</v>
      </c>
      <c r="OA13" s="30">
        <f>SUM(OA15:OA30)</f>
        <v>0</v>
      </c>
      <c r="OB13" s="30">
        <f>SUM(OB15:OB30)</f>
        <v>0</v>
      </c>
      <c r="OC13" s="30">
        <f>SUM(OC15:OC30)</f>
        <v>0</v>
      </c>
      <c r="OD13" s="30">
        <f>SUM(OD15:OD30)</f>
        <v>0</v>
      </c>
      <c r="OE13" s="30">
        <f>SUM(OE15:OE30)</f>
        <v>0</v>
      </c>
      <c r="OF13" s="30">
        <f>SUM(OF15:OF30)</f>
        <v>0</v>
      </c>
      <c r="OG13" s="30">
        <f>SUM(OG15:OG30)</f>
        <v>0</v>
      </c>
      <c r="OH13" s="30">
        <f>SUM(OH15:OH30)</f>
        <v>0</v>
      </c>
      <c r="OI13" s="30">
        <f>SUM(OI15:OI30)</f>
        <v>0</v>
      </c>
      <c r="OJ13" s="30">
        <f>SUM(OJ15:OJ30)</f>
        <v>0</v>
      </c>
      <c r="OK13" s="30">
        <f>SUM(OK15:OK30)</f>
        <v>0</v>
      </c>
      <c r="OL13" s="30">
        <f>SUM(OL15:OL30)</f>
        <v>200</v>
      </c>
      <c r="OM13" s="30">
        <f>SUM(OM15:OM30)</f>
        <v>286</v>
      </c>
      <c r="ON13" s="30">
        <f>SUM(ON15:ON30)</f>
        <v>119</v>
      </c>
      <c r="OO13" s="30">
        <f>SUM(OO15:OO30)</f>
        <v>236</v>
      </c>
    </row>
    <row r="14" spans="1:405" s="32" customFormat="1" x14ac:dyDescent="0.25">
      <c r="A14" s="31" t="s">
        <v>108</v>
      </c>
      <c r="B14" s="32" t="s">
        <v>109</v>
      </c>
      <c r="C14" s="32" t="s">
        <v>110</v>
      </c>
      <c r="D14" s="33" t="s">
        <v>111</v>
      </c>
      <c r="E14" s="32" t="s">
        <v>112</v>
      </c>
      <c r="F14" s="32" t="s">
        <v>113</v>
      </c>
      <c r="G14" s="32" t="s">
        <v>114</v>
      </c>
      <c r="H14" s="32" t="s">
        <v>115</v>
      </c>
      <c r="I14" s="32" t="s">
        <v>116</v>
      </c>
      <c r="J14" s="32" t="s">
        <v>117</v>
      </c>
      <c r="K14" s="32" t="s">
        <v>118</v>
      </c>
      <c r="L14" s="32" t="s">
        <v>119</v>
      </c>
      <c r="M14" s="32" t="s">
        <v>120</v>
      </c>
      <c r="N14" s="32" t="s">
        <v>121</v>
      </c>
      <c r="O14" s="32" t="s">
        <v>122</v>
      </c>
      <c r="P14" s="32" t="s">
        <v>123</v>
      </c>
      <c r="Q14" s="32" t="s">
        <v>124</v>
      </c>
      <c r="R14" s="32" t="s">
        <v>125</v>
      </c>
      <c r="S14" s="32" t="s">
        <v>126</v>
      </c>
      <c r="T14" s="32" t="s">
        <v>127</v>
      </c>
      <c r="U14" s="32" t="s">
        <v>128</v>
      </c>
      <c r="V14" s="32" t="s">
        <v>129</v>
      </c>
      <c r="W14" s="32" t="s">
        <v>130</v>
      </c>
      <c r="X14" s="32" t="s">
        <v>131</v>
      </c>
      <c r="Y14" s="32" t="s">
        <v>132</v>
      </c>
      <c r="Z14" s="32" t="s">
        <v>133</v>
      </c>
      <c r="AA14" s="32" t="s">
        <v>134</v>
      </c>
      <c r="AB14" s="32" t="s">
        <v>135</v>
      </c>
      <c r="AC14" s="32" t="s">
        <v>136</v>
      </c>
      <c r="AD14" s="32" t="s">
        <v>137</v>
      </c>
      <c r="AE14" s="32" t="s">
        <v>138</v>
      </c>
      <c r="AF14" s="32" t="s">
        <v>139</v>
      </c>
      <c r="AG14" s="32" t="s">
        <v>140</v>
      </c>
      <c r="AH14" s="32" t="s">
        <v>141</v>
      </c>
      <c r="AI14" s="32" t="s">
        <v>142</v>
      </c>
      <c r="AJ14" s="32" t="s">
        <v>143</v>
      </c>
      <c r="AK14" s="32" t="s">
        <v>144</v>
      </c>
      <c r="AL14" s="32" t="s">
        <v>145</v>
      </c>
      <c r="AM14" s="32" t="s">
        <v>146</v>
      </c>
      <c r="AN14" s="32" t="s">
        <v>147</v>
      </c>
      <c r="AO14" s="32" t="s">
        <v>148</v>
      </c>
      <c r="AP14" s="32" t="s">
        <v>149</v>
      </c>
      <c r="AQ14" s="32" t="s">
        <v>150</v>
      </c>
      <c r="AR14" s="32" t="s">
        <v>151</v>
      </c>
      <c r="AS14" s="32" t="s">
        <v>152</v>
      </c>
      <c r="AT14" s="32" t="s">
        <v>153</v>
      </c>
      <c r="AU14" s="32" t="s">
        <v>154</v>
      </c>
      <c r="AV14" s="32" t="s">
        <v>155</v>
      </c>
      <c r="AW14" s="32" t="s">
        <v>156</v>
      </c>
      <c r="AX14" s="32" t="s">
        <v>157</v>
      </c>
      <c r="AY14" s="32" t="s">
        <v>158</v>
      </c>
      <c r="AZ14" s="32" t="s">
        <v>159</v>
      </c>
      <c r="BA14" s="32" t="s">
        <v>160</v>
      </c>
      <c r="BB14" s="32" t="s">
        <v>161</v>
      </c>
      <c r="BC14" s="32" t="s">
        <v>162</v>
      </c>
      <c r="BD14" s="32" t="s">
        <v>163</v>
      </c>
      <c r="BE14" s="32" t="s">
        <v>164</v>
      </c>
      <c r="BF14" s="32" t="s">
        <v>165</v>
      </c>
      <c r="BG14" s="32" t="s">
        <v>166</v>
      </c>
      <c r="BH14" s="32" t="s">
        <v>167</v>
      </c>
      <c r="BI14" s="32" t="s">
        <v>168</v>
      </c>
      <c r="BJ14" s="32" t="s">
        <v>169</v>
      </c>
      <c r="BK14" s="32" t="s">
        <v>170</v>
      </c>
      <c r="BL14" s="32" t="s">
        <v>171</v>
      </c>
      <c r="BM14" s="32" t="s">
        <v>172</v>
      </c>
      <c r="BN14" s="32" t="s">
        <v>173</v>
      </c>
      <c r="BO14" s="32" t="s">
        <v>174</v>
      </c>
      <c r="BP14" s="32" t="s">
        <v>175</v>
      </c>
      <c r="BQ14" s="32" t="s">
        <v>176</v>
      </c>
      <c r="BR14" s="32" t="s">
        <v>177</v>
      </c>
      <c r="BS14" s="32" t="s">
        <v>178</v>
      </c>
      <c r="BT14" s="32" t="s">
        <v>179</v>
      </c>
      <c r="BU14" s="32" t="s">
        <v>180</v>
      </c>
      <c r="BV14" s="32" t="s">
        <v>181</v>
      </c>
      <c r="BW14" s="32" t="s">
        <v>182</v>
      </c>
      <c r="BX14" s="32" t="s">
        <v>183</v>
      </c>
      <c r="BY14" s="32" t="s">
        <v>184</v>
      </c>
      <c r="BZ14" s="32" t="s">
        <v>185</v>
      </c>
      <c r="CA14" s="32" t="s">
        <v>186</v>
      </c>
      <c r="CB14" s="32" t="s">
        <v>187</v>
      </c>
      <c r="CC14" s="32" t="s">
        <v>188</v>
      </c>
      <c r="CD14" s="32" t="s">
        <v>189</v>
      </c>
      <c r="CE14" s="32" t="s">
        <v>190</v>
      </c>
      <c r="CF14" s="32" t="s">
        <v>191</v>
      </c>
      <c r="CG14" s="32" t="s">
        <v>192</v>
      </c>
      <c r="CH14" s="32" t="s">
        <v>193</v>
      </c>
      <c r="CI14" s="32" t="s">
        <v>194</v>
      </c>
      <c r="CJ14" s="32" t="s">
        <v>195</v>
      </c>
      <c r="CK14" s="32" t="s">
        <v>196</v>
      </c>
      <c r="CL14" s="32" t="s">
        <v>197</v>
      </c>
      <c r="CM14" s="32" t="s">
        <v>198</v>
      </c>
      <c r="CN14" s="32" t="s">
        <v>199</v>
      </c>
      <c r="CO14" s="32" t="s">
        <v>200</v>
      </c>
      <c r="CP14" s="32" t="s">
        <v>201</v>
      </c>
      <c r="CQ14" s="32" t="s">
        <v>202</v>
      </c>
      <c r="CR14" s="32" t="s">
        <v>203</v>
      </c>
      <c r="CS14" s="32" t="s">
        <v>204</v>
      </c>
      <c r="CT14" s="32" t="s">
        <v>205</v>
      </c>
      <c r="CU14" s="32" t="s">
        <v>206</v>
      </c>
      <c r="CV14" s="32" t="s">
        <v>207</v>
      </c>
      <c r="CW14" s="32" t="s">
        <v>208</v>
      </c>
      <c r="CX14" s="32" t="s">
        <v>209</v>
      </c>
      <c r="CY14" s="32" t="s">
        <v>210</v>
      </c>
      <c r="CZ14" s="32" t="s">
        <v>211</v>
      </c>
      <c r="DA14" s="32" t="s">
        <v>212</v>
      </c>
      <c r="DB14" s="28" t="s">
        <v>106</v>
      </c>
      <c r="DC14" s="28" t="s">
        <v>107</v>
      </c>
      <c r="DD14" s="28" t="s">
        <v>106</v>
      </c>
      <c r="DE14" s="28" t="s">
        <v>107</v>
      </c>
      <c r="DF14" s="32" t="s">
        <v>213</v>
      </c>
      <c r="DG14" s="32" t="s">
        <v>214</v>
      </c>
      <c r="DH14" s="32" t="s">
        <v>215</v>
      </c>
      <c r="DI14" s="32" t="s">
        <v>216</v>
      </c>
      <c r="DJ14" s="32" t="s">
        <v>217</v>
      </c>
      <c r="DK14" s="32" t="s">
        <v>218</v>
      </c>
      <c r="DL14" s="32" t="s">
        <v>219</v>
      </c>
      <c r="DM14" s="32" t="s">
        <v>220</v>
      </c>
      <c r="DN14" s="32" t="s">
        <v>221</v>
      </c>
      <c r="DO14" s="32" t="s">
        <v>222</v>
      </c>
      <c r="DP14" s="32" t="s">
        <v>223</v>
      </c>
      <c r="DQ14" s="32" t="s">
        <v>224</v>
      </c>
      <c r="DR14" s="32" t="s">
        <v>225</v>
      </c>
      <c r="DS14" s="32" t="s">
        <v>226</v>
      </c>
      <c r="DT14" s="32" t="s">
        <v>227</v>
      </c>
      <c r="DU14" s="32" t="s">
        <v>228</v>
      </c>
      <c r="DV14" s="32" t="s">
        <v>229</v>
      </c>
      <c r="DW14" s="32" t="s">
        <v>230</v>
      </c>
      <c r="DX14" s="32" t="s">
        <v>231</v>
      </c>
      <c r="DY14" s="32" t="s">
        <v>232</v>
      </c>
      <c r="DZ14" s="32" t="s">
        <v>233</v>
      </c>
      <c r="EA14" s="32" t="s">
        <v>234</v>
      </c>
      <c r="EB14" s="32" t="s">
        <v>235</v>
      </c>
      <c r="EC14" s="32" t="s">
        <v>236</v>
      </c>
      <c r="ED14" s="32" t="s">
        <v>237</v>
      </c>
      <c r="EE14" s="32" t="s">
        <v>238</v>
      </c>
      <c r="EF14" s="32" t="s">
        <v>239</v>
      </c>
      <c r="EG14" s="32" t="s">
        <v>240</v>
      </c>
      <c r="EH14" s="32" t="s">
        <v>241</v>
      </c>
      <c r="EI14" s="32" t="s">
        <v>242</v>
      </c>
      <c r="EJ14" s="32" t="s">
        <v>243</v>
      </c>
      <c r="EK14" s="32" t="s">
        <v>244</v>
      </c>
      <c r="EL14" s="32" t="s">
        <v>245</v>
      </c>
      <c r="EM14" s="32" t="s">
        <v>246</v>
      </c>
      <c r="EN14" s="32" t="s">
        <v>247</v>
      </c>
      <c r="EO14" s="32" t="s">
        <v>248</v>
      </c>
      <c r="EP14" s="32" t="s">
        <v>249</v>
      </c>
      <c r="EQ14" s="32" t="s">
        <v>250</v>
      </c>
      <c r="ER14" s="32" t="s">
        <v>251</v>
      </c>
      <c r="ES14" s="32" t="s">
        <v>252</v>
      </c>
      <c r="ET14" s="32" t="s">
        <v>253</v>
      </c>
      <c r="EU14" s="32" t="s">
        <v>254</v>
      </c>
      <c r="EV14" s="32" t="s">
        <v>255</v>
      </c>
      <c r="EW14" s="32" t="s">
        <v>256</v>
      </c>
      <c r="EX14" s="32" t="s">
        <v>257</v>
      </c>
      <c r="EY14" s="32" t="s">
        <v>258</v>
      </c>
      <c r="EZ14" s="32" t="s">
        <v>259</v>
      </c>
      <c r="FA14" s="32" t="s">
        <v>260</v>
      </c>
      <c r="FB14" s="32" t="s">
        <v>261</v>
      </c>
      <c r="FC14" s="32" t="s">
        <v>262</v>
      </c>
      <c r="FD14" s="32" t="s">
        <v>263</v>
      </c>
      <c r="FE14" s="32" t="s">
        <v>264</v>
      </c>
      <c r="FF14" s="32" t="s">
        <v>265</v>
      </c>
      <c r="FG14" s="32" t="s">
        <v>266</v>
      </c>
      <c r="FH14" s="32" t="s">
        <v>267</v>
      </c>
      <c r="FI14" s="32" t="s">
        <v>268</v>
      </c>
      <c r="FJ14" s="32" t="s">
        <v>269</v>
      </c>
      <c r="FK14" s="32" t="s">
        <v>270</v>
      </c>
      <c r="FL14" s="32" t="s">
        <v>271</v>
      </c>
      <c r="FM14" s="32" t="s">
        <v>272</v>
      </c>
      <c r="FN14" s="32" t="s">
        <v>273</v>
      </c>
      <c r="FO14" s="32" t="s">
        <v>274</v>
      </c>
      <c r="FP14" s="32" t="s">
        <v>275</v>
      </c>
      <c r="FQ14" s="32" t="s">
        <v>276</v>
      </c>
      <c r="FR14" s="32" t="s">
        <v>277</v>
      </c>
      <c r="FS14" s="32" t="s">
        <v>278</v>
      </c>
      <c r="FT14" s="32" t="s">
        <v>279</v>
      </c>
      <c r="FU14" s="32" t="s">
        <v>280</v>
      </c>
      <c r="FV14" s="32" t="s">
        <v>281</v>
      </c>
      <c r="FW14" s="32" t="s">
        <v>282</v>
      </c>
      <c r="FX14" s="32" t="s">
        <v>283</v>
      </c>
      <c r="FY14" s="32" t="s">
        <v>284</v>
      </c>
      <c r="FZ14" s="32" t="s">
        <v>285</v>
      </c>
      <c r="GA14" s="32" t="s">
        <v>286</v>
      </c>
      <c r="GB14" s="32" t="s">
        <v>287</v>
      </c>
      <c r="GC14" s="32" t="s">
        <v>288</v>
      </c>
      <c r="GD14" s="32" t="s">
        <v>289</v>
      </c>
      <c r="GE14" s="32" t="s">
        <v>290</v>
      </c>
      <c r="GF14" s="32" t="s">
        <v>291</v>
      </c>
      <c r="GG14" s="32" t="s">
        <v>292</v>
      </c>
      <c r="GH14" s="32" t="s">
        <v>293</v>
      </c>
      <c r="GI14" s="32" t="s">
        <v>294</v>
      </c>
      <c r="GJ14" s="32" t="s">
        <v>295</v>
      </c>
      <c r="GK14" s="32" t="s">
        <v>296</v>
      </c>
      <c r="GL14" s="32" t="s">
        <v>297</v>
      </c>
      <c r="GM14" s="32" t="s">
        <v>298</v>
      </c>
      <c r="GN14" s="32" t="s">
        <v>299</v>
      </c>
      <c r="GO14" s="32" t="s">
        <v>300</v>
      </c>
      <c r="GP14" s="32" t="s">
        <v>301</v>
      </c>
      <c r="GQ14" s="32" t="s">
        <v>302</v>
      </c>
      <c r="GR14" s="32" t="s">
        <v>303</v>
      </c>
      <c r="GS14" s="32" t="s">
        <v>304</v>
      </c>
      <c r="GT14" s="28" t="s">
        <v>106</v>
      </c>
      <c r="GU14" s="28" t="s">
        <v>107</v>
      </c>
      <c r="GV14" s="28" t="s">
        <v>106</v>
      </c>
      <c r="GW14" s="28" t="s">
        <v>107</v>
      </c>
      <c r="GX14" s="32" t="s">
        <v>305</v>
      </c>
      <c r="GY14" s="32" t="s">
        <v>306</v>
      </c>
      <c r="GZ14" s="32" t="s">
        <v>307</v>
      </c>
      <c r="HA14" s="32" t="s">
        <v>308</v>
      </c>
      <c r="HB14" s="32" t="s">
        <v>309</v>
      </c>
      <c r="HC14" s="32" t="s">
        <v>310</v>
      </c>
      <c r="HD14" s="32" t="s">
        <v>311</v>
      </c>
      <c r="HE14" s="32" t="s">
        <v>312</v>
      </c>
      <c r="HF14" s="32" t="s">
        <v>313</v>
      </c>
      <c r="HG14" s="32" t="s">
        <v>314</v>
      </c>
      <c r="HH14" s="32" t="s">
        <v>315</v>
      </c>
      <c r="HI14" s="32" t="s">
        <v>316</v>
      </c>
      <c r="HJ14" s="32" t="s">
        <v>317</v>
      </c>
      <c r="HK14" s="32" t="s">
        <v>318</v>
      </c>
      <c r="HL14" s="32" t="s">
        <v>319</v>
      </c>
      <c r="HM14" s="32" t="s">
        <v>320</v>
      </c>
      <c r="HN14" s="32" t="s">
        <v>321</v>
      </c>
      <c r="HO14" s="32" t="s">
        <v>322</v>
      </c>
      <c r="HP14" s="32" t="s">
        <v>323</v>
      </c>
      <c r="HQ14" s="32" t="s">
        <v>324</v>
      </c>
      <c r="HR14" s="32" t="s">
        <v>325</v>
      </c>
      <c r="HS14" s="32" t="s">
        <v>326</v>
      </c>
      <c r="HT14" s="32" t="s">
        <v>327</v>
      </c>
      <c r="HU14" s="32" t="s">
        <v>328</v>
      </c>
      <c r="HV14" s="32" t="s">
        <v>329</v>
      </c>
      <c r="HW14" s="32" t="s">
        <v>330</v>
      </c>
      <c r="HX14" s="32" t="s">
        <v>331</v>
      </c>
      <c r="HY14" s="32" t="s">
        <v>332</v>
      </c>
      <c r="HZ14" s="32" t="s">
        <v>333</v>
      </c>
      <c r="IA14" s="32" t="s">
        <v>334</v>
      </c>
      <c r="IB14" s="32" t="s">
        <v>335</v>
      </c>
      <c r="IC14" s="32" t="s">
        <v>336</v>
      </c>
      <c r="ID14" s="32" t="s">
        <v>337</v>
      </c>
      <c r="IE14" s="32" t="s">
        <v>338</v>
      </c>
      <c r="IF14" s="32" t="s">
        <v>339</v>
      </c>
      <c r="IG14" s="32" t="s">
        <v>340</v>
      </c>
      <c r="IH14" s="32" t="s">
        <v>341</v>
      </c>
      <c r="II14" s="32" t="s">
        <v>342</v>
      </c>
      <c r="IJ14" s="32" t="s">
        <v>343</v>
      </c>
      <c r="IK14" s="32" t="s">
        <v>344</v>
      </c>
      <c r="IL14" s="32" t="s">
        <v>345</v>
      </c>
      <c r="IM14" s="32" t="s">
        <v>346</v>
      </c>
      <c r="IN14" s="32" t="s">
        <v>347</v>
      </c>
      <c r="IO14" s="32" t="s">
        <v>348</v>
      </c>
      <c r="IP14" s="32" t="s">
        <v>349</v>
      </c>
      <c r="IQ14" s="32" t="s">
        <v>350</v>
      </c>
      <c r="IR14" s="32" t="s">
        <v>351</v>
      </c>
      <c r="IS14" s="32" t="s">
        <v>352</v>
      </c>
      <c r="IT14" s="32" t="s">
        <v>353</v>
      </c>
      <c r="IU14" s="32" t="s">
        <v>354</v>
      </c>
      <c r="IV14" s="32" t="s">
        <v>355</v>
      </c>
      <c r="IW14" s="32" t="s">
        <v>356</v>
      </c>
      <c r="IX14" s="32" t="s">
        <v>357</v>
      </c>
      <c r="IY14" s="32" t="s">
        <v>358</v>
      </c>
      <c r="IZ14" s="32" t="s">
        <v>359</v>
      </c>
      <c r="JA14" s="32" t="s">
        <v>360</v>
      </c>
      <c r="JB14" s="32" t="s">
        <v>361</v>
      </c>
      <c r="JC14" s="32" t="s">
        <v>362</v>
      </c>
      <c r="JD14" s="32" t="s">
        <v>363</v>
      </c>
      <c r="JE14" s="32" t="s">
        <v>364</v>
      </c>
      <c r="JF14" s="32" t="s">
        <v>365</v>
      </c>
      <c r="JG14" s="32" t="s">
        <v>366</v>
      </c>
      <c r="JH14" s="32" t="s">
        <v>367</v>
      </c>
      <c r="JI14" s="32" t="s">
        <v>368</v>
      </c>
      <c r="JJ14" s="32" t="s">
        <v>369</v>
      </c>
      <c r="JK14" s="32" t="s">
        <v>370</v>
      </c>
      <c r="JL14" s="32" t="s">
        <v>371</v>
      </c>
      <c r="JM14" s="32" t="s">
        <v>372</v>
      </c>
      <c r="JN14" s="32" t="s">
        <v>373</v>
      </c>
      <c r="JO14" s="32" t="s">
        <v>374</v>
      </c>
      <c r="JP14" s="32" t="s">
        <v>375</v>
      </c>
      <c r="JQ14" s="32" t="s">
        <v>376</v>
      </c>
      <c r="JR14" s="32" t="s">
        <v>377</v>
      </c>
      <c r="JS14" s="32" t="s">
        <v>378</v>
      </c>
      <c r="JT14" s="32" t="s">
        <v>379</v>
      </c>
      <c r="JU14" s="32" t="s">
        <v>380</v>
      </c>
      <c r="JV14" s="32" t="s">
        <v>381</v>
      </c>
      <c r="JW14" s="32" t="s">
        <v>382</v>
      </c>
      <c r="JX14" s="32" t="s">
        <v>383</v>
      </c>
      <c r="JY14" s="32" t="s">
        <v>384</v>
      </c>
      <c r="JZ14" s="32" t="s">
        <v>385</v>
      </c>
      <c r="KA14" s="32" t="s">
        <v>386</v>
      </c>
      <c r="KB14" s="32" t="s">
        <v>387</v>
      </c>
      <c r="KC14" s="32" t="s">
        <v>388</v>
      </c>
      <c r="KD14" s="32" t="s">
        <v>389</v>
      </c>
      <c r="KE14" s="32" t="s">
        <v>390</v>
      </c>
      <c r="KF14" s="32" t="s">
        <v>391</v>
      </c>
      <c r="KG14" s="32" t="s">
        <v>392</v>
      </c>
      <c r="KH14" s="32" t="s">
        <v>393</v>
      </c>
      <c r="KI14" s="32" t="s">
        <v>394</v>
      </c>
      <c r="KJ14" s="32" t="s">
        <v>395</v>
      </c>
      <c r="KK14" s="32" t="s">
        <v>396</v>
      </c>
      <c r="KL14" s="32" t="s">
        <v>397</v>
      </c>
      <c r="KM14" s="32" t="s">
        <v>398</v>
      </c>
      <c r="KN14" s="32" t="s">
        <v>399</v>
      </c>
      <c r="KO14" s="32" t="s">
        <v>400</v>
      </c>
      <c r="KP14" s="32" t="s">
        <v>401</v>
      </c>
      <c r="KQ14" s="32" t="s">
        <v>402</v>
      </c>
      <c r="KR14" s="32" t="s">
        <v>403</v>
      </c>
      <c r="KS14" s="32" t="s">
        <v>404</v>
      </c>
      <c r="KT14" s="32" t="s">
        <v>405</v>
      </c>
      <c r="KU14" s="32" t="s">
        <v>406</v>
      </c>
      <c r="KV14" s="32" t="s">
        <v>407</v>
      </c>
      <c r="KW14" s="32" t="s">
        <v>408</v>
      </c>
      <c r="KX14" s="28" t="s">
        <v>106</v>
      </c>
      <c r="KY14" s="28" t="s">
        <v>107</v>
      </c>
      <c r="KZ14" s="28" t="s">
        <v>106</v>
      </c>
      <c r="LA14" s="28" t="s">
        <v>107</v>
      </c>
      <c r="LB14" s="32" t="s">
        <v>409</v>
      </c>
      <c r="LC14" s="32" t="s">
        <v>410</v>
      </c>
      <c r="LD14" s="32" t="s">
        <v>411</v>
      </c>
      <c r="LE14" s="32" t="s">
        <v>412</v>
      </c>
      <c r="LF14" s="32" t="s">
        <v>413</v>
      </c>
      <c r="LG14" s="32" t="s">
        <v>414</v>
      </c>
      <c r="LH14" s="32" t="s">
        <v>415</v>
      </c>
      <c r="LI14" s="32" t="s">
        <v>416</v>
      </c>
      <c r="LJ14" s="32" t="s">
        <v>417</v>
      </c>
      <c r="LK14" s="32" t="s">
        <v>418</v>
      </c>
      <c r="LL14" s="32" t="s">
        <v>419</v>
      </c>
      <c r="LM14" s="32" t="s">
        <v>420</v>
      </c>
      <c r="LN14" s="32" t="s">
        <v>421</v>
      </c>
      <c r="LO14" s="32" t="s">
        <v>422</v>
      </c>
      <c r="LP14" s="32" t="s">
        <v>423</v>
      </c>
      <c r="LQ14" s="32" t="s">
        <v>424</v>
      </c>
      <c r="LR14" s="32" t="s">
        <v>425</v>
      </c>
      <c r="LS14" s="32" t="s">
        <v>426</v>
      </c>
      <c r="LT14" s="32" t="s">
        <v>427</v>
      </c>
      <c r="LU14" s="32" t="s">
        <v>428</v>
      </c>
      <c r="LV14" s="32" t="s">
        <v>429</v>
      </c>
      <c r="LW14" s="32" t="s">
        <v>430</v>
      </c>
      <c r="LX14" s="32" t="s">
        <v>431</v>
      </c>
      <c r="LY14" s="32" t="s">
        <v>432</v>
      </c>
      <c r="LZ14" s="32" t="s">
        <v>433</v>
      </c>
      <c r="MA14" s="32" t="s">
        <v>434</v>
      </c>
      <c r="MB14" s="32" t="s">
        <v>435</v>
      </c>
      <c r="MC14" s="32" t="s">
        <v>436</v>
      </c>
      <c r="MD14" s="32" t="s">
        <v>437</v>
      </c>
      <c r="ME14" s="32" t="s">
        <v>438</v>
      </c>
      <c r="MF14" s="32" t="s">
        <v>439</v>
      </c>
      <c r="MG14" s="32" t="s">
        <v>440</v>
      </c>
      <c r="MH14" s="32" t="s">
        <v>441</v>
      </c>
      <c r="MI14" s="32" t="s">
        <v>442</v>
      </c>
      <c r="MJ14" s="32" t="s">
        <v>443</v>
      </c>
      <c r="MK14" s="32" t="s">
        <v>444</v>
      </c>
      <c r="ML14" s="32" t="s">
        <v>445</v>
      </c>
      <c r="MM14" s="32" t="s">
        <v>446</v>
      </c>
      <c r="MN14" s="32" t="s">
        <v>447</v>
      </c>
      <c r="MO14" s="32" t="s">
        <v>448</v>
      </c>
      <c r="MP14" s="32" t="s">
        <v>449</v>
      </c>
      <c r="MQ14" s="32" t="s">
        <v>450</v>
      </c>
      <c r="MR14" s="32" t="s">
        <v>451</v>
      </c>
      <c r="MS14" s="32" t="s">
        <v>452</v>
      </c>
      <c r="MT14" s="32" t="s">
        <v>453</v>
      </c>
      <c r="MU14" s="32" t="s">
        <v>454</v>
      </c>
      <c r="MV14" s="32" t="s">
        <v>455</v>
      </c>
      <c r="MW14" s="32" t="s">
        <v>456</v>
      </c>
      <c r="MX14" s="28" t="s">
        <v>106</v>
      </c>
      <c r="MY14" s="28" t="s">
        <v>107</v>
      </c>
      <c r="MZ14" s="28" t="s">
        <v>106</v>
      </c>
      <c r="NA14" s="28" t="s">
        <v>107</v>
      </c>
      <c r="NB14" s="32" t="s">
        <v>457</v>
      </c>
      <c r="NC14" s="32" t="s">
        <v>458</v>
      </c>
      <c r="ND14" s="32" t="s">
        <v>459</v>
      </c>
      <c r="NE14" s="32" t="s">
        <v>460</v>
      </c>
      <c r="NF14" s="32" t="s">
        <v>461</v>
      </c>
      <c r="NG14" s="32" t="s">
        <v>462</v>
      </c>
      <c r="NH14" s="32" t="s">
        <v>463</v>
      </c>
      <c r="NI14" s="32" t="s">
        <v>464</v>
      </c>
      <c r="NJ14" s="32" t="s">
        <v>465</v>
      </c>
      <c r="NK14" s="32" t="s">
        <v>466</v>
      </c>
      <c r="NL14" s="32" t="s">
        <v>467</v>
      </c>
      <c r="NM14" s="32" t="s">
        <v>468</v>
      </c>
      <c r="NN14" s="32" t="s">
        <v>469</v>
      </c>
      <c r="NO14" s="32" t="s">
        <v>470</v>
      </c>
      <c r="NP14" s="32" t="s">
        <v>471</v>
      </c>
      <c r="NQ14" s="32" t="s">
        <v>472</v>
      </c>
      <c r="NR14" s="32" t="s">
        <v>473</v>
      </c>
      <c r="NS14" s="32" t="s">
        <v>474</v>
      </c>
      <c r="NT14" s="32" t="s">
        <v>475</v>
      </c>
      <c r="NU14" s="32" t="s">
        <v>476</v>
      </c>
      <c r="NV14" s="32" t="s">
        <v>477</v>
      </c>
      <c r="NW14" s="32" t="s">
        <v>478</v>
      </c>
      <c r="NX14" s="32" t="s">
        <v>479</v>
      </c>
      <c r="NY14" s="32" t="s">
        <v>480</v>
      </c>
      <c r="NZ14" s="32" t="s">
        <v>481</v>
      </c>
      <c r="OA14" s="32" t="s">
        <v>482</v>
      </c>
      <c r="OB14" s="32" t="s">
        <v>483</v>
      </c>
      <c r="OC14" s="32" t="s">
        <v>484</v>
      </c>
      <c r="OD14" s="32" t="s">
        <v>485</v>
      </c>
      <c r="OE14" s="32" t="s">
        <v>486</v>
      </c>
      <c r="OF14" s="32" t="s">
        <v>487</v>
      </c>
      <c r="OG14" s="32" t="s">
        <v>488</v>
      </c>
      <c r="OH14" s="28" t="s">
        <v>106</v>
      </c>
      <c r="OI14" s="28" t="s">
        <v>107</v>
      </c>
      <c r="OJ14" s="28" t="s">
        <v>106</v>
      </c>
      <c r="OK14" s="29" t="s">
        <v>107</v>
      </c>
      <c r="OL14" s="28" t="s">
        <v>106</v>
      </c>
      <c r="OM14" s="28" t="s">
        <v>107</v>
      </c>
      <c r="ON14" s="28" t="s">
        <v>106</v>
      </c>
      <c r="OO14" s="28" t="s">
        <v>107</v>
      </c>
    </row>
    <row r="15" spans="1:405" x14ac:dyDescent="0.25">
      <c r="A15" s="34">
        <v>309</v>
      </c>
      <c r="B15" t="s">
        <v>489</v>
      </c>
      <c r="C15" t="s">
        <v>490</v>
      </c>
      <c r="D15" s="14">
        <v>304327</v>
      </c>
      <c r="E15" t="s">
        <v>491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f t="shared" ref="DB15:DE30" si="0">F15+J15+N15+R15+V15+Z15+AD15+AH15+AL15+AP15+AT15+AX15+BB15+BF15+BJ15+BN15+BR15+BV15+BZ15+CD15+CH15+CL15+CP15+CT15+CX15</f>
        <v>0</v>
      </c>
      <c r="DC15">
        <f t="shared" si="0"/>
        <v>0</v>
      </c>
      <c r="DD15">
        <f t="shared" si="0"/>
        <v>0</v>
      </c>
      <c r="DE15">
        <f t="shared" si="0"/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f t="shared" ref="GT15:GW30" si="1">DF15+DJ15+DN15+DR15+DV15+DZ15+ED15+EH15+EL15+EP15+ET15+EX15+FB15+FF15+FJ15+FN15+FR15+FV15+FZ15+GD15+GH15+GL15+GP15</f>
        <v>0</v>
      </c>
      <c r="GU15">
        <f t="shared" si="1"/>
        <v>0</v>
      </c>
      <c r="GV15">
        <f t="shared" si="1"/>
        <v>0</v>
      </c>
      <c r="GW15">
        <f t="shared" si="1"/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f t="shared" ref="KX15:LA30" si="2">GX15+HB15+HF15+HJ15+HN15+HR15+HV15+HZ15+ID15+IH15+IL15+IP15+IT15+IX15+JB15+JF15+JJ15+JN15+JR15+JV15+JZ15+KD15+KH15+KL15+KP15+KT15</f>
        <v>0</v>
      </c>
      <c r="KY15">
        <f t="shared" si="2"/>
        <v>0</v>
      </c>
      <c r="KZ15">
        <f t="shared" si="2"/>
        <v>0</v>
      </c>
      <c r="LA15">
        <f t="shared" si="2"/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f t="shared" ref="MX15:NA30" si="3">LB15+LF15+LJ15+LN15+LR15+LV15+LZ15+MD15+MH15+ML15+MP15+MT15</f>
        <v>0</v>
      </c>
      <c r="MY15">
        <f t="shared" si="3"/>
        <v>0</v>
      </c>
      <c r="MZ15">
        <f t="shared" si="3"/>
        <v>0</v>
      </c>
      <c r="NA15">
        <f t="shared" si="3"/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f t="shared" ref="OH15:OK30" si="4">NB15+NF15+NJ15+NN15+NR15+NV15+NZ15+OD15</f>
        <v>0</v>
      </c>
      <c r="OI15">
        <f t="shared" si="4"/>
        <v>0</v>
      </c>
      <c r="OJ15">
        <f t="shared" si="4"/>
        <v>0</v>
      </c>
      <c r="OK15">
        <f t="shared" si="4"/>
        <v>0</v>
      </c>
      <c r="OL15">
        <f t="shared" ref="OL15:OO30" si="5">DB15+GT15+KX15+MX15+OH15</f>
        <v>0</v>
      </c>
      <c r="OM15">
        <f t="shared" si="5"/>
        <v>0</v>
      </c>
      <c r="ON15">
        <f t="shared" si="5"/>
        <v>0</v>
      </c>
      <c r="OO15">
        <f t="shared" si="5"/>
        <v>0</v>
      </c>
    </row>
    <row r="16" spans="1:405" x14ac:dyDescent="0.25">
      <c r="A16" s="34">
        <v>310</v>
      </c>
      <c r="B16" t="s">
        <v>489</v>
      </c>
      <c r="C16" t="s">
        <v>490</v>
      </c>
      <c r="D16" s="14">
        <v>325102</v>
      </c>
      <c r="E16" t="s">
        <v>492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7</v>
      </c>
      <c r="CY16">
        <v>8</v>
      </c>
      <c r="CZ16">
        <v>7</v>
      </c>
      <c r="DA16">
        <v>8</v>
      </c>
      <c r="DB16">
        <f t="shared" si="0"/>
        <v>7</v>
      </c>
      <c r="DC16">
        <f t="shared" si="0"/>
        <v>8</v>
      </c>
      <c r="DD16">
        <f t="shared" si="0"/>
        <v>7</v>
      </c>
      <c r="DE16">
        <f t="shared" si="0"/>
        <v>8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f t="shared" si="1"/>
        <v>0</v>
      </c>
      <c r="GU16">
        <f t="shared" si="1"/>
        <v>0</v>
      </c>
      <c r="GV16">
        <f t="shared" si="1"/>
        <v>0</v>
      </c>
      <c r="GW16">
        <f t="shared" si="1"/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f t="shared" si="2"/>
        <v>0</v>
      </c>
      <c r="KY16">
        <f t="shared" si="2"/>
        <v>0</v>
      </c>
      <c r="KZ16">
        <f t="shared" si="2"/>
        <v>0</v>
      </c>
      <c r="LA16">
        <f t="shared" si="2"/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f t="shared" si="3"/>
        <v>0</v>
      </c>
      <c r="MY16">
        <f t="shared" si="3"/>
        <v>0</v>
      </c>
      <c r="MZ16">
        <f t="shared" si="3"/>
        <v>0</v>
      </c>
      <c r="NA16">
        <f t="shared" si="3"/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f t="shared" si="4"/>
        <v>0</v>
      </c>
      <c r="OI16">
        <f t="shared" si="4"/>
        <v>0</v>
      </c>
      <c r="OJ16">
        <f t="shared" si="4"/>
        <v>0</v>
      </c>
      <c r="OK16">
        <f t="shared" si="4"/>
        <v>0</v>
      </c>
      <c r="OL16">
        <f t="shared" si="5"/>
        <v>7</v>
      </c>
      <c r="OM16">
        <f t="shared" si="5"/>
        <v>8</v>
      </c>
      <c r="ON16">
        <f t="shared" si="5"/>
        <v>7</v>
      </c>
      <c r="OO16">
        <f t="shared" si="5"/>
        <v>8</v>
      </c>
    </row>
    <row r="17" spans="1:405" x14ac:dyDescent="0.25">
      <c r="A17" s="34">
        <v>311</v>
      </c>
      <c r="B17" t="s">
        <v>489</v>
      </c>
      <c r="C17" t="s">
        <v>490</v>
      </c>
      <c r="D17" s="14">
        <v>325106</v>
      </c>
      <c r="E17" t="s">
        <v>493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f t="shared" si="0"/>
        <v>0</v>
      </c>
      <c r="DC17">
        <f t="shared" si="0"/>
        <v>0</v>
      </c>
      <c r="DD17">
        <f t="shared" si="0"/>
        <v>0</v>
      </c>
      <c r="DE17">
        <f t="shared" si="0"/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18</v>
      </c>
      <c r="FL17">
        <v>1</v>
      </c>
      <c r="FM17">
        <v>18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f t="shared" si="1"/>
        <v>1</v>
      </c>
      <c r="GU17">
        <f t="shared" si="1"/>
        <v>18</v>
      </c>
      <c r="GV17">
        <f t="shared" si="1"/>
        <v>1</v>
      </c>
      <c r="GW17">
        <f t="shared" si="1"/>
        <v>18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f t="shared" si="2"/>
        <v>0</v>
      </c>
      <c r="KY17">
        <f t="shared" si="2"/>
        <v>0</v>
      </c>
      <c r="KZ17">
        <f t="shared" si="2"/>
        <v>0</v>
      </c>
      <c r="LA17">
        <f t="shared" si="2"/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f t="shared" si="3"/>
        <v>0</v>
      </c>
      <c r="MY17">
        <f t="shared" si="3"/>
        <v>0</v>
      </c>
      <c r="MZ17">
        <f t="shared" si="3"/>
        <v>0</v>
      </c>
      <c r="NA17">
        <f t="shared" si="3"/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f t="shared" si="4"/>
        <v>0</v>
      </c>
      <c r="OI17">
        <f t="shared" si="4"/>
        <v>0</v>
      </c>
      <c r="OJ17">
        <f t="shared" si="4"/>
        <v>0</v>
      </c>
      <c r="OK17">
        <f t="shared" si="4"/>
        <v>0</v>
      </c>
      <c r="OL17">
        <f t="shared" si="5"/>
        <v>1</v>
      </c>
      <c r="OM17">
        <f t="shared" si="5"/>
        <v>18</v>
      </c>
      <c r="ON17">
        <f t="shared" si="5"/>
        <v>1</v>
      </c>
      <c r="OO17">
        <f t="shared" si="5"/>
        <v>18</v>
      </c>
    </row>
    <row r="18" spans="1:405" x14ac:dyDescent="0.25">
      <c r="A18" s="34">
        <v>312</v>
      </c>
      <c r="B18" t="s">
        <v>489</v>
      </c>
      <c r="C18" t="s">
        <v>490</v>
      </c>
      <c r="D18" s="14">
        <v>304305</v>
      </c>
      <c r="E18" t="s">
        <v>494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f t="shared" si="0"/>
        <v>0</v>
      </c>
      <c r="DC18">
        <f t="shared" si="0"/>
        <v>0</v>
      </c>
      <c r="DD18">
        <f t="shared" si="0"/>
        <v>0</v>
      </c>
      <c r="DE18">
        <f t="shared" si="0"/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f t="shared" si="1"/>
        <v>0</v>
      </c>
      <c r="GU18">
        <f t="shared" si="1"/>
        <v>0</v>
      </c>
      <c r="GV18">
        <f t="shared" si="1"/>
        <v>0</v>
      </c>
      <c r="GW18">
        <f t="shared" si="1"/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f t="shared" si="2"/>
        <v>0</v>
      </c>
      <c r="KY18">
        <f t="shared" si="2"/>
        <v>0</v>
      </c>
      <c r="KZ18">
        <f t="shared" si="2"/>
        <v>0</v>
      </c>
      <c r="LA18">
        <f t="shared" si="2"/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f t="shared" si="3"/>
        <v>0</v>
      </c>
      <c r="MY18">
        <f t="shared" si="3"/>
        <v>0</v>
      </c>
      <c r="MZ18">
        <f t="shared" si="3"/>
        <v>0</v>
      </c>
      <c r="NA18">
        <f t="shared" si="3"/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f t="shared" si="4"/>
        <v>0</v>
      </c>
      <c r="OI18">
        <f t="shared" si="4"/>
        <v>0</v>
      </c>
      <c r="OJ18">
        <f t="shared" si="4"/>
        <v>0</v>
      </c>
      <c r="OK18">
        <f t="shared" si="4"/>
        <v>0</v>
      </c>
      <c r="OL18">
        <f t="shared" si="5"/>
        <v>0</v>
      </c>
      <c r="OM18">
        <f t="shared" si="5"/>
        <v>0</v>
      </c>
      <c r="ON18">
        <f t="shared" si="5"/>
        <v>0</v>
      </c>
      <c r="OO18">
        <f t="shared" si="5"/>
        <v>0</v>
      </c>
    </row>
    <row r="19" spans="1:405" x14ac:dyDescent="0.25">
      <c r="A19" s="34">
        <v>313</v>
      </c>
      <c r="B19" t="s">
        <v>489</v>
      </c>
      <c r="C19" t="s">
        <v>490</v>
      </c>
      <c r="D19" s="14">
        <v>316104</v>
      </c>
      <c r="E19" t="s">
        <v>495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</v>
      </c>
      <c r="W19">
        <v>28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</v>
      </c>
      <c r="AI19">
        <v>28</v>
      </c>
      <c r="AJ19">
        <v>4</v>
      </c>
      <c r="AK19">
        <v>31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4</v>
      </c>
      <c r="AY19">
        <v>28</v>
      </c>
      <c r="AZ19">
        <v>1</v>
      </c>
      <c r="BA19">
        <v>11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f t="shared" si="0"/>
        <v>12</v>
      </c>
      <c r="DC19">
        <f t="shared" si="0"/>
        <v>84</v>
      </c>
      <c r="DD19">
        <f t="shared" si="0"/>
        <v>5</v>
      </c>
      <c r="DE19">
        <f t="shared" si="0"/>
        <v>42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f t="shared" si="1"/>
        <v>0</v>
      </c>
      <c r="GU19">
        <f t="shared" si="1"/>
        <v>0</v>
      </c>
      <c r="GV19">
        <f t="shared" si="1"/>
        <v>0</v>
      </c>
      <c r="GW19">
        <f t="shared" si="1"/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f t="shared" si="2"/>
        <v>0</v>
      </c>
      <c r="KY19">
        <f t="shared" si="2"/>
        <v>0</v>
      </c>
      <c r="KZ19">
        <f t="shared" si="2"/>
        <v>0</v>
      </c>
      <c r="LA19">
        <f t="shared" si="2"/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f t="shared" si="3"/>
        <v>0</v>
      </c>
      <c r="MY19">
        <f t="shared" si="3"/>
        <v>0</v>
      </c>
      <c r="MZ19">
        <f t="shared" si="3"/>
        <v>0</v>
      </c>
      <c r="NA19">
        <f t="shared" si="3"/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f t="shared" si="4"/>
        <v>0</v>
      </c>
      <c r="OI19">
        <f t="shared" si="4"/>
        <v>0</v>
      </c>
      <c r="OJ19">
        <f t="shared" si="4"/>
        <v>0</v>
      </c>
      <c r="OK19">
        <f t="shared" si="4"/>
        <v>0</v>
      </c>
      <c r="OL19">
        <f t="shared" si="5"/>
        <v>12</v>
      </c>
      <c r="OM19">
        <f t="shared" si="5"/>
        <v>84</v>
      </c>
      <c r="ON19">
        <f t="shared" si="5"/>
        <v>5</v>
      </c>
      <c r="OO19">
        <f t="shared" si="5"/>
        <v>42</v>
      </c>
    </row>
    <row r="20" spans="1:405" x14ac:dyDescent="0.25">
      <c r="A20" s="34">
        <v>314</v>
      </c>
      <c r="B20" t="s">
        <v>489</v>
      </c>
      <c r="C20" t="s">
        <v>490</v>
      </c>
      <c r="D20" s="14">
        <v>304318</v>
      </c>
      <c r="E20" t="s">
        <v>496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f t="shared" si="0"/>
        <v>0</v>
      </c>
      <c r="DC20">
        <f t="shared" si="0"/>
        <v>0</v>
      </c>
      <c r="DD20">
        <f t="shared" si="0"/>
        <v>0</v>
      </c>
      <c r="DE20">
        <f t="shared" si="0"/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f t="shared" si="1"/>
        <v>0</v>
      </c>
      <c r="GU20">
        <f t="shared" si="1"/>
        <v>0</v>
      </c>
      <c r="GV20">
        <f t="shared" si="1"/>
        <v>0</v>
      </c>
      <c r="GW20">
        <f t="shared" si="1"/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f t="shared" si="2"/>
        <v>0</v>
      </c>
      <c r="KY20">
        <f t="shared" si="2"/>
        <v>0</v>
      </c>
      <c r="KZ20">
        <f t="shared" si="2"/>
        <v>0</v>
      </c>
      <c r="LA20">
        <f t="shared" si="2"/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f t="shared" si="3"/>
        <v>0</v>
      </c>
      <c r="MY20">
        <f t="shared" si="3"/>
        <v>0</v>
      </c>
      <c r="MZ20">
        <f t="shared" si="3"/>
        <v>0</v>
      </c>
      <c r="NA20">
        <f t="shared" si="3"/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f t="shared" si="4"/>
        <v>0</v>
      </c>
      <c r="OI20">
        <f t="shared" si="4"/>
        <v>0</v>
      </c>
      <c r="OJ20">
        <f t="shared" si="4"/>
        <v>0</v>
      </c>
      <c r="OK20">
        <f t="shared" si="4"/>
        <v>0</v>
      </c>
      <c r="OL20">
        <f t="shared" si="5"/>
        <v>0</v>
      </c>
      <c r="OM20">
        <f t="shared" si="5"/>
        <v>0</v>
      </c>
      <c r="ON20">
        <f t="shared" si="5"/>
        <v>0</v>
      </c>
      <c r="OO20">
        <f t="shared" si="5"/>
        <v>0</v>
      </c>
    </row>
    <row r="21" spans="1:405" x14ac:dyDescent="0.25">
      <c r="A21" s="34">
        <v>315</v>
      </c>
      <c r="B21" t="s">
        <v>489</v>
      </c>
      <c r="C21" t="s">
        <v>490</v>
      </c>
      <c r="D21" s="14">
        <v>325104</v>
      </c>
      <c r="E21" t="s">
        <v>497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f t="shared" si="0"/>
        <v>0</v>
      </c>
      <c r="DC21">
        <f t="shared" si="0"/>
        <v>0</v>
      </c>
      <c r="DD21">
        <f t="shared" si="0"/>
        <v>0</v>
      </c>
      <c r="DE21">
        <f t="shared" si="0"/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f t="shared" si="1"/>
        <v>0</v>
      </c>
      <c r="GU21">
        <f t="shared" si="1"/>
        <v>0</v>
      </c>
      <c r="GV21">
        <f t="shared" si="1"/>
        <v>0</v>
      </c>
      <c r="GW21">
        <f t="shared" si="1"/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f t="shared" si="2"/>
        <v>0</v>
      </c>
      <c r="KY21">
        <f t="shared" si="2"/>
        <v>0</v>
      </c>
      <c r="KZ21">
        <f t="shared" si="2"/>
        <v>0</v>
      </c>
      <c r="LA21">
        <f t="shared" si="2"/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f t="shared" si="3"/>
        <v>0</v>
      </c>
      <c r="MY21">
        <f t="shared" si="3"/>
        <v>0</v>
      </c>
      <c r="MZ21">
        <f t="shared" si="3"/>
        <v>0</v>
      </c>
      <c r="NA21">
        <f t="shared" si="3"/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f t="shared" si="4"/>
        <v>0</v>
      </c>
      <c r="OI21">
        <f t="shared" si="4"/>
        <v>0</v>
      </c>
      <c r="OJ21">
        <f t="shared" si="4"/>
        <v>0</v>
      </c>
      <c r="OK21">
        <f t="shared" si="4"/>
        <v>0</v>
      </c>
      <c r="OL21">
        <f t="shared" si="5"/>
        <v>0</v>
      </c>
      <c r="OM21">
        <f t="shared" si="5"/>
        <v>0</v>
      </c>
      <c r="ON21">
        <f t="shared" si="5"/>
        <v>0</v>
      </c>
      <c r="OO21">
        <f t="shared" si="5"/>
        <v>0</v>
      </c>
    </row>
    <row r="22" spans="1:405" x14ac:dyDescent="0.25">
      <c r="A22" s="34">
        <v>316</v>
      </c>
      <c r="B22" t="s">
        <v>489</v>
      </c>
      <c r="C22" t="s">
        <v>490</v>
      </c>
      <c r="D22" s="14">
        <v>304325</v>
      </c>
      <c r="E22" t="s">
        <v>498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10</v>
      </c>
      <c r="AI22">
        <v>112</v>
      </c>
      <c r="AJ22">
        <v>9</v>
      </c>
      <c r="AK22">
        <v>108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13</v>
      </c>
      <c r="CQ22">
        <v>10</v>
      </c>
      <c r="CR22">
        <v>12</v>
      </c>
      <c r="CS22">
        <v>9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f t="shared" si="0"/>
        <v>23</v>
      </c>
      <c r="DC22">
        <f t="shared" si="0"/>
        <v>122</v>
      </c>
      <c r="DD22">
        <f t="shared" si="0"/>
        <v>21</v>
      </c>
      <c r="DE22">
        <f t="shared" si="0"/>
        <v>117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f t="shared" si="1"/>
        <v>0</v>
      </c>
      <c r="GU22">
        <f t="shared" si="1"/>
        <v>0</v>
      </c>
      <c r="GV22">
        <f t="shared" si="1"/>
        <v>0</v>
      </c>
      <c r="GW22">
        <f t="shared" si="1"/>
        <v>0</v>
      </c>
      <c r="GX22">
        <v>0</v>
      </c>
      <c r="GY22">
        <v>0</v>
      </c>
      <c r="GZ22">
        <v>0</v>
      </c>
      <c r="HA22">
        <v>0</v>
      </c>
      <c r="HB22">
        <v>91</v>
      </c>
      <c r="HC22">
        <v>2</v>
      </c>
      <c r="HD22">
        <v>21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f t="shared" si="2"/>
        <v>91</v>
      </c>
      <c r="KY22">
        <f t="shared" si="2"/>
        <v>2</v>
      </c>
      <c r="KZ22">
        <f t="shared" si="2"/>
        <v>21</v>
      </c>
      <c r="LA22">
        <f t="shared" si="2"/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42</v>
      </c>
      <c r="LW22">
        <v>37</v>
      </c>
      <c r="LX22">
        <v>40</v>
      </c>
      <c r="LY22">
        <v>36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f t="shared" si="3"/>
        <v>42</v>
      </c>
      <c r="MY22">
        <f t="shared" si="3"/>
        <v>37</v>
      </c>
      <c r="MZ22">
        <f t="shared" si="3"/>
        <v>40</v>
      </c>
      <c r="NA22">
        <f t="shared" si="3"/>
        <v>36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f t="shared" si="4"/>
        <v>0</v>
      </c>
      <c r="OI22">
        <f t="shared" si="4"/>
        <v>0</v>
      </c>
      <c r="OJ22">
        <f t="shared" si="4"/>
        <v>0</v>
      </c>
      <c r="OK22">
        <f t="shared" si="4"/>
        <v>0</v>
      </c>
      <c r="OL22">
        <f t="shared" si="5"/>
        <v>156</v>
      </c>
      <c r="OM22">
        <f t="shared" si="5"/>
        <v>161</v>
      </c>
      <c r="ON22">
        <f t="shared" si="5"/>
        <v>82</v>
      </c>
      <c r="OO22">
        <f t="shared" si="5"/>
        <v>153</v>
      </c>
    </row>
    <row r="23" spans="1:405" x14ac:dyDescent="0.25">
      <c r="A23" s="34">
        <v>317</v>
      </c>
      <c r="B23" t="s">
        <v>489</v>
      </c>
      <c r="C23" t="s">
        <v>490</v>
      </c>
      <c r="D23" s="14">
        <v>304338</v>
      </c>
      <c r="E23" t="s">
        <v>499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f t="shared" si="0"/>
        <v>0</v>
      </c>
      <c r="DC23">
        <f t="shared" si="0"/>
        <v>0</v>
      </c>
      <c r="DD23">
        <f t="shared" si="0"/>
        <v>0</v>
      </c>
      <c r="DE23">
        <f t="shared" si="0"/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f t="shared" si="1"/>
        <v>0</v>
      </c>
      <c r="GU23">
        <f t="shared" si="1"/>
        <v>0</v>
      </c>
      <c r="GV23">
        <f t="shared" si="1"/>
        <v>0</v>
      </c>
      <c r="GW23">
        <f t="shared" si="1"/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f t="shared" si="2"/>
        <v>0</v>
      </c>
      <c r="KY23">
        <f t="shared" si="2"/>
        <v>0</v>
      </c>
      <c r="KZ23">
        <f t="shared" si="2"/>
        <v>0</v>
      </c>
      <c r="LA23">
        <f t="shared" si="2"/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f t="shared" si="3"/>
        <v>0</v>
      </c>
      <c r="MY23">
        <f t="shared" si="3"/>
        <v>0</v>
      </c>
      <c r="MZ23">
        <f t="shared" si="3"/>
        <v>0</v>
      </c>
      <c r="NA23">
        <f t="shared" si="3"/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f t="shared" si="4"/>
        <v>0</v>
      </c>
      <c r="OI23">
        <f t="shared" si="4"/>
        <v>0</v>
      </c>
      <c r="OJ23">
        <f t="shared" si="4"/>
        <v>0</v>
      </c>
      <c r="OK23">
        <f t="shared" si="4"/>
        <v>0</v>
      </c>
      <c r="OL23">
        <f t="shared" si="5"/>
        <v>0</v>
      </c>
      <c r="OM23">
        <f t="shared" si="5"/>
        <v>0</v>
      </c>
      <c r="ON23">
        <f t="shared" si="5"/>
        <v>0</v>
      </c>
      <c r="OO23">
        <f t="shared" si="5"/>
        <v>0</v>
      </c>
    </row>
    <row r="24" spans="1:405" x14ac:dyDescent="0.25">
      <c r="A24" s="34">
        <v>318</v>
      </c>
      <c r="B24" t="s">
        <v>489</v>
      </c>
      <c r="C24" t="s">
        <v>490</v>
      </c>
      <c r="D24" s="14">
        <v>304326</v>
      </c>
      <c r="E24" t="s">
        <v>500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2</v>
      </c>
      <c r="CZ24">
        <v>0</v>
      </c>
      <c r="DA24">
        <v>2</v>
      </c>
      <c r="DB24">
        <f t="shared" si="0"/>
        <v>0</v>
      </c>
      <c r="DC24">
        <f t="shared" si="0"/>
        <v>2</v>
      </c>
      <c r="DD24">
        <f t="shared" si="0"/>
        <v>0</v>
      </c>
      <c r="DE24">
        <f t="shared" si="0"/>
        <v>2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f t="shared" si="1"/>
        <v>0</v>
      </c>
      <c r="GU24">
        <f t="shared" si="1"/>
        <v>0</v>
      </c>
      <c r="GV24">
        <f t="shared" si="1"/>
        <v>0</v>
      </c>
      <c r="GW24">
        <f t="shared" si="1"/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f t="shared" si="2"/>
        <v>0</v>
      </c>
      <c r="KY24">
        <f t="shared" si="2"/>
        <v>0</v>
      </c>
      <c r="KZ24">
        <f t="shared" si="2"/>
        <v>0</v>
      </c>
      <c r="LA24">
        <f t="shared" si="2"/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f t="shared" si="3"/>
        <v>0</v>
      </c>
      <c r="MY24">
        <f t="shared" si="3"/>
        <v>0</v>
      </c>
      <c r="MZ24">
        <f t="shared" si="3"/>
        <v>0</v>
      </c>
      <c r="NA24">
        <f t="shared" si="3"/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f t="shared" si="4"/>
        <v>0</v>
      </c>
      <c r="OI24">
        <f t="shared" si="4"/>
        <v>0</v>
      </c>
      <c r="OJ24">
        <f t="shared" si="4"/>
        <v>0</v>
      </c>
      <c r="OK24">
        <f t="shared" si="4"/>
        <v>0</v>
      </c>
      <c r="OL24">
        <f t="shared" si="5"/>
        <v>0</v>
      </c>
      <c r="OM24">
        <f t="shared" si="5"/>
        <v>2</v>
      </c>
      <c r="ON24">
        <f t="shared" si="5"/>
        <v>0</v>
      </c>
      <c r="OO24">
        <f t="shared" si="5"/>
        <v>2</v>
      </c>
    </row>
    <row r="25" spans="1:405" x14ac:dyDescent="0.25">
      <c r="A25" s="34">
        <v>319</v>
      </c>
      <c r="B25" t="s">
        <v>489</v>
      </c>
      <c r="C25" t="s">
        <v>490</v>
      </c>
      <c r="D25" s="14">
        <v>304314</v>
      </c>
      <c r="E25" t="s">
        <v>501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f t="shared" si="0"/>
        <v>0</v>
      </c>
      <c r="DC25">
        <f t="shared" si="0"/>
        <v>0</v>
      </c>
      <c r="DD25">
        <f t="shared" si="0"/>
        <v>0</v>
      </c>
      <c r="DE25">
        <f t="shared" si="0"/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f t="shared" si="1"/>
        <v>0</v>
      </c>
      <c r="GU25">
        <f t="shared" si="1"/>
        <v>0</v>
      </c>
      <c r="GV25">
        <f t="shared" si="1"/>
        <v>0</v>
      </c>
      <c r="GW25">
        <f t="shared" si="1"/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f t="shared" si="2"/>
        <v>0</v>
      </c>
      <c r="KY25">
        <f t="shared" si="2"/>
        <v>0</v>
      </c>
      <c r="KZ25">
        <f t="shared" si="2"/>
        <v>0</v>
      </c>
      <c r="LA25">
        <f t="shared" si="2"/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f t="shared" si="3"/>
        <v>0</v>
      </c>
      <c r="MY25">
        <f t="shared" si="3"/>
        <v>0</v>
      </c>
      <c r="MZ25">
        <f t="shared" si="3"/>
        <v>0</v>
      </c>
      <c r="NA25">
        <f t="shared" si="3"/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f t="shared" si="4"/>
        <v>0</v>
      </c>
      <c r="OI25">
        <f t="shared" si="4"/>
        <v>0</v>
      </c>
      <c r="OJ25">
        <f t="shared" si="4"/>
        <v>0</v>
      </c>
      <c r="OK25">
        <f t="shared" si="4"/>
        <v>0</v>
      </c>
      <c r="OL25">
        <f t="shared" si="5"/>
        <v>0</v>
      </c>
      <c r="OM25">
        <f t="shared" si="5"/>
        <v>0</v>
      </c>
      <c r="ON25">
        <f t="shared" si="5"/>
        <v>0</v>
      </c>
      <c r="OO25">
        <f t="shared" si="5"/>
        <v>0</v>
      </c>
    </row>
    <row r="26" spans="1:405" x14ac:dyDescent="0.25">
      <c r="A26" s="34">
        <v>320</v>
      </c>
      <c r="B26" t="s">
        <v>489</v>
      </c>
      <c r="C26" t="s">
        <v>490</v>
      </c>
      <c r="D26" s="14">
        <v>304303</v>
      </c>
      <c r="E26" t="s">
        <v>502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f t="shared" si="0"/>
        <v>0</v>
      </c>
      <c r="DC26">
        <f t="shared" si="0"/>
        <v>0</v>
      </c>
      <c r="DD26">
        <f t="shared" si="0"/>
        <v>0</v>
      </c>
      <c r="DE26">
        <f t="shared" si="0"/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f t="shared" si="1"/>
        <v>0</v>
      </c>
      <c r="GU26">
        <f t="shared" si="1"/>
        <v>0</v>
      </c>
      <c r="GV26">
        <f t="shared" si="1"/>
        <v>0</v>
      </c>
      <c r="GW26">
        <f t="shared" si="1"/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f t="shared" si="2"/>
        <v>0</v>
      </c>
      <c r="KY26">
        <f t="shared" si="2"/>
        <v>0</v>
      </c>
      <c r="KZ26">
        <f t="shared" si="2"/>
        <v>0</v>
      </c>
      <c r="LA26">
        <f t="shared" si="2"/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f t="shared" si="3"/>
        <v>0</v>
      </c>
      <c r="MY26">
        <f t="shared" si="3"/>
        <v>0</v>
      </c>
      <c r="MZ26">
        <f t="shared" si="3"/>
        <v>0</v>
      </c>
      <c r="NA26">
        <f t="shared" si="3"/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f t="shared" si="4"/>
        <v>0</v>
      </c>
      <c r="OI26">
        <f t="shared" si="4"/>
        <v>0</v>
      </c>
      <c r="OJ26">
        <f t="shared" si="4"/>
        <v>0</v>
      </c>
      <c r="OK26">
        <f t="shared" si="4"/>
        <v>0</v>
      </c>
      <c r="OL26">
        <f t="shared" si="5"/>
        <v>0</v>
      </c>
      <c r="OM26">
        <f t="shared" si="5"/>
        <v>0</v>
      </c>
      <c r="ON26">
        <f t="shared" si="5"/>
        <v>0</v>
      </c>
      <c r="OO26">
        <f t="shared" si="5"/>
        <v>0</v>
      </c>
    </row>
    <row r="27" spans="1:405" x14ac:dyDescent="0.25">
      <c r="A27" s="34">
        <v>321</v>
      </c>
      <c r="B27" t="s">
        <v>489</v>
      </c>
      <c r="C27" t="s">
        <v>490</v>
      </c>
      <c r="D27" s="14">
        <v>500454</v>
      </c>
      <c r="E27" t="s">
        <v>503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f t="shared" si="0"/>
        <v>0</v>
      </c>
      <c r="DC27">
        <f t="shared" si="0"/>
        <v>0</v>
      </c>
      <c r="DD27">
        <f t="shared" si="0"/>
        <v>0</v>
      </c>
      <c r="DE27">
        <f t="shared" si="0"/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f t="shared" si="1"/>
        <v>0</v>
      </c>
      <c r="GU27">
        <f t="shared" si="1"/>
        <v>0</v>
      </c>
      <c r="GV27">
        <f t="shared" si="1"/>
        <v>0</v>
      </c>
      <c r="GW27">
        <f t="shared" si="1"/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f t="shared" si="2"/>
        <v>0</v>
      </c>
      <c r="KY27">
        <f t="shared" si="2"/>
        <v>0</v>
      </c>
      <c r="KZ27">
        <f t="shared" si="2"/>
        <v>0</v>
      </c>
      <c r="LA27">
        <f t="shared" si="2"/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f t="shared" si="3"/>
        <v>0</v>
      </c>
      <c r="MY27">
        <f t="shared" si="3"/>
        <v>0</v>
      </c>
      <c r="MZ27">
        <f t="shared" si="3"/>
        <v>0</v>
      </c>
      <c r="NA27">
        <f t="shared" si="3"/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f t="shared" si="4"/>
        <v>0</v>
      </c>
      <c r="OI27">
        <f t="shared" si="4"/>
        <v>0</v>
      </c>
      <c r="OJ27">
        <f t="shared" si="4"/>
        <v>0</v>
      </c>
      <c r="OK27">
        <f t="shared" si="4"/>
        <v>0</v>
      </c>
      <c r="OL27">
        <f t="shared" si="5"/>
        <v>0</v>
      </c>
      <c r="OM27">
        <f t="shared" si="5"/>
        <v>0</v>
      </c>
      <c r="ON27">
        <f t="shared" si="5"/>
        <v>0</v>
      </c>
      <c r="OO27">
        <f t="shared" si="5"/>
        <v>0</v>
      </c>
    </row>
    <row r="28" spans="1:405" x14ac:dyDescent="0.25">
      <c r="A28" s="34">
        <v>322</v>
      </c>
      <c r="B28" t="s">
        <v>489</v>
      </c>
      <c r="C28" t="s">
        <v>490</v>
      </c>
      <c r="D28" s="14">
        <v>325105</v>
      </c>
      <c r="E28" t="s">
        <v>504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f t="shared" si="0"/>
        <v>0</v>
      </c>
      <c r="DC28">
        <f t="shared" si="0"/>
        <v>0</v>
      </c>
      <c r="DD28">
        <f t="shared" si="0"/>
        <v>0</v>
      </c>
      <c r="DE28">
        <f t="shared" si="0"/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f t="shared" si="1"/>
        <v>0</v>
      </c>
      <c r="GU28">
        <f t="shared" si="1"/>
        <v>0</v>
      </c>
      <c r="GV28">
        <f t="shared" si="1"/>
        <v>0</v>
      </c>
      <c r="GW28">
        <f t="shared" si="1"/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f t="shared" si="2"/>
        <v>0</v>
      </c>
      <c r="KY28">
        <f t="shared" si="2"/>
        <v>0</v>
      </c>
      <c r="KZ28">
        <f t="shared" si="2"/>
        <v>0</v>
      </c>
      <c r="LA28">
        <f t="shared" si="2"/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f t="shared" si="3"/>
        <v>0</v>
      </c>
      <c r="MY28">
        <f t="shared" si="3"/>
        <v>0</v>
      </c>
      <c r="MZ28">
        <f t="shared" si="3"/>
        <v>0</v>
      </c>
      <c r="NA28">
        <f t="shared" si="3"/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f t="shared" si="4"/>
        <v>0</v>
      </c>
      <c r="OI28">
        <f t="shared" si="4"/>
        <v>0</v>
      </c>
      <c r="OJ28">
        <f t="shared" si="4"/>
        <v>0</v>
      </c>
      <c r="OK28">
        <f t="shared" si="4"/>
        <v>0</v>
      </c>
      <c r="OL28">
        <f t="shared" si="5"/>
        <v>0</v>
      </c>
      <c r="OM28">
        <f t="shared" si="5"/>
        <v>0</v>
      </c>
      <c r="ON28">
        <f t="shared" si="5"/>
        <v>0</v>
      </c>
      <c r="OO28">
        <f t="shared" si="5"/>
        <v>0</v>
      </c>
    </row>
    <row r="29" spans="1:405" x14ac:dyDescent="0.25">
      <c r="A29" s="34">
        <v>323</v>
      </c>
      <c r="B29" t="s">
        <v>489</v>
      </c>
      <c r="C29" t="s">
        <v>490</v>
      </c>
      <c r="D29" s="14">
        <v>304313</v>
      </c>
      <c r="E29" t="s">
        <v>505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f t="shared" si="0"/>
        <v>0</v>
      </c>
      <c r="DC29">
        <f t="shared" si="0"/>
        <v>0</v>
      </c>
      <c r="DD29">
        <f t="shared" si="0"/>
        <v>0</v>
      </c>
      <c r="DE29">
        <f t="shared" si="0"/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f t="shared" si="1"/>
        <v>0</v>
      </c>
      <c r="GU29">
        <f t="shared" si="1"/>
        <v>0</v>
      </c>
      <c r="GV29">
        <f t="shared" si="1"/>
        <v>0</v>
      </c>
      <c r="GW29">
        <f t="shared" si="1"/>
        <v>0</v>
      </c>
      <c r="GX29">
        <v>24</v>
      </c>
      <c r="GY29">
        <v>13</v>
      </c>
      <c r="GZ29">
        <v>24</v>
      </c>
      <c r="HA29">
        <v>13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f t="shared" si="2"/>
        <v>24</v>
      </c>
      <c r="KY29">
        <f t="shared" si="2"/>
        <v>13</v>
      </c>
      <c r="KZ29">
        <f t="shared" si="2"/>
        <v>24</v>
      </c>
      <c r="LA29">
        <f t="shared" si="2"/>
        <v>13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f t="shared" si="3"/>
        <v>0</v>
      </c>
      <c r="MY29">
        <f t="shared" si="3"/>
        <v>0</v>
      </c>
      <c r="MZ29">
        <f t="shared" si="3"/>
        <v>0</v>
      </c>
      <c r="NA29">
        <f t="shared" si="3"/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f t="shared" si="4"/>
        <v>0</v>
      </c>
      <c r="OI29">
        <f t="shared" si="4"/>
        <v>0</v>
      </c>
      <c r="OJ29">
        <f t="shared" si="4"/>
        <v>0</v>
      </c>
      <c r="OK29">
        <f t="shared" si="4"/>
        <v>0</v>
      </c>
      <c r="OL29">
        <f t="shared" si="5"/>
        <v>24</v>
      </c>
      <c r="OM29">
        <f t="shared" si="5"/>
        <v>13</v>
      </c>
      <c r="ON29">
        <f t="shared" si="5"/>
        <v>24</v>
      </c>
      <c r="OO29">
        <f t="shared" si="5"/>
        <v>13</v>
      </c>
    </row>
    <row r="30" spans="1:405" x14ac:dyDescent="0.25">
      <c r="A30" s="34">
        <v>324</v>
      </c>
      <c r="B30" t="s">
        <v>489</v>
      </c>
      <c r="C30" t="s">
        <v>490</v>
      </c>
      <c r="D30" s="14">
        <v>304328</v>
      </c>
      <c r="E30" t="s">
        <v>506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f t="shared" si="0"/>
        <v>0</v>
      </c>
      <c r="DC30">
        <f t="shared" si="0"/>
        <v>0</v>
      </c>
      <c r="DD30">
        <f t="shared" si="0"/>
        <v>0</v>
      </c>
      <c r="DE30">
        <f t="shared" si="0"/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f t="shared" si="1"/>
        <v>0</v>
      </c>
      <c r="GU30">
        <f t="shared" si="1"/>
        <v>0</v>
      </c>
      <c r="GV30">
        <f t="shared" si="1"/>
        <v>0</v>
      </c>
      <c r="GW30">
        <f t="shared" si="1"/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f t="shared" si="2"/>
        <v>0</v>
      </c>
      <c r="KY30">
        <f t="shared" si="2"/>
        <v>0</v>
      </c>
      <c r="KZ30">
        <f t="shared" si="2"/>
        <v>0</v>
      </c>
      <c r="LA30">
        <f t="shared" si="2"/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f t="shared" si="3"/>
        <v>0</v>
      </c>
      <c r="MY30">
        <f t="shared" si="3"/>
        <v>0</v>
      </c>
      <c r="MZ30">
        <f t="shared" si="3"/>
        <v>0</v>
      </c>
      <c r="NA30">
        <f t="shared" si="3"/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f t="shared" si="4"/>
        <v>0</v>
      </c>
      <c r="OI30">
        <f t="shared" si="4"/>
        <v>0</v>
      </c>
      <c r="OJ30">
        <f t="shared" si="4"/>
        <v>0</v>
      </c>
      <c r="OK30">
        <f t="shared" si="4"/>
        <v>0</v>
      </c>
      <c r="OL30">
        <f t="shared" si="5"/>
        <v>0</v>
      </c>
      <c r="OM30">
        <f t="shared" si="5"/>
        <v>0</v>
      </c>
      <c r="ON30">
        <f t="shared" si="5"/>
        <v>0</v>
      </c>
      <c r="OO30">
        <f t="shared" si="5"/>
        <v>0</v>
      </c>
    </row>
  </sheetData>
  <sheetProtection formatCells="0" formatColumns="0" formatRows="0" insertColumns="0" insertRows="0" insertHyperlinks="0" deleteColumns="0" deleteRows="0" sort="0" autoFilter="0" pivotTables="0"/>
  <autoFilter ref="A14:KW30" xr:uid="{00000000-0009-0000-0000-000001000000}"/>
  <mergeCells count="312">
    <mergeCell ref="OL11:OM11"/>
    <mergeCell ref="ON11:OO11"/>
    <mergeCell ref="NZ11:OA11"/>
    <mergeCell ref="OB11:OC11"/>
    <mergeCell ref="OD11:OE11"/>
    <mergeCell ref="OF11:OG11"/>
    <mergeCell ref="OH11:OI11"/>
    <mergeCell ref="OJ11:OK11"/>
    <mergeCell ref="NN11:NO11"/>
    <mergeCell ref="NP11:NQ11"/>
    <mergeCell ref="NR11:NS11"/>
    <mergeCell ref="NT11:NU11"/>
    <mergeCell ref="NV11:NW11"/>
    <mergeCell ref="NX11:NY11"/>
    <mergeCell ref="NB11:NC11"/>
    <mergeCell ref="ND11:NE11"/>
    <mergeCell ref="NF11:NG11"/>
    <mergeCell ref="NH11:NI11"/>
    <mergeCell ref="NJ11:NK11"/>
    <mergeCell ref="NL11:NM11"/>
    <mergeCell ref="MP11:MQ11"/>
    <mergeCell ref="MR11:MS11"/>
    <mergeCell ref="MT11:MU11"/>
    <mergeCell ref="MV11:MW11"/>
    <mergeCell ref="MX11:MY11"/>
    <mergeCell ref="MZ11:NA11"/>
    <mergeCell ref="MD11:ME11"/>
    <mergeCell ref="MF11:MG11"/>
    <mergeCell ref="MH11:MI11"/>
    <mergeCell ref="MJ11:MK11"/>
    <mergeCell ref="ML11:MM11"/>
    <mergeCell ref="MN11:MO11"/>
    <mergeCell ref="LR11:LS11"/>
    <mergeCell ref="LT11:LU11"/>
    <mergeCell ref="LV11:LW11"/>
    <mergeCell ref="LX11:LY11"/>
    <mergeCell ref="LZ11:MA11"/>
    <mergeCell ref="MB11:MC11"/>
    <mergeCell ref="LF11:LG11"/>
    <mergeCell ref="LH11:LI11"/>
    <mergeCell ref="LJ11:LK11"/>
    <mergeCell ref="LL11:LM11"/>
    <mergeCell ref="LN11:LO11"/>
    <mergeCell ref="LP11:LQ11"/>
    <mergeCell ref="KT11:KU11"/>
    <mergeCell ref="KV11:KW11"/>
    <mergeCell ref="KX11:KY11"/>
    <mergeCell ref="KZ11:LA11"/>
    <mergeCell ref="LB11:LC11"/>
    <mergeCell ref="LD11:LE11"/>
    <mergeCell ref="KH11:KI11"/>
    <mergeCell ref="KJ11:KK11"/>
    <mergeCell ref="KL11:KM11"/>
    <mergeCell ref="KN11:KO11"/>
    <mergeCell ref="KP11:KQ11"/>
    <mergeCell ref="KR11:KS11"/>
    <mergeCell ref="JV11:JW11"/>
    <mergeCell ref="JX11:JY11"/>
    <mergeCell ref="JZ11:KA11"/>
    <mergeCell ref="KB11:KC11"/>
    <mergeCell ref="KD11:KE11"/>
    <mergeCell ref="KF11:KG11"/>
    <mergeCell ref="JJ11:JK11"/>
    <mergeCell ref="JL11:JM11"/>
    <mergeCell ref="JN11:JO11"/>
    <mergeCell ref="JP11:JQ11"/>
    <mergeCell ref="JR11:JS11"/>
    <mergeCell ref="JT11:JU11"/>
    <mergeCell ref="IX11:IY11"/>
    <mergeCell ref="IZ11:JA11"/>
    <mergeCell ref="JB11:JC11"/>
    <mergeCell ref="JD11:JE11"/>
    <mergeCell ref="JF11:JG11"/>
    <mergeCell ref="JH11:JI11"/>
    <mergeCell ref="IL11:IM11"/>
    <mergeCell ref="IN11:IO11"/>
    <mergeCell ref="IP11:IQ11"/>
    <mergeCell ref="IR11:IS11"/>
    <mergeCell ref="IT11:IU11"/>
    <mergeCell ref="IV11:IW11"/>
    <mergeCell ref="HZ11:IA11"/>
    <mergeCell ref="IB11:IC11"/>
    <mergeCell ref="ID11:IE11"/>
    <mergeCell ref="IF11:IG11"/>
    <mergeCell ref="IH11:II11"/>
    <mergeCell ref="IJ11:IK11"/>
    <mergeCell ref="HN11:HO11"/>
    <mergeCell ref="HP11:HQ11"/>
    <mergeCell ref="HR11:HS11"/>
    <mergeCell ref="HT11:HU11"/>
    <mergeCell ref="HV11:HW11"/>
    <mergeCell ref="HX11:HY11"/>
    <mergeCell ref="HB11:HC11"/>
    <mergeCell ref="HD11:HE11"/>
    <mergeCell ref="HF11:HG11"/>
    <mergeCell ref="HH11:HI11"/>
    <mergeCell ref="HJ11:HK11"/>
    <mergeCell ref="HL11:HM11"/>
    <mergeCell ref="GP11:GQ11"/>
    <mergeCell ref="GR11:GS11"/>
    <mergeCell ref="GT11:GU11"/>
    <mergeCell ref="GV11:GW11"/>
    <mergeCell ref="GX11:GY11"/>
    <mergeCell ref="GZ11:HA11"/>
    <mergeCell ref="GD11:GE11"/>
    <mergeCell ref="GF11:GG11"/>
    <mergeCell ref="GH11:GI11"/>
    <mergeCell ref="GJ11:GK11"/>
    <mergeCell ref="GL11:GM11"/>
    <mergeCell ref="GN11:GO11"/>
    <mergeCell ref="FR11:FS11"/>
    <mergeCell ref="FT11:FU11"/>
    <mergeCell ref="FV11:FW11"/>
    <mergeCell ref="FX11:FY11"/>
    <mergeCell ref="FZ11:GA11"/>
    <mergeCell ref="GB11:GC11"/>
    <mergeCell ref="FF11:FG11"/>
    <mergeCell ref="FH11:FI11"/>
    <mergeCell ref="FJ11:FK11"/>
    <mergeCell ref="FL11:FM11"/>
    <mergeCell ref="FN11:FO11"/>
    <mergeCell ref="FP11:FQ11"/>
    <mergeCell ref="ET11:EU11"/>
    <mergeCell ref="EV11:EW11"/>
    <mergeCell ref="EX11:EY11"/>
    <mergeCell ref="EZ11:FA11"/>
    <mergeCell ref="FB11:FC11"/>
    <mergeCell ref="FD11:FE11"/>
    <mergeCell ref="EH11:EI11"/>
    <mergeCell ref="EJ11:EK11"/>
    <mergeCell ref="EL11:EM11"/>
    <mergeCell ref="EN11:EO11"/>
    <mergeCell ref="EP11:EQ11"/>
    <mergeCell ref="ER11:ES11"/>
    <mergeCell ref="DV11:DW11"/>
    <mergeCell ref="DX11:DY11"/>
    <mergeCell ref="DZ11:EA11"/>
    <mergeCell ref="EB11:EC11"/>
    <mergeCell ref="ED11:EE11"/>
    <mergeCell ref="EF11:EG11"/>
    <mergeCell ref="DJ11:DK11"/>
    <mergeCell ref="DL11:DM11"/>
    <mergeCell ref="DN11:DO11"/>
    <mergeCell ref="DP11:DQ11"/>
    <mergeCell ref="DR11:DS11"/>
    <mergeCell ref="DT11:DU11"/>
    <mergeCell ref="CX11:CY11"/>
    <mergeCell ref="CZ11:DA11"/>
    <mergeCell ref="DB11:DC11"/>
    <mergeCell ref="DD11:DE11"/>
    <mergeCell ref="DF11:DG11"/>
    <mergeCell ref="DH11:DI11"/>
    <mergeCell ref="CL11:CM11"/>
    <mergeCell ref="CN11:CO11"/>
    <mergeCell ref="CP11:CQ11"/>
    <mergeCell ref="CR11:CS11"/>
    <mergeCell ref="CT11:CU11"/>
    <mergeCell ref="CV11:CW11"/>
    <mergeCell ref="BZ11:CA11"/>
    <mergeCell ref="CB11:CC11"/>
    <mergeCell ref="CD11:CE11"/>
    <mergeCell ref="CF11:CG11"/>
    <mergeCell ref="CH11:CI11"/>
    <mergeCell ref="CJ11:CK11"/>
    <mergeCell ref="BN11:BO11"/>
    <mergeCell ref="BP11:BQ11"/>
    <mergeCell ref="BR11:BS11"/>
    <mergeCell ref="BT11:BU11"/>
    <mergeCell ref="BV11:BW11"/>
    <mergeCell ref="BX11:BY11"/>
    <mergeCell ref="BB11:BC11"/>
    <mergeCell ref="BD11:BE11"/>
    <mergeCell ref="BF11:BG11"/>
    <mergeCell ref="BH11:BI11"/>
    <mergeCell ref="BJ11:BK11"/>
    <mergeCell ref="BL11:BM11"/>
    <mergeCell ref="AP11:AQ11"/>
    <mergeCell ref="AR11:AS11"/>
    <mergeCell ref="AT11:AU11"/>
    <mergeCell ref="AV11:AW11"/>
    <mergeCell ref="AX11:AY11"/>
    <mergeCell ref="AZ11:BA11"/>
    <mergeCell ref="AD11:AE11"/>
    <mergeCell ref="AF11:AG11"/>
    <mergeCell ref="AH11:AI11"/>
    <mergeCell ref="AJ11:AK11"/>
    <mergeCell ref="AL11:AM11"/>
    <mergeCell ref="AN11:AO11"/>
    <mergeCell ref="R11:S11"/>
    <mergeCell ref="T11:U11"/>
    <mergeCell ref="V11:W11"/>
    <mergeCell ref="X11:Y11"/>
    <mergeCell ref="Z11:AA11"/>
    <mergeCell ref="AB11:AC11"/>
    <mergeCell ref="F11:G11"/>
    <mergeCell ref="H11:I11"/>
    <mergeCell ref="J11:K11"/>
    <mergeCell ref="L11:M11"/>
    <mergeCell ref="N11:O11"/>
    <mergeCell ref="P11:Q11"/>
    <mergeCell ref="NN10:NQ10"/>
    <mergeCell ref="NR10:NU10"/>
    <mergeCell ref="NV10:NY10"/>
    <mergeCell ref="NZ10:OC10"/>
    <mergeCell ref="OD10:OG10"/>
    <mergeCell ref="OH10:OK10"/>
    <mergeCell ref="MP10:MS10"/>
    <mergeCell ref="MT10:MW10"/>
    <mergeCell ref="MX10:NA10"/>
    <mergeCell ref="NB10:NE10"/>
    <mergeCell ref="NF10:NI10"/>
    <mergeCell ref="NJ10:NM10"/>
    <mergeCell ref="LR10:LU10"/>
    <mergeCell ref="LV10:LY10"/>
    <mergeCell ref="LZ10:MC10"/>
    <mergeCell ref="MD10:MG10"/>
    <mergeCell ref="MH10:MK10"/>
    <mergeCell ref="ML10:MO10"/>
    <mergeCell ref="KT10:KW10"/>
    <mergeCell ref="KX10:LA10"/>
    <mergeCell ref="LB10:LE10"/>
    <mergeCell ref="LF10:LI10"/>
    <mergeCell ref="LJ10:LM10"/>
    <mergeCell ref="LN10:LQ10"/>
    <mergeCell ref="JV10:JY10"/>
    <mergeCell ref="JZ10:KC10"/>
    <mergeCell ref="KD10:KG10"/>
    <mergeCell ref="KH10:KK10"/>
    <mergeCell ref="KL10:KO10"/>
    <mergeCell ref="KP10:KS10"/>
    <mergeCell ref="IX10:JA10"/>
    <mergeCell ref="JB10:JE10"/>
    <mergeCell ref="JF10:JI10"/>
    <mergeCell ref="JJ10:JM10"/>
    <mergeCell ref="JN10:JQ10"/>
    <mergeCell ref="JR10:JU10"/>
    <mergeCell ref="HZ10:IC10"/>
    <mergeCell ref="ID10:IG10"/>
    <mergeCell ref="IH10:IK10"/>
    <mergeCell ref="IL10:IO10"/>
    <mergeCell ref="IP10:IS10"/>
    <mergeCell ref="IT10:IW10"/>
    <mergeCell ref="HB10:HE10"/>
    <mergeCell ref="HF10:HI10"/>
    <mergeCell ref="HJ10:HM10"/>
    <mergeCell ref="HN10:HQ10"/>
    <mergeCell ref="HR10:HU10"/>
    <mergeCell ref="HV10:HY10"/>
    <mergeCell ref="GD10:GG10"/>
    <mergeCell ref="GH10:GK10"/>
    <mergeCell ref="GL10:GO10"/>
    <mergeCell ref="GP10:GS10"/>
    <mergeCell ref="GT10:GW10"/>
    <mergeCell ref="GX10:HA10"/>
    <mergeCell ref="FF10:FI10"/>
    <mergeCell ref="FJ10:FM10"/>
    <mergeCell ref="FN10:FQ10"/>
    <mergeCell ref="FR10:FU10"/>
    <mergeCell ref="FV10:FY10"/>
    <mergeCell ref="FZ10:GC10"/>
    <mergeCell ref="EH10:EK10"/>
    <mergeCell ref="EL10:EO10"/>
    <mergeCell ref="EP10:ES10"/>
    <mergeCell ref="ET10:EW10"/>
    <mergeCell ref="EX10:FA10"/>
    <mergeCell ref="FB10:FE10"/>
    <mergeCell ref="DJ10:DM10"/>
    <mergeCell ref="DN10:DQ10"/>
    <mergeCell ref="DR10:DU10"/>
    <mergeCell ref="DV10:DY10"/>
    <mergeCell ref="DZ10:EC10"/>
    <mergeCell ref="ED10:EG10"/>
    <mergeCell ref="CL10:CO10"/>
    <mergeCell ref="CP10:CS10"/>
    <mergeCell ref="CT10:CW10"/>
    <mergeCell ref="CX10:DA10"/>
    <mergeCell ref="DB10:DE10"/>
    <mergeCell ref="DF10:DI10"/>
    <mergeCell ref="BN10:BQ10"/>
    <mergeCell ref="BR10:BU10"/>
    <mergeCell ref="BV10:BY10"/>
    <mergeCell ref="BZ10:CC10"/>
    <mergeCell ref="CD10:CG10"/>
    <mergeCell ref="CH10:CK10"/>
    <mergeCell ref="AP10:AS10"/>
    <mergeCell ref="AT10:AW10"/>
    <mergeCell ref="AX10:BA10"/>
    <mergeCell ref="BB10:BE10"/>
    <mergeCell ref="BF10:BI10"/>
    <mergeCell ref="BJ10:BM10"/>
    <mergeCell ref="OL9:OO10"/>
    <mergeCell ref="F10:I10"/>
    <mergeCell ref="J10:M10"/>
    <mergeCell ref="N10:Q10"/>
    <mergeCell ref="R10:U10"/>
    <mergeCell ref="V10:Y10"/>
    <mergeCell ref="Z10:AC10"/>
    <mergeCell ref="AD10:AG10"/>
    <mergeCell ref="AH10:AK10"/>
    <mergeCell ref="AL10:AO10"/>
    <mergeCell ref="A7:L7"/>
    <mergeCell ref="F9:DE9"/>
    <mergeCell ref="DF9:GW9"/>
    <mergeCell ref="GX9:LA9"/>
    <mergeCell ref="LB9:NA9"/>
    <mergeCell ref="NB9:OK9"/>
    <mergeCell ref="A1:L1"/>
    <mergeCell ref="A2:L2"/>
    <mergeCell ref="A3:L3"/>
    <mergeCell ref="A4:L4"/>
    <mergeCell ref="A5:L5"/>
    <mergeCell ref="A6:L6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2023-07-31T03:22:18Z</dcterms:created>
  <dcterms:modified xsi:type="dcterms:W3CDTF">2023-07-31T03:23:04Z</dcterms:modified>
</cp:coreProperties>
</file>