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AF85C237-703E-49D4-9750-E26B87E0546A}" xr6:coauthVersionLast="47" xr6:coauthVersionMax="47" xr10:uidLastSave="{00000000-0000-0000-0000-000000000000}"/>
  <bookViews>
    <workbookView xWindow="-120" yWindow="-120" windowWidth="29040" windowHeight="15720" xr2:uid="{FE195F3A-76A6-4E3A-A6D4-79EC4BAAE116}"/>
  </bookViews>
  <sheets>
    <sheet name="by School" sheetId="1" r:id="rId1"/>
  </sheets>
  <definedNames>
    <definedName name="_xlnm._FilterDatabase" localSheetId="0" hidden="1">'by School'!$A$7:$AZ$74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4" i="1" l="1"/>
  <c r="BA74" i="1"/>
  <c r="BC74" i="1" s="1"/>
  <c r="AI74" i="1"/>
  <c r="AJ74" i="1" s="1"/>
  <c r="AH74" i="1"/>
  <c r="BB73" i="1"/>
  <c r="BA73" i="1"/>
  <c r="AI73" i="1"/>
  <c r="AH73" i="1"/>
  <c r="BB72" i="1"/>
  <c r="BA72" i="1"/>
  <c r="BC72" i="1" s="1"/>
  <c r="AI72" i="1"/>
  <c r="AH72" i="1"/>
  <c r="AJ72" i="1" s="1"/>
  <c r="BB71" i="1"/>
  <c r="BA71" i="1"/>
  <c r="BC71" i="1" s="1"/>
  <c r="AI71" i="1"/>
  <c r="AH71" i="1"/>
  <c r="BB70" i="1"/>
  <c r="BA70" i="1"/>
  <c r="BC70" i="1" s="1"/>
  <c r="AI70" i="1"/>
  <c r="AJ70" i="1" s="1"/>
  <c r="AH70" i="1"/>
  <c r="BB69" i="1"/>
  <c r="BA69" i="1"/>
  <c r="BC69" i="1" s="1"/>
  <c r="AI69" i="1"/>
  <c r="AH69" i="1"/>
  <c r="BB68" i="1"/>
  <c r="BA68" i="1"/>
  <c r="AI68" i="1"/>
  <c r="AJ68" i="1" s="1"/>
  <c r="AH68" i="1"/>
  <c r="BB67" i="1"/>
  <c r="BA67" i="1"/>
  <c r="BC67" i="1" s="1"/>
  <c r="AI67" i="1"/>
  <c r="AH67" i="1"/>
  <c r="BB66" i="1"/>
  <c r="BA66" i="1"/>
  <c r="BC66" i="1" s="1"/>
  <c r="AI66" i="1"/>
  <c r="AH66" i="1"/>
  <c r="BB65" i="1"/>
  <c r="BA65" i="1"/>
  <c r="AI65" i="1"/>
  <c r="AH65" i="1"/>
  <c r="BB64" i="1"/>
  <c r="BA64" i="1"/>
  <c r="BC64" i="1" s="1"/>
  <c r="AI64" i="1"/>
  <c r="AH64" i="1"/>
  <c r="BB63" i="1"/>
  <c r="BC63" i="1" s="1"/>
  <c r="BA63" i="1"/>
  <c r="AI63" i="1"/>
  <c r="AH63" i="1"/>
  <c r="AJ63" i="1" s="1"/>
  <c r="BB62" i="1"/>
  <c r="BA62" i="1"/>
  <c r="BC62" i="1" s="1"/>
  <c r="AI62" i="1"/>
  <c r="AH62" i="1"/>
  <c r="BB61" i="1"/>
  <c r="BA61" i="1"/>
  <c r="AI61" i="1"/>
  <c r="AH61" i="1"/>
  <c r="BB60" i="1"/>
  <c r="BA60" i="1"/>
  <c r="AI60" i="1"/>
  <c r="AH60" i="1"/>
  <c r="BB59" i="1"/>
  <c r="BA59" i="1"/>
  <c r="BC59" i="1" s="1"/>
  <c r="AI59" i="1"/>
  <c r="AH59" i="1"/>
  <c r="BB58" i="1"/>
  <c r="BA58" i="1"/>
  <c r="AI58" i="1"/>
  <c r="AH58" i="1"/>
  <c r="BB57" i="1"/>
  <c r="BC57" i="1" s="1"/>
  <c r="BA57" i="1"/>
  <c r="AI57" i="1"/>
  <c r="AH57" i="1"/>
  <c r="BB56" i="1"/>
  <c r="BA56" i="1"/>
  <c r="BC56" i="1" s="1"/>
  <c r="AI56" i="1"/>
  <c r="AH56" i="1"/>
  <c r="BC55" i="1"/>
  <c r="BB55" i="1"/>
  <c r="BA55" i="1"/>
  <c r="AI55" i="1"/>
  <c r="AH55" i="1"/>
  <c r="AJ55" i="1" s="1"/>
  <c r="BB54" i="1"/>
  <c r="BA54" i="1"/>
  <c r="BC54" i="1" s="1"/>
  <c r="AI54" i="1"/>
  <c r="AH54" i="1"/>
  <c r="BB53" i="1"/>
  <c r="BA53" i="1"/>
  <c r="AI53" i="1"/>
  <c r="AH53" i="1"/>
  <c r="BB52" i="1"/>
  <c r="BA52" i="1"/>
  <c r="AI52" i="1"/>
  <c r="AH52" i="1"/>
  <c r="BB51" i="1"/>
  <c r="BA51" i="1"/>
  <c r="BC51" i="1" s="1"/>
  <c r="AI51" i="1"/>
  <c r="AH51" i="1"/>
  <c r="BB50" i="1"/>
  <c r="BA50" i="1"/>
  <c r="AI50" i="1"/>
  <c r="AH50" i="1"/>
  <c r="BB49" i="1"/>
  <c r="BC49" i="1" s="1"/>
  <c r="BA49" i="1"/>
  <c r="AI49" i="1"/>
  <c r="AH49" i="1"/>
  <c r="BB48" i="1"/>
  <c r="BA48" i="1"/>
  <c r="BC48" i="1" s="1"/>
  <c r="AI48" i="1"/>
  <c r="AH48" i="1"/>
  <c r="BC47" i="1"/>
  <c r="BB47" i="1"/>
  <c r="BA47" i="1"/>
  <c r="AI47" i="1"/>
  <c r="AH47" i="1"/>
  <c r="BB46" i="1"/>
  <c r="BA46" i="1"/>
  <c r="BC46" i="1" s="1"/>
  <c r="AI46" i="1"/>
  <c r="AJ46" i="1" s="1"/>
  <c r="AH46" i="1"/>
  <c r="BB45" i="1"/>
  <c r="BA45" i="1"/>
  <c r="BC45" i="1" s="1"/>
  <c r="AI45" i="1"/>
  <c r="AH45" i="1"/>
  <c r="BB44" i="1"/>
  <c r="BA44" i="1"/>
  <c r="AI44" i="1"/>
  <c r="AJ44" i="1" s="1"/>
  <c r="AH44" i="1"/>
  <c r="BB43" i="1"/>
  <c r="BA43" i="1"/>
  <c r="BC43" i="1" s="1"/>
  <c r="AI43" i="1"/>
  <c r="AH43" i="1"/>
  <c r="BB42" i="1"/>
  <c r="BA42" i="1"/>
  <c r="BC42" i="1" s="1"/>
  <c r="AI42" i="1"/>
  <c r="AH42" i="1"/>
  <c r="BB41" i="1"/>
  <c r="BA41" i="1"/>
  <c r="AI41" i="1"/>
  <c r="AH41" i="1"/>
  <c r="BB40" i="1"/>
  <c r="BA40" i="1"/>
  <c r="BC40" i="1" s="1"/>
  <c r="AI40" i="1"/>
  <c r="AH40" i="1"/>
  <c r="BB39" i="1"/>
  <c r="BA39" i="1"/>
  <c r="BC39" i="1" s="1"/>
  <c r="AI39" i="1"/>
  <c r="AH39" i="1"/>
  <c r="BB38" i="1"/>
  <c r="BA38" i="1"/>
  <c r="BC38" i="1" s="1"/>
  <c r="AI38" i="1"/>
  <c r="AJ38" i="1" s="1"/>
  <c r="AH38" i="1"/>
  <c r="BB37" i="1"/>
  <c r="BA37" i="1"/>
  <c r="BC37" i="1" s="1"/>
  <c r="AI37" i="1"/>
  <c r="AH37" i="1"/>
  <c r="BB36" i="1"/>
  <c r="BA36" i="1"/>
  <c r="AI36" i="1"/>
  <c r="AJ36" i="1" s="1"/>
  <c r="AH36" i="1"/>
  <c r="BB35" i="1"/>
  <c r="BA35" i="1"/>
  <c r="BC35" i="1" s="1"/>
  <c r="AI35" i="1"/>
  <c r="AH35" i="1"/>
  <c r="BB34" i="1"/>
  <c r="BA34" i="1"/>
  <c r="BC34" i="1" s="1"/>
  <c r="AI34" i="1"/>
  <c r="AH34" i="1"/>
  <c r="BB33" i="1"/>
  <c r="BA33" i="1"/>
  <c r="AI33" i="1"/>
  <c r="AH33" i="1"/>
  <c r="BB32" i="1"/>
  <c r="BA32" i="1"/>
  <c r="BC32" i="1" s="1"/>
  <c r="AI32" i="1"/>
  <c r="AH32" i="1"/>
  <c r="BB31" i="1"/>
  <c r="BC31" i="1" s="1"/>
  <c r="BA31" i="1"/>
  <c r="AI31" i="1"/>
  <c r="AH31" i="1"/>
  <c r="AJ31" i="1" s="1"/>
  <c r="BB30" i="1"/>
  <c r="BA30" i="1"/>
  <c r="BC30" i="1" s="1"/>
  <c r="AI30" i="1"/>
  <c r="AH30" i="1"/>
  <c r="BB29" i="1"/>
  <c r="BA29" i="1"/>
  <c r="AI29" i="1"/>
  <c r="AH29" i="1"/>
  <c r="BB28" i="1"/>
  <c r="BA28" i="1"/>
  <c r="AI28" i="1"/>
  <c r="AH28" i="1"/>
  <c r="BB27" i="1"/>
  <c r="BA27" i="1"/>
  <c r="BC27" i="1" s="1"/>
  <c r="AI27" i="1"/>
  <c r="AH27" i="1"/>
  <c r="BB26" i="1"/>
  <c r="BA26" i="1"/>
  <c r="AI26" i="1"/>
  <c r="AH26" i="1"/>
  <c r="BB25" i="1"/>
  <c r="BC25" i="1" s="1"/>
  <c r="BA25" i="1"/>
  <c r="AI25" i="1"/>
  <c r="AH25" i="1"/>
  <c r="BB24" i="1"/>
  <c r="BA24" i="1"/>
  <c r="BC24" i="1" s="1"/>
  <c r="AI24" i="1"/>
  <c r="AH24" i="1"/>
  <c r="BC23" i="1"/>
  <c r="BB23" i="1"/>
  <c r="BA23" i="1"/>
  <c r="AI23" i="1"/>
  <c r="AH23" i="1"/>
  <c r="AJ23" i="1" s="1"/>
  <c r="BB22" i="1"/>
  <c r="BA22" i="1"/>
  <c r="BC22" i="1" s="1"/>
  <c r="AI22" i="1"/>
  <c r="AH22" i="1"/>
  <c r="BB21" i="1"/>
  <c r="BA21" i="1"/>
  <c r="AI21" i="1"/>
  <c r="AH21" i="1"/>
  <c r="BB20" i="1"/>
  <c r="BA20" i="1"/>
  <c r="AI20" i="1"/>
  <c r="AH20" i="1"/>
  <c r="BB19" i="1"/>
  <c r="BA19" i="1"/>
  <c r="BC19" i="1" s="1"/>
  <c r="AI19" i="1"/>
  <c r="AH19" i="1"/>
  <c r="BB18" i="1"/>
  <c r="BA18" i="1"/>
  <c r="AI18" i="1"/>
  <c r="AH18" i="1"/>
  <c r="BB17" i="1"/>
  <c r="BC17" i="1" s="1"/>
  <c r="BA17" i="1"/>
  <c r="AI17" i="1"/>
  <c r="AH17" i="1"/>
  <c r="BB16" i="1"/>
  <c r="BA16" i="1"/>
  <c r="BC16" i="1" s="1"/>
  <c r="AI16" i="1"/>
  <c r="AH16" i="1"/>
  <c r="BC15" i="1"/>
  <c r="BB15" i="1"/>
  <c r="BA15" i="1"/>
  <c r="AI15" i="1"/>
  <c r="AH15" i="1"/>
  <c r="BB14" i="1"/>
  <c r="BA14" i="1"/>
  <c r="BC14" i="1" s="1"/>
  <c r="AI14" i="1"/>
  <c r="AJ14" i="1" s="1"/>
  <c r="AH14" i="1"/>
  <c r="BB13" i="1"/>
  <c r="BA13" i="1"/>
  <c r="BC13" i="1" s="1"/>
  <c r="AI13" i="1"/>
  <c r="AH13" i="1"/>
  <c r="BB12" i="1"/>
  <c r="BA12" i="1"/>
  <c r="AI12" i="1"/>
  <c r="AJ12" i="1" s="1"/>
  <c r="AH12" i="1"/>
  <c r="BB11" i="1"/>
  <c r="BA11" i="1"/>
  <c r="BC11" i="1" s="1"/>
  <c r="AI11" i="1"/>
  <c r="AH11" i="1"/>
  <c r="BB10" i="1"/>
  <c r="BA10" i="1"/>
  <c r="BC10" i="1" s="1"/>
  <c r="AI10" i="1"/>
  <c r="AH10" i="1"/>
  <c r="BB9" i="1"/>
  <c r="BA9" i="1"/>
  <c r="AI9" i="1"/>
  <c r="AH9" i="1"/>
  <c r="BB8" i="1"/>
  <c r="BA8" i="1"/>
  <c r="BC8" i="1" s="1"/>
  <c r="AI8" i="1"/>
  <c r="AH8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AJ54" i="1" l="1"/>
  <c r="AJ28" i="1"/>
  <c r="AJ60" i="1"/>
  <c r="AJ22" i="1"/>
  <c r="BC33" i="1"/>
  <c r="BC65" i="1"/>
  <c r="AJ20" i="1"/>
  <c r="AJ52" i="1"/>
  <c r="AJ15" i="1"/>
  <c r="BC26" i="1"/>
  <c r="BC29" i="1"/>
  <c r="AJ47" i="1"/>
  <c r="BC58" i="1"/>
  <c r="BC61" i="1"/>
  <c r="BC9" i="1"/>
  <c r="BC18" i="1"/>
  <c r="BC21" i="1"/>
  <c r="AJ30" i="1"/>
  <c r="AJ39" i="1"/>
  <c r="BC41" i="1"/>
  <c r="BC50" i="1"/>
  <c r="BC53" i="1"/>
  <c r="AJ62" i="1"/>
  <c r="AJ71" i="1"/>
  <c r="BC12" i="1"/>
  <c r="BC20" i="1"/>
  <c r="BC28" i="1"/>
  <c r="BC36" i="1"/>
  <c r="BC44" i="1"/>
  <c r="BC52" i="1"/>
  <c r="BC60" i="1"/>
  <c r="BC68" i="1"/>
  <c r="AJ10" i="1"/>
  <c r="AJ13" i="1"/>
  <c r="AJ18" i="1"/>
  <c r="AJ21" i="1"/>
  <c r="AJ26" i="1"/>
  <c r="AJ29" i="1"/>
  <c r="AJ34" i="1"/>
  <c r="AJ37" i="1"/>
  <c r="AJ42" i="1"/>
  <c r="AJ45" i="1"/>
  <c r="AJ50" i="1"/>
  <c r="AJ53" i="1"/>
  <c r="AJ58" i="1"/>
  <c r="AJ61" i="1"/>
  <c r="AJ66" i="1"/>
  <c r="AJ69" i="1"/>
  <c r="AJ8" i="1"/>
  <c r="AJ16" i="1"/>
  <c r="AJ24" i="1"/>
  <c r="AJ32" i="1"/>
  <c r="AJ40" i="1"/>
  <c r="AJ48" i="1"/>
  <c r="AJ56" i="1"/>
  <c r="AJ64" i="1"/>
  <c r="BB6" i="1"/>
  <c r="AJ73" i="1"/>
  <c r="BC73" i="1"/>
  <c r="AJ11" i="1"/>
  <c r="AJ19" i="1"/>
  <c r="AJ27" i="1"/>
  <c r="AJ35" i="1"/>
  <c r="AJ43" i="1"/>
  <c r="AJ51" i="1"/>
  <c r="AJ59" i="1"/>
  <c r="AJ67" i="1"/>
  <c r="AH6" i="1"/>
  <c r="AI6" i="1"/>
  <c r="AJ9" i="1"/>
  <c r="AJ17" i="1"/>
  <c r="AJ25" i="1"/>
  <c r="AJ33" i="1"/>
  <c r="AJ41" i="1"/>
  <c r="AJ49" i="1"/>
  <c r="AJ57" i="1"/>
  <c r="AJ65" i="1"/>
  <c r="BA6" i="1"/>
  <c r="BC6" i="1" l="1"/>
  <c r="AJ6" i="1"/>
</calcChain>
</file>

<file path=xl/sharedStrings.xml><?xml version="1.0" encoding="utf-8"?>
<sst xmlns="http://schemas.openxmlformats.org/spreadsheetml/2006/main" count="1121" uniqueCount="246">
  <si>
    <t>School Level Data on Monograde and Multigrade Enrollment</t>
  </si>
  <si>
    <t>SY 2019-2020</t>
  </si>
  <si>
    <t>Based on LIS, generated as of January 5, 2020</t>
  </si>
  <si>
    <t>Monograde Enrollment</t>
  </si>
  <si>
    <t>Multigrade Enrollment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</si>
  <si>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</si>
  <si>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</si>
  <si>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</si>
  <si>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</si>
  <si>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</si>
  <si>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</si>
  <si>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</si>
  <si>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</si>
  <si>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Grand Total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</si>
  <si>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</si>
  <si>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</si>
  <si>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</si>
  <si>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</si>
  <si>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</si>
  <si>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</si>
  <si>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</si>
  <si>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</si>
  <si>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</si>
  <si>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</si>
  <si>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</si>
  <si>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</si>
  <si>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</si>
  <si>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</si>
  <si>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</si>
  <si>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</si>
  <si>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</si>
  <si>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</si>
  <si>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implementing_unit</t>
  </si>
  <si>
    <t>Modified Curricular Offering</t>
  </si>
  <si>
    <t>kmale_Mono</t>
  </si>
  <si>
    <t>kfemale_Mono</t>
  </si>
  <si>
    <t>g1male_Mono</t>
  </si>
  <si>
    <t>g1female_Mono</t>
  </si>
  <si>
    <t>g2male_Mono</t>
  </si>
  <si>
    <t>g2female_Mono</t>
  </si>
  <si>
    <t>g3male_Mono</t>
  </si>
  <si>
    <t>g3female_Mono</t>
  </si>
  <si>
    <t>g4male_Mono</t>
  </si>
  <si>
    <t>g4female_Mono</t>
  </si>
  <si>
    <t>g5male_Mono</t>
  </si>
  <si>
    <t>g5female_Mono</t>
  </si>
  <si>
    <t>g6male_Mono</t>
  </si>
  <si>
    <t>g6female_Mono</t>
  </si>
  <si>
    <t>ngElemmale_Mono</t>
  </si>
  <si>
    <t>ngElemfemale_Mono</t>
  </si>
  <si>
    <t>kmale_Multi</t>
  </si>
  <si>
    <t>kfemale_Multi</t>
  </si>
  <si>
    <t>g1male_Multi</t>
  </si>
  <si>
    <t>g1female_Multi</t>
  </si>
  <si>
    <t>g2male_Multi</t>
  </si>
  <si>
    <t>g2female_Multi</t>
  </si>
  <si>
    <t>g3male_Multi</t>
  </si>
  <si>
    <t>g3female_Multi</t>
  </si>
  <si>
    <t>g4male_Multi</t>
  </si>
  <si>
    <t>g4female_Multi</t>
  </si>
  <si>
    <t>g5male_Multi</t>
  </si>
  <si>
    <t>g5female_Multi</t>
  </si>
  <si>
    <t>g6male_Multi</t>
  </si>
  <si>
    <t>g6female_Multi</t>
  </si>
  <si>
    <t>ngElemmale_Multi</t>
  </si>
  <si>
    <t>ngElemfemale_Multi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</si>
  <si>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</si>
  <si>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</si>
  <si>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</si>
  <si>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</si>
  <si>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</si>
  <si>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</si>
  <si>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</si>
  <si>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</si>
  <si>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</si>
  <si>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</si>
  <si>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</si>
  <si>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</si>
  <si>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</si>
  <si>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</si>
  <si>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</si>
  <si>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</si>
  <si>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</si>
  <si>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</si>
  <si>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</si>
  <si>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</si>
  <si>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</si>
  <si>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</si>
  <si>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</si>
  <si>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</si>
  <si>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</si>
  <si>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</si>
  <si>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</si>
  <si>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</si>
  <si>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</si>
  <si>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</si>
  <si>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</si>
  <si>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</si>
  <si>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</si>
  <si>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</si>
  <si>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</si>
  <si>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</si>
  <si>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</si>
  <si>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</si>
  <si>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</si>
  <si>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</si>
  <si>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</si>
  <si>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</si>
  <si>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</si>
  <si>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</si>
  <si>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</si>
  <si>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</si>
  <si>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Immaculate Heart of Mary Academy</t>
  </si>
  <si>
    <t>Quezon Street</t>
  </si>
  <si>
    <t>Christian Life School of Davao Oriental, Inc.</t>
  </si>
  <si>
    <t>Sto. Niño  Street</t>
  </si>
  <si>
    <t>Christian Academy in Davao Oriental Technological Colleges, Inc.</t>
  </si>
  <si>
    <t>Kamagong Street</t>
  </si>
  <si>
    <t>Mother school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</si>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</sst>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horizontal="center" vertical="center"/>
    </xf>
    <xf numFmtId="164" fontId="1" fillId="3" borderId="0" xfId="1" applyNumberFormat="1" applyFont="1" applyFill="1" applyBorder="1" applyAlignment="1">
      <alignment horizontal="center" vertical="center"/>
    </xf>
    <xf numFmtId="0" fontId="3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21CB-E2E6-43FB-8DEF-8D01DE00217C}">
  <sheetPr>
    <tabColor rgb="FFFF0000"/>
  </sheetPr>
  <dimension ref="A1:BC74"/>
  <sheetViews>
    <sheetView tabSelected="1" zoomScale="85" zoomScaleNormal="85" workbookViewId="0">
      <pane xSplit="4" ySplit="7" topLeftCell="E54" activePane="bottomRight" state="frozen"/>
      <selection pane="topRight" activeCell="E1" sqref="E1"/>
      <selection pane="bottomLeft" activeCell="A8" sqref="A8"/>
      <selection pane="bottomRight" activeCell="B75" sqref="A75:XFD253"/>
    </sheetView>
  </sheetViews>
  <sheetFormatPr defaultRowHeight="15" x14ac:dyDescent="0.25"/>
  <cols>
    <col min="2" max="2" width="27.140625" bestFit="1" customWidth="1"/>
    <col min="18" max="18" width="13.28515625" bestFit="1" customWidth="1"/>
    <col min="19" max="19" width="11.7109375" bestFit="1" customWidth="1"/>
    <col min="20" max="23" width="13.28515625" bestFit="1" customWidth="1"/>
    <col min="24" max="25" width="11.7109375" bestFit="1" customWidth="1"/>
    <col min="26" max="26" width="13.28515625" bestFit="1" customWidth="1"/>
    <col min="27" max="27" width="11.7109375" bestFit="1" customWidth="1"/>
    <col min="28" max="31" width="13.28515625" bestFit="1" customWidth="1"/>
    <col min="32" max="33" width="10.5703125" bestFit="1" customWidth="1"/>
    <col min="34" max="35" width="10.5703125" customWidth="1"/>
    <col min="36" max="36" width="12.140625" customWidth="1"/>
    <col min="37" max="38" width="9.5703125" bestFit="1" customWidth="1"/>
    <col min="39" max="50" width="10.5703125" bestFit="1" customWidth="1"/>
    <col min="51" max="52" width="9" bestFit="1" customWidth="1"/>
  </cols>
  <sheetData>
    <row r="1" spans="1:55" x14ac:dyDescent="0.25">
      <c r="A1" s="1" t="s">
        <v>0</v>
      </c>
    </row>
    <row r="2" spans="1:55" x14ac:dyDescent="0.25">
      <c r="A2" s="1" t="s">
        <v>1</v>
      </c>
    </row>
    <row r="3" spans="1:55" ht="14.45" customHeight="1" x14ac:dyDescent="0.25">
      <c r="A3" s="1" t="s">
        <v>2</v>
      </c>
      <c r="R3" s="2" t="s">
        <v>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 t="s">
        <v>4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30" customHeight="1" x14ac:dyDescent="0.25">
      <c r="R4" s="4" t="s">
        <v>5</v>
      </c>
      <c r="S4" s="4"/>
      <c r="T4" s="4" t="s">
        <v>6</v>
      </c>
      <c r="U4" s="4"/>
      <c r="V4" s="4" t="s">
        <v>7</v>
      </c>
      <c r="W4" s="4"/>
      <c r="X4" s="4" t="s">
        <v>8</v>
      </c>
      <c r="Y4" s="4"/>
      <c r="Z4" s="4" t="s">
        <v>9</v>
      </c>
      <c r="AA4" s="4"/>
      <c r="AB4" s="4" t="s">
        <v>10</v>
      </c>
      <c r="AC4" s="4"/>
      <c r="AD4" s="4" t="s">
        <v>11</v>
      </c>
      <c r="AE4" s="4"/>
      <c r="AF4" s="4" t="s">
        <v>12</v>
      </c>
      <c r="AG4" s="4"/>
      <c r="AH4" s="5" t="s">
        <v>13</v>
      </c>
      <c r="AI4" s="6"/>
      <c r="AJ4" s="7"/>
      <c r="AK4" s="8" t="s">
        <v>5</v>
      </c>
      <c r="AL4" s="8"/>
      <c r="AM4" s="8" t="s">
        <v>6</v>
      </c>
      <c r="AN4" s="8"/>
      <c r="AO4" s="8" t="s">
        <v>7</v>
      </c>
      <c r="AP4" s="8"/>
      <c r="AQ4" s="8" t="s">
        <v>8</v>
      </c>
      <c r="AR4" s="8"/>
      <c r="AS4" s="8" t="s">
        <v>9</v>
      </c>
      <c r="AT4" s="8"/>
      <c r="AU4" s="8" t="s">
        <v>10</v>
      </c>
      <c r="AV4" s="8"/>
      <c r="AW4" s="8" t="s">
        <v>11</v>
      </c>
      <c r="AX4" s="8"/>
      <c r="AY4" s="8" t="s">
        <v>12</v>
      </c>
      <c r="AZ4" s="8"/>
      <c r="BA4" s="9" t="s">
        <v>13</v>
      </c>
      <c r="BB4" s="10"/>
      <c r="BC4" s="11"/>
    </row>
    <row r="5" spans="1:55" x14ac:dyDescent="0.25">
      <c r="R5" s="12" t="s">
        <v>14</v>
      </c>
      <c r="S5" s="12" t="s">
        <v>15</v>
      </c>
      <c r="T5" s="12" t="s">
        <v>14</v>
      </c>
      <c r="U5" s="12" t="s">
        <v>15</v>
      </c>
      <c r="V5" s="12" t="s">
        <v>14</v>
      </c>
      <c r="W5" s="12" t="s">
        <v>15</v>
      </c>
      <c r="X5" s="12" t="s">
        <v>14</v>
      </c>
      <c r="Y5" s="12" t="s">
        <v>15</v>
      </c>
      <c r="Z5" s="12" t="s">
        <v>14</v>
      </c>
      <c r="AA5" s="12" t="s">
        <v>15</v>
      </c>
      <c r="AB5" s="12" t="s">
        <v>14</v>
      </c>
      <c r="AC5" s="12" t="s">
        <v>15</v>
      </c>
      <c r="AD5" s="12" t="s">
        <v>14</v>
      </c>
      <c r="AE5" s="12" t="s">
        <v>15</v>
      </c>
      <c r="AF5" s="12" t="s">
        <v>14</v>
      </c>
      <c r="AG5" s="12" t="s">
        <v>15</v>
      </c>
      <c r="AH5" s="12" t="s">
        <v>14</v>
      </c>
      <c r="AI5" s="12" t="s">
        <v>15</v>
      </c>
      <c r="AJ5" s="12" t="s">
        <v>16</v>
      </c>
      <c r="AK5" s="13" t="s">
        <v>14</v>
      </c>
      <c r="AL5" s="13" t="s">
        <v>15</v>
      </c>
      <c r="AM5" s="13" t="s">
        <v>14</v>
      </c>
      <c r="AN5" s="13" t="s">
        <v>15</v>
      </c>
      <c r="AO5" s="13" t="s">
        <v>14</v>
      </c>
      <c r="AP5" s="13" t="s">
        <v>15</v>
      </c>
      <c r="AQ5" s="13" t="s">
        <v>14</v>
      </c>
      <c r="AR5" s="13" t="s">
        <v>15</v>
      </c>
      <c r="AS5" s="13" t="s">
        <v>14</v>
      </c>
      <c r="AT5" s="13" t="s">
        <v>15</v>
      </c>
      <c r="AU5" s="13" t="s">
        <v>14</v>
      </c>
      <c r="AV5" s="13" t="s">
        <v>15</v>
      </c>
      <c r="AW5" s="13" t="s">
        <v>14</v>
      </c>
      <c r="AX5" s="13" t="s">
        <v>15</v>
      </c>
      <c r="AY5" s="13" t="s">
        <v>14</v>
      </c>
      <c r="AZ5" s="13" t="s">
        <v>15</v>
      </c>
      <c r="BA5" s="13" t="s">
        <v>14</v>
      </c>
      <c r="BB5" s="13" t="s">
        <v>15</v>
      </c>
      <c r="BC5" s="13" t="s">
        <v>16</v>
      </c>
    </row>
    <row r="6" spans="1:55" x14ac:dyDescent="0.25">
      <c r="R6" s="14">
        <f>SUM(R8:R74)</f>
        <v>1608</v>
      </c>
      <c r="S6" s="14">
        <f>SUM(S8:S74)</f>
        <v>1572</v>
      </c>
      <c r="T6" s="14">
        <f>SUM(T8:T74)</f>
        <v>2055</v>
      </c>
      <c r="U6" s="14">
        <f>SUM(U8:U74)</f>
        <v>1836</v>
      </c>
      <c r="V6" s="14">
        <f>SUM(V8:V74)</f>
        <v>1967</v>
      </c>
      <c r="W6" s="14">
        <f>SUM(W8:W74)</f>
        <v>1739</v>
      </c>
      <c r="X6" s="14">
        <f>SUM(X8:X74)</f>
        <v>1632</v>
      </c>
      <c r="Y6" s="14">
        <f>SUM(Y8:Y74)</f>
        <v>1357</v>
      </c>
      <c r="Z6" s="14">
        <f>SUM(Z8:Z74)</f>
        <v>1675</v>
      </c>
      <c r="AA6" s="14">
        <f>SUM(AA8:AA74)</f>
        <v>1522</v>
      </c>
      <c r="AB6" s="14">
        <f>SUM(AB8:AB74)</f>
        <v>1620</v>
      </c>
      <c r="AC6" s="14">
        <f>SUM(AC8:AC74)</f>
        <v>1664</v>
      </c>
      <c r="AD6" s="14">
        <f>SUM(AD8:AD74)</f>
        <v>1628</v>
      </c>
      <c r="AE6" s="14">
        <f>SUM(AE8:AE74)</f>
        <v>1649</v>
      </c>
      <c r="AF6" s="14">
        <f>SUM(AF8:AF74)</f>
        <v>46</v>
      </c>
      <c r="AG6" s="14">
        <f>SUM(AG8:AG74)</f>
        <v>34</v>
      </c>
      <c r="AH6" s="14">
        <f>SUM(AH8:AH74)</f>
        <v>12231</v>
      </c>
      <c r="AI6" s="14">
        <f>SUM(AI8:AI74)</f>
        <v>11373</v>
      </c>
      <c r="AJ6" s="14">
        <f>SUM(AJ8:AJ74)</f>
        <v>23604</v>
      </c>
      <c r="AK6" s="15">
        <f>SUM(AK8:AK74)</f>
        <v>7</v>
      </c>
      <c r="AL6" s="15">
        <f>SUM(AL8:AL74)</f>
        <v>7</v>
      </c>
      <c r="AM6" s="15">
        <f>SUM(AM8:AM74)</f>
        <v>34</v>
      </c>
      <c r="AN6" s="15">
        <f>SUM(AN8:AN74)</f>
        <v>28</v>
      </c>
      <c r="AO6" s="15">
        <f>SUM(AO8:AO74)</f>
        <v>28</v>
      </c>
      <c r="AP6" s="15">
        <f>SUM(AP8:AP74)</f>
        <v>20</v>
      </c>
      <c r="AQ6" s="15">
        <f>SUM(AQ8:AQ74)</f>
        <v>27</v>
      </c>
      <c r="AR6" s="15">
        <f>SUM(AR8:AR74)</f>
        <v>22</v>
      </c>
      <c r="AS6" s="15">
        <f>SUM(AS8:AS74)</f>
        <v>27</v>
      </c>
      <c r="AT6" s="15">
        <f>SUM(AT8:AT74)</f>
        <v>27</v>
      </c>
      <c r="AU6" s="15">
        <f>SUM(AU8:AU74)</f>
        <v>24</v>
      </c>
      <c r="AV6" s="15">
        <f>SUM(AV8:AV74)</f>
        <v>11</v>
      </c>
      <c r="AW6" s="15">
        <f>SUM(AW8:AW74)</f>
        <v>16</v>
      </c>
      <c r="AX6" s="15">
        <f>SUM(AX8:AX74)</f>
        <v>9</v>
      </c>
      <c r="AY6" s="15">
        <f>SUM(AY8:AY74)</f>
        <v>0</v>
      </c>
      <c r="AZ6" s="15">
        <f>SUM(AZ8:AZ74)</f>
        <v>0</v>
      </c>
      <c r="BA6" s="15">
        <f>SUM(BA8:BA74)</f>
        <v>163</v>
      </c>
      <c r="BB6" s="15">
        <f>SUM(BB8:BB74)</f>
        <v>124</v>
      </c>
      <c r="BC6" s="15">
        <f>SUM(BC8:BC74)</f>
        <v>287</v>
      </c>
    </row>
    <row r="7" spans="1:5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1" t="s">
        <v>32</v>
      </c>
      <c r="Q7" s="16" t="s">
        <v>33</v>
      </c>
      <c r="R7" s="1" t="s">
        <v>34</v>
      </c>
      <c r="S7" s="1" t="s">
        <v>35</v>
      </c>
      <c r="T7" s="1" t="s">
        <v>36</v>
      </c>
      <c r="U7" s="1" t="s">
        <v>37</v>
      </c>
      <c r="V7" s="1" t="s">
        <v>38</v>
      </c>
      <c r="W7" s="1" t="s">
        <v>39</v>
      </c>
      <c r="X7" s="1" t="s">
        <v>40</v>
      </c>
      <c r="Y7" s="1" t="s">
        <v>41</v>
      </c>
      <c r="Z7" s="1" t="s">
        <v>42</v>
      </c>
      <c r="AA7" s="1" t="s">
        <v>43</v>
      </c>
      <c r="AB7" s="1" t="s">
        <v>44</v>
      </c>
      <c r="AC7" s="1" t="s">
        <v>45</v>
      </c>
      <c r="AD7" s="1" t="s">
        <v>46</v>
      </c>
      <c r="AE7" s="1" t="s">
        <v>47</v>
      </c>
      <c r="AF7" s="1" t="s">
        <v>48</v>
      </c>
      <c r="AG7" s="1" t="s">
        <v>49</v>
      </c>
      <c r="AH7" s="1" t="s">
        <v>14</v>
      </c>
      <c r="AI7" s="1" t="s">
        <v>15</v>
      </c>
      <c r="AJ7" s="1" t="s">
        <v>16</v>
      </c>
      <c r="AK7" s="1" t="s">
        <v>50</v>
      </c>
      <c r="AL7" s="1" t="s">
        <v>51</v>
      </c>
      <c r="AM7" s="1" t="s">
        <v>52</v>
      </c>
      <c r="AN7" s="1" t="s">
        <v>53</v>
      </c>
      <c r="AO7" s="1" t="s">
        <v>54</v>
      </c>
      <c r="AP7" s="1" t="s">
        <v>55</v>
      </c>
      <c r="AQ7" s="1" t="s">
        <v>56</v>
      </c>
      <c r="AR7" s="1" t="s">
        <v>57</v>
      </c>
      <c r="AS7" s="1" t="s">
        <v>58</v>
      </c>
      <c r="AT7" s="1" t="s">
        <v>59</v>
      </c>
      <c r="AU7" s="1" t="s">
        <v>60</v>
      </c>
      <c r="AV7" s="1" t="s">
        <v>61</v>
      </c>
      <c r="AW7" s="1" t="s">
        <v>62</v>
      </c>
      <c r="AX7" s="1" t="s">
        <v>63</v>
      </c>
      <c r="AY7" s="1" t="s">
        <v>64</v>
      </c>
      <c r="AZ7" s="1" t="s">
        <v>65</v>
      </c>
      <c r="BA7" s="1" t="s">
        <v>14</v>
      </c>
      <c r="BB7" s="1" t="s">
        <v>15</v>
      </c>
      <c r="BC7" s="1" t="s">
        <v>16</v>
      </c>
    </row>
    <row r="8" spans="1:55" x14ac:dyDescent="0.25">
      <c r="A8" t="s">
        <v>66</v>
      </c>
      <c r="B8" t="s">
        <v>82</v>
      </c>
      <c r="C8" t="s">
        <v>83</v>
      </c>
      <c r="D8">
        <v>129374</v>
      </c>
      <c r="E8" t="s">
        <v>84</v>
      </c>
      <c r="F8" t="s">
        <v>85</v>
      </c>
      <c r="H8" t="s">
        <v>86</v>
      </c>
      <c r="I8" t="s">
        <v>87</v>
      </c>
      <c r="J8" t="s">
        <v>67</v>
      </c>
      <c r="K8" t="s">
        <v>88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>
        <v>37</v>
      </c>
      <c r="S8">
        <v>20</v>
      </c>
      <c r="T8">
        <v>26</v>
      </c>
      <c r="U8">
        <v>39</v>
      </c>
      <c r="V8">
        <v>31</v>
      </c>
      <c r="W8">
        <v>29</v>
      </c>
      <c r="X8">
        <v>37</v>
      </c>
      <c r="Y8">
        <v>28</v>
      </c>
      <c r="Z8">
        <v>30</v>
      </c>
      <c r="AA8">
        <v>28</v>
      </c>
      <c r="AB8">
        <v>28</v>
      </c>
      <c r="AC8">
        <v>44</v>
      </c>
      <c r="AD8">
        <v>32</v>
      </c>
      <c r="AE8">
        <v>22</v>
      </c>
      <c r="AF8">
        <v>0</v>
      </c>
      <c r="AG8">
        <v>0</v>
      </c>
      <c r="AH8">
        <f t="shared" ref="AH8:AI45" si="0">R8+T8+V8+X8+Z8+AB8+AD8+AF8</f>
        <v>221</v>
      </c>
      <c r="AI8">
        <f t="shared" si="0"/>
        <v>210</v>
      </c>
      <c r="AJ8">
        <f t="shared" ref="AJ8:AJ10" si="1">SUM(AH8:AI8)</f>
        <v>431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f t="shared" ref="BA8:BB45" si="2">AK8+AM8+AO8+AQ8+AS8+AU8+AW8+AY8</f>
        <v>0</v>
      </c>
      <c r="BB8">
        <f t="shared" si="2"/>
        <v>0</v>
      </c>
      <c r="BC8">
        <f t="shared" ref="BC8:BC10" si="3">SUM(BA8:BB8)</f>
        <v>0</v>
      </c>
    </row>
    <row r="9" spans="1:55" x14ac:dyDescent="0.25">
      <c r="A9" t="s">
        <v>66</v>
      </c>
      <c r="B9" t="s">
        <v>82</v>
      </c>
      <c r="C9" t="s">
        <v>83</v>
      </c>
      <c r="D9">
        <v>129375</v>
      </c>
      <c r="E9" t="s">
        <v>89</v>
      </c>
      <c r="F9" t="s">
        <v>90</v>
      </c>
      <c r="H9" t="s">
        <v>86</v>
      </c>
      <c r="I9" t="s">
        <v>87</v>
      </c>
      <c r="J9" t="s">
        <v>67</v>
      </c>
      <c r="K9" t="s">
        <v>88</v>
      </c>
      <c r="L9" t="s">
        <v>68</v>
      </c>
      <c r="M9" t="s">
        <v>69</v>
      </c>
      <c r="N9" t="s">
        <v>70</v>
      </c>
      <c r="O9" t="s">
        <v>71</v>
      </c>
      <c r="P9" t="s">
        <v>72</v>
      </c>
      <c r="Q9" t="s">
        <v>73</v>
      </c>
      <c r="R9">
        <v>13</v>
      </c>
      <c r="S9">
        <v>12</v>
      </c>
      <c r="T9">
        <v>9</v>
      </c>
      <c r="U9">
        <v>21</v>
      </c>
      <c r="V9">
        <v>15</v>
      </c>
      <c r="W9">
        <v>15</v>
      </c>
      <c r="X9">
        <v>15</v>
      </c>
      <c r="Y9">
        <v>12</v>
      </c>
      <c r="Z9">
        <v>13</v>
      </c>
      <c r="AA9">
        <v>10</v>
      </c>
      <c r="AB9">
        <v>11</v>
      </c>
      <c r="AC9">
        <v>17</v>
      </c>
      <c r="AD9">
        <v>10</v>
      </c>
      <c r="AE9">
        <v>8</v>
      </c>
      <c r="AF9">
        <v>0</v>
      </c>
      <c r="AG9">
        <v>0</v>
      </c>
      <c r="AH9">
        <f t="shared" si="0"/>
        <v>86</v>
      </c>
      <c r="AI9">
        <f t="shared" si="0"/>
        <v>95</v>
      </c>
      <c r="AJ9">
        <f t="shared" si="1"/>
        <v>181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f t="shared" si="2"/>
        <v>0</v>
      </c>
      <c r="BB9">
        <f t="shared" si="2"/>
        <v>0</v>
      </c>
      <c r="BC9">
        <f t="shared" si="3"/>
        <v>0</v>
      </c>
    </row>
    <row r="10" spans="1:55" x14ac:dyDescent="0.25">
      <c r="A10" t="s">
        <v>66</v>
      </c>
      <c r="B10" t="s">
        <v>82</v>
      </c>
      <c r="C10" t="s">
        <v>83</v>
      </c>
      <c r="D10">
        <v>129376</v>
      </c>
      <c r="E10" t="s">
        <v>91</v>
      </c>
      <c r="F10" t="s">
        <v>92</v>
      </c>
      <c r="H10" t="s">
        <v>86</v>
      </c>
      <c r="I10" t="s">
        <v>87</v>
      </c>
      <c r="J10" t="s">
        <v>67</v>
      </c>
      <c r="K10" t="s">
        <v>93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>
        <v>26</v>
      </c>
      <c r="S10">
        <v>9</v>
      </c>
      <c r="T10">
        <v>38</v>
      </c>
      <c r="U10">
        <v>16</v>
      </c>
      <c r="V10">
        <v>18</v>
      </c>
      <c r="W10">
        <v>23</v>
      </c>
      <c r="X10">
        <v>21</v>
      </c>
      <c r="Y10">
        <v>17</v>
      </c>
      <c r="Z10">
        <v>16</v>
      </c>
      <c r="AA10">
        <v>12</v>
      </c>
      <c r="AB10">
        <v>13</v>
      </c>
      <c r="AC10">
        <v>12</v>
      </c>
      <c r="AD10">
        <v>11</v>
      </c>
      <c r="AE10">
        <v>17</v>
      </c>
      <c r="AF10">
        <v>0</v>
      </c>
      <c r="AG10">
        <v>0</v>
      </c>
      <c r="AH10">
        <f t="shared" si="0"/>
        <v>143</v>
      </c>
      <c r="AI10">
        <f t="shared" si="0"/>
        <v>106</v>
      </c>
      <c r="AJ10">
        <f t="shared" si="1"/>
        <v>249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f t="shared" si="2"/>
        <v>0</v>
      </c>
      <c r="BB10">
        <f t="shared" si="2"/>
        <v>0</v>
      </c>
      <c r="BC10">
        <f t="shared" si="3"/>
        <v>0</v>
      </c>
    </row>
    <row r="11" spans="1:55" x14ac:dyDescent="0.25">
      <c r="A11" t="s">
        <v>66</v>
      </c>
      <c r="B11" t="s">
        <v>82</v>
      </c>
      <c r="C11" t="s">
        <v>83</v>
      </c>
      <c r="D11">
        <v>129377</v>
      </c>
      <c r="E11" t="s">
        <v>94</v>
      </c>
      <c r="F11" t="s">
        <v>95</v>
      </c>
      <c r="H11" t="s">
        <v>86</v>
      </c>
      <c r="I11" t="s">
        <v>87</v>
      </c>
      <c r="J11" t="s">
        <v>67</v>
      </c>
      <c r="K11" t="s">
        <v>96</v>
      </c>
      <c r="L11" t="s">
        <v>68</v>
      </c>
      <c r="M11" t="s">
        <v>69</v>
      </c>
      <c r="N11" t="s">
        <v>70</v>
      </c>
      <c r="O11" t="s">
        <v>71</v>
      </c>
      <c r="P11" t="s">
        <v>72</v>
      </c>
      <c r="Q11" t="s">
        <v>73</v>
      </c>
      <c r="R11">
        <v>24</v>
      </c>
      <c r="S11">
        <v>24</v>
      </c>
      <c r="T11">
        <v>25</v>
      </c>
      <c r="U11">
        <v>26</v>
      </c>
      <c r="V11">
        <v>22</v>
      </c>
      <c r="W11">
        <v>28</v>
      </c>
      <c r="X11">
        <v>21</v>
      </c>
      <c r="Y11">
        <v>24</v>
      </c>
      <c r="Z11">
        <v>28</v>
      </c>
      <c r="AA11">
        <v>22</v>
      </c>
      <c r="AB11">
        <v>27</v>
      </c>
      <c r="AC11">
        <v>25</v>
      </c>
      <c r="AD11">
        <v>32</v>
      </c>
      <c r="AE11">
        <v>31</v>
      </c>
      <c r="AF11">
        <v>0</v>
      </c>
      <c r="AG11">
        <v>0</v>
      </c>
      <c r="AH11">
        <f t="shared" si="0"/>
        <v>179</v>
      </c>
      <c r="AI11">
        <f t="shared" si="0"/>
        <v>180</v>
      </c>
      <c r="AJ11">
        <f t="shared" ref="AJ11:AJ74" si="4">SUM(AH11:AI11)</f>
        <v>359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f t="shared" si="2"/>
        <v>0</v>
      </c>
      <c r="BB11">
        <f t="shared" si="2"/>
        <v>0</v>
      </c>
      <c r="BC11">
        <f t="shared" ref="BC11:BC74" si="5">SUM(BA11:BB11)</f>
        <v>0</v>
      </c>
    </row>
    <row r="12" spans="1:55" x14ac:dyDescent="0.25">
      <c r="A12" t="s">
        <v>66</v>
      </c>
      <c r="B12" t="s">
        <v>82</v>
      </c>
      <c r="C12" t="s">
        <v>83</v>
      </c>
      <c r="D12">
        <v>129380</v>
      </c>
      <c r="E12" t="s">
        <v>97</v>
      </c>
      <c r="F12" t="s">
        <v>98</v>
      </c>
      <c r="H12" t="s">
        <v>86</v>
      </c>
      <c r="I12" t="s">
        <v>87</v>
      </c>
      <c r="J12" t="s">
        <v>67</v>
      </c>
      <c r="K12" t="s">
        <v>93</v>
      </c>
      <c r="L12" t="s">
        <v>68</v>
      </c>
      <c r="M12" t="s">
        <v>69</v>
      </c>
      <c r="N12" t="s">
        <v>70</v>
      </c>
      <c r="O12" t="s">
        <v>71</v>
      </c>
      <c r="P12" t="s">
        <v>72</v>
      </c>
      <c r="Q12" t="s">
        <v>73</v>
      </c>
      <c r="R12">
        <v>86</v>
      </c>
      <c r="S12">
        <v>65</v>
      </c>
      <c r="T12">
        <v>94</v>
      </c>
      <c r="U12">
        <v>92</v>
      </c>
      <c r="V12">
        <v>87</v>
      </c>
      <c r="W12">
        <v>95</v>
      </c>
      <c r="X12">
        <v>93</v>
      </c>
      <c r="Y12">
        <v>55</v>
      </c>
      <c r="Z12">
        <v>80</v>
      </c>
      <c r="AA12">
        <v>88</v>
      </c>
      <c r="AB12">
        <v>101</v>
      </c>
      <c r="AC12">
        <v>88</v>
      </c>
      <c r="AD12">
        <v>95</v>
      </c>
      <c r="AE12">
        <v>109</v>
      </c>
      <c r="AF12">
        <v>0</v>
      </c>
      <c r="AG12">
        <v>0</v>
      </c>
      <c r="AH12">
        <f t="shared" si="0"/>
        <v>636</v>
      </c>
      <c r="AI12">
        <f t="shared" si="0"/>
        <v>592</v>
      </c>
      <c r="AJ12">
        <f t="shared" si="4"/>
        <v>1228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f t="shared" si="2"/>
        <v>0</v>
      </c>
      <c r="BB12">
        <f t="shared" si="2"/>
        <v>0</v>
      </c>
      <c r="BC12">
        <f t="shared" si="5"/>
        <v>0</v>
      </c>
    </row>
    <row r="13" spans="1:55" x14ac:dyDescent="0.25">
      <c r="A13" t="s">
        <v>66</v>
      </c>
      <c r="B13" t="s">
        <v>82</v>
      </c>
      <c r="C13" t="s">
        <v>83</v>
      </c>
      <c r="D13">
        <v>129381</v>
      </c>
      <c r="E13" t="s">
        <v>99</v>
      </c>
      <c r="F13" t="s">
        <v>100</v>
      </c>
      <c r="H13" t="s">
        <v>86</v>
      </c>
      <c r="I13" t="s">
        <v>87</v>
      </c>
      <c r="J13" t="s">
        <v>67</v>
      </c>
      <c r="K13" t="s">
        <v>93</v>
      </c>
      <c r="L13" t="s">
        <v>68</v>
      </c>
      <c r="M13" t="s">
        <v>69</v>
      </c>
      <c r="N13" t="s">
        <v>70</v>
      </c>
      <c r="O13" t="s">
        <v>71</v>
      </c>
      <c r="P13" t="s">
        <v>72</v>
      </c>
      <c r="Q13" t="s">
        <v>73</v>
      </c>
      <c r="R13">
        <v>67</v>
      </c>
      <c r="S13">
        <v>74</v>
      </c>
      <c r="T13">
        <v>94</v>
      </c>
      <c r="U13">
        <v>96</v>
      </c>
      <c r="V13">
        <v>107</v>
      </c>
      <c r="W13">
        <v>84</v>
      </c>
      <c r="X13">
        <v>74</v>
      </c>
      <c r="Y13">
        <v>69</v>
      </c>
      <c r="Z13">
        <v>86</v>
      </c>
      <c r="AA13">
        <v>86</v>
      </c>
      <c r="AB13">
        <v>95</v>
      </c>
      <c r="AC13">
        <v>96</v>
      </c>
      <c r="AD13">
        <v>104</v>
      </c>
      <c r="AE13">
        <v>100</v>
      </c>
      <c r="AF13">
        <v>0</v>
      </c>
      <c r="AG13">
        <v>0</v>
      </c>
      <c r="AH13">
        <f t="shared" si="0"/>
        <v>627</v>
      </c>
      <c r="AI13">
        <f t="shared" si="0"/>
        <v>605</v>
      </c>
      <c r="AJ13">
        <f t="shared" si="4"/>
        <v>1232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f t="shared" si="2"/>
        <v>0</v>
      </c>
      <c r="BB13">
        <f t="shared" si="2"/>
        <v>0</v>
      </c>
      <c r="BC13">
        <f t="shared" si="5"/>
        <v>0</v>
      </c>
    </row>
    <row r="14" spans="1:55" x14ac:dyDescent="0.25">
      <c r="A14" t="s">
        <v>66</v>
      </c>
      <c r="B14" t="s">
        <v>82</v>
      </c>
      <c r="C14" t="s">
        <v>83</v>
      </c>
      <c r="D14">
        <v>129382</v>
      </c>
      <c r="E14" t="s">
        <v>101</v>
      </c>
      <c r="F14" t="s">
        <v>102</v>
      </c>
      <c r="H14" t="s">
        <v>86</v>
      </c>
      <c r="I14" t="s">
        <v>87</v>
      </c>
      <c r="J14" t="s">
        <v>67</v>
      </c>
      <c r="K14" t="s">
        <v>93</v>
      </c>
      <c r="L14" t="s">
        <v>68</v>
      </c>
      <c r="M14" t="s">
        <v>69</v>
      </c>
      <c r="N14" t="s">
        <v>70</v>
      </c>
      <c r="O14" t="s">
        <v>71</v>
      </c>
      <c r="P14" t="s">
        <v>72</v>
      </c>
      <c r="Q14" t="s">
        <v>73</v>
      </c>
      <c r="R14">
        <v>153</v>
      </c>
      <c r="S14">
        <v>156</v>
      </c>
      <c r="T14">
        <v>170</v>
      </c>
      <c r="U14">
        <v>146</v>
      </c>
      <c r="V14">
        <v>183</v>
      </c>
      <c r="W14">
        <v>134</v>
      </c>
      <c r="X14">
        <v>118</v>
      </c>
      <c r="Y14">
        <v>114</v>
      </c>
      <c r="Z14">
        <v>135</v>
      </c>
      <c r="AA14">
        <v>111</v>
      </c>
      <c r="AB14">
        <v>123</v>
      </c>
      <c r="AC14">
        <v>154</v>
      </c>
      <c r="AD14">
        <v>100</v>
      </c>
      <c r="AE14">
        <v>111</v>
      </c>
      <c r="AF14">
        <v>0</v>
      </c>
      <c r="AG14">
        <v>0</v>
      </c>
      <c r="AH14">
        <f t="shared" si="0"/>
        <v>982</v>
      </c>
      <c r="AI14">
        <f t="shared" si="0"/>
        <v>926</v>
      </c>
      <c r="AJ14">
        <f t="shared" si="4"/>
        <v>1908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f t="shared" si="2"/>
        <v>0</v>
      </c>
      <c r="BB14">
        <f t="shared" si="2"/>
        <v>0</v>
      </c>
      <c r="BC14">
        <f t="shared" si="5"/>
        <v>0</v>
      </c>
    </row>
    <row r="15" spans="1:55" x14ac:dyDescent="0.25">
      <c r="A15" t="s">
        <v>66</v>
      </c>
      <c r="B15" t="s">
        <v>82</v>
      </c>
      <c r="C15" t="s">
        <v>83</v>
      </c>
      <c r="D15">
        <v>129383</v>
      </c>
      <c r="E15" t="s">
        <v>103</v>
      </c>
      <c r="F15" t="s">
        <v>104</v>
      </c>
      <c r="H15" t="s">
        <v>86</v>
      </c>
      <c r="I15" t="s">
        <v>87</v>
      </c>
      <c r="J15" t="s">
        <v>67</v>
      </c>
      <c r="K15" t="s">
        <v>93</v>
      </c>
      <c r="L15" t="s">
        <v>68</v>
      </c>
      <c r="M15" t="s">
        <v>69</v>
      </c>
      <c r="N15" t="s">
        <v>70</v>
      </c>
      <c r="O15" t="s">
        <v>71</v>
      </c>
      <c r="P15" t="s">
        <v>72</v>
      </c>
      <c r="Q15" t="s">
        <v>73</v>
      </c>
      <c r="R15">
        <v>82</v>
      </c>
      <c r="S15">
        <v>52</v>
      </c>
      <c r="T15">
        <v>84</v>
      </c>
      <c r="U15">
        <v>59</v>
      </c>
      <c r="V15">
        <v>69</v>
      </c>
      <c r="W15">
        <v>65</v>
      </c>
      <c r="X15">
        <v>57</v>
      </c>
      <c r="Y15">
        <v>46</v>
      </c>
      <c r="Z15">
        <v>65</v>
      </c>
      <c r="AA15">
        <v>71</v>
      </c>
      <c r="AB15">
        <v>74</v>
      </c>
      <c r="AC15">
        <v>71</v>
      </c>
      <c r="AD15">
        <v>65</v>
      </c>
      <c r="AE15">
        <v>71</v>
      </c>
      <c r="AF15">
        <v>0</v>
      </c>
      <c r="AG15">
        <v>0</v>
      </c>
      <c r="AH15">
        <f t="shared" si="0"/>
        <v>496</v>
      </c>
      <c r="AI15">
        <f t="shared" si="0"/>
        <v>435</v>
      </c>
      <c r="AJ15">
        <f t="shared" si="4"/>
        <v>931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f t="shared" si="2"/>
        <v>0</v>
      </c>
      <c r="BB15">
        <f t="shared" si="2"/>
        <v>0</v>
      </c>
      <c r="BC15">
        <f t="shared" si="5"/>
        <v>0</v>
      </c>
    </row>
    <row r="16" spans="1:55" x14ac:dyDescent="0.25">
      <c r="A16" t="s">
        <v>66</v>
      </c>
      <c r="B16" t="s">
        <v>82</v>
      </c>
      <c r="C16" t="s">
        <v>83</v>
      </c>
      <c r="D16">
        <v>129384</v>
      </c>
      <c r="E16" t="s">
        <v>105</v>
      </c>
      <c r="F16" t="s">
        <v>106</v>
      </c>
      <c r="H16" t="s">
        <v>86</v>
      </c>
      <c r="I16" t="s">
        <v>87</v>
      </c>
      <c r="J16" t="s">
        <v>67</v>
      </c>
      <c r="K16" t="s">
        <v>93</v>
      </c>
      <c r="L16" t="s">
        <v>68</v>
      </c>
      <c r="M16" t="s">
        <v>69</v>
      </c>
      <c r="N16" t="s">
        <v>70</v>
      </c>
      <c r="O16" t="s">
        <v>71</v>
      </c>
      <c r="P16" t="s">
        <v>72</v>
      </c>
      <c r="Q16" t="s">
        <v>73</v>
      </c>
      <c r="R16">
        <v>8</v>
      </c>
      <c r="S16">
        <v>9</v>
      </c>
      <c r="T16">
        <v>11</v>
      </c>
      <c r="U16">
        <v>11</v>
      </c>
      <c r="V16">
        <v>11</v>
      </c>
      <c r="W16">
        <v>10</v>
      </c>
      <c r="X16">
        <v>5</v>
      </c>
      <c r="Y16">
        <v>9</v>
      </c>
      <c r="Z16">
        <v>9</v>
      </c>
      <c r="AA16">
        <v>6</v>
      </c>
      <c r="AB16">
        <v>3</v>
      </c>
      <c r="AC16">
        <v>13</v>
      </c>
      <c r="AD16">
        <v>10</v>
      </c>
      <c r="AE16">
        <v>7</v>
      </c>
      <c r="AF16">
        <v>0</v>
      </c>
      <c r="AG16">
        <v>0</v>
      </c>
      <c r="AH16">
        <f t="shared" si="0"/>
        <v>57</v>
      </c>
      <c r="AI16">
        <f t="shared" si="0"/>
        <v>65</v>
      </c>
      <c r="AJ16">
        <f t="shared" si="4"/>
        <v>122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f t="shared" si="2"/>
        <v>0</v>
      </c>
      <c r="BB16">
        <f t="shared" si="2"/>
        <v>0</v>
      </c>
      <c r="BC16">
        <f t="shared" si="5"/>
        <v>0</v>
      </c>
    </row>
    <row r="17" spans="1:55" x14ac:dyDescent="0.25">
      <c r="A17" t="s">
        <v>66</v>
      </c>
      <c r="B17" t="s">
        <v>82</v>
      </c>
      <c r="C17" t="s">
        <v>83</v>
      </c>
      <c r="D17">
        <v>129385</v>
      </c>
      <c r="E17" t="s">
        <v>107</v>
      </c>
      <c r="F17" t="s">
        <v>108</v>
      </c>
      <c r="H17" t="s">
        <v>86</v>
      </c>
      <c r="I17" t="s">
        <v>87</v>
      </c>
      <c r="J17" t="s">
        <v>67</v>
      </c>
      <c r="K17" t="s">
        <v>88</v>
      </c>
      <c r="L17" t="s">
        <v>68</v>
      </c>
      <c r="M17" t="s">
        <v>69</v>
      </c>
      <c r="N17" t="s">
        <v>70</v>
      </c>
      <c r="O17" t="s">
        <v>71</v>
      </c>
      <c r="P17" t="s">
        <v>72</v>
      </c>
      <c r="Q17" t="s">
        <v>73</v>
      </c>
      <c r="R17">
        <v>47</v>
      </c>
      <c r="S17">
        <v>44</v>
      </c>
      <c r="T17">
        <v>66</v>
      </c>
      <c r="U17">
        <v>54</v>
      </c>
      <c r="V17">
        <v>70</v>
      </c>
      <c r="W17">
        <v>55</v>
      </c>
      <c r="X17">
        <v>58</v>
      </c>
      <c r="Y17">
        <v>38</v>
      </c>
      <c r="Z17">
        <v>64</v>
      </c>
      <c r="AA17">
        <v>51</v>
      </c>
      <c r="AB17">
        <v>54</v>
      </c>
      <c r="AC17">
        <v>51</v>
      </c>
      <c r="AD17">
        <v>52</v>
      </c>
      <c r="AE17">
        <v>62</v>
      </c>
      <c r="AF17">
        <v>0</v>
      </c>
      <c r="AG17">
        <v>0</v>
      </c>
      <c r="AH17">
        <f t="shared" si="0"/>
        <v>411</v>
      </c>
      <c r="AI17">
        <f t="shared" si="0"/>
        <v>355</v>
      </c>
      <c r="AJ17">
        <f t="shared" si="4"/>
        <v>766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f t="shared" si="2"/>
        <v>0</v>
      </c>
      <c r="BB17">
        <f t="shared" si="2"/>
        <v>0</v>
      </c>
      <c r="BC17">
        <f t="shared" si="5"/>
        <v>0</v>
      </c>
    </row>
    <row r="18" spans="1:55" x14ac:dyDescent="0.25">
      <c r="A18" t="s">
        <v>66</v>
      </c>
      <c r="B18" t="s">
        <v>82</v>
      </c>
      <c r="C18" t="s">
        <v>83</v>
      </c>
      <c r="D18">
        <v>129386</v>
      </c>
      <c r="E18" t="s">
        <v>109</v>
      </c>
      <c r="F18" t="s">
        <v>110</v>
      </c>
      <c r="H18" t="s">
        <v>86</v>
      </c>
      <c r="I18" t="s">
        <v>87</v>
      </c>
      <c r="J18" t="s">
        <v>67</v>
      </c>
      <c r="K18" t="s">
        <v>96</v>
      </c>
      <c r="L18" t="s">
        <v>68</v>
      </c>
      <c r="M18" t="s">
        <v>69</v>
      </c>
      <c r="N18" t="s">
        <v>70</v>
      </c>
      <c r="O18" t="s">
        <v>71</v>
      </c>
      <c r="P18" t="s">
        <v>72</v>
      </c>
      <c r="Q18" t="s">
        <v>73</v>
      </c>
      <c r="R18">
        <v>9</v>
      </c>
      <c r="S18">
        <v>9</v>
      </c>
      <c r="T18">
        <v>13</v>
      </c>
      <c r="U18">
        <v>10</v>
      </c>
      <c r="V18">
        <v>5</v>
      </c>
      <c r="W18">
        <v>10</v>
      </c>
      <c r="X18">
        <v>11</v>
      </c>
      <c r="Y18">
        <v>7</v>
      </c>
      <c r="Z18">
        <v>7</v>
      </c>
      <c r="AA18">
        <v>10</v>
      </c>
      <c r="AB18">
        <v>8</v>
      </c>
      <c r="AC18">
        <v>8</v>
      </c>
      <c r="AD18">
        <v>14</v>
      </c>
      <c r="AE18">
        <v>5</v>
      </c>
      <c r="AF18">
        <v>0</v>
      </c>
      <c r="AG18">
        <v>0</v>
      </c>
      <c r="AH18">
        <f t="shared" si="0"/>
        <v>67</v>
      </c>
      <c r="AI18">
        <f t="shared" si="0"/>
        <v>59</v>
      </c>
      <c r="AJ18">
        <f t="shared" si="4"/>
        <v>126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f t="shared" si="2"/>
        <v>0</v>
      </c>
      <c r="BB18">
        <f t="shared" si="2"/>
        <v>0</v>
      </c>
      <c r="BC18">
        <f t="shared" si="5"/>
        <v>0</v>
      </c>
    </row>
    <row r="19" spans="1:55" x14ac:dyDescent="0.25">
      <c r="A19" t="s">
        <v>66</v>
      </c>
      <c r="B19" t="s">
        <v>82</v>
      </c>
      <c r="C19" t="s">
        <v>83</v>
      </c>
      <c r="D19">
        <v>205504</v>
      </c>
      <c r="E19" t="s">
        <v>111</v>
      </c>
      <c r="F19" t="s">
        <v>100</v>
      </c>
      <c r="H19" t="s">
        <v>86</v>
      </c>
      <c r="I19" t="s">
        <v>87</v>
      </c>
      <c r="J19" t="s">
        <v>67</v>
      </c>
      <c r="K19" t="s">
        <v>93</v>
      </c>
      <c r="L19" t="s">
        <v>68</v>
      </c>
      <c r="M19" t="s">
        <v>69</v>
      </c>
      <c r="N19" t="s">
        <v>70</v>
      </c>
      <c r="O19" t="s">
        <v>71</v>
      </c>
      <c r="P19" t="s">
        <v>72</v>
      </c>
      <c r="Q19" t="s">
        <v>73</v>
      </c>
      <c r="R19">
        <v>45</v>
      </c>
      <c r="S19">
        <v>59</v>
      </c>
      <c r="T19">
        <v>50</v>
      </c>
      <c r="U19">
        <v>70</v>
      </c>
      <c r="V19">
        <v>66</v>
      </c>
      <c r="W19">
        <v>54</v>
      </c>
      <c r="X19">
        <v>51</v>
      </c>
      <c r="Y19">
        <v>61</v>
      </c>
      <c r="Z19">
        <v>49</v>
      </c>
      <c r="AA19">
        <v>62</v>
      </c>
      <c r="AB19">
        <v>46</v>
      </c>
      <c r="AC19">
        <v>66</v>
      </c>
      <c r="AD19">
        <v>48</v>
      </c>
      <c r="AE19">
        <v>74</v>
      </c>
      <c r="AF19">
        <v>46</v>
      </c>
      <c r="AG19">
        <v>34</v>
      </c>
      <c r="AH19">
        <f t="shared" si="0"/>
        <v>401</v>
      </c>
      <c r="AI19">
        <f t="shared" si="0"/>
        <v>480</v>
      </c>
      <c r="AJ19">
        <f t="shared" si="4"/>
        <v>881</v>
      </c>
      <c r="AK19">
        <v>0</v>
      </c>
      <c r="AL19">
        <v>0</v>
      </c>
      <c r="AM19">
        <v>4</v>
      </c>
      <c r="AN19">
        <v>1</v>
      </c>
      <c r="AO19">
        <v>2</v>
      </c>
      <c r="AP19">
        <v>3</v>
      </c>
      <c r="AQ19">
        <v>9</v>
      </c>
      <c r="AR19">
        <v>0</v>
      </c>
      <c r="AS19">
        <v>1</v>
      </c>
      <c r="AT19">
        <v>1</v>
      </c>
      <c r="AU19">
        <v>3</v>
      </c>
      <c r="AV19">
        <v>2</v>
      </c>
      <c r="AW19">
        <v>1</v>
      </c>
      <c r="AX19">
        <v>0</v>
      </c>
      <c r="AY19">
        <v>0</v>
      </c>
      <c r="AZ19">
        <v>0</v>
      </c>
      <c r="BA19">
        <f t="shared" si="2"/>
        <v>20</v>
      </c>
      <c r="BB19">
        <f t="shared" si="2"/>
        <v>7</v>
      </c>
      <c r="BC19">
        <f t="shared" si="5"/>
        <v>27</v>
      </c>
    </row>
    <row r="20" spans="1:55" x14ac:dyDescent="0.25">
      <c r="A20" t="s">
        <v>66</v>
      </c>
      <c r="B20" t="s">
        <v>82</v>
      </c>
      <c r="C20" t="s">
        <v>83</v>
      </c>
      <c r="D20">
        <v>405423</v>
      </c>
      <c r="E20" t="s">
        <v>112</v>
      </c>
      <c r="F20" t="s">
        <v>113</v>
      </c>
      <c r="H20" t="s">
        <v>86</v>
      </c>
      <c r="I20" t="s">
        <v>87</v>
      </c>
      <c r="J20" t="s">
        <v>67</v>
      </c>
      <c r="K20" t="s">
        <v>93</v>
      </c>
      <c r="L20" t="s">
        <v>74</v>
      </c>
      <c r="M20" t="s">
        <v>75</v>
      </c>
      <c r="N20" t="s">
        <v>70</v>
      </c>
      <c r="O20" t="s">
        <v>76</v>
      </c>
      <c r="P20" t="s">
        <v>72</v>
      </c>
      <c r="Q20" t="s">
        <v>77</v>
      </c>
      <c r="R20">
        <v>35</v>
      </c>
      <c r="S20">
        <v>31</v>
      </c>
      <c r="T20">
        <v>56</v>
      </c>
      <c r="U20">
        <v>60</v>
      </c>
      <c r="V20">
        <v>63</v>
      </c>
      <c r="W20">
        <v>58</v>
      </c>
      <c r="X20">
        <v>51</v>
      </c>
      <c r="Y20">
        <v>49</v>
      </c>
      <c r="Z20">
        <v>60</v>
      </c>
      <c r="AA20">
        <v>58</v>
      </c>
      <c r="AB20">
        <v>54</v>
      </c>
      <c r="AC20">
        <v>59</v>
      </c>
      <c r="AD20">
        <v>50</v>
      </c>
      <c r="AE20">
        <v>63</v>
      </c>
      <c r="AF20">
        <v>0</v>
      </c>
      <c r="AG20">
        <v>0</v>
      </c>
      <c r="AH20">
        <f t="shared" si="0"/>
        <v>369</v>
      </c>
      <c r="AI20">
        <f t="shared" si="0"/>
        <v>378</v>
      </c>
      <c r="AJ20">
        <f t="shared" si="4"/>
        <v>747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f t="shared" si="2"/>
        <v>0</v>
      </c>
      <c r="BB20">
        <f t="shared" si="2"/>
        <v>0</v>
      </c>
      <c r="BC20">
        <f t="shared" si="5"/>
        <v>0</v>
      </c>
    </row>
    <row r="21" spans="1:55" x14ac:dyDescent="0.25">
      <c r="A21" t="s">
        <v>66</v>
      </c>
      <c r="B21" t="s">
        <v>82</v>
      </c>
      <c r="C21" t="s">
        <v>83</v>
      </c>
      <c r="D21">
        <v>405426</v>
      </c>
      <c r="E21" t="s">
        <v>114</v>
      </c>
      <c r="F21" t="s">
        <v>115</v>
      </c>
      <c r="H21" t="s">
        <v>86</v>
      </c>
      <c r="I21" t="s">
        <v>87</v>
      </c>
      <c r="J21" t="s">
        <v>67</v>
      </c>
      <c r="K21" t="s">
        <v>93</v>
      </c>
      <c r="L21" t="s">
        <v>74</v>
      </c>
      <c r="M21" t="s">
        <v>75</v>
      </c>
      <c r="N21" t="s">
        <v>70</v>
      </c>
      <c r="O21" t="s">
        <v>80</v>
      </c>
      <c r="P21" t="s">
        <v>72</v>
      </c>
      <c r="Q21" t="s">
        <v>81</v>
      </c>
      <c r="R21">
        <v>14</v>
      </c>
      <c r="S21">
        <v>13</v>
      </c>
      <c r="T21">
        <v>29</v>
      </c>
      <c r="U21">
        <v>20</v>
      </c>
      <c r="V21">
        <v>10</v>
      </c>
      <c r="W21">
        <v>14</v>
      </c>
      <c r="X21">
        <v>15</v>
      </c>
      <c r="Y21">
        <v>7</v>
      </c>
      <c r="Z21">
        <v>16</v>
      </c>
      <c r="AA21">
        <v>11</v>
      </c>
      <c r="AB21">
        <v>10</v>
      </c>
      <c r="AC21">
        <v>9</v>
      </c>
      <c r="AD21">
        <v>10</v>
      </c>
      <c r="AE21">
        <v>15</v>
      </c>
      <c r="AF21">
        <v>0</v>
      </c>
      <c r="AG21">
        <v>0</v>
      </c>
      <c r="AH21">
        <f t="shared" si="0"/>
        <v>104</v>
      </c>
      <c r="AI21">
        <f t="shared" si="0"/>
        <v>89</v>
      </c>
      <c r="AJ21">
        <f t="shared" si="4"/>
        <v>193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f t="shared" si="2"/>
        <v>0</v>
      </c>
      <c r="BB21">
        <f t="shared" si="2"/>
        <v>0</v>
      </c>
      <c r="BC21">
        <f t="shared" si="5"/>
        <v>0</v>
      </c>
    </row>
    <row r="22" spans="1:55" x14ac:dyDescent="0.25">
      <c r="A22" t="s">
        <v>66</v>
      </c>
      <c r="B22" t="s">
        <v>82</v>
      </c>
      <c r="C22" t="s">
        <v>83</v>
      </c>
      <c r="D22">
        <v>407899</v>
      </c>
      <c r="E22" t="s">
        <v>116</v>
      </c>
      <c r="F22" t="s">
        <v>117</v>
      </c>
      <c r="H22" t="s">
        <v>86</v>
      </c>
      <c r="I22" t="s">
        <v>87</v>
      </c>
      <c r="J22" t="s">
        <v>67</v>
      </c>
      <c r="K22" t="s">
        <v>96</v>
      </c>
      <c r="L22" t="s">
        <v>74</v>
      </c>
      <c r="M22" t="s">
        <v>75</v>
      </c>
      <c r="N22" t="s">
        <v>118</v>
      </c>
      <c r="O22" t="s">
        <v>71</v>
      </c>
      <c r="P22" t="s">
        <v>72</v>
      </c>
      <c r="Q22" t="s">
        <v>73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f t="shared" si="0"/>
        <v>4</v>
      </c>
      <c r="AI22">
        <f t="shared" si="0"/>
        <v>1</v>
      </c>
      <c r="AJ22">
        <f t="shared" si="4"/>
        <v>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f t="shared" si="2"/>
        <v>0</v>
      </c>
      <c r="BB22">
        <f t="shared" si="2"/>
        <v>0</v>
      </c>
      <c r="BC22">
        <f t="shared" si="5"/>
        <v>0</v>
      </c>
    </row>
    <row r="23" spans="1:55" x14ac:dyDescent="0.25">
      <c r="A23" t="s">
        <v>66</v>
      </c>
      <c r="B23" t="s">
        <v>82</v>
      </c>
      <c r="C23" t="s">
        <v>83</v>
      </c>
      <c r="D23">
        <v>465504</v>
      </c>
      <c r="E23" t="s">
        <v>119</v>
      </c>
      <c r="F23" t="s">
        <v>100</v>
      </c>
      <c r="H23" t="s">
        <v>86</v>
      </c>
      <c r="I23" t="s">
        <v>87</v>
      </c>
      <c r="J23" t="s">
        <v>67</v>
      </c>
      <c r="K23" t="s">
        <v>96</v>
      </c>
      <c r="L23" t="s">
        <v>74</v>
      </c>
      <c r="M23" t="s">
        <v>78</v>
      </c>
      <c r="N23" t="s">
        <v>70</v>
      </c>
      <c r="O23" t="s">
        <v>71</v>
      </c>
      <c r="P23" t="s">
        <v>72</v>
      </c>
      <c r="Q23" t="s">
        <v>73</v>
      </c>
      <c r="R23">
        <v>2</v>
      </c>
      <c r="S23">
        <v>7</v>
      </c>
      <c r="T23">
        <v>4</v>
      </c>
      <c r="U23">
        <v>4</v>
      </c>
      <c r="V23">
        <v>5</v>
      </c>
      <c r="W23">
        <v>2</v>
      </c>
      <c r="X23">
        <v>1</v>
      </c>
      <c r="Y23">
        <v>6</v>
      </c>
      <c r="Z23">
        <v>3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0"/>
        <v>15</v>
      </c>
      <c r="AI23">
        <f t="shared" si="0"/>
        <v>22</v>
      </c>
      <c r="AJ23">
        <f t="shared" si="4"/>
        <v>37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f t="shared" si="2"/>
        <v>0</v>
      </c>
      <c r="BB23">
        <f t="shared" si="2"/>
        <v>0</v>
      </c>
      <c r="BC23">
        <f t="shared" si="5"/>
        <v>0</v>
      </c>
    </row>
    <row r="24" spans="1:55" x14ac:dyDescent="0.25">
      <c r="A24" t="s">
        <v>66</v>
      </c>
      <c r="B24" t="s">
        <v>82</v>
      </c>
      <c r="C24" t="s">
        <v>83</v>
      </c>
      <c r="D24">
        <v>465506</v>
      </c>
      <c r="E24" t="s">
        <v>120</v>
      </c>
      <c r="F24" t="s">
        <v>121</v>
      </c>
      <c r="H24" t="s">
        <v>86</v>
      </c>
      <c r="I24" t="s">
        <v>87</v>
      </c>
      <c r="J24" t="s">
        <v>67</v>
      </c>
      <c r="K24" t="s">
        <v>96</v>
      </c>
      <c r="L24" t="s">
        <v>74</v>
      </c>
      <c r="M24" t="s">
        <v>78</v>
      </c>
      <c r="N24" t="s">
        <v>70</v>
      </c>
      <c r="O24" t="s">
        <v>76</v>
      </c>
      <c r="P24" t="s">
        <v>72</v>
      </c>
      <c r="Q24" t="s">
        <v>77</v>
      </c>
      <c r="R24">
        <v>11</v>
      </c>
      <c r="S24">
        <v>18</v>
      </c>
      <c r="T24">
        <v>22</v>
      </c>
      <c r="U24">
        <v>19</v>
      </c>
      <c r="V24">
        <v>24</v>
      </c>
      <c r="W24">
        <v>20</v>
      </c>
      <c r="X24">
        <v>19</v>
      </c>
      <c r="Y24">
        <v>3</v>
      </c>
      <c r="Z24">
        <v>10</v>
      </c>
      <c r="AA24">
        <v>8</v>
      </c>
      <c r="AB24">
        <v>17</v>
      </c>
      <c r="AC24">
        <v>13</v>
      </c>
      <c r="AD24">
        <v>17</v>
      </c>
      <c r="AE24">
        <v>12</v>
      </c>
      <c r="AF24">
        <v>0</v>
      </c>
      <c r="AG24">
        <v>0</v>
      </c>
      <c r="AH24">
        <f t="shared" si="0"/>
        <v>120</v>
      </c>
      <c r="AI24">
        <f t="shared" si="0"/>
        <v>93</v>
      </c>
      <c r="AJ24">
        <f t="shared" si="4"/>
        <v>213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f t="shared" si="2"/>
        <v>0</v>
      </c>
      <c r="BB24">
        <f t="shared" si="2"/>
        <v>0</v>
      </c>
      <c r="BC24">
        <f t="shared" si="5"/>
        <v>0</v>
      </c>
    </row>
    <row r="25" spans="1:55" x14ac:dyDescent="0.25">
      <c r="A25" t="s">
        <v>66</v>
      </c>
      <c r="B25" t="s">
        <v>82</v>
      </c>
      <c r="C25" t="s">
        <v>83</v>
      </c>
      <c r="D25">
        <v>465507</v>
      </c>
      <c r="E25" t="s">
        <v>122</v>
      </c>
      <c r="F25" t="s">
        <v>102</v>
      </c>
      <c r="H25" t="s">
        <v>86</v>
      </c>
      <c r="I25" t="s">
        <v>87</v>
      </c>
      <c r="J25" t="s">
        <v>67</v>
      </c>
      <c r="K25" t="s">
        <v>93</v>
      </c>
      <c r="L25" t="s">
        <v>74</v>
      </c>
      <c r="M25" t="s">
        <v>75</v>
      </c>
      <c r="N25" t="s">
        <v>70</v>
      </c>
      <c r="O25" t="s">
        <v>79</v>
      </c>
      <c r="P25" t="s">
        <v>72</v>
      </c>
      <c r="Q25" t="s">
        <v>73</v>
      </c>
      <c r="R25">
        <v>15</v>
      </c>
      <c r="S25">
        <v>12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0"/>
        <v>15</v>
      </c>
      <c r="AI25">
        <f t="shared" si="0"/>
        <v>12</v>
      </c>
      <c r="AJ25">
        <f t="shared" si="4"/>
        <v>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f t="shared" si="2"/>
        <v>0</v>
      </c>
      <c r="BB25">
        <f t="shared" si="2"/>
        <v>0</v>
      </c>
      <c r="BC25">
        <f t="shared" si="5"/>
        <v>0</v>
      </c>
    </row>
    <row r="26" spans="1:55" x14ac:dyDescent="0.25">
      <c r="A26" t="s">
        <v>66</v>
      </c>
      <c r="B26" t="s">
        <v>82</v>
      </c>
      <c r="C26" t="s">
        <v>83</v>
      </c>
      <c r="D26">
        <v>465509</v>
      </c>
      <c r="E26" t="s">
        <v>123</v>
      </c>
      <c r="F26" t="s">
        <v>124</v>
      </c>
      <c r="H26" t="s">
        <v>86</v>
      </c>
      <c r="I26" t="s">
        <v>87</v>
      </c>
      <c r="J26" t="s">
        <v>67</v>
      </c>
      <c r="K26" t="s">
        <v>93</v>
      </c>
      <c r="L26" t="s">
        <v>74</v>
      </c>
      <c r="M26" t="s">
        <v>75</v>
      </c>
      <c r="N26" t="s">
        <v>70</v>
      </c>
      <c r="O26" t="s">
        <v>71</v>
      </c>
      <c r="P26" t="s">
        <v>72</v>
      </c>
      <c r="Q26" t="s">
        <v>73</v>
      </c>
      <c r="R26">
        <v>4</v>
      </c>
      <c r="S26">
        <v>6</v>
      </c>
      <c r="T26">
        <v>9</v>
      </c>
      <c r="U26">
        <v>3</v>
      </c>
      <c r="V26">
        <v>3</v>
      </c>
      <c r="W26">
        <v>5</v>
      </c>
      <c r="X26">
        <v>3</v>
      </c>
      <c r="Y26">
        <v>4</v>
      </c>
      <c r="Z26">
        <v>3</v>
      </c>
      <c r="AA26">
        <v>2</v>
      </c>
      <c r="AB26">
        <v>10</v>
      </c>
      <c r="AC26">
        <v>1</v>
      </c>
      <c r="AD26">
        <v>6</v>
      </c>
      <c r="AE26">
        <v>1</v>
      </c>
      <c r="AF26">
        <v>0</v>
      </c>
      <c r="AG26">
        <v>0</v>
      </c>
      <c r="AH26">
        <f t="shared" si="0"/>
        <v>38</v>
      </c>
      <c r="AI26">
        <f t="shared" si="0"/>
        <v>22</v>
      </c>
      <c r="AJ26">
        <f t="shared" si="4"/>
        <v>60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f t="shared" si="2"/>
        <v>0</v>
      </c>
      <c r="BB26">
        <f t="shared" si="2"/>
        <v>0</v>
      </c>
      <c r="BC26">
        <f t="shared" si="5"/>
        <v>0</v>
      </c>
    </row>
    <row r="27" spans="1:55" x14ac:dyDescent="0.25">
      <c r="A27" t="s">
        <v>66</v>
      </c>
      <c r="B27" t="s">
        <v>82</v>
      </c>
      <c r="C27" t="s">
        <v>83</v>
      </c>
      <c r="D27">
        <v>500454</v>
      </c>
      <c r="E27" t="s">
        <v>125</v>
      </c>
      <c r="F27" t="s">
        <v>126</v>
      </c>
      <c r="H27" t="s">
        <v>86</v>
      </c>
      <c r="I27" t="s">
        <v>87</v>
      </c>
      <c r="J27" t="s">
        <v>67</v>
      </c>
      <c r="K27" t="s">
        <v>96</v>
      </c>
      <c r="L27" t="s">
        <v>68</v>
      </c>
      <c r="M27" t="s">
        <v>69</v>
      </c>
      <c r="N27" t="s">
        <v>70</v>
      </c>
      <c r="O27" t="s">
        <v>76</v>
      </c>
      <c r="P27" t="s">
        <v>72</v>
      </c>
      <c r="Q27" t="s">
        <v>77</v>
      </c>
      <c r="R27">
        <v>10</v>
      </c>
      <c r="S27">
        <v>13</v>
      </c>
      <c r="T27">
        <v>17</v>
      </c>
      <c r="U27">
        <v>15</v>
      </c>
      <c r="V27">
        <v>23</v>
      </c>
      <c r="W27">
        <v>21</v>
      </c>
      <c r="X27">
        <v>10</v>
      </c>
      <c r="Y27">
        <v>17</v>
      </c>
      <c r="Z27">
        <v>11</v>
      </c>
      <c r="AA27">
        <v>13</v>
      </c>
      <c r="AB27">
        <v>7</v>
      </c>
      <c r="AC27">
        <v>16</v>
      </c>
      <c r="AD27">
        <v>14</v>
      </c>
      <c r="AE27">
        <v>9</v>
      </c>
      <c r="AF27">
        <v>0</v>
      </c>
      <c r="AG27">
        <v>0</v>
      </c>
      <c r="AH27">
        <f t="shared" si="0"/>
        <v>92</v>
      </c>
      <c r="AI27">
        <f t="shared" si="0"/>
        <v>104</v>
      </c>
      <c r="AJ27">
        <f t="shared" si="4"/>
        <v>196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f t="shared" si="2"/>
        <v>0</v>
      </c>
      <c r="BB27">
        <f t="shared" si="2"/>
        <v>0</v>
      </c>
      <c r="BC27">
        <f t="shared" si="5"/>
        <v>0</v>
      </c>
    </row>
    <row r="28" spans="1:55" x14ac:dyDescent="0.25">
      <c r="A28" t="s">
        <v>66</v>
      </c>
      <c r="B28" t="s">
        <v>82</v>
      </c>
      <c r="C28" t="s">
        <v>83</v>
      </c>
      <c r="D28">
        <v>501424</v>
      </c>
      <c r="E28" t="s">
        <v>127</v>
      </c>
      <c r="F28" t="s">
        <v>128</v>
      </c>
      <c r="H28" t="s">
        <v>86</v>
      </c>
      <c r="I28" t="s">
        <v>87</v>
      </c>
      <c r="J28" t="s">
        <v>67</v>
      </c>
      <c r="K28" t="s">
        <v>129</v>
      </c>
      <c r="L28" t="s">
        <v>68</v>
      </c>
      <c r="M28" t="s">
        <v>69</v>
      </c>
      <c r="N28" t="s">
        <v>70</v>
      </c>
      <c r="O28" t="s">
        <v>80</v>
      </c>
      <c r="P28" t="s">
        <v>72</v>
      </c>
      <c r="Q28" t="s">
        <v>81</v>
      </c>
      <c r="R28">
        <v>22</v>
      </c>
      <c r="S28">
        <v>28</v>
      </c>
      <c r="T28">
        <v>17</v>
      </c>
      <c r="U28">
        <v>16</v>
      </c>
      <c r="V28">
        <v>26</v>
      </c>
      <c r="W28">
        <v>18</v>
      </c>
      <c r="X28">
        <v>12</v>
      </c>
      <c r="Y28">
        <v>12</v>
      </c>
      <c r="Z28">
        <v>26</v>
      </c>
      <c r="AA28">
        <v>23</v>
      </c>
      <c r="AB28">
        <v>16</v>
      </c>
      <c r="AC28">
        <v>20</v>
      </c>
      <c r="AD28">
        <v>18</v>
      </c>
      <c r="AE28">
        <v>26</v>
      </c>
      <c r="AF28">
        <v>0</v>
      </c>
      <c r="AG28">
        <v>0</v>
      </c>
      <c r="AH28">
        <f t="shared" si="0"/>
        <v>137</v>
      </c>
      <c r="AI28">
        <f t="shared" si="0"/>
        <v>143</v>
      </c>
      <c r="AJ28">
        <f t="shared" si="4"/>
        <v>280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f t="shared" si="2"/>
        <v>0</v>
      </c>
      <c r="BB28">
        <f t="shared" si="2"/>
        <v>0</v>
      </c>
      <c r="BC28">
        <f t="shared" si="5"/>
        <v>0</v>
      </c>
    </row>
    <row r="29" spans="1:55" x14ac:dyDescent="0.25">
      <c r="A29" t="s">
        <v>66</v>
      </c>
      <c r="B29" t="s">
        <v>82</v>
      </c>
      <c r="C29" t="s">
        <v>130</v>
      </c>
      <c r="D29">
        <v>101813</v>
      </c>
      <c r="E29" t="s">
        <v>131</v>
      </c>
      <c r="F29" t="s">
        <v>132</v>
      </c>
      <c r="H29" t="s">
        <v>86</v>
      </c>
      <c r="I29" t="s">
        <v>87</v>
      </c>
      <c r="J29" t="s">
        <v>67</v>
      </c>
      <c r="K29" t="s">
        <v>133</v>
      </c>
      <c r="L29" t="s">
        <v>68</v>
      </c>
      <c r="M29" t="s">
        <v>69</v>
      </c>
      <c r="N29" t="s">
        <v>70</v>
      </c>
      <c r="O29" t="s">
        <v>71</v>
      </c>
      <c r="P29" t="s">
        <v>72</v>
      </c>
      <c r="Q29" t="s">
        <v>73</v>
      </c>
      <c r="R29">
        <v>4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8</v>
      </c>
      <c r="AD29">
        <v>9</v>
      </c>
      <c r="AE29">
        <v>5</v>
      </c>
      <c r="AF29">
        <v>0</v>
      </c>
      <c r="AG29">
        <v>0</v>
      </c>
      <c r="AH29">
        <f t="shared" si="0"/>
        <v>16</v>
      </c>
      <c r="AI29">
        <f t="shared" si="0"/>
        <v>16</v>
      </c>
      <c r="AJ29">
        <f t="shared" si="4"/>
        <v>32</v>
      </c>
      <c r="AK29">
        <v>0</v>
      </c>
      <c r="AL29">
        <v>0</v>
      </c>
      <c r="AM29">
        <v>11</v>
      </c>
      <c r="AN29">
        <v>11</v>
      </c>
      <c r="AO29">
        <v>5</v>
      </c>
      <c r="AP29">
        <v>4</v>
      </c>
      <c r="AQ29">
        <v>6</v>
      </c>
      <c r="AR29">
        <v>7</v>
      </c>
      <c r="AS29">
        <v>6</v>
      </c>
      <c r="AT29">
        <v>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f t="shared" si="2"/>
        <v>28</v>
      </c>
      <c r="BB29">
        <f t="shared" si="2"/>
        <v>30</v>
      </c>
      <c r="BC29">
        <f t="shared" si="5"/>
        <v>58</v>
      </c>
    </row>
    <row r="30" spans="1:55" x14ac:dyDescent="0.25">
      <c r="A30" t="s">
        <v>66</v>
      </c>
      <c r="B30" t="s">
        <v>82</v>
      </c>
      <c r="C30" t="s">
        <v>130</v>
      </c>
      <c r="D30">
        <v>129387</v>
      </c>
      <c r="E30" t="s">
        <v>134</v>
      </c>
      <c r="F30" t="s">
        <v>135</v>
      </c>
      <c r="H30" t="s">
        <v>86</v>
      </c>
      <c r="I30" t="s">
        <v>87</v>
      </c>
      <c r="J30" t="s">
        <v>67</v>
      </c>
      <c r="K30" t="s">
        <v>136</v>
      </c>
      <c r="L30" t="s">
        <v>68</v>
      </c>
      <c r="M30" t="s">
        <v>69</v>
      </c>
      <c r="N30" t="s">
        <v>70</v>
      </c>
      <c r="O30" t="s">
        <v>71</v>
      </c>
      <c r="P30" t="s">
        <v>72</v>
      </c>
      <c r="Q30" t="s">
        <v>73</v>
      </c>
      <c r="R30">
        <v>14</v>
      </c>
      <c r="S30">
        <v>18</v>
      </c>
      <c r="T30">
        <v>21</v>
      </c>
      <c r="U30">
        <v>23</v>
      </c>
      <c r="V30">
        <v>16</v>
      </c>
      <c r="W30">
        <v>15</v>
      </c>
      <c r="X30">
        <v>16</v>
      </c>
      <c r="Y30">
        <v>12</v>
      </c>
      <c r="Z30">
        <v>12</v>
      </c>
      <c r="AA30">
        <v>15</v>
      </c>
      <c r="AB30">
        <v>12</v>
      </c>
      <c r="AC30">
        <v>15</v>
      </c>
      <c r="AD30">
        <v>13</v>
      </c>
      <c r="AE30">
        <v>12</v>
      </c>
      <c r="AF30">
        <v>0</v>
      </c>
      <c r="AG30">
        <v>0</v>
      </c>
      <c r="AH30">
        <f t="shared" si="0"/>
        <v>104</v>
      </c>
      <c r="AI30">
        <f t="shared" si="0"/>
        <v>110</v>
      </c>
      <c r="AJ30">
        <f t="shared" si="4"/>
        <v>214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f t="shared" si="2"/>
        <v>0</v>
      </c>
      <c r="BB30">
        <f t="shared" si="2"/>
        <v>0</v>
      </c>
      <c r="BC30">
        <f t="shared" si="5"/>
        <v>0</v>
      </c>
    </row>
    <row r="31" spans="1:55" x14ac:dyDescent="0.25">
      <c r="A31" t="s">
        <v>66</v>
      </c>
      <c r="B31" t="s">
        <v>82</v>
      </c>
      <c r="C31" t="s">
        <v>130</v>
      </c>
      <c r="D31">
        <v>129388</v>
      </c>
      <c r="E31" t="s">
        <v>137</v>
      </c>
      <c r="F31" t="s">
        <v>138</v>
      </c>
      <c r="H31" t="s">
        <v>86</v>
      </c>
      <c r="I31" t="s">
        <v>87</v>
      </c>
      <c r="J31" t="s">
        <v>67</v>
      </c>
      <c r="K31" t="s">
        <v>139</v>
      </c>
      <c r="L31" t="s">
        <v>68</v>
      </c>
      <c r="M31" t="s">
        <v>69</v>
      </c>
      <c r="N31" t="s">
        <v>70</v>
      </c>
      <c r="O31" t="s">
        <v>71</v>
      </c>
      <c r="P31" t="s">
        <v>72</v>
      </c>
      <c r="Q31" t="s">
        <v>73</v>
      </c>
      <c r="R31">
        <v>9</v>
      </c>
      <c r="S31">
        <v>11</v>
      </c>
      <c r="T31">
        <v>28</v>
      </c>
      <c r="U31">
        <v>29</v>
      </c>
      <c r="V31">
        <v>21</v>
      </c>
      <c r="W31">
        <v>25</v>
      </c>
      <c r="X31">
        <v>20</v>
      </c>
      <c r="Y31">
        <v>17</v>
      </c>
      <c r="Z31">
        <v>26</v>
      </c>
      <c r="AA31">
        <v>28</v>
      </c>
      <c r="AB31">
        <v>27</v>
      </c>
      <c r="AC31">
        <v>27</v>
      </c>
      <c r="AD31">
        <v>27</v>
      </c>
      <c r="AE31">
        <v>20</v>
      </c>
      <c r="AF31">
        <v>0</v>
      </c>
      <c r="AG31">
        <v>0</v>
      </c>
      <c r="AH31">
        <f t="shared" si="0"/>
        <v>158</v>
      </c>
      <c r="AI31">
        <f t="shared" si="0"/>
        <v>157</v>
      </c>
      <c r="AJ31">
        <f t="shared" si="4"/>
        <v>315</v>
      </c>
      <c r="AK31">
        <v>7</v>
      </c>
      <c r="AL31">
        <v>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f t="shared" si="2"/>
        <v>7</v>
      </c>
      <c r="BB31">
        <f t="shared" si="2"/>
        <v>7</v>
      </c>
      <c r="BC31">
        <f t="shared" si="5"/>
        <v>14</v>
      </c>
    </row>
    <row r="32" spans="1:55" x14ac:dyDescent="0.25">
      <c r="A32" t="s">
        <v>66</v>
      </c>
      <c r="B32" t="s">
        <v>82</v>
      </c>
      <c r="C32" t="s">
        <v>130</v>
      </c>
      <c r="D32">
        <v>129389</v>
      </c>
      <c r="E32" t="s">
        <v>140</v>
      </c>
      <c r="F32" t="s">
        <v>141</v>
      </c>
      <c r="H32" t="s">
        <v>86</v>
      </c>
      <c r="I32" t="s">
        <v>87</v>
      </c>
      <c r="J32" t="s">
        <v>67</v>
      </c>
      <c r="K32" t="s">
        <v>142</v>
      </c>
      <c r="L32" t="s">
        <v>68</v>
      </c>
      <c r="M32" t="s">
        <v>69</v>
      </c>
      <c r="N32" t="s">
        <v>70</v>
      </c>
      <c r="O32" t="s">
        <v>71</v>
      </c>
      <c r="P32" t="s">
        <v>72</v>
      </c>
      <c r="Q32" t="s">
        <v>73</v>
      </c>
      <c r="R32">
        <v>43</v>
      </c>
      <c r="S32">
        <v>40</v>
      </c>
      <c r="T32">
        <v>55</v>
      </c>
      <c r="U32">
        <v>48</v>
      </c>
      <c r="V32">
        <v>49</v>
      </c>
      <c r="W32">
        <v>49</v>
      </c>
      <c r="X32">
        <v>45</v>
      </c>
      <c r="Y32">
        <v>43</v>
      </c>
      <c r="Z32">
        <v>52</v>
      </c>
      <c r="AA32">
        <v>42</v>
      </c>
      <c r="AB32">
        <v>46</v>
      </c>
      <c r="AC32">
        <v>46</v>
      </c>
      <c r="AD32">
        <v>37</v>
      </c>
      <c r="AE32">
        <v>52</v>
      </c>
      <c r="AF32">
        <v>0</v>
      </c>
      <c r="AG32">
        <v>0</v>
      </c>
      <c r="AH32">
        <f t="shared" si="0"/>
        <v>327</v>
      </c>
      <c r="AI32">
        <f t="shared" si="0"/>
        <v>320</v>
      </c>
      <c r="AJ32">
        <f t="shared" si="4"/>
        <v>647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f t="shared" si="2"/>
        <v>0</v>
      </c>
      <c r="BB32">
        <f t="shared" si="2"/>
        <v>0</v>
      </c>
      <c r="BC32">
        <f t="shared" si="5"/>
        <v>0</v>
      </c>
    </row>
    <row r="33" spans="1:55" x14ac:dyDescent="0.25">
      <c r="A33" t="s">
        <v>66</v>
      </c>
      <c r="B33" t="s">
        <v>82</v>
      </c>
      <c r="C33" t="s">
        <v>130</v>
      </c>
      <c r="D33">
        <v>129390</v>
      </c>
      <c r="E33" t="s">
        <v>143</v>
      </c>
      <c r="F33" t="s">
        <v>144</v>
      </c>
      <c r="H33" t="s">
        <v>86</v>
      </c>
      <c r="I33" t="s">
        <v>87</v>
      </c>
      <c r="J33" t="s">
        <v>67</v>
      </c>
      <c r="K33" t="s">
        <v>136</v>
      </c>
      <c r="L33" t="s">
        <v>68</v>
      </c>
      <c r="M33" t="s">
        <v>69</v>
      </c>
      <c r="N33" t="s">
        <v>70</v>
      </c>
      <c r="O33" t="s">
        <v>71</v>
      </c>
      <c r="P33" t="s">
        <v>72</v>
      </c>
      <c r="Q33" t="s">
        <v>73</v>
      </c>
      <c r="R33">
        <v>18</v>
      </c>
      <c r="S33">
        <v>38</v>
      </c>
      <c r="T33">
        <v>75</v>
      </c>
      <c r="U33">
        <v>63</v>
      </c>
      <c r="V33">
        <v>49</v>
      </c>
      <c r="W33">
        <v>40</v>
      </c>
      <c r="X33">
        <v>54</v>
      </c>
      <c r="Y33">
        <v>42</v>
      </c>
      <c r="Z33">
        <v>35</v>
      </c>
      <c r="AA33">
        <v>46</v>
      </c>
      <c r="AB33">
        <v>45</v>
      </c>
      <c r="AC33">
        <v>46</v>
      </c>
      <c r="AD33">
        <v>46</v>
      </c>
      <c r="AE33">
        <v>55</v>
      </c>
      <c r="AF33">
        <v>0</v>
      </c>
      <c r="AG33">
        <v>0</v>
      </c>
      <c r="AH33">
        <f t="shared" si="0"/>
        <v>322</v>
      </c>
      <c r="AI33">
        <f t="shared" si="0"/>
        <v>330</v>
      </c>
      <c r="AJ33">
        <f t="shared" si="4"/>
        <v>652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f t="shared" si="2"/>
        <v>0</v>
      </c>
      <c r="BB33">
        <f t="shared" si="2"/>
        <v>0</v>
      </c>
      <c r="BC33">
        <f t="shared" si="5"/>
        <v>0</v>
      </c>
    </row>
    <row r="34" spans="1:55" x14ac:dyDescent="0.25">
      <c r="A34" t="s">
        <v>66</v>
      </c>
      <c r="B34" t="s">
        <v>82</v>
      </c>
      <c r="C34" t="s">
        <v>130</v>
      </c>
      <c r="D34">
        <v>129391</v>
      </c>
      <c r="E34" t="s">
        <v>145</v>
      </c>
      <c r="F34" t="s">
        <v>146</v>
      </c>
      <c r="H34" t="s">
        <v>86</v>
      </c>
      <c r="I34" t="s">
        <v>87</v>
      </c>
      <c r="J34" t="s">
        <v>67</v>
      </c>
      <c r="K34" t="s">
        <v>147</v>
      </c>
      <c r="L34" t="s">
        <v>68</v>
      </c>
      <c r="M34" t="s">
        <v>69</v>
      </c>
      <c r="N34" t="s">
        <v>70</v>
      </c>
      <c r="O34" t="s">
        <v>71</v>
      </c>
      <c r="P34" t="s">
        <v>72</v>
      </c>
      <c r="Q34" t="s">
        <v>73</v>
      </c>
      <c r="R34">
        <v>13</v>
      </c>
      <c r="S34">
        <v>16</v>
      </c>
      <c r="T34">
        <v>29</v>
      </c>
      <c r="U34">
        <v>22</v>
      </c>
      <c r="V34">
        <v>30</v>
      </c>
      <c r="W34">
        <v>20</v>
      </c>
      <c r="X34">
        <v>18</v>
      </c>
      <c r="Y34">
        <v>10</v>
      </c>
      <c r="Z34">
        <v>23</v>
      </c>
      <c r="AA34">
        <v>21</v>
      </c>
      <c r="AB34">
        <v>11</v>
      </c>
      <c r="AC34">
        <v>18</v>
      </c>
      <c r="AD34">
        <v>23</v>
      </c>
      <c r="AE34">
        <v>21</v>
      </c>
      <c r="AF34">
        <v>0</v>
      </c>
      <c r="AG34">
        <v>0</v>
      </c>
      <c r="AH34">
        <f t="shared" si="0"/>
        <v>147</v>
      </c>
      <c r="AI34">
        <f t="shared" si="0"/>
        <v>128</v>
      </c>
      <c r="AJ34">
        <f t="shared" si="4"/>
        <v>275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f t="shared" si="2"/>
        <v>0</v>
      </c>
      <c r="BB34">
        <f t="shared" si="2"/>
        <v>0</v>
      </c>
      <c r="BC34">
        <f t="shared" si="5"/>
        <v>0</v>
      </c>
    </row>
    <row r="35" spans="1:55" x14ac:dyDescent="0.25">
      <c r="A35" t="s">
        <v>66</v>
      </c>
      <c r="B35" t="s">
        <v>82</v>
      </c>
      <c r="C35" t="s">
        <v>130</v>
      </c>
      <c r="D35">
        <v>129392</v>
      </c>
      <c r="E35" t="s">
        <v>148</v>
      </c>
      <c r="F35" t="s">
        <v>149</v>
      </c>
      <c r="H35" t="s">
        <v>86</v>
      </c>
      <c r="I35" t="s">
        <v>87</v>
      </c>
      <c r="J35" t="s">
        <v>67</v>
      </c>
      <c r="K35" t="s">
        <v>150</v>
      </c>
      <c r="L35" t="s">
        <v>68</v>
      </c>
      <c r="M35" t="s">
        <v>69</v>
      </c>
      <c r="N35" t="s">
        <v>70</v>
      </c>
      <c r="O35" t="s">
        <v>71</v>
      </c>
      <c r="P35" t="s">
        <v>72</v>
      </c>
      <c r="Q35" t="s">
        <v>73</v>
      </c>
      <c r="R35">
        <v>27</v>
      </c>
      <c r="S35">
        <v>22</v>
      </c>
      <c r="T35">
        <v>28</v>
      </c>
      <c r="U35">
        <v>25</v>
      </c>
      <c r="V35">
        <v>36</v>
      </c>
      <c r="W35">
        <v>25</v>
      </c>
      <c r="X35">
        <v>23</v>
      </c>
      <c r="Y35">
        <v>15</v>
      </c>
      <c r="Z35">
        <v>20</v>
      </c>
      <c r="AA35">
        <v>23</v>
      </c>
      <c r="AB35">
        <v>36</v>
      </c>
      <c r="AC35">
        <v>14</v>
      </c>
      <c r="AD35">
        <v>27</v>
      </c>
      <c r="AE35">
        <v>15</v>
      </c>
      <c r="AF35">
        <v>0</v>
      </c>
      <c r="AG35">
        <v>0</v>
      </c>
      <c r="AH35">
        <f t="shared" si="0"/>
        <v>197</v>
      </c>
      <c r="AI35">
        <f t="shared" si="0"/>
        <v>139</v>
      </c>
      <c r="AJ35">
        <f t="shared" si="4"/>
        <v>336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f t="shared" si="2"/>
        <v>0</v>
      </c>
      <c r="BB35">
        <f t="shared" si="2"/>
        <v>0</v>
      </c>
      <c r="BC35">
        <f t="shared" si="5"/>
        <v>0</v>
      </c>
    </row>
    <row r="36" spans="1:55" x14ac:dyDescent="0.25">
      <c r="A36" t="s">
        <v>66</v>
      </c>
      <c r="B36" t="s">
        <v>82</v>
      </c>
      <c r="C36" t="s">
        <v>130</v>
      </c>
      <c r="D36">
        <v>129393</v>
      </c>
      <c r="E36" t="s">
        <v>151</v>
      </c>
      <c r="F36" t="s">
        <v>152</v>
      </c>
      <c r="H36" t="s">
        <v>86</v>
      </c>
      <c r="I36" t="s">
        <v>87</v>
      </c>
      <c r="J36" t="s">
        <v>67</v>
      </c>
      <c r="K36" t="s">
        <v>153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>
        <v>7</v>
      </c>
      <c r="S36">
        <v>8</v>
      </c>
      <c r="T36">
        <v>7</v>
      </c>
      <c r="U36">
        <v>6</v>
      </c>
      <c r="V36">
        <v>10</v>
      </c>
      <c r="W36">
        <v>1</v>
      </c>
      <c r="X36">
        <v>1</v>
      </c>
      <c r="Y36">
        <v>5</v>
      </c>
      <c r="Z36">
        <v>5</v>
      </c>
      <c r="AA36">
        <v>2</v>
      </c>
      <c r="AB36">
        <v>1</v>
      </c>
      <c r="AC36">
        <v>3</v>
      </c>
      <c r="AD36">
        <v>2</v>
      </c>
      <c r="AE36">
        <v>3</v>
      </c>
      <c r="AF36">
        <v>0</v>
      </c>
      <c r="AG36">
        <v>0</v>
      </c>
      <c r="AH36">
        <f t="shared" si="0"/>
        <v>33</v>
      </c>
      <c r="AI36">
        <f t="shared" si="0"/>
        <v>28</v>
      </c>
      <c r="AJ36">
        <f t="shared" si="4"/>
        <v>61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f t="shared" si="2"/>
        <v>0</v>
      </c>
      <c r="BB36">
        <f t="shared" si="2"/>
        <v>0</v>
      </c>
      <c r="BC36">
        <f t="shared" si="5"/>
        <v>0</v>
      </c>
    </row>
    <row r="37" spans="1:55" x14ac:dyDescent="0.25">
      <c r="A37" t="s">
        <v>66</v>
      </c>
      <c r="B37" t="s">
        <v>82</v>
      </c>
      <c r="C37" t="s">
        <v>130</v>
      </c>
      <c r="D37">
        <v>129394</v>
      </c>
      <c r="E37" t="s">
        <v>154</v>
      </c>
      <c r="F37" t="s">
        <v>155</v>
      </c>
      <c r="H37" t="s">
        <v>86</v>
      </c>
      <c r="I37" t="s">
        <v>87</v>
      </c>
      <c r="J37" t="s">
        <v>67</v>
      </c>
      <c r="K37" t="s">
        <v>147</v>
      </c>
      <c r="L37" t="s">
        <v>68</v>
      </c>
      <c r="M37" t="s">
        <v>69</v>
      </c>
      <c r="N37" t="s">
        <v>70</v>
      </c>
      <c r="O37" t="s">
        <v>71</v>
      </c>
      <c r="P37" t="s">
        <v>72</v>
      </c>
      <c r="Q37" t="s">
        <v>73</v>
      </c>
      <c r="R37">
        <v>9</v>
      </c>
      <c r="S37">
        <v>7</v>
      </c>
      <c r="T37">
        <v>11</v>
      </c>
      <c r="U37">
        <v>7</v>
      </c>
      <c r="V37">
        <v>13</v>
      </c>
      <c r="W37">
        <v>10</v>
      </c>
      <c r="X37">
        <v>7</v>
      </c>
      <c r="Y37">
        <v>6</v>
      </c>
      <c r="Z37">
        <v>4</v>
      </c>
      <c r="AA37">
        <v>9</v>
      </c>
      <c r="AB37">
        <v>6</v>
      </c>
      <c r="AC37">
        <v>7</v>
      </c>
      <c r="AD37">
        <v>7</v>
      </c>
      <c r="AE37">
        <v>7</v>
      </c>
      <c r="AF37">
        <v>0</v>
      </c>
      <c r="AG37">
        <v>0</v>
      </c>
      <c r="AH37">
        <f t="shared" si="0"/>
        <v>57</v>
      </c>
      <c r="AI37">
        <f t="shared" si="0"/>
        <v>53</v>
      </c>
      <c r="AJ37">
        <f t="shared" si="4"/>
        <v>110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f t="shared" si="2"/>
        <v>0</v>
      </c>
      <c r="BB37">
        <f t="shared" si="2"/>
        <v>0</v>
      </c>
      <c r="BC37">
        <f t="shared" si="5"/>
        <v>0</v>
      </c>
    </row>
    <row r="38" spans="1:55" x14ac:dyDescent="0.25">
      <c r="A38" t="s">
        <v>66</v>
      </c>
      <c r="B38" t="s">
        <v>82</v>
      </c>
      <c r="C38" t="s">
        <v>130</v>
      </c>
      <c r="D38">
        <v>129395</v>
      </c>
      <c r="E38" t="s">
        <v>156</v>
      </c>
      <c r="F38" t="s">
        <v>157</v>
      </c>
      <c r="H38" t="s">
        <v>86</v>
      </c>
      <c r="I38" t="s">
        <v>87</v>
      </c>
      <c r="J38" t="s">
        <v>67</v>
      </c>
      <c r="K38" t="s">
        <v>142</v>
      </c>
      <c r="L38" t="s">
        <v>68</v>
      </c>
      <c r="M38" t="s">
        <v>69</v>
      </c>
      <c r="N38" t="s">
        <v>70</v>
      </c>
      <c r="O38" t="s">
        <v>71</v>
      </c>
      <c r="P38" t="s">
        <v>72</v>
      </c>
      <c r="Q38" t="s">
        <v>73</v>
      </c>
      <c r="R38">
        <v>47</v>
      </c>
      <c r="S38">
        <v>58</v>
      </c>
      <c r="T38">
        <v>65</v>
      </c>
      <c r="U38">
        <v>42</v>
      </c>
      <c r="V38">
        <v>62</v>
      </c>
      <c r="W38">
        <v>43</v>
      </c>
      <c r="X38">
        <v>56</v>
      </c>
      <c r="Y38">
        <v>33</v>
      </c>
      <c r="Z38">
        <v>48</v>
      </c>
      <c r="AA38">
        <v>44</v>
      </c>
      <c r="AB38">
        <v>40</v>
      </c>
      <c r="AC38">
        <v>47</v>
      </c>
      <c r="AD38">
        <v>50</v>
      </c>
      <c r="AE38">
        <v>33</v>
      </c>
      <c r="AF38">
        <v>0</v>
      </c>
      <c r="AG38">
        <v>0</v>
      </c>
      <c r="AH38">
        <f t="shared" si="0"/>
        <v>368</v>
      </c>
      <c r="AI38">
        <f t="shared" si="0"/>
        <v>300</v>
      </c>
      <c r="AJ38">
        <f t="shared" si="4"/>
        <v>668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f t="shared" si="2"/>
        <v>0</v>
      </c>
      <c r="BB38">
        <f t="shared" si="2"/>
        <v>0</v>
      </c>
      <c r="BC38">
        <f t="shared" si="5"/>
        <v>0</v>
      </c>
    </row>
    <row r="39" spans="1:55" x14ac:dyDescent="0.25">
      <c r="A39" t="s">
        <v>66</v>
      </c>
      <c r="B39" t="s">
        <v>82</v>
      </c>
      <c r="C39" t="s">
        <v>130</v>
      </c>
      <c r="D39">
        <v>129396</v>
      </c>
      <c r="E39" t="s">
        <v>158</v>
      </c>
      <c r="F39" t="s">
        <v>159</v>
      </c>
      <c r="H39" t="s">
        <v>86</v>
      </c>
      <c r="I39" t="s">
        <v>87</v>
      </c>
      <c r="J39" t="s">
        <v>67</v>
      </c>
      <c r="K39" t="s">
        <v>153</v>
      </c>
      <c r="L39" t="s">
        <v>68</v>
      </c>
      <c r="M39" t="s">
        <v>69</v>
      </c>
      <c r="N39" t="s">
        <v>70</v>
      </c>
      <c r="O39" t="s">
        <v>71</v>
      </c>
      <c r="P39" t="s">
        <v>72</v>
      </c>
      <c r="Q39" t="s">
        <v>73</v>
      </c>
      <c r="R39">
        <v>49</v>
      </c>
      <c r="S39">
        <v>46</v>
      </c>
      <c r="T39">
        <v>34</v>
      </c>
      <c r="U39">
        <v>25</v>
      </c>
      <c r="V39">
        <v>47</v>
      </c>
      <c r="W39">
        <v>42</v>
      </c>
      <c r="X39">
        <v>43</v>
      </c>
      <c r="Y39">
        <v>26</v>
      </c>
      <c r="Z39">
        <v>42</v>
      </c>
      <c r="AA39">
        <v>33</v>
      </c>
      <c r="AB39">
        <v>38</v>
      </c>
      <c r="AC39">
        <v>35</v>
      </c>
      <c r="AD39">
        <v>33</v>
      </c>
      <c r="AE39">
        <v>28</v>
      </c>
      <c r="AF39">
        <v>0</v>
      </c>
      <c r="AG39">
        <v>0</v>
      </c>
      <c r="AH39">
        <f t="shared" si="0"/>
        <v>286</v>
      </c>
      <c r="AI39">
        <f t="shared" si="0"/>
        <v>235</v>
      </c>
      <c r="AJ39">
        <f t="shared" si="4"/>
        <v>521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f t="shared" si="2"/>
        <v>0</v>
      </c>
      <c r="BB39">
        <f t="shared" si="2"/>
        <v>0</v>
      </c>
      <c r="BC39">
        <f t="shared" si="5"/>
        <v>0</v>
      </c>
    </row>
    <row r="40" spans="1:55" x14ac:dyDescent="0.25">
      <c r="A40" t="s">
        <v>66</v>
      </c>
      <c r="B40" t="s">
        <v>82</v>
      </c>
      <c r="C40" t="s">
        <v>130</v>
      </c>
      <c r="D40">
        <v>129397</v>
      </c>
      <c r="E40" t="s">
        <v>160</v>
      </c>
      <c r="F40" t="s">
        <v>161</v>
      </c>
      <c r="H40" t="s">
        <v>86</v>
      </c>
      <c r="I40" t="s">
        <v>87</v>
      </c>
      <c r="J40" t="s">
        <v>67</v>
      </c>
      <c r="K40" t="s">
        <v>162</v>
      </c>
      <c r="L40" t="s">
        <v>68</v>
      </c>
      <c r="M40" t="s">
        <v>69</v>
      </c>
      <c r="N40" t="s">
        <v>70</v>
      </c>
      <c r="O40" t="s">
        <v>71</v>
      </c>
      <c r="P40" t="s">
        <v>72</v>
      </c>
      <c r="Q40" t="s">
        <v>73</v>
      </c>
      <c r="R40">
        <v>10</v>
      </c>
      <c r="S40">
        <v>16</v>
      </c>
      <c r="T40">
        <v>18</v>
      </c>
      <c r="U40">
        <v>12</v>
      </c>
      <c r="V40">
        <v>17</v>
      </c>
      <c r="W40">
        <v>13</v>
      </c>
      <c r="X40">
        <v>14</v>
      </c>
      <c r="Y40">
        <v>3</v>
      </c>
      <c r="Z40">
        <v>13</v>
      </c>
      <c r="AA40">
        <v>7</v>
      </c>
      <c r="AB40">
        <v>20</v>
      </c>
      <c r="AC40">
        <v>11</v>
      </c>
      <c r="AD40">
        <v>14</v>
      </c>
      <c r="AE40">
        <v>16</v>
      </c>
      <c r="AF40">
        <v>0</v>
      </c>
      <c r="AG40">
        <v>0</v>
      </c>
      <c r="AH40">
        <f t="shared" si="0"/>
        <v>106</v>
      </c>
      <c r="AI40">
        <f t="shared" si="0"/>
        <v>78</v>
      </c>
      <c r="AJ40">
        <f t="shared" si="4"/>
        <v>184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f t="shared" si="2"/>
        <v>0</v>
      </c>
      <c r="BB40">
        <f t="shared" si="2"/>
        <v>0</v>
      </c>
      <c r="BC40">
        <f t="shared" si="5"/>
        <v>0</v>
      </c>
    </row>
    <row r="41" spans="1:55" x14ac:dyDescent="0.25">
      <c r="A41" t="s">
        <v>66</v>
      </c>
      <c r="B41" t="s">
        <v>82</v>
      </c>
      <c r="C41" t="s">
        <v>130</v>
      </c>
      <c r="D41">
        <v>129398</v>
      </c>
      <c r="E41" t="s">
        <v>163</v>
      </c>
      <c r="F41" t="s">
        <v>164</v>
      </c>
      <c r="H41" t="s">
        <v>86</v>
      </c>
      <c r="I41" t="s">
        <v>87</v>
      </c>
      <c r="J41" t="s">
        <v>67</v>
      </c>
      <c r="K41" t="s">
        <v>165</v>
      </c>
      <c r="L41" t="s">
        <v>68</v>
      </c>
      <c r="M41" t="s">
        <v>69</v>
      </c>
      <c r="N41" t="s">
        <v>70</v>
      </c>
      <c r="O41" t="s">
        <v>71</v>
      </c>
      <c r="P41" t="s">
        <v>72</v>
      </c>
      <c r="Q41" t="s">
        <v>73</v>
      </c>
      <c r="R41">
        <v>25</v>
      </c>
      <c r="S41">
        <v>32</v>
      </c>
      <c r="T41">
        <v>54</v>
      </c>
      <c r="U41">
        <v>66</v>
      </c>
      <c r="V41">
        <v>49</v>
      </c>
      <c r="W41">
        <v>43</v>
      </c>
      <c r="X41">
        <v>33</v>
      </c>
      <c r="Y41">
        <v>28</v>
      </c>
      <c r="Z41">
        <v>38</v>
      </c>
      <c r="AA41">
        <v>39</v>
      </c>
      <c r="AB41">
        <v>45</v>
      </c>
      <c r="AC41">
        <v>27</v>
      </c>
      <c r="AD41">
        <v>26</v>
      </c>
      <c r="AE41">
        <v>42</v>
      </c>
      <c r="AF41">
        <v>0</v>
      </c>
      <c r="AG41">
        <v>0</v>
      </c>
      <c r="AH41">
        <f t="shared" si="0"/>
        <v>270</v>
      </c>
      <c r="AI41">
        <f t="shared" si="0"/>
        <v>277</v>
      </c>
      <c r="AJ41">
        <f t="shared" si="4"/>
        <v>547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f t="shared" si="2"/>
        <v>0</v>
      </c>
      <c r="BB41">
        <f t="shared" si="2"/>
        <v>0</v>
      </c>
      <c r="BC41">
        <f t="shared" si="5"/>
        <v>0</v>
      </c>
    </row>
    <row r="42" spans="1:55" x14ac:dyDescent="0.25">
      <c r="A42" t="s">
        <v>66</v>
      </c>
      <c r="B42" t="s">
        <v>82</v>
      </c>
      <c r="C42" t="s">
        <v>130</v>
      </c>
      <c r="D42">
        <v>129399</v>
      </c>
      <c r="E42" t="s">
        <v>166</v>
      </c>
      <c r="F42" t="s">
        <v>167</v>
      </c>
      <c r="H42" t="s">
        <v>86</v>
      </c>
      <c r="I42" t="s">
        <v>87</v>
      </c>
      <c r="J42" t="s">
        <v>67</v>
      </c>
      <c r="K42" t="s">
        <v>168</v>
      </c>
      <c r="L42" t="s">
        <v>68</v>
      </c>
      <c r="M42" t="s">
        <v>69</v>
      </c>
      <c r="N42" t="s">
        <v>70</v>
      </c>
      <c r="O42" t="s">
        <v>71</v>
      </c>
      <c r="P42" t="s">
        <v>72</v>
      </c>
      <c r="Q42" t="s">
        <v>73</v>
      </c>
      <c r="R42">
        <v>34</v>
      </c>
      <c r="S42">
        <v>43</v>
      </c>
      <c r="T42">
        <v>41</v>
      </c>
      <c r="U42">
        <v>33</v>
      </c>
      <c r="V42">
        <v>53</v>
      </c>
      <c r="W42">
        <v>47</v>
      </c>
      <c r="X42">
        <v>42</v>
      </c>
      <c r="Y42">
        <v>32</v>
      </c>
      <c r="Z42">
        <v>36</v>
      </c>
      <c r="AA42">
        <v>34</v>
      </c>
      <c r="AB42">
        <v>37</v>
      </c>
      <c r="AC42">
        <v>36</v>
      </c>
      <c r="AD42">
        <v>41</v>
      </c>
      <c r="AE42">
        <v>35</v>
      </c>
      <c r="AF42">
        <v>0</v>
      </c>
      <c r="AG42">
        <v>0</v>
      </c>
      <c r="AH42">
        <f t="shared" si="0"/>
        <v>284</v>
      </c>
      <c r="AI42">
        <f t="shared" si="0"/>
        <v>260</v>
      </c>
      <c r="AJ42">
        <f t="shared" si="4"/>
        <v>544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f t="shared" si="2"/>
        <v>0</v>
      </c>
      <c r="BB42">
        <f t="shared" si="2"/>
        <v>0</v>
      </c>
      <c r="BC42">
        <f t="shared" si="5"/>
        <v>0</v>
      </c>
    </row>
    <row r="43" spans="1:55" x14ac:dyDescent="0.25">
      <c r="A43" t="s">
        <v>66</v>
      </c>
      <c r="B43" t="s">
        <v>82</v>
      </c>
      <c r="C43" t="s">
        <v>130</v>
      </c>
      <c r="D43">
        <v>129400</v>
      </c>
      <c r="E43" t="s">
        <v>169</v>
      </c>
      <c r="F43" t="s">
        <v>170</v>
      </c>
      <c r="H43" t="s">
        <v>86</v>
      </c>
      <c r="I43" t="s">
        <v>87</v>
      </c>
      <c r="J43" t="s">
        <v>67</v>
      </c>
      <c r="K43" t="s">
        <v>165</v>
      </c>
      <c r="L43" t="s">
        <v>68</v>
      </c>
      <c r="M43" t="s">
        <v>69</v>
      </c>
      <c r="N43" t="s">
        <v>70</v>
      </c>
      <c r="O43" t="s">
        <v>71</v>
      </c>
      <c r="P43" t="s">
        <v>72</v>
      </c>
      <c r="Q43" t="s">
        <v>73</v>
      </c>
      <c r="R43">
        <v>76</v>
      </c>
      <c r="S43">
        <v>78</v>
      </c>
      <c r="T43">
        <v>114</v>
      </c>
      <c r="U43">
        <v>102</v>
      </c>
      <c r="V43">
        <v>103</v>
      </c>
      <c r="W43">
        <v>110</v>
      </c>
      <c r="X43">
        <v>107</v>
      </c>
      <c r="Y43">
        <v>96</v>
      </c>
      <c r="Z43">
        <v>87</v>
      </c>
      <c r="AA43">
        <v>60</v>
      </c>
      <c r="AB43">
        <v>97</v>
      </c>
      <c r="AC43">
        <v>98</v>
      </c>
      <c r="AD43">
        <v>111</v>
      </c>
      <c r="AE43">
        <v>111</v>
      </c>
      <c r="AF43">
        <v>0</v>
      </c>
      <c r="AG43">
        <v>0</v>
      </c>
      <c r="AH43">
        <f t="shared" si="0"/>
        <v>695</v>
      </c>
      <c r="AI43">
        <f t="shared" si="0"/>
        <v>655</v>
      </c>
      <c r="AJ43">
        <f t="shared" si="4"/>
        <v>1350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f t="shared" si="2"/>
        <v>0</v>
      </c>
      <c r="BB43">
        <f t="shared" si="2"/>
        <v>0</v>
      </c>
      <c r="BC43">
        <f t="shared" si="5"/>
        <v>0</v>
      </c>
    </row>
    <row r="44" spans="1:55" x14ac:dyDescent="0.25">
      <c r="A44" t="s">
        <v>66</v>
      </c>
      <c r="B44" t="s">
        <v>82</v>
      </c>
      <c r="C44" t="s">
        <v>130</v>
      </c>
      <c r="D44">
        <v>129401</v>
      </c>
      <c r="E44" t="s">
        <v>171</v>
      </c>
      <c r="F44" t="s">
        <v>172</v>
      </c>
      <c r="H44" t="s">
        <v>86</v>
      </c>
      <c r="I44" t="s">
        <v>87</v>
      </c>
      <c r="J44" t="s">
        <v>67</v>
      </c>
      <c r="K44" t="s">
        <v>139</v>
      </c>
      <c r="L44" t="s">
        <v>68</v>
      </c>
      <c r="M44" t="s">
        <v>69</v>
      </c>
      <c r="N44" t="s">
        <v>70</v>
      </c>
      <c r="O44" t="s">
        <v>71</v>
      </c>
      <c r="P44" t="s">
        <v>72</v>
      </c>
      <c r="Q44" t="s">
        <v>73</v>
      </c>
      <c r="R44">
        <v>15</v>
      </c>
      <c r="S44">
        <v>11</v>
      </c>
      <c r="T44">
        <v>26</v>
      </c>
      <c r="U44">
        <v>23</v>
      </c>
      <c r="V44">
        <v>15</v>
      </c>
      <c r="W44">
        <v>16</v>
      </c>
      <c r="X44">
        <v>18</v>
      </c>
      <c r="Y44">
        <v>11</v>
      </c>
      <c r="Z44">
        <v>12</v>
      </c>
      <c r="AA44">
        <v>12</v>
      </c>
      <c r="AB44">
        <v>13</v>
      </c>
      <c r="AC44">
        <v>15</v>
      </c>
      <c r="AD44">
        <v>15</v>
      </c>
      <c r="AE44">
        <v>12</v>
      </c>
      <c r="AF44">
        <v>0</v>
      </c>
      <c r="AG44">
        <v>0</v>
      </c>
      <c r="AH44">
        <f t="shared" si="0"/>
        <v>114</v>
      </c>
      <c r="AI44">
        <f t="shared" si="0"/>
        <v>100</v>
      </c>
      <c r="AJ44">
        <f t="shared" si="4"/>
        <v>214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f t="shared" si="2"/>
        <v>0</v>
      </c>
      <c r="BB44">
        <f t="shared" si="2"/>
        <v>0</v>
      </c>
      <c r="BC44">
        <f t="shared" si="5"/>
        <v>0</v>
      </c>
    </row>
    <row r="45" spans="1:55" x14ac:dyDescent="0.25">
      <c r="A45" t="s">
        <v>66</v>
      </c>
      <c r="B45" t="s">
        <v>82</v>
      </c>
      <c r="C45" t="s">
        <v>130</v>
      </c>
      <c r="D45">
        <v>129402</v>
      </c>
      <c r="E45" t="s">
        <v>173</v>
      </c>
      <c r="F45" t="s">
        <v>174</v>
      </c>
      <c r="H45" t="s">
        <v>86</v>
      </c>
      <c r="I45" t="s">
        <v>87</v>
      </c>
      <c r="J45" t="s">
        <v>67</v>
      </c>
      <c r="K45" t="s">
        <v>153</v>
      </c>
      <c r="L45" t="s">
        <v>68</v>
      </c>
      <c r="M45" t="s">
        <v>69</v>
      </c>
      <c r="N45" t="s">
        <v>70</v>
      </c>
      <c r="O45" t="s">
        <v>71</v>
      </c>
      <c r="P45" t="s">
        <v>72</v>
      </c>
      <c r="Q45" t="s">
        <v>73</v>
      </c>
      <c r="R45">
        <v>7</v>
      </c>
      <c r="S45">
        <v>7</v>
      </c>
      <c r="T45">
        <v>11</v>
      </c>
      <c r="U45">
        <v>8</v>
      </c>
      <c r="V45">
        <v>15</v>
      </c>
      <c r="W45">
        <v>8</v>
      </c>
      <c r="X45">
        <v>7</v>
      </c>
      <c r="Y45">
        <v>6</v>
      </c>
      <c r="Z45">
        <v>7</v>
      </c>
      <c r="AA45">
        <v>8</v>
      </c>
      <c r="AB45">
        <v>4</v>
      </c>
      <c r="AC45">
        <v>2</v>
      </c>
      <c r="AD45">
        <v>6</v>
      </c>
      <c r="AE45">
        <v>10</v>
      </c>
      <c r="AF45">
        <v>0</v>
      </c>
      <c r="AG45">
        <v>0</v>
      </c>
      <c r="AH45">
        <f t="shared" si="0"/>
        <v>57</v>
      </c>
      <c r="AI45">
        <f t="shared" si="0"/>
        <v>49</v>
      </c>
      <c r="AJ45">
        <f t="shared" si="4"/>
        <v>106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f t="shared" si="2"/>
        <v>0</v>
      </c>
      <c r="BB45">
        <f t="shared" si="2"/>
        <v>0</v>
      </c>
      <c r="BC45">
        <f t="shared" si="5"/>
        <v>0</v>
      </c>
    </row>
    <row r="46" spans="1:55" x14ac:dyDescent="0.25">
      <c r="A46" t="s">
        <v>66</v>
      </c>
      <c r="B46" t="s">
        <v>82</v>
      </c>
      <c r="C46" t="s">
        <v>130</v>
      </c>
      <c r="D46">
        <v>129403</v>
      </c>
      <c r="E46" t="s">
        <v>175</v>
      </c>
      <c r="F46" t="s">
        <v>176</v>
      </c>
      <c r="H46" t="s">
        <v>86</v>
      </c>
      <c r="I46" t="s">
        <v>87</v>
      </c>
      <c r="J46" t="s">
        <v>67</v>
      </c>
      <c r="K46" t="s">
        <v>133</v>
      </c>
      <c r="L46" t="s">
        <v>68</v>
      </c>
      <c r="M46" t="s">
        <v>69</v>
      </c>
      <c r="N46" t="s">
        <v>70</v>
      </c>
      <c r="O46" t="s">
        <v>71</v>
      </c>
      <c r="P46" t="s">
        <v>72</v>
      </c>
      <c r="Q46" t="s">
        <v>73</v>
      </c>
      <c r="R46">
        <v>12</v>
      </c>
      <c r="S46">
        <v>8</v>
      </c>
      <c r="T46">
        <v>16</v>
      </c>
      <c r="U46">
        <v>9</v>
      </c>
      <c r="V46">
        <v>14</v>
      </c>
      <c r="W46">
        <v>10</v>
      </c>
      <c r="X46">
        <v>14</v>
      </c>
      <c r="Y46">
        <v>6</v>
      </c>
      <c r="Z46">
        <v>12</v>
      </c>
      <c r="AA46">
        <v>11</v>
      </c>
      <c r="AB46">
        <v>6</v>
      </c>
      <c r="AC46">
        <v>11</v>
      </c>
      <c r="AD46">
        <v>8</v>
      </c>
      <c r="AE46">
        <v>6</v>
      </c>
      <c r="AF46">
        <v>0</v>
      </c>
      <c r="AG46">
        <v>0</v>
      </c>
      <c r="AH46">
        <f t="shared" ref="AH46:AI74" si="6">R46+T46+V46+X46+Z46+AB46+AD46+AF46</f>
        <v>82</v>
      </c>
      <c r="AI46">
        <f t="shared" si="6"/>
        <v>61</v>
      </c>
      <c r="AJ46">
        <f t="shared" si="4"/>
        <v>143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f t="shared" ref="BA46:BB74" si="7">AK46+AM46+AO46+AQ46+AS46+AU46+AW46+AY46</f>
        <v>0</v>
      </c>
      <c r="BB46">
        <f t="shared" si="7"/>
        <v>0</v>
      </c>
      <c r="BC46">
        <f t="shared" si="5"/>
        <v>0</v>
      </c>
    </row>
    <row r="47" spans="1:55" x14ac:dyDescent="0.25">
      <c r="A47" t="s">
        <v>66</v>
      </c>
      <c r="B47" t="s">
        <v>82</v>
      </c>
      <c r="C47" t="s">
        <v>130</v>
      </c>
      <c r="D47">
        <v>129404</v>
      </c>
      <c r="E47" t="s">
        <v>177</v>
      </c>
      <c r="F47" t="s">
        <v>178</v>
      </c>
      <c r="H47" t="s">
        <v>86</v>
      </c>
      <c r="I47" t="s">
        <v>87</v>
      </c>
      <c r="J47" t="s">
        <v>67</v>
      </c>
      <c r="K47" t="s">
        <v>179</v>
      </c>
      <c r="L47" t="s">
        <v>68</v>
      </c>
      <c r="M47" t="s">
        <v>69</v>
      </c>
      <c r="N47" t="s">
        <v>70</v>
      </c>
      <c r="O47" t="s">
        <v>71</v>
      </c>
      <c r="P47" t="s">
        <v>72</v>
      </c>
      <c r="Q47" t="s">
        <v>73</v>
      </c>
      <c r="R47">
        <v>12</v>
      </c>
      <c r="S47">
        <v>19</v>
      </c>
      <c r="T47">
        <v>19</v>
      </c>
      <c r="U47">
        <v>8</v>
      </c>
      <c r="V47">
        <v>17</v>
      </c>
      <c r="W47">
        <v>15</v>
      </c>
      <c r="X47">
        <v>16</v>
      </c>
      <c r="Y47">
        <v>12</v>
      </c>
      <c r="Z47">
        <v>15</v>
      </c>
      <c r="AA47">
        <v>12</v>
      </c>
      <c r="AB47">
        <v>18</v>
      </c>
      <c r="AC47">
        <v>15</v>
      </c>
      <c r="AD47">
        <v>15</v>
      </c>
      <c r="AE47">
        <v>15</v>
      </c>
      <c r="AF47">
        <v>0</v>
      </c>
      <c r="AG47">
        <v>0</v>
      </c>
      <c r="AH47">
        <f t="shared" si="6"/>
        <v>112</v>
      </c>
      <c r="AI47">
        <f t="shared" si="6"/>
        <v>96</v>
      </c>
      <c r="AJ47">
        <f t="shared" si="4"/>
        <v>208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f t="shared" si="7"/>
        <v>0</v>
      </c>
      <c r="BB47">
        <f t="shared" si="7"/>
        <v>0</v>
      </c>
      <c r="BC47">
        <f t="shared" si="5"/>
        <v>0</v>
      </c>
    </row>
    <row r="48" spans="1:55" x14ac:dyDescent="0.25">
      <c r="A48" t="s">
        <v>66</v>
      </c>
      <c r="B48" t="s">
        <v>82</v>
      </c>
      <c r="C48" t="s">
        <v>130</v>
      </c>
      <c r="D48">
        <v>129405</v>
      </c>
      <c r="E48" t="s">
        <v>180</v>
      </c>
      <c r="F48" t="s">
        <v>181</v>
      </c>
      <c r="H48" t="s">
        <v>86</v>
      </c>
      <c r="I48" t="s">
        <v>87</v>
      </c>
      <c r="J48" t="s">
        <v>67</v>
      </c>
      <c r="K48" t="s">
        <v>182</v>
      </c>
      <c r="L48" t="s">
        <v>68</v>
      </c>
      <c r="M48" t="s">
        <v>69</v>
      </c>
      <c r="N48" t="s">
        <v>70</v>
      </c>
      <c r="O48" t="s">
        <v>71</v>
      </c>
      <c r="P48" t="s">
        <v>72</v>
      </c>
      <c r="Q48" t="s">
        <v>73</v>
      </c>
      <c r="R48">
        <v>22</v>
      </c>
      <c r="S48">
        <v>23</v>
      </c>
      <c r="T48">
        <v>38</v>
      </c>
      <c r="U48">
        <v>30</v>
      </c>
      <c r="V48">
        <v>28</v>
      </c>
      <c r="W48">
        <v>28</v>
      </c>
      <c r="X48">
        <v>25</v>
      </c>
      <c r="Y48">
        <v>20</v>
      </c>
      <c r="Z48">
        <v>19</v>
      </c>
      <c r="AA48">
        <v>24</v>
      </c>
      <c r="AB48">
        <v>23</v>
      </c>
      <c r="AC48">
        <v>23</v>
      </c>
      <c r="AD48">
        <v>24</v>
      </c>
      <c r="AE48">
        <v>28</v>
      </c>
      <c r="AF48">
        <v>0</v>
      </c>
      <c r="AG48">
        <v>0</v>
      </c>
      <c r="AH48">
        <f t="shared" si="6"/>
        <v>179</v>
      </c>
      <c r="AI48">
        <f t="shared" si="6"/>
        <v>176</v>
      </c>
      <c r="AJ48">
        <f t="shared" si="4"/>
        <v>355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f t="shared" si="7"/>
        <v>0</v>
      </c>
      <c r="BB48">
        <f t="shared" si="7"/>
        <v>0</v>
      </c>
      <c r="BC48">
        <f t="shared" si="5"/>
        <v>0</v>
      </c>
    </row>
    <row r="49" spans="1:55" x14ac:dyDescent="0.25">
      <c r="A49" t="s">
        <v>66</v>
      </c>
      <c r="B49" t="s">
        <v>82</v>
      </c>
      <c r="C49" t="s">
        <v>130</v>
      </c>
      <c r="D49">
        <v>129406</v>
      </c>
      <c r="E49" t="s">
        <v>183</v>
      </c>
      <c r="F49" t="s">
        <v>184</v>
      </c>
      <c r="H49" t="s">
        <v>86</v>
      </c>
      <c r="I49" t="s">
        <v>87</v>
      </c>
      <c r="J49" t="s">
        <v>67</v>
      </c>
      <c r="K49" t="s">
        <v>150</v>
      </c>
      <c r="L49" t="s">
        <v>68</v>
      </c>
      <c r="M49" t="s">
        <v>69</v>
      </c>
      <c r="N49" t="s">
        <v>70</v>
      </c>
      <c r="O49" t="s">
        <v>71</v>
      </c>
      <c r="P49" t="s">
        <v>72</v>
      </c>
      <c r="Q49" t="s">
        <v>73</v>
      </c>
      <c r="R49">
        <v>14</v>
      </c>
      <c r="S49">
        <v>21</v>
      </c>
      <c r="T49">
        <v>18</v>
      </c>
      <c r="U49">
        <v>15</v>
      </c>
      <c r="V49">
        <v>10</v>
      </c>
      <c r="W49">
        <v>15</v>
      </c>
      <c r="X49">
        <v>11</v>
      </c>
      <c r="Y49">
        <v>3</v>
      </c>
      <c r="Z49">
        <v>10</v>
      </c>
      <c r="AA49">
        <v>11</v>
      </c>
      <c r="AB49">
        <v>9</v>
      </c>
      <c r="AC49">
        <v>10</v>
      </c>
      <c r="AD49">
        <v>11</v>
      </c>
      <c r="AE49">
        <v>6</v>
      </c>
      <c r="AF49">
        <v>0</v>
      </c>
      <c r="AG49">
        <v>0</v>
      </c>
      <c r="AH49">
        <f t="shared" si="6"/>
        <v>83</v>
      </c>
      <c r="AI49">
        <f t="shared" si="6"/>
        <v>81</v>
      </c>
      <c r="AJ49">
        <f t="shared" si="4"/>
        <v>164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f t="shared" si="7"/>
        <v>0</v>
      </c>
      <c r="BB49">
        <f t="shared" si="7"/>
        <v>0</v>
      </c>
      <c r="BC49">
        <f t="shared" si="5"/>
        <v>0</v>
      </c>
    </row>
    <row r="50" spans="1:55" x14ac:dyDescent="0.25">
      <c r="A50" t="s">
        <v>66</v>
      </c>
      <c r="B50" t="s">
        <v>82</v>
      </c>
      <c r="C50" t="s">
        <v>130</v>
      </c>
      <c r="D50">
        <v>129407</v>
      </c>
      <c r="E50" t="s">
        <v>185</v>
      </c>
      <c r="F50" t="s">
        <v>186</v>
      </c>
      <c r="H50" t="s">
        <v>86</v>
      </c>
      <c r="I50" t="s">
        <v>87</v>
      </c>
      <c r="J50" t="s">
        <v>67</v>
      </c>
      <c r="K50" t="s">
        <v>162</v>
      </c>
      <c r="L50" t="s">
        <v>68</v>
      </c>
      <c r="M50" t="s">
        <v>69</v>
      </c>
      <c r="N50" t="s">
        <v>70</v>
      </c>
      <c r="O50" t="s">
        <v>71</v>
      </c>
      <c r="P50" t="s">
        <v>72</v>
      </c>
      <c r="Q50" t="s">
        <v>73</v>
      </c>
      <c r="R50">
        <v>11</v>
      </c>
      <c r="S50">
        <v>11</v>
      </c>
      <c r="T50">
        <v>14</v>
      </c>
      <c r="U50">
        <v>29</v>
      </c>
      <c r="V50">
        <v>15</v>
      </c>
      <c r="W50">
        <v>20</v>
      </c>
      <c r="X50">
        <v>13</v>
      </c>
      <c r="Y50">
        <v>11</v>
      </c>
      <c r="Z50">
        <v>23</v>
      </c>
      <c r="AA50">
        <v>17</v>
      </c>
      <c r="AB50">
        <v>18</v>
      </c>
      <c r="AC50">
        <v>18</v>
      </c>
      <c r="AD50">
        <v>22</v>
      </c>
      <c r="AE50">
        <v>27</v>
      </c>
      <c r="AF50">
        <v>0</v>
      </c>
      <c r="AG50">
        <v>0</v>
      </c>
      <c r="AH50">
        <f t="shared" si="6"/>
        <v>116</v>
      </c>
      <c r="AI50">
        <f t="shared" si="6"/>
        <v>133</v>
      </c>
      <c r="AJ50">
        <f t="shared" si="4"/>
        <v>249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f t="shared" si="7"/>
        <v>0</v>
      </c>
      <c r="BB50">
        <f t="shared" si="7"/>
        <v>0</v>
      </c>
      <c r="BC50">
        <f t="shared" si="5"/>
        <v>0</v>
      </c>
    </row>
    <row r="51" spans="1:55" x14ac:dyDescent="0.25">
      <c r="A51" t="s">
        <v>66</v>
      </c>
      <c r="B51" t="s">
        <v>82</v>
      </c>
      <c r="C51" t="s">
        <v>130</v>
      </c>
      <c r="D51">
        <v>129408</v>
      </c>
      <c r="E51" t="s">
        <v>187</v>
      </c>
      <c r="F51" t="s">
        <v>188</v>
      </c>
      <c r="H51" t="s">
        <v>86</v>
      </c>
      <c r="I51" t="s">
        <v>87</v>
      </c>
      <c r="J51" t="s">
        <v>67</v>
      </c>
      <c r="K51" t="s">
        <v>165</v>
      </c>
      <c r="L51" t="s">
        <v>68</v>
      </c>
      <c r="M51" t="s">
        <v>69</v>
      </c>
      <c r="N51" t="s">
        <v>70</v>
      </c>
      <c r="O51" t="s">
        <v>71</v>
      </c>
      <c r="P51" t="s">
        <v>72</v>
      </c>
      <c r="Q51" t="s">
        <v>73</v>
      </c>
      <c r="R51">
        <v>7</v>
      </c>
      <c r="S51">
        <v>6</v>
      </c>
      <c r="T51">
        <v>12</v>
      </c>
      <c r="U51">
        <v>19</v>
      </c>
      <c r="V51">
        <v>9</v>
      </c>
      <c r="W51">
        <v>13</v>
      </c>
      <c r="X51">
        <v>14</v>
      </c>
      <c r="Y51">
        <v>16</v>
      </c>
      <c r="Z51">
        <v>11</v>
      </c>
      <c r="AA51">
        <v>11</v>
      </c>
      <c r="AB51">
        <v>10</v>
      </c>
      <c r="AC51">
        <v>8</v>
      </c>
      <c r="AD51">
        <v>12</v>
      </c>
      <c r="AE51">
        <v>4</v>
      </c>
      <c r="AF51">
        <v>0</v>
      </c>
      <c r="AG51">
        <v>0</v>
      </c>
      <c r="AH51">
        <f t="shared" si="6"/>
        <v>75</v>
      </c>
      <c r="AI51">
        <f t="shared" si="6"/>
        <v>77</v>
      </c>
      <c r="AJ51">
        <f t="shared" si="4"/>
        <v>152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f t="shared" si="7"/>
        <v>0</v>
      </c>
      <c r="BB51">
        <f t="shared" si="7"/>
        <v>0</v>
      </c>
      <c r="BC51">
        <f t="shared" si="5"/>
        <v>0</v>
      </c>
    </row>
    <row r="52" spans="1:55" x14ac:dyDescent="0.25">
      <c r="A52" t="s">
        <v>66</v>
      </c>
      <c r="B52" t="s">
        <v>82</v>
      </c>
      <c r="C52" t="s">
        <v>130</v>
      </c>
      <c r="D52">
        <v>129409</v>
      </c>
      <c r="E52" t="s">
        <v>189</v>
      </c>
      <c r="F52" t="s">
        <v>190</v>
      </c>
      <c r="H52" t="s">
        <v>86</v>
      </c>
      <c r="I52" t="s">
        <v>87</v>
      </c>
      <c r="J52" t="s">
        <v>67</v>
      </c>
      <c r="K52" t="s">
        <v>191</v>
      </c>
      <c r="L52" t="s">
        <v>68</v>
      </c>
      <c r="M52" t="s">
        <v>69</v>
      </c>
      <c r="N52" t="s">
        <v>70</v>
      </c>
      <c r="O52" t="s">
        <v>71</v>
      </c>
      <c r="P52" t="s">
        <v>72</v>
      </c>
      <c r="Q52" t="s">
        <v>73</v>
      </c>
      <c r="R52">
        <v>50</v>
      </c>
      <c r="S52">
        <v>45</v>
      </c>
      <c r="T52">
        <v>46</v>
      </c>
      <c r="U52">
        <v>58</v>
      </c>
      <c r="V52">
        <v>58</v>
      </c>
      <c r="W52">
        <v>48</v>
      </c>
      <c r="X52">
        <v>43</v>
      </c>
      <c r="Y52">
        <v>43</v>
      </c>
      <c r="Z52">
        <v>44</v>
      </c>
      <c r="AA52">
        <v>32</v>
      </c>
      <c r="AB52">
        <v>45</v>
      </c>
      <c r="AC52">
        <v>48</v>
      </c>
      <c r="AD52">
        <v>48</v>
      </c>
      <c r="AE52">
        <v>41</v>
      </c>
      <c r="AF52">
        <v>0</v>
      </c>
      <c r="AG52">
        <v>0</v>
      </c>
      <c r="AH52">
        <f t="shared" si="6"/>
        <v>334</v>
      </c>
      <c r="AI52">
        <f t="shared" si="6"/>
        <v>315</v>
      </c>
      <c r="AJ52">
        <f t="shared" si="4"/>
        <v>649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f t="shared" si="7"/>
        <v>0</v>
      </c>
      <c r="BB52">
        <f t="shared" si="7"/>
        <v>0</v>
      </c>
      <c r="BC52">
        <f t="shared" si="5"/>
        <v>0</v>
      </c>
    </row>
    <row r="53" spans="1:55" x14ac:dyDescent="0.25">
      <c r="A53" t="s">
        <v>66</v>
      </c>
      <c r="B53" t="s">
        <v>82</v>
      </c>
      <c r="C53" t="s">
        <v>130</v>
      </c>
      <c r="D53">
        <v>257001</v>
      </c>
      <c r="E53" t="s">
        <v>192</v>
      </c>
      <c r="F53" t="s">
        <v>193</v>
      </c>
      <c r="H53" t="s">
        <v>86</v>
      </c>
      <c r="I53" t="s">
        <v>87</v>
      </c>
      <c r="J53" t="s">
        <v>67</v>
      </c>
      <c r="K53" t="s">
        <v>142</v>
      </c>
      <c r="L53" t="s">
        <v>68</v>
      </c>
      <c r="M53" t="s">
        <v>69</v>
      </c>
      <c r="N53" t="s">
        <v>70</v>
      </c>
      <c r="O53" t="s">
        <v>71</v>
      </c>
      <c r="P53" t="s">
        <v>72</v>
      </c>
      <c r="Q53" t="s">
        <v>73</v>
      </c>
      <c r="R53">
        <v>31</v>
      </c>
      <c r="S53">
        <v>37</v>
      </c>
      <c r="T53">
        <v>49</v>
      </c>
      <c r="U53">
        <v>42</v>
      </c>
      <c r="V53">
        <v>42</v>
      </c>
      <c r="W53">
        <v>34</v>
      </c>
      <c r="X53">
        <v>24</v>
      </c>
      <c r="Y53">
        <v>32</v>
      </c>
      <c r="Z53">
        <v>31</v>
      </c>
      <c r="AA53">
        <v>33</v>
      </c>
      <c r="AB53">
        <v>26</v>
      </c>
      <c r="AC53">
        <v>26</v>
      </c>
      <c r="AD53">
        <v>29</v>
      </c>
      <c r="AE53">
        <v>28</v>
      </c>
      <c r="AF53">
        <v>0</v>
      </c>
      <c r="AG53">
        <v>0</v>
      </c>
      <c r="AH53">
        <f t="shared" si="6"/>
        <v>232</v>
      </c>
      <c r="AI53">
        <f t="shared" si="6"/>
        <v>232</v>
      </c>
      <c r="AJ53">
        <f t="shared" si="4"/>
        <v>464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f t="shared" si="7"/>
        <v>0</v>
      </c>
      <c r="BB53">
        <f t="shared" si="7"/>
        <v>0</v>
      </c>
      <c r="BC53">
        <f t="shared" si="5"/>
        <v>0</v>
      </c>
    </row>
    <row r="54" spans="1:55" x14ac:dyDescent="0.25">
      <c r="A54" t="s">
        <v>66</v>
      </c>
      <c r="B54" t="s">
        <v>82</v>
      </c>
      <c r="C54" t="s">
        <v>130</v>
      </c>
      <c r="D54">
        <v>405425</v>
      </c>
      <c r="E54" t="s">
        <v>194</v>
      </c>
      <c r="F54" t="s">
        <v>195</v>
      </c>
      <c r="H54" t="s">
        <v>86</v>
      </c>
      <c r="I54" t="s">
        <v>87</v>
      </c>
      <c r="J54" t="s">
        <v>67</v>
      </c>
      <c r="K54" t="s">
        <v>165</v>
      </c>
      <c r="L54" t="s">
        <v>74</v>
      </c>
      <c r="M54" t="s">
        <v>75</v>
      </c>
      <c r="N54" t="s">
        <v>70</v>
      </c>
      <c r="O54" t="s">
        <v>76</v>
      </c>
      <c r="P54" t="s">
        <v>72</v>
      </c>
      <c r="Q54" t="s">
        <v>77</v>
      </c>
      <c r="R54">
        <v>4</v>
      </c>
      <c r="S54">
        <v>5</v>
      </c>
      <c r="T54">
        <v>4</v>
      </c>
      <c r="U54">
        <v>8</v>
      </c>
      <c r="V54">
        <v>5</v>
      </c>
      <c r="W54">
        <v>8</v>
      </c>
      <c r="X54">
        <v>8</v>
      </c>
      <c r="Y54">
        <v>4</v>
      </c>
      <c r="Z54">
        <v>11</v>
      </c>
      <c r="AA54">
        <v>2</v>
      </c>
      <c r="AB54">
        <v>11</v>
      </c>
      <c r="AC54">
        <v>5</v>
      </c>
      <c r="AD54">
        <v>3</v>
      </c>
      <c r="AE54">
        <v>4</v>
      </c>
      <c r="AF54">
        <v>0</v>
      </c>
      <c r="AG54">
        <v>0</v>
      </c>
      <c r="AH54">
        <f t="shared" si="6"/>
        <v>46</v>
      </c>
      <c r="AI54">
        <f t="shared" si="6"/>
        <v>36</v>
      </c>
      <c r="AJ54">
        <f t="shared" si="4"/>
        <v>82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f t="shared" si="7"/>
        <v>0</v>
      </c>
      <c r="BB54">
        <f t="shared" si="7"/>
        <v>0</v>
      </c>
      <c r="BC54">
        <f t="shared" si="5"/>
        <v>0</v>
      </c>
    </row>
    <row r="55" spans="1:55" x14ac:dyDescent="0.25">
      <c r="A55" t="s">
        <v>66</v>
      </c>
      <c r="B55" t="s">
        <v>82</v>
      </c>
      <c r="C55" t="s">
        <v>130</v>
      </c>
      <c r="D55">
        <v>408184</v>
      </c>
      <c r="E55" t="s">
        <v>196</v>
      </c>
      <c r="F55" t="s">
        <v>197</v>
      </c>
      <c r="H55" t="s">
        <v>86</v>
      </c>
      <c r="I55" t="s">
        <v>87</v>
      </c>
      <c r="J55" t="s">
        <v>67</v>
      </c>
      <c r="K55" t="s">
        <v>165</v>
      </c>
      <c r="L55" t="s">
        <v>74</v>
      </c>
      <c r="M55" t="s">
        <v>78</v>
      </c>
      <c r="N55" t="s">
        <v>118</v>
      </c>
      <c r="O55" t="s">
        <v>71</v>
      </c>
      <c r="P55" t="s">
        <v>72</v>
      </c>
      <c r="Q55" t="s">
        <v>73</v>
      </c>
      <c r="R55">
        <v>0</v>
      </c>
      <c r="S55">
        <v>0</v>
      </c>
      <c r="T55">
        <v>0</v>
      </c>
      <c r="U55">
        <v>0</v>
      </c>
      <c r="V55">
        <v>5</v>
      </c>
      <c r="W55">
        <v>0</v>
      </c>
      <c r="X55">
        <v>0</v>
      </c>
      <c r="Y55">
        <v>0</v>
      </c>
      <c r="Z55">
        <v>2</v>
      </c>
      <c r="AA55">
        <v>1</v>
      </c>
      <c r="AB55">
        <v>1</v>
      </c>
      <c r="AC55">
        <v>2</v>
      </c>
      <c r="AD55">
        <v>2</v>
      </c>
      <c r="AE55">
        <v>1</v>
      </c>
      <c r="AF55">
        <v>0</v>
      </c>
      <c r="AG55">
        <v>0</v>
      </c>
      <c r="AH55">
        <f t="shared" si="6"/>
        <v>10</v>
      </c>
      <c r="AI55">
        <f t="shared" si="6"/>
        <v>4</v>
      </c>
      <c r="AJ55">
        <f t="shared" si="4"/>
        <v>14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f t="shared" si="7"/>
        <v>0</v>
      </c>
      <c r="BB55">
        <f t="shared" si="7"/>
        <v>0</v>
      </c>
      <c r="BC55">
        <f t="shared" si="5"/>
        <v>0</v>
      </c>
    </row>
    <row r="56" spans="1:55" x14ac:dyDescent="0.25">
      <c r="A56" t="s">
        <v>66</v>
      </c>
      <c r="B56" t="s">
        <v>82</v>
      </c>
      <c r="C56" t="s">
        <v>130</v>
      </c>
      <c r="D56">
        <v>465513</v>
      </c>
      <c r="E56" t="s">
        <v>198</v>
      </c>
      <c r="F56" t="s">
        <v>199</v>
      </c>
      <c r="H56" t="s">
        <v>86</v>
      </c>
      <c r="I56" t="s">
        <v>87</v>
      </c>
      <c r="J56" t="s">
        <v>67</v>
      </c>
      <c r="K56" t="s">
        <v>165</v>
      </c>
      <c r="L56" t="s">
        <v>74</v>
      </c>
      <c r="M56" t="s">
        <v>78</v>
      </c>
      <c r="N56" t="s">
        <v>70</v>
      </c>
      <c r="O56" t="s">
        <v>200</v>
      </c>
      <c r="P56" t="s">
        <v>72</v>
      </c>
      <c r="Q56" t="s">
        <v>77</v>
      </c>
      <c r="R56">
        <v>11</v>
      </c>
      <c r="S56">
        <v>7</v>
      </c>
      <c r="T56">
        <v>19</v>
      </c>
      <c r="U56">
        <v>7</v>
      </c>
      <c r="V56">
        <v>15</v>
      </c>
      <c r="W56">
        <v>18</v>
      </c>
      <c r="X56">
        <v>13</v>
      </c>
      <c r="Y56">
        <v>8</v>
      </c>
      <c r="Z56">
        <v>17</v>
      </c>
      <c r="AA56">
        <v>11</v>
      </c>
      <c r="AB56">
        <v>18</v>
      </c>
      <c r="AC56">
        <v>10</v>
      </c>
      <c r="AD56">
        <v>15</v>
      </c>
      <c r="AE56">
        <v>16</v>
      </c>
      <c r="AF56">
        <v>0</v>
      </c>
      <c r="AG56">
        <v>0</v>
      </c>
      <c r="AH56">
        <f t="shared" si="6"/>
        <v>108</v>
      </c>
      <c r="AI56">
        <f t="shared" si="6"/>
        <v>77</v>
      </c>
      <c r="AJ56">
        <f t="shared" si="4"/>
        <v>185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f t="shared" si="7"/>
        <v>0</v>
      </c>
      <c r="BB56">
        <f t="shared" si="7"/>
        <v>0</v>
      </c>
      <c r="BC56">
        <f t="shared" si="5"/>
        <v>0</v>
      </c>
    </row>
    <row r="57" spans="1:55" x14ac:dyDescent="0.25">
      <c r="A57" t="s">
        <v>66</v>
      </c>
      <c r="B57" t="s">
        <v>82</v>
      </c>
      <c r="C57" t="s">
        <v>130</v>
      </c>
      <c r="D57">
        <v>465515</v>
      </c>
      <c r="E57" t="s">
        <v>201</v>
      </c>
      <c r="F57" t="s">
        <v>202</v>
      </c>
      <c r="H57" t="s">
        <v>86</v>
      </c>
      <c r="I57" t="s">
        <v>87</v>
      </c>
      <c r="J57" t="s">
        <v>67</v>
      </c>
      <c r="K57" t="s">
        <v>142</v>
      </c>
      <c r="L57" t="s">
        <v>74</v>
      </c>
      <c r="M57" t="s">
        <v>78</v>
      </c>
      <c r="N57" t="s">
        <v>70</v>
      </c>
      <c r="O57" t="s">
        <v>80</v>
      </c>
      <c r="P57" t="s">
        <v>72</v>
      </c>
      <c r="Q57" t="s">
        <v>81</v>
      </c>
      <c r="R57">
        <v>35</v>
      </c>
      <c r="S57">
        <v>29</v>
      </c>
      <c r="T57">
        <v>30</v>
      </c>
      <c r="U57">
        <v>30</v>
      </c>
      <c r="V57">
        <v>35</v>
      </c>
      <c r="W57">
        <v>24</v>
      </c>
      <c r="X57">
        <v>28</v>
      </c>
      <c r="Y57">
        <v>25</v>
      </c>
      <c r="Z57">
        <v>36</v>
      </c>
      <c r="AA57">
        <v>25</v>
      </c>
      <c r="AB57">
        <v>25</v>
      </c>
      <c r="AC57">
        <v>24</v>
      </c>
      <c r="AD57">
        <v>27</v>
      </c>
      <c r="AE57">
        <v>13</v>
      </c>
      <c r="AF57">
        <v>0</v>
      </c>
      <c r="AG57">
        <v>0</v>
      </c>
      <c r="AH57">
        <f t="shared" si="6"/>
        <v>216</v>
      </c>
      <c r="AI57">
        <f t="shared" si="6"/>
        <v>170</v>
      </c>
      <c r="AJ57">
        <f t="shared" si="4"/>
        <v>386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f t="shared" si="7"/>
        <v>0</v>
      </c>
      <c r="BB57">
        <f t="shared" si="7"/>
        <v>0</v>
      </c>
      <c r="BC57">
        <f t="shared" si="5"/>
        <v>0</v>
      </c>
    </row>
    <row r="58" spans="1:55" x14ac:dyDescent="0.25">
      <c r="A58" t="s">
        <v>66</v>
      </c>
      <c r="B58" t="s">
        <v>82</v>
      </c>
      <c r="C58" t="s">
        <v>130</v>
      </c>
      <c r="D58">
        <v>465516</v>
      </c>
      <c r="E58" t="s">
        <v>203</v>
      </c>
      <c r="F58" t="s">
        <v>204</v>
      </c>
      <c r="H58" t="s">
        <v>86</v>
      </c>
      <c r="I58" t="s">
        <v>87</v>
      </c>
      <c r="J58" t="s">
        <v>67</v>
      </c>
      <c r="K58" t="s">
        <v>142</v>
      </c>
      <c r="L58" t="s">
        <v>74</v>
      </c>
      <c r="M58" t="s">
        <v>78</v>
      </c>
      <c r="N58" t="s">
        <v>70</v>
      </c>
      <c r="O58" t="s">
        <v>79</v>
      </c>
      <c r="P58" t="s">
        <v>72</v>
      </c>
      <c r="Q58" t="s">
        <v>73</v>
      </c>
      <c r="R58">
        <v>28</v>
      </c>
      <c r="S58">
        <v>32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f t="shared" si="6"/>
        <v>28</v>
      </c>
      <c r="AI58">
        <f t="shared" si="6"/>
        <v>32</v>
      </c>
      <c r="AJ58">
        <f t="shared" si="4"/>
        <v>60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f t="shared" si="7"/>
        <v>0</v>
      </c>
      <c r="BB58">
        <f t="shared" si="7"/>
        <v>0</v>
      </c>
      <c r="BC58">
        <f t="shared" si="5"/>
        <v>0</v>
      </c>
    </row>
    <row r="59" spans="1:55" x14ac:dyDescent="0.25">
      <c r="A59" t="s">
        <v>66</v>
      </c>
      <c r="B59" t="s">
        <v>82</v>
      </c>
      <c r="C59" t="s">
        <v>130</v>
      </c>
      <c r="D59">
        <v>465900</v>
      </c>
      <c r="E59" t="s">
        <v>205</v>
      </c>
      <c r="F59" t="s">
        <v>206</v>
      </c>
      <c r="H59" t="s">
        <v>86</v>
      </c>
      <c r="I59" t="s">
        <v>87</v>
      </c>
      <c r="J59" t="s">
        <v>67</v>
      </c>
      <c r="K59" t="s">
        <v>142</v>
      </c>
      <c r="L59" t="s">
        <v>74</v>
      </c>
      <c r="M59" t="s">
        <v>78</v>
      </c>
      <c r="N59" t="s">
        <v>70</v>
      </c>
      <c r="O59" t="s">
        <v>76</v>
      </c>
      <c r="P59" t="s">
        <v>72</v>
      </c>
      <c r="Q59" t="s">
        <v>77</v>
      </c>
      <c r="R59">
        <v>13</v>
      </c>
      <c r="S59">
        <v>14</v>
      </c>
      <c r="T59">
        <v>18</v>
      </c>
      <c r="U59">
        <v>12</v>
      </c>
      <c r="V59">
        <v>12</v>
      </c>
      <c r="W59">
        <v>13</v>
      </c>
      <c r="X59">
        <v>14</v>
      </c>
      <c r="Y59">
        <v>10</v>
      </c>
      <c r="Z59">
        <v>17</v>
      </c>
      <c r="AA59">
        <v>21</v>
      </c>
      <c r="AB59">
        <v>19</v>
      </c>
      <c r="AC59">
        <v>12</v>
      </c>
      <c r="AD59">
        <v>16</v>
      </c>
      <c r="AE59">
        <v>21</v>
      </c>
      <c r="AF59">
        <v>0</v>
      </c>
      <c r="AG59">
        <v>0</v>
      </c>
      <c r="AH59">
        <f t="shared" si="6"/>
        <v>109</v>
      </c>
      <c r="AI59">
        <f t="shared" si="6"/>
        <v>103</v>
      </c>
      <c r="AJ59">
        <f t="shared" si="4"/>
        <v>212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f t="shared" si="7"/>
        <v>0</v>
      </c>
      <c r="BB59">
        <f t="shared" si="7"/>
        <v>0</v>
      </c>
      <c r="BC59">
        <f t="shared" si="5"/>
        <v>0</v>
      </c>
    </row>
    <row r="60" spans="1:55" x14ac:dyDescent="0.25">
      <c r="A60" t="s">
        <v>66</v>
      </c>
      <c r="B60" t="s">
        <v>82</v>
      </c>
      <c r="C60" t="s">
        <v>207</v>
      </c>
      <c r="D60">
        <v>102157</v>
      </c>
      <c r="E60" t="s">
        <v>208</v>
      </c>
      <c r="F60" t="s">
        <v>209</v>
      </c>
      <c r="H60" t="s">
        <v>86</v>
      </c>
      <c r="I60" t="s">
        <v>87</v>
      </c>
      <c r="J60" t="s">
        <v>67</v>
      </c>
      <c r="K60" t="s">
        <v>210</v>
      </c>
      <c r="L60" t="s">
        <v>68</v>
      </c>
      <c r="M60" t="s">
        <v>69</v>
      </c>
      <c r="N60" t="s">
        <v>70</v>
      </c>
      <c r="O60" t="s">
        <v>71</v>
      </c>
      <c r="P60" t="s">
        <v>72</v>
      </c>
      <c r="Q60" t="s">
        <v>73</v>
      </c>
      <c r="R60">
        <v>14</v>
      </c>
      <c r="S60">
        <v>18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f t="shared" si="6"/>
        <v>14</v>
      </c>
      <c r="AI60">
        <f t="shared" si="6"/>
        <v>18</v>
      </c>
      <c r="AJ60">
        <f t="shared" si="4"/>
        <v>32</v>
      </c>
      <c r="AK60">
        <v>0</v>
      </c>
      <c r="AL60">
        <v>0</v>
      </c>
      <c r="AM60">
        <v>11</v>
      </c>
      <c r="AN60">
        <v>8</v>
      </c>
      <c r="AO60">
        <v>15</v>
      </c>
      <c r="AP60">
        <v>8</v>
      </c>
      <c r="AQ60">
        <v>5</v>
      </c>
      <c r="AR60">
        <v>6</v>
      </c>
      <c r="AS60">
        <v>13</v>
      </c>
      <c r="AT60">
        <v>13</v>
      </c>
      <c r="AU60">
        <v>12</v>
      </c>
      <c r="AV60">
        <v>8</v>
      </c>
      <c r="AW60">
        <v>8</v>
      </c>
      <c r="AX60">
        <v>4</v>
      </c>
      <c r="AY60">
        <v>0</v>
      </c>
      <c r="AZ60">
        <v>0</v>
      </c>
      <c r="BA60">
        <f t="shared" si="7"/>
        <v>64</v>
      </c>
      <c r="BB60">
        <f t="shared" si="7"/>
        <v>47</v>
      </c>
      <c r="BC60">
        <f t="shared" si="5"/>
        <v>111</v>
      </c>
    </row>
    <row r="61" spans="1:55" x14ac:dyDescent="0.25">
      <c r="A61" t="s">
        <v>66</v>
      </c>
      <c r="B61" t="s">
        <v>82</v>
      </c>
      <c r="C61" t="s">
        <v>207</v>
      </c>
      <c r="D61">
        <v>102164</v>
      </c>
      <c r="E61" t="s">
        <v>211</v>
      </c>
      <c r="F61" t="s">
        <v>212</v>
      </c>
      <c r="H61" t="s">
        <v>86</v>
      </c>
      <c r="I61" t="s">
        <v>87</v>
      </c>
      <c r="J61" t="s">
        <v>67</v>
      </c>
      <c r="K61" t="s">
        <v>213</v>
      </c>
      <c r="L61" t="s">
        <v>68</v>
      </c>
      <c r="M61" t="s">
        <v>69</v>
      </c>
      <c r="N61" t="s">
        <v>70</v>
      </c>
      <c r="O61" t="s">
        <v>71</v>
      </c>
      <c r="P61" t="s">
        <v>72</v>
      </c>
      <c r="Q61" t="s">
        <v>73</v>
      </c>
      <c r="R61">
        <v>5</v>
      </c>
      <c r="S61">
        <v>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f t="shared" si="6"/>
        <v>5</v>
      </c>
      <c r="AI61">
        <f t="shared" si="6"/>
        <v>8</v>
      </c>
      <c r="AJ61">
        <f t="shared" si="4"/>
        <v>13</v>
      </c>
      <c r="AK61">
        <v>0</v>
      </c>
      <c r="AL61">
        <v>0</v>
      </c>
      <c r="AM61">
        <v>8</v>
      </c>
      <c r="AN61">
        <v>8</v>
      </c>
      <c r="AO61">
        <v>6</v>
      </c>
      <c r="AP61">
        <v>5</v>
      </c>
      <c r="AQ61">
        <v>7</v>
      </c>
      <c r="AR61">
        <v>9</v>
      </c>
      <c r="AS61">
        <v>7</v>
      </c>
      <c r="AT61">
        <v>5</v>
      </c>
      <c r="AU61">
        <v>9</v>
      </c>
      <c r="AV61">
        <v>1</v>
      </c>
      <c r="AW61">
        <v>7</v>
      </c>
      <c r="AX61">
        <v>5</v>
      </c>
      <c r="AY61">
        <v>0</v>
      </c>
      <c r="AZ61">
        <v>0</v>
      </c>
      <c r="BA61">
        <f t="shared" si="7"/>
        <v>44</v>
      </c>
      <c r="BB61">
        <f t="shared" si="7"/>
        <v>33</v>
      </c>
      <c r="BC61">
        <f t="shared" si="5"/>
        <v>77</v>
      </c>
    </row>
    <row r="62" spans="1:55" x14ac:dyDescent="0.25">
      <c r="A62" t="s">
        <v>66</v>
      </c>
      <c r="B62" t="s">
        <v>82</v>
      </c>
      <c r="C62" t="s">
        <v>207</v>
      </c>
      <c r="D62">
        <v>129410</v>
      </c>
      <c r="E62" t="s">
        <v>214</v>
      </c>
      <c r="F62" t="s">
        <v>215</v>
      </c>
      <c r="H62" t="s">
        <v>86</v>
      </c>
      <c r="I62" t="s">
        <v>87</v>
      </c>
      <c r="J62" t="s">
        <v>67</v>
      </c>
      <c r="K62" t="s">
        <v>216</v>
      </c>
      <c r="L62" t="s">
        <v>68</v>
      </c>
      <c r="M62" t="s">
        <v>69</v>
      </c>
      <c r="N62" t="s">
        <v>70</v>
      </c>
      <c r="O62" t="s">
        <v>71</v>
      </c>
      <c r="P62" t="s">
        <v>72</v>
      </c>
      <c r="Q62" t="s">
        <v>73</v>
      </c>
      <c r="R62">
        <v>12</v>
      </c>
      <c r="S62">
        <v>16</v>
      </c>
      <c r="T62">
        <v>15</v>
      </c>
      <c r="U62">
        <v>14</v>
      </c>
      <c r="V62">
        <v>13</v>
      </c>
      <c r="W62">
        <v>18</v>
      </c>
      <c r="X62">
        <v>12</v>
      </c>
      <c r="Y62">
        <v>9</v>
      </c>
      <c r="Z62">
        <v>15</v>
      </c>
      <c r="AA62">
        <v>11</v>
      </c>
      <c r="AB62">
        <v>13</v>
      </c>
      <c r="AC62">
        <v>14</v>
      </c>
      <c r="AD62">
        <v>14</v>
      </c>
      <c r="AE62">
        <v>13</v>
      </c>
      <c r="AF62">
        <v>0</v>
      </c>
      <c r="AG62">
        <v>0</v>
      </c>
      <c r="AH62">
        <f t="shared" si="6"/>
        <v>94</v>
      </c>
      <c r="AI62">
        <f t="shared" si="6"/>
        <v>95</v>
      </c>
      <c r="AJ62">
        <f t="shared" si="4"/>
        <v>189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f t="shared" si="7"/>
        <v>0</v>
      </c>
      <c r="BB62">
        <f t="shared" si="7"/>
        <v>0</v>
      </c>
      <c r="BC62">
        <f t="shared" si="5"/>
        <v>0</v>
      </c>
    </row>
    <row r="63" spans="1:55" x14ac:dyDescent="0.25">
      <c r="A63" t="s">
        <v>66</v>
      </c>
      <c r="B63" t="s">
        <v>82</v>
      </c>
      <c r="C63" t="s">
        <v>207</v>
      </c>
      <c r="D63">
        <v>129412</v>
      </c>
      <c r="E63" t="s">
        <v>217</v>
      </c>
      <c r="F63" t="s">
        <v>218</v>
      </c>
      <c r="H63" t="s">
        <v>86</v>
      </c>
      <c r="I63" t="s">
        <v>87</v>
      </c>
      <c r="J63" t="s">
        <v>67</v>
      </c>
      <c r="K63" t="s">
        <v>219</v>
      </c>
      <c r="L63" t="s">
        <v>68</v>
      </c>
      <c r="M63" t="s">
        <v>69</v>
      </c>
      <c r="N63" t="s">
        <v>70</v>
      </c>
      <c r="O63" t="s">
        <v>71</v>
      </c>
      <c r="P63" t="s">
        <v>72</v>
      </c>
      <c r="Q63" t="s">
        <v>73</v>
      </c>
      <c r="R63">
        <v>9</v>
      </c>
      <c r="S63">
        <v>4</v>
      </c>
      <c r="T63">
        <v>11</v>
      </c>
      <c r="U63">
        <v>10</v>
      </c>
      <c r="V63">
        <v>6</v>
      </c>
      <c r="W63">
        <v>6</v>
      </c>
      <c r="X63">
        <v>7</v>
      </c>
      <c r="Y63">
        <v>6</v>
      </c>
      <c r="Z63">
        <v>9</v>
      </c>
      <c r="AA63">
        <v>4</v>
      </c>
      <c r="AB63">
        <v>10</v>
      </c>
      <c r="AC63">
        <v>8</v>
      </c>
      <c r="AD63">
        <v>5</v>
      </c>
      <c r="AE63">
        <v>5</v>
      </c>
      <c r="AF63">
        <v>0</v>
      </c>
      <c r="AG63">
        <v>0</v>
      </c>
      <c r="AH63">
        <f t="shared" si="6"/>
        <v>57</v>
      </c>
      <c r="AI63">
        <f t="shared" si="6"/>
        <v>43</v>
      </c>
      <c r="AJ63">
        <f t="shared" si="4"/>
        <v>100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f t="shared" si="7"/>
        <v>0</v>
      </c>
      <c r="BB63">
        <f t="shared" si="7"/>
        <v>0</v>
      </c>
      <c r="BC63">
        <f t="shared" si="5"/>
        <v>0</v>
      </c>
    </row>
    <row r="64" spans="1:55" x14ac:dyDescent="0.25">
      <c r="A64" t="s">
        <v>66</v>
      </c>
      <c r="B64" t="s">
        <v>82</v>
      </c>
      <c r="C64" t="s">
        <v>207</v>
      </c>
      <c r="D64">
        <v>129413</v>
      </c>
      <c r="E64" t="s">
        <v>220</v>
      </c>
      <c r="F64" t="s">
        <v>221</v>
      </c>
      <c r="H64" t="s">
        <v>86</v>
      </c>
      <c r="I64" t="s">
        <v>87</v>
      </c>
      <c r="J64" t="s">
        <v>67</v>
      </c>
      <c r="K64" t="s">
        <v>216</v>
      </c>
      <c r="L64" t="s">
        <v>68</v>
      </c>
      <c r="M64" t="s">
        <v>69</v>
      </c>
      <c r="N64" t="s">
        <v>70</v>
      </c>
      <c r="O64" t="s">
        <v>71</v>
      </c>
      <c r="P64" t="s">
        <v>72</v>
      </c>
      <c r="Q64" t="s">
        <v>73</v>
      </c>
      <c r="R64">
        <v>24</v>
      </c>
      <c r="S64">
        <v>20</v>
      </c>
      <c r="T64">
        <v>16</v>
      </c>
      <c r="U64">
        <v>28</v>
      </c>
      <c r="V64">
        <v>25</v>
      </c>
      <c r="W64">
        <v>21</v>
      </c>
      <c r="X64">
        <v>26</v>
      </c>
      <c r="Y64">
        <v>20</v>
      </c>
      <c r="Z64">
        <v>26</v>
      </c>
      <c r="AA64">
        <v>17</v>
      </c>
      <c r="AB64">
        <v>21</v>
      </c>
      <c r="AC64">
        <v>24</v>
      </c>
      <c r="AD64">
        <v>18</v>
      </c>
      <c r="AE64">
        <v>23</v>
      </c>
      <c r="AF64">
        <v>0</v>
      </c>
      <c r="AG64">
        <v>0</v>
      </c>
      <c r="AH64">
        <f t="shared" si="6"/>
        <v>156</v>
      </c>
      <c r="AI64">
        <f t="shared" si="6"/>
        <v>153</v>
      </c>
      <c r="AJ64">
        <f t="shared" si="4"/>
        <v>309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f t="shared" si="7"/>
        <v>0</v>
      </c>
      <c r="BB64">
        <f t="shared" si="7"/>
        <v>0</v>
      </c>
      <c r="BC64">
        <f t="shared" si="5"/>
        <v>0</v>
      </c>
    </row>
    <row r="65" spans="1:55" x14ac:dyDescent="0.25">
      <c r="A65" t="s">
        <v>66</v>
      </c>
      <c r="B65" t="s">
        <v>82</v>
      </c>
      <c r="C65" t="s">
        <v>207</v>
      </c>
      <c r="D65">
        <v>129414</v>
      </c>
      <c r="E65" t="s">
        <v>222</v>
      </c>
      <c r="F65" t="s">
        <v>223</v>
      </c>
      <c r="H65" t="s">
        <v>86</v>
      </c>
      <c r="I65" t="s">
        <v>87</v>
      </c>
      <c r="J65" t="s">
        <v>67</v>
      </c>
      <c r="K65" t="s">
        <v>224</v>
      </c>
      <c r="L65" t="s">
        <v>68</v>
      </c>
      <c r="M65" t="s">
        <v>69</v>
      </c>
      <c r="N65" t="s">
        <v>70</v>
      </c>
      <c r="O65" t="s">
        <v>71</v>
      </c>
      <c r="P65" t="s">
        <v>72</v>
      </c>
      <c r="Q65" t="s">
        <v>73</v>
      </c>
      <c r="R65">
        <v>32</v>
      </c>
      <c r="S65">
        <v>20</v>
      </c>
      <c r="T65">
        <v>37</v>
      </c>
      <c r="U65">
        <v>21</v>
      </c>
      <c r="V65">
        <v>37</v>
      </c>
      <c r="W65">
        <v>23</v>
      </c>
      <c r="X65">
        <v>22</v>
      </c>
      <c r="Y65">
        <v>29</v>
      </c>
      <c r="Z65">
        <v>34</v>
      </c>
      <c r="AA65">
        <v>24</v>
      </c>
      <c r="AB65">
        <v>25</v>
      </c>
      <c r="AC65">
        <v>25</v>
      </c>
      <c r="AD65">
        <v>31</v>
      </c>
      <c r="AE65">
        <v>32</v>
      </c>
      <c r="AF65">
        <v>0</v>
      </c>
      <c r="AG65">
        <v>0</v>
      </c>
      <c r="AH65">
        <f t="shared" si="6"/>
        <v>218</v>
      </c>
      <c r="AI65">
        <f t="shared" si="6"/>
        <v>174</v>
      </c>
      <c r="AJ65">
        <f t="shared" si="4"/>
        <v>392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f t="shared" si="7"/>
        <v>0</v>
      </c>
      <c r="BB65">
        <f t="shared" si="7"/>
        <v>0</v>
      </c>
      <c r="BC65">
        <f t="shared" si="5"/>
        <v>0</v>
      </c>
    </row>
    <row r="66" spans="1:55" x14ac:dyDescent="0.25">
      <c r="A66" t="s">
        <v>66</v>
      </c>
      <c r="B66" t="s">
        <v>82</v>
      </c>
      <c r="C66" t="s">
        <v>207</v>
      </c>
      <c r="D66">
        <v>129417</v>
      </c>
      <c r="E66" t="s">
        <v>225</v>
      </c>
      <c r="F66" t="s">
        <v>226</v>
      </c>
      <c r="H66" t="s">
        <v>86</v>
      </c>
      <c r="I66" t="s">
        <v>87</v>
      </c>
      <c r="J66" t="s">
        <v>67</v>
      </c>
      <c r="K66" t="s">
        <v>210</v>
      </c>
      <c r="L66" t="s">
        <v>68</v>
      </c>
      <c r="M66" t="s">
        <v>69</v>
      </c>
      <c r="N66" t="s">
        <v>70</v>
      </c>
      <c r="O66" t="s">
        <v>71</v>
      </c>
      <c r="P66" t="s">
        <v>72</v>
      </c>
      <c r="Q66" t="s">
        <v>73</v>
      </c>
      <c r="R66">
        <v>36</v>
      </c>
      <c r="S66">
        <v>14</v>
      </c>
      <c r="T66">
        <v>53</v>
      </c>
      <c r="U66">
        <v>38</v>
      </c>
      <c r="V66">
        <v>47</v>
      </c>
      <c r="W66">
        <v>44</v>
      </c>
      <c r="X66">
        <v>42</v>
      </c>
      <c r="Y66">
        <v>32</v>
      </c>
      <c r="Z66">
        <v>40</v>
      </c>
      <c r="AA66">
        <v>39</v>
      </c>
      <c r="AB66">
        <v>24</v>
      </c>
      <c r="AC66">
        <v>41</v>
      </c>
      <c r="AD66">
        <v>24</v>
      </c>
      <c r="AE66">
        <v>30</v>
      </c>
      <c r="AF66">
        <v>0</v>
      </c>
      <c r="AG66">
        <v>0</v>
      </c>
      <c r="AH66">
        <f t="shared" si="6"/>
        <v>266</v>
      </c>
      <c r="AI66">
        <f t="shared" si="6"/>
        <v>238</v>
      </c>
      <c r="AJ66">
        <f t="shared" si="4"/>
        <v>504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f t="shared" si="7"/>
        <v>0</v>
      </c>
      <c r="BB66">
        <f t="shared" si="7"/>
        <v>0</v>
      </c>
      <c r="BC66">
        <f t="shared" si="5"/>
        <v>0</v>
      </c>
    </row>
    <row r="67" spans="1:55" x14ac:dyDescent="0.25">
      <c r="A67" t="s">
        <v>66</v>
      </c>
      <c r="B67" t="s">
        <v>82</v>
      </c>
      <c r="C67" t="s">
        <v>207</v>
      </c>
      <c r="D67">
        <v>129418</v>
      </c>
      <c r="E67" t="s">
        <v>227</v>
      </c>
      <c r="F67" t="s">
        <v>228</v>
      </c>
      <c r="H67" t="s">
        <v>86</v>
      </c>
      <c r="I67" t="s">
        <v>87</v>
      </c>
      <c r="J67" t="s">
        <v>67</v>
      </c>
      <c r="K67" t="s">
        <v>210</v>
      </c>
      <c r="L67" t="s">
        <v>68</v>
      </c>
      <c r="M67" t="s">
        <v>69</v>
      </c>
      <c r="N67" t="s">
        <v>70</v>
      </c>
      <c r="O67" t="s">
        <v>71</v>
      </c>
      <c r="P67" t="s">
        <v>72</v>
      </c>
      <c r="Q67" t="s">
        <v>73</v>
      </c>
      <c r="R67">
        <v>7</v>
      </c>
      <c r="S67">
        <v>3</v>
      </c>
      <c r="T67">
        <v>19</v>
      </c>
      <c r="U67">
        <v>15</v>
      </c>
      <c r="V67">
        <v>12</v>
      </c>
      <c r="W67">
        <v>16</v>
      </c>
      <c r="X67">
        <v>5</v>
      </c>
      <c r="Y67">
        <v>5</v>
      </c>
      <c r="Z67">
        <v>9</v>
      </c>
      <c r="AA67">
        <v>9</v>
      </c>
      <c r="AB67">
        <v>8</v>
      </c>
      <c r="AC67">
        <v>9</v>
      </c>
      <c r="AD67">
        <v>7</v>
      </c>
      <c r="AE67">
        <v>3</v>
      </c>
      <c r="AF67">
        <v>0</v>
      </c>
      <c r="AG67">
        <v>0</v>
      </c>
      <c r="AH67">
        <f t="shared" si="6"/>
        <v>67</v>
      </c>
      <c r="AI67">
        <f t="shared" si="6"/>
        <v>60</v>
      </c>
      <c r="AJ67">
        <f t="shared" si="4"/>
        <v>127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f t="shared" si="7"/>
        <v>0</v>
      </c>
      <c r="BB67">
        <f t="shared" si="7"/>
        <v>0</v>
      </c>
      <c r="BC67">
        <f t="shared" si="5"/>
        <v>0</v>
      </c>
    </row>
    <row r="68" spans="1:55" x14ac:dyDescent="0.25">
      <c r="A68" t="s">
        <v>66</v>
      </c>
      <c r="B68" t="s">
        <v>82</v>
      </c>
      <c r="C68" t="s">
        <v>207</v>
      </c>
      <c r="D68">
        <v>129419</v>
      </c>
      <c r="E68" t="s">
        <v>229</v>
      </c>
      <c r="F68" t="s">
        <v>230</v>
      </c>
      <c r="H68" t="s">
        <v>86</v>
      </c>
      <c r="I68" t="s">
        <v>87</v>
      </c>
      <c r="J68" t="s">
        <v>67</v>
      </c>
      <c r="K68" t="s">
        <v>231</v>
      </c>
      <c r="L68" t="s">
        <v>68</v>
      </c>
      <c r="M68" t="s">
        <v>69</v>
      </c>
      <c r="N68" t="s">
        <v>70</v>
      </c>
      <c r="O68" t="s">
        <v>71</v>
      </c>
      <c r="P68" t="s">
        <v>72</v>
      </c>
      <c r="Q68" t="s">
        <v>73</v>
      </c>
      <c r="R68">
        <v>28</v>
      </c>
      <c r="S68">
        <v>15</v>
      </c>
      <c r="T68">
        <v>31</v>
      </c>
      <c r="U68">
        <v>27</v>
      </c>
      <c r="V68">
        <v>40</v>
      </c>
      <c r="W68">
        <v>28</v>
      </c>
      <c r="X68">
        <v>21</v>
      </c>
      <c r="Y68">
        <v>29</v>
      </c>
      <c r="Z68">
        <v>33</v>
      </c>
      <c r="AA68">
        <v>20</v>
      </c>
      <c r="AB68">
        <v>28</v>
      </c>
      <c r="AC68">
        <v>28</v>
      </c>
      <c r="AD68">
        <v>43</v>
      </c>
      <c r="AE68">
        <v>26</v>
      </c>
      <c r="AF68">
        <v>0</v>
      </c>
      <c r="AG68">
        <v>0</v>
      </c>
      <c r="AH68">
        <f t="shared" si="6"/>
        <v>224</v>
      </c>
      <c r="AI68">
        <f t="shared" si="6"/>
        <v>173</v>
      </c>
      <c r="AJ68">
        <f t="shared" si="4"/>
        <v>397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f t="shared" si="7"/>
        <v>0</v>
      </c>
      <c r="BB68">
        <f t="shared" si="7"/>
        <v>0</v>
      </c>
      <c r="BC68">
        <f t="shared" si="5"/>
        <v>0</v>
      </c>
    </row>
    <row r="69" spans="1:55" x14ac:dyDescent="0.25">
      <c r="A69" t="s">
        <v>66</v>
      </c>
      <c r="B69" t="s">
        <v>82</v>
      </c>
      <c r="C69" t="s">
        <v>207</v>
      </c>
      <c r="D69">
        <v>129420</v>
      </c>
      <c r="E69" t="s">
        <v>232</v>
      </c>
      <c r="F69" t="s">
        <v>233</v>
      </c>
      <c r="H69" t="s">
        <v>86</v>
      </c>
      <c r="I69" t="s">
        <v>87</v>
      </c>
      <c r="J69" t="s">
        <v>67</v>
      </c>
      <c r="K69" t="s">
        <v>233</v>
      </c>
      <c r="L69" t="s">
        <v>68</v>
      </c>
      <c r="M69" t="s">
        <v>69</v>
      </c>
      <c r="N69" t="s">
        <v>70</v>
      </c>
      <c r="O69" t="s">
        <v>71</v>
      </c>
      <c r="P69" t="s">
        <v>72</v>
      </c>
      <c r="Q69" t="s">
        <v>73</v>
      </c>
      <c r="R69">
        <v>13</v>
      </c>
      <c r="S69">
        <v>19</v>
      </c>
      <c r="T69">
        <v>23</v>
      </c>
      <c r="U69">
        <v>20</v>
      </c>
      <c r="V69">
        <v>15</v>
      </c>
      <c r="W69">
        <v>15</v>
      </c>
      <c r="X69">
        <v>14</v>
      </c>
      <c r="Y69">
        <v>8</v>
      </c>
      <c r="Z69">
        <v>18</v>
      </c>
      <c r="AA69">
        <v>11</v>
      </c>
      <c r="AB69">
        <v>10</v>
      </c>
      <c r="AC69">
        <v>13</v>
      </c>
      <c r="AD69">
        <v>12</v>
      </c>
      <c r="AE69">
        <v>11</v>
      </c>
      <c r="AF69">
        <v>0</v>
      </c>
      <c r="AG69">
        <v>0</v>
      </c>
      <c r="AH69">
        <f t="shared" si="6"/>
        <v>105</v>
      </c>
      <c r="AI69">
        <f t="shared" si="6"/>
        <v>97</v>
      </c>
      <c r="AJ69">
        <f t="shared" si="4"/>
        <v>202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f t="shared" si="7"/>
        <v>0</v>
      </c>
      <c r="BB69">
        <f t="shared" si="7"/>
        <v>0</v>
      </c>
      <c r="BC69">
        <f t="shared" si="5"/>
        <v>0</v>
      </c>
    </row>
    <row r="70" spans="1:55" x14ac:dyDescent="0.25">
      <c r="A70" t="s">
        <v>66</v>
      </c>
      <c r="B70" t="s">
        <v>82</v>
      </c>
      <c r="C70" t="s">
        <v>207</v>
      </c>
      <c r="D70">
        <v>129421</v>
      </c>
      <c r="E70" t="s">
        <v>234</v>
      </c>
      <c r="F70" t="s">
        <v>235</v>
      </c>
      <c r="H70" t="s">
        <v>86</v>
      </c>
      <c r="I70" t="s">
        <v>87</v>
      </c>
      <c r="J70" t="s">
        <v>67</v>
      </c>
      <c r="K70" t="s">
        <v>216</v>
      </c>
      <c r="L70" t="s">
        <v>68</v>
      </c>
      <c r="M70" t="s">
        <v>69</v>
      </c>
      <c r="N70" t="s">
        <v>70</v>
      </c>
      <c r="O70" t="s">
        <v>71</v>
      </c>
      <c r="P70" t="s">
        <v>72</v>
      </c>
      <c r="Q70" t="s">
        <v>73</v>
      </c>
      <c r="R70">
        <v>4</v>
      </c>
      <c r="S70">
        <v>8</v>
      </c>
      <c r="T70">
        <v>14</v>
      </c>
      <c r="U70">
        <v>10</v>
      </c>
      <c r="V70">
        <v>9</v>
      </c>
      <c r="W70">
        <v>11</v>
      </c>
      <c r="X70">
        <v>8</v>
      </c>
      <c r="Y70">
        <v>9</v>
      </c>
      <c r="Z70">
        <v>14</v>
      </c>
      <c r="AA70">
        <v>3</v>
      </c>
      <c r="AB70">
        <v>6</v>
      </c>
      <c r="AC70">
        <v>3</v>
      </c>
      <c r="AD70">
        <v>4</v>
      </c>
      <c r="AE70">
        <v>5</v>
      </c>
      <c r="AF70">
        <v>0</v>
      </c>
      <c r="AG70">
        <v>0</v>
      </c>
      <c r="AH70">
        <f t="shared" si="6"/>
        <v>59</v>
      </c>
      <c r="AI70">
        <f t="shared" si="6"/>
        <v>49</v>
      </c>
      <c r="AJ70">
        <f t="shared" si="4"/>
        <v>108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f t="shared" si="7"/>
        <v>0</v>
      </c>
      <c r="BB70">
        <f t="shared" si="7"/>
        <v>0</v>
      </c>
      <c r="BC70">
        <f t="shared" si="5"/>
        <v>0</v>
      </c>
    </row>
    <row r="71" spans="1:55" x14ac:dyDescent="0.25">
      <c r="A71" t="s">
        <v>66</v>
      </c>
      <c r="B71" t="s">
        <v>82</v>
      </c>
      <c r="C71" t="s">
        <v>207</v>
      </c>
      <c r="D71">
        <v>129422</v>
      </c>
      <c r="E71" t="s">
        <v>236</v>
      </c>
      <c r="F71" t="s">
        <v>237</v>
      </c>
      <c r="H71" t="s">
        <v>86</v>
      </c>
      <c r="I71" t="s">
        <v>87</v>
      </c>
      <c r="J71" t="s">
        <v>67</v>
      </c>
      <c r="K71" t="s">
        <v>210</v>
      </c>
      <c r="L71" t="s">
        <v>68</v>
      </c>
      <c r="M71" t="s">
        <v>69</v>
      </c>
      <c r="N71" t="s">
        <v>70</v>
      </c>
      <c r="O71" t="s">
        <v>71</v>
      </c>
      <c r="P71" t="s">
        <v>72</v>
      </c>
      <c r="Q71" t="s">
        <v>73</v>
      </c>
      <c r="R71">
        <v>7</v>
      </c>
      <c r="S71">
        <v>4</v>
      </c>
      <c r="T71">
        <v>24</v>
      </c>
      <c r="U71">
        <v>14</v>
      </c>
      <c r="V71">
        <v>14</v>
      </c>
      <c r="W71">
        <v>13</v>
      </c>
      <c r="X71">
        <v>10</v>
      </c>
      <c r="Y71">
        <v>8</v>
      </c>
      <c r="Z71">
        <v>9</v>
      </c>
      <c r="AA71">
        <v>12</v>
      </c>
      <c r="AB71">
        <v>10</v>
      </c>
      <c r="AC71">
        <v>13</v>
      </c>
      <c r="AD71">
        <v>12</v>
      </c>
      <c r="AE71">
        <v>8</v>
      </c>
      <c r="AF71">
        <v>0</v>
      </c>
      <c r="AG71">
        <v>0</v>
      </c>
      <c r="AH71">
        <f t="shared" si="6"/>
        <v>86</v>
      </c>
      <c r="AI71">
        <f t="shared" si="6"/>
        <v>72</v>
      </c>
      <c r="AJ71">
        <f t="shared" si="4"/>
        <v>158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f t="shared" si="7"/>
        <v>0</v>
      </c>
      <c r="BB71">
        <f t="shared" si="7"/>
        <v>0</v>
      </c>
      <c r="BC71">
        <f t="shared" si="5"/>
        <v>0</v>
      </c>
    </row>
    <row r="72" spans="1:55" x14ac:dyDescent="0.25">
      <c r="A72" t="s">
        <v>66</v>
      </c>
      <c r="B72" t="s">
        <v>82</v>
      </c>
      <c r="C72" t="s">
        <v>207</v>
      </c>
      <c r="D72">
        <v>501085</v>
      </c>
      <c r="E72" t="s">
        <v>238</v>
      </c>
      <c r="F72" t="s">
        <v>239</v>
      </c>
      <c r="H72" t="s">
        <v>86</v>
      </c>
      <c r="I72" t="s">
        <v>87</v>
      </c>
      <c r="J72" t="s">
        <v>67</v>
      </c>
      <c r="K72" t="s">
        <v>240</v>
      </c>
      <c r="L72" t="s">
        <v>68</v>
      </c>
      <c r="M72" t="s">
        <v>69</v>
      </c>
      <c r="N72" t="s">
        <v>70</v>
      </c>
      <c r="O72" t="s">
        <v>80</v>
      </c>
      <c r="P72" t="s">
        <v>72</v>
      </c>
      <c r="Q72" t="s">
        <v>81</v>
      </c>
      <c r="R72">
        <v>26</v>
      </c>
      <c r="S72">
        <v>24</v>
      </c>
      <c r="T72">
        <v>36</v>
      </c>
      <c r="U72">
        <v>28</v>
      </c>
      <c r="V72">
        <v>24</v>
      </c>
      <c r="W72">
        <v>25</v>
      </c>
      <c r="X72">
        <v>32</v>
      </c>
      <c r="Y72">
        <v>22</v>
      </c>
      <c r="Z72">
        <v>22</v>
      </c>
      <c r="AA72">
        <v>34</v>
      </c>
      <c r="AB72">
        <v>26</v>
      </c>
      <c r="AC72">
        <v>30</v>
      </c>
      <c r="AD72">
        <v>29</v>
      </c>
      <c r="AE72">
        <v>38</v>
      </c>
      <c r="AF72">
        <v>0</v>
      </c>
      <c r="AG72">
        <v>0</v>
      </c>
      <c r="AH72">
        <f t="shared" si="6"/>
        <v>195</v>
      </c>
      <c r="AI72">
        <f t="shared" si="6"/>
        <v>201</v>
      </c>
      <c r="AJ72">
        <f t="shared" si="4"/>
        <v>396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f t="shared" si="7"/>
        <v>0</v>
      </c>
      <c r="BB72">
        <f t="shared" si="7"/>
        <v>0</v>
      </c>
      <c r="BC72">
        <f t="shared" si="5"/>
        <v>0</v>
      </c>
    </row>
    <row r="73" spans="1:55" x14ac:dyDescent="0.25">
      <c r="A73" t="s">
        <v>66</v>
      </c>
      <c r="B73" t="s">
        <v>82</v>
      </c>
      <c r="C73" t="s">
        <v>207</v>
      </c>
      <c r="D73">
        <v>501086</v>
      </c>
      <c r="E73" t="s">
        <v>241</v>
      </c>
      <c r="F73" t="s">
        <v>242</v>
      </c>
      <c r="H73" t="s">
        <v>86</v>
      </c>
      <c r="I73" t="s">
        <v>87</v>
      </c>
      <c r="J73" t="s">
        <v>67</v>
      </c>
      <c r="K73" t="s">
        <v>243</v>
      </c>
      <c r="L73" t="s">
        <v>68</v>
      </c>
      <c r="M73" t="s">
        <v>69</v>
      </c>
      <c r="N73" t="s">
        <v>70</v>
      </c>
      <c r="O73" t="s">
        <v>80</v>
      </c>
      <c r="P73" t="s">
        <v>72</v>
      </c>
      <c r="Q73" t="s">
        <v>81</v>
      </c>
      <c r="R73">
        <v>13</v>
      </c>
      <c r="S73">
        <v>17</v>
      </c>
      <c r="T73">
        <v>23</v>
      </c>
      <c r="U73">
        <v>14</v>
      </c>
      <c r="V73">
        <v>17</v>
      </c>
      <c r="W73">
        <v>11</v>
      </c>
      <c r="X73">
        <v>16</v>
      </c>
      <c r="Y73">
        <v>15</v>
      </c>
      <c r="Z73">
        <v>14</v>
      </c>
      <c r="AA73">
        <v>17</v>
      </c>
      <c r="AB73">
        <v>20</v>
      </c>
      <c r="AC73">
        <v>15</v>
      </c>
      <c r="AD73">
        <v>13</v>
      </c>
      <c r="AE73">
        <v>9</v>
      </c>
      <c r="AF73">
        <v>0</v>
      </c>
      <c r="AG73">
        <v>0</v>
      </c>
      <c r="AH73">
        <f t="shared" si="6"/>
        <v>116</v>
      </c>
      <c r="AI73">
        <f t="shared" si="6"/>
        <v>98</v>
      </c>
      <c r="AJ73">
        <f t="shared" si="4"/>
        <v>214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f t="shared" si="7"/>
        <v>0</v>
      </c>
      <c r="BB73">
        <f t="shared" si="7"/>
        <v>0</v>
      </c>
      <c r="BC73">
        <f t="shared" si="5"/>
        <v>0</v>
      </c>
    </row>
    <row r="74" spans="1:55" x14ac:dyDescent="0.25">
      <c r="A74" t="s">
        <v>66</v>
      </c>
      <c r="B74" t="s">
        <v>82</v>
      </c>
      <c r="C74" t="s">
        <v>207</v>
      </c>
      <c r="D74">
        <v>501087</v>
      </c>
      <c r="E74" t="s">
        <v>244</v>
      </c>
      <c r="F74" t="s">
        <v>245</v>
      </c>
      <c r="H74" t="s">
        <v>86</v>
      </c>
      <c r="I74" t="s">
        <v>87</v>
      </c>
      <c r="J74" t="s">
        <v>67</v>
      </c>
      <c r="K74" t="s">
        <v>213</v>
      </c>
      <c r="L74" t="s">
        <v>68</v>
      </c>
      <c r="M74" t="s">
        <v>69</v>
      </c>
      <c r="N74" t="s">
        <v>70</v>
      </c>
      <c r="O74" t="s">
        <v>80</v>
      </c>
      <c r="P74" t="s">
        <v>72</v>
      </c>
      <c r="Q74" t="s">
        <v>81</v>
      </c>
      <c r="R74">
        <v>11</v>
      </c>
      <c r="S74">
        <v>9</v>
      </c>
      <c r="T74">
        <v>18</v>
      </c>
      <c r="U74">
        <v>19</v>
      </c>
      <c r="V74">
        <v>20</v>
      </c>
      <c r="W74">
        <v>15</v>
      </c>
      <c r="X74">
        <v>18</v>
      </c>
      <c r="Y74">
        <v>12</v>
      </c>
      <c r="Z74">
        <v>12</v>
      </c>
      <c r="AA74">
        <v>12</v>
      </c>
      <c r="AB74">
        <v>11</v>
      </c>
      <c r="AC74">
        <v>11</v>
      </c>
      <c r="AD74">
        <v>8</v>
      </c>
      <c r="AE74">
        <v>16</v>
      </c>
      <c r="AF74">
        <v>0</v>
      </c>
      <c r="AG74">
        <v>0</v>
      </c>
      <c r="AH74">
        <f t="shared" si="6"/>
        <v>98</v>
      </c>
      <c r="AI74">
        <f t="shared" si="6"/>
        <v>94</v>
      </c>
      <c r="AJ74">
        <f t="shared" si="4"/>
        <v>192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f t="shared" si="7"/>
        <v>0</v>
      </c>
      <c r="BB74">
        <f t="shared" si="7"/>
        <v>0</v>
      </c>
      <c r="BC74">
        <f t="shared" si="5"/>
        <v>0</v>
      </c>
    </row>
  </sheetData>
  <autoFilter ref="A7:AZ74" xr:uid="{00000000-0009-0000-0000-000000000000}"/>
  <mergeCells count="20">
    <mergeCell ref="AU4:AV4"/>
    <mergeCell ref="AW4:AX4"/>
    <mergeCell ref="AY4:AZ4"/>
    <mergeCell ref="BA4:BC4"/>
    <mergeCell ref="AH4:AJ4"/>
    <mergeCell ref="AK4:AL4"/>
    <mergeCell ref="AM4:AN4"/>
    <mergeCell ref="AO4:AP4"/>
    <mergeCell ref="AQ4:AR4"/>
    <mergeCell ref="AS4:AT4"/>
    <mergeCell ref="R3:AJ3"/>
    <mergeCell ref="AK3:BC3"/>
    <mergeCell ref="R4:S4"/>
    <mergeCell ref="T4:U4"/>
    <mergeCell ref="V4:W4"/>
    <mergeCell ref="X4:Y4"/>
    <mergeCell ref="Z4:AA4"/>
    <mergeCell ref="AB4:AC4"/>
    <mergeCell ref="AD4:AE4"/>
    <mergeCell ref="AF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2023-08-07T05:50:41Z</dcterms:created>
  <dcterms:modified xsi:type="dcterms:W3CDTF">2023-08-07T05:51:31Z</dcterms:modified>
</cp:coreProperties>
</file>