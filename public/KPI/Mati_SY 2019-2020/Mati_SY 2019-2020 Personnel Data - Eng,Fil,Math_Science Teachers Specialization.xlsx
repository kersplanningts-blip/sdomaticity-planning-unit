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10BAA658-E514-4BB6-AC64-8DD48E61C066}" xr6:coauthVersionLast="47" xr6:coauthVersionMax="47" xr10:uidLastSave="{00000000-0000-0000-0000-000000000000}"/>
  <bookViews>
    <workbookView xWindow="-120" yWindow="-120" windowWidth="29040" windowHeight="15720" activeTab="1" xr2:uid="{66585A73-9CC1-4F67-AF5F-136EC4398088}"/>
  </bookViews>
  <sheets>
    <sheet name="JHS" sheetId="1" r:id="rId1"/>
    <sheet name="SHS" sheetId="2" r:id="rId2"/>
  </sheets>
  <definedNames>
    <definedName name="_xlnm._FilterDatabase" localSheetId="0" hidden="1">JHS!$A$9:$CG$31</definedName>
    <definedName name="_xlnm._FilterDatabase" localSheetId="1" hidden="1">SHS!$A$9:$CF$25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8" i="2" l="1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</calcChain>
</file>

<file path=xl/sharedStrings.xml><?xml version="1.0" encoding="utf-8"?>
<sst xmlns="http://schemas.openxmlformats.org/spreadsheetml/2006/main" count="794" uniqueCount="247">
  <si>
    <t>School Level Data on NUMBER OF MATHEMATICS AND SCIENCE TEACHERS BY SPECIALIZATION (JHS)</t>
  </si>
  <si>
    <t>SY 2019-2020</t>
  </si>
  <si>
    <t>Based on BIES, generated as of August 17, 2020</t>
  </si>
  <si>
    <t>English</t>
  </si>
  <si>
    <t>Filipino</t>
  </si>
  <si>
    <t>Mathematics</t>
  </si>
  <si>
    <t>Science</t>
  </si>
  <si>
    <t>Full-Time</t>
  </si>
  <si>
    <t>Part-Time</t>
  </si>
  <si>
    <t>Major</t>
  </si>
  <si>
    <t>Minor</t>
  </si>
  <si>
    <t>Major / Minor
in Other
Subjects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</si>
  <si>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</si>
  <si>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</si>
  <si>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</si>
  <si>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</si>
  <si>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</si>
  <si>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</si>
  <si>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</si>
  <si>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</si>
  <si>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</si>
  <si>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</si>
  <si>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</si>
  <si>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</si>
  <si>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English FT Major in English</t>
  </si>
  <si>
    <t>English FT Major in Filipino</t>
  </si>
  <si>
    <t>English FT Major in Math</t>
  </si>
  <si>
    <t>English FT Major in Science</t>
  </si>
  <si>
    <t>English FT Minor in English</t>
  </si>
  <si>
    <t>English FT Minor in Filipino</t>
  </si>
  <si>
    <t>English FT Minor in Science</t>
  </si>
  <si>
    <t>English FT Major/Minor in Other Subjs</t>
  </si>
  <si>
    <t>English PT Major in English</t>
  </si>
  <si>
    <t>English PT Major in Filipino</t>
  </si>
  <si>
    <t>English PT Major in Math</t>
  </si>
  <si>
    <t>English PT Major in Science</t>
  </si>
  <si>
    <t>English PT Minor in English</t>
  </si>
  <si>
    <t>English PT Minor in Filipino</t>
  </si>
  <si>
    <t>English PT Minor in Math</t>
  </si>
  <si>
    <t>English PT Minor in Science</t>
  </si>
  <si>
    <t>English PT Major/Minor in Other Subjs</t>
  </si>
  <si>
    <t>Filipino FT Major in English</t>
  </si>
  <si>
    <t>Filipino FT Major in Filipino</t>
  </si>
  <si>
    <t>Filipino FT Major in Math</t>
  </si>
  <si>
    <t>Filipino FT Major in Science</t>
  </si>
  <si>
    <t>Filipino FT Minor in English</t>
  </si>
  <si>
    <t>Filipino FT Minor in Filipino</t>
  </si>
  <si>
    <t>Filipino FT Minor in Math</t>
  </si>
  <si>
    <t>Filipino FT Minor in Science</t>
  </si>
  <si>
    <t>Filipino FT Major/Minor in Other Subjs</t>
  </si>
  <si>
    <t>Filipino PT Major in English</t>
  </si>
  <si>
    <t>Filipino PT Major in Filipino</t>
  </si>
  <si>
    <t>Filipino PT Major in Math</t>
  </si>
  <si>
    <t>Filipino PT Major in Science</t>
  </si>
  <si>
    <t>Filipino PT Minor in English</t>
  </si>
  <si>
    <t>Filipino PT Minor in Filipino</t>
  </si>
  <si>
    <t>Filipino PT Minor in Math</t>
  </si>
  <si>
    <t>Filipino PT Minor in Science</t>
  </si>
  <si>
    <t>Filipino PT Major/Minor in Other Subjs</t>
  </si>
  <si>
    <t>Math FT Major in English</t>
  </si>
  <si>
    <t>Math FT Major in Filipino</t>
  </si>
  <si>
    <t>Math FT Major in Math</t>
  </si>
  <si>
    <t>Math FT Major in Science</t>
  </si>
  <si>
    <t>Math FT Minor in English</t>
  </si>
  <si>
    <t>Math FT Minor in Filipino</t>
  </si>
  <si>
    <t>Math PT Major in Math</t>
  </si>
  <si>
    <t>Math FT Minor in Science</t>
  </si>
  <si>
    <t>Math FT Major/Minor in Other Subjs</t>
  </si>
  <si>
    <t>Math PT Major in English</t>
  </si>
  <si>
    <t>Math PT Major in Filipino</t>
  </si>
  <si>
    <t>Math PT Major in Science</t>
  </si>
  <si>
    <t>Math PT Minor in English</t>
  </si>
  <si>
    <t>Math PT Minor in Filipino</t>
  </si>
  <si>
    <t>Math PT Minor in Math</t>
  </si>
  <si>
    <t>Math PT Minor in Science</t>
  </si>
  <si>
    <t>Math PT Major/Minor in Other Subjs</t>
  </si>
  <si>
    <t>Science FT Major in English</t>
  </si>
  <si>
    <t>Science FT Major in Filipino</t>
  </si>
  <si>
    <t>Science FT Major in Math</t>
  </si>
  <si>
    <t>Science FT Major in Science</t>
  </si>
  <si>
    <t>Science FT Minor in English</t>
  </si>
  <si>
    <t>Science FT Minor in Filipino</t>
  </si>
  <si>
    <t>Science FT Minor in Math</t>
  </si>
  <si>
    <t>Science FT Minor in Science</t>
  </si>
  <si>
    <t>Science FT Major/Minor in Other Subjs</t>
  </si>
  <si>
    <t>Science PT Major in English</t>
  </si>
  <si>
    <t>Science PT Major in Filipino</t>
  </si>
  <si>
    <t>Science PT Major in Math</t>
  </si>
  <si>
    <t>Science PT Major in Science</t>
  </si>
  <si>
    <t>Science PT Minor in English</t>
  </si>
  <si>
    <t>Science PT Minor in Filipino</t>
  </si>
  <si>
    <t>Science PT Minor in Math</t>
  </si>
  <si>
    <t>Science PT Minor in Science</t>
  </si>
  <si>
    <t>Science PT Major/Minor in Other Subjs</t>
  </si>
  <si>
    <t>Remarks</t>
  </si>
  <si>
    <t>Region XI</t>
  </si>
  <si>
    <t>2nd District</t>
  </si>
  <si>
    <t>Grade 7-10 &amp; Grade 11-12</t>
  </si>
  <si>
    <t>JHS with SHS</t>
  </si>
  <si>
    <t>Grade 7-10</t>
  </si>
  <si>
    <t>Purely JHS</t>
  </si>
  <si>
    <t>Kinder, Grade 1-6, Grade 7-10</t>
  </si>
  <si>
    <t>ES and JHS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</si>
  <si>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</si>
  <si>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</si>
  <si>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</si>
  <si>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</si>
  <si>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</si>
  <si>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</si>
  <si>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</si>
  <si>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</si>
  <si>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</si>
  <si>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</si>
  <si>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</si>
  <si>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</si>
  <si>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</si>
  <si>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</si>
  <si>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BADAS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</si>
  <si>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</si>
  <si>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</si>
  <si>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</si>
  <si>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</si>
  <si>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</si>
  <si>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</si>
  <si>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</si>
  <si>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</si>
  <si>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</si>
  <si>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</si>
  <si>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</si>
  <si>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</si>
  <si>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</si>
  <si>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</si>
  <si>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</si>
  <si>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</si>
  <si>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</si>
  <si>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</si>
  <si>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</si>
  <si>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</si>
  <si>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</si>
  <si>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</si>
  <si>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Taguibo Agri. Voc. High School</t>
  </si>
  <si>
    <t>Purok Mahayahay</t>
  </si>
  <si>
    <t>TAGUIBO</t>
  </si>
  <si>
    <t>Don Salvador Lopez NHS</t>
  </si>
  <si>
    <t>Centro</t>
  </si>
  <si>
    <t>DON SALVADOR LOPEZ, SR.</t>
  </si>
  <si>
    <t>Doña Rosa G. Rabat MHS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</si>
  <si>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</si>
  <si>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</si>
  <si>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</si>
  <si>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</si>
  <si>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</si>
  <si>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</si>
  <si>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</si>
  <si>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</si>
  <si>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</si>
  <si>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</si>
  <si>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</si>
  <si>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</si>
  <si>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</si>
  <si>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</si>
  <si>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</si>
  <si>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</si>
  <si>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</si>
  <si>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</si>
  <si>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</si>
  <si>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</si>
  <si>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</si>
  <si>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</si>
  <si>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</si>
  <si>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</si>
  <si>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</si>
  <si>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</si>
  <si>
    <t>School Level Data on NUMBER OF ENGLISH, FILIPINO, MATHEMATICS AND SCIENCE BY SPECIALIZATION (Senior High School)</t>
  </si>
  <si>
    <t>Based on BEIS, generated as of April 20, 2020</t>
  </si>
  <si>
    <t>FT Eng Maj in Eng</t>
  </si>
  <si>
    <t>FT Eng Maj in Fil</t>
  </si>
  <si>
    <t>FT Eng Maj in Math</t>
  </si>
  <si>
    <t>FT Eng Maj in Science</t>
  </si>
  <si>
    <t>FT Eng Min in Eng</t>
  </si>
  <si>
    <t>FT Eng Min in Fil</t>
  </si>
  <si>
    <t>FT Eng Min in Math</t>
  </si>
  <si>
    <t>FT Eng Min in Science</t>
  </si>
  <si>
    <t>FT Eng Major/Min in Other Subjs</t>
  </si>
  <si>
    <t>PT Eng Maj in Eng</t>
  </si>
  <si>
    <t>PT Eng Maj in Fil</t>
  </si>
  <si>
    <t>PT Eng Maj in Math</t>
  </si>
  <si>
    <t>PT Eng Maj in Science</t>
  </si>
  <si>
    <t>PT Eng Min in Eng</t>
  </si>
  <si>
    <t>PT Eng Min in Fil</t>
  </si>
  <si>
    <t>PT Eng Min in Math</t>
  </si>
  <si>
    <t>PT Eng Min in Science</t>
  </si>
  <si>
    <t>PT Eng Major/Min in Other Subjs</t>
  </si>
  <si>
    <t>FT Fil Maj in Eng</t>
  </si>
  <si>
    <t>FT Fil Maj in Fil</t>
  </si>
  <si>
    <t>FT Fil Maj in Math</t>
  </si>
  <si>
    <t>FT Fil Maj in Science</t>
  </si>
  <si>
    <t>FT Fil Min in Eng</t>
  </si>
  <si>
    <t>FT Fil Min in Fil</t>
  </si>
  <si>
    <t>FT Fil Min in Math</t>
  </si>
  <si>
    <t>FT Fil Min in Science</t>
  </si>
  <si>
    <t>FT Fil Major/Min in Other Subjs</t>
  </si>
  <si>
    <t>PT Fil Maj in Eng</t>
  </si>
  <si>
    <t>PT Fil Maj in Fil</t>
  </si>
  <si>
    <t>PT Fil Maj in Math</t>
  </si>
  <si>
    <t>PT Fil Maj in Science</t>
  </si>
  <si>
    <t>PT Fil Min in Eng</t>
  </si>
  <si>
    <t>PT Fil Min in Fil</t>
  </si>
  <si>
    <t>PT Fil Min in Math</t>
  </si>
  <si>
    <t>PT Fil Min in Science</t>
  </si>
  <si>
    <t>PT Fil Major/Min in Other Subjs</t>
  </si>
  <si>
    <t>FT Math Maj in Eng</t>
  </si>
  <si>
    <t>FT Math Maj in Fil</t>
  </si>
  <si>
    <t>FT Math Maj in Math</t>
  </si>
  <si>
    <t>FT Math Maj in Science</t>
  </si>
  <si>
    <t>FT Math Min in Eng</t>
  </si>
  <si>
    <t>FT Math Min in Fil</t>
  </si>
  <si>
    <t>FT Math Min in Math</t>
  </si>
  <si>
    <t>FT Math Min in Science</t>
  </si>
  <si>
    <t>FT Math Major/Min in Other Subjs</t>
  </si>
  <si>
    <t>PT Math Maj in Eng</t>
  </si>
  <si>
    <t>PT Math Maj in Fil</t>
  </si>
  <si>
    <t>PT Math Maj in Math</t>
  </si>
  <si>
    <t>PT Math Maj in Science</t>
  </si>
  <si>
    <t>PT Math Min in Eng</t>
  </si>
  <si>
    <t>PT Math Min in Fil</t>
  </si>
  <si>
    <t>PT Math Min in Math</t>
  </si>
  <si>
    <t>PT Math Min in Science</t>
  </si>
  <si>
    <t>PT Math Major/Min in Other Subjs</t>
  </si>
  <si>
    <t>FT Science Maj in Eng</t>
  </si>
  <si>
    <t>FT Science Maj in Fil</t>
  </si>
  <si>
    <t>FT Science Maj in Math</t>
  </si>
  <si>
    <t>FT Science Maj in Science</t>
  </si>
  <si>
    <t>FT Science Min in Eng</t>
  </si>
  <si>
    <t>FT Science Min in Fil</t>
  </si>
  <si>
    <t>FT Science Min in Math</t>
  </si>
  <si>
    <t>FT Science Min in Science</t>
  </si>
  <si>
    <t>FT Science Major/Min in Other Subjs</t>
  </si>
  <si>
    <t>PT Science Maj in Eng</t>
  </si>
  <si>
    <t>PT Science Maj in Fil</t>
  </si>
  <si>
    <t>PT Science Maj in Math</t>
  </si>
  <si>
    <t>PT Science Maj in Science</t>
  </si>
  <si>
    <t>PT Science Min in Eng</t>
  </si>
  <si>
    <t>PT Science Min in Fil</t>
  </si>
  <si>
    <t>PT Science Min in Math</t>
  </si>
  <si>
    <t>PT Science Min in Science</t>
  </si>
  <si>
    <t>PT Science Major/Min in Other Subjs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</si>
</sst>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2" fillId="0" borderId="0" xfId="0" applyFont="1"/>
    <xf numFmtId="0" fontId="5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6DA4-AACB-449B-B7F5-CDAFAF029853}">
  <dimension ref="A1:CG31"/>
  <sheetViews>
    <sheetView zoomScale="85" zoomScaleNormal="85" workbookViewId="0">
      <pane xSplit="4" ySplit="9" topLeftCell="E12" activePane="bottomRight" state="frozen"/>
      <selection activeCell="B28" sqref="A10:XFD28"/>
      <selection pane="topRight" activeCell="B28" sqref="A10:XFD28"/>
      <selection pane="bottomLeft" activeCell="B28" sqref="A10:XFD28"/>
      <selection pane="bottomRight" activeCell="B32" sqref="A32:XFD77"/>
    </sheetView>
  </sheetViews>
  <sheetFormatPr defaultRowHeight="15" x14ac:dyDescent="0.25"/>
  <cols>
    <col min="2" max="2" width="27.140625" bestFit="1" customWidth="1"/>
  </cols>
  <sheetData>
    <row r="1" spans="1:85" x14ac:dyDescent="0.25">
      <c r="A1" s="1" t="s">
        <v>0</v>
      </c>
    </row>
    <row r="2" spans="1:85" x14ac:dyDescent="0.25">
      <c r="A2" s="1" t="s">
        <v>1</v>
      </c>
      <c r="L2" s="2"/>
    </row>
    <row r="3" spans="1:85" x14ac:dyDescent="0.25">
      <c r="A3" s="1" t="s">
        <v>2</v>
      </c>
      <c r="L3" s="2"/>
    </row>
    <row r="4" spans="1:85" x14ac:dyDescent="0.25">
      <c r="M4" s="13" t="s">
        <v>3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5"/>
      <c r="AE4" s="13" t="s">
        <v>4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5"/>
      <c r="AW4" s="13" t="s">
        <v>5</v>
      </c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5"/>
      <c r="BO4" s="13" t="s">
        <v>6</v>
      </c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5"/>
    </row>
    <row r="5" spans="1:85" x14ac:dyDescent="0.25">
      <c r="M5" s="13" t="s">
        <v>7</v>
      </c>
      <c r="N5" s="14"/>
      <c r="O5" s="14"/>
      <c r="P5" s="14"/>
      <c r="Q5" s="14"/>
      <c r="R5" s="14"/>
      <c r="S5" s="14"/>
      <c r="T5" s="14"/>
      <c r="U5" s="15"/>
      <c r="V5" s="13" t="s">
        <v>8</v>
      </c>
      <c r="W5" s="14"/>
      <c r="X5" s="14"/>
      <c r="Y5" s="14"/>
      <c r="Z5" s="14"/>
      <c r="AA5" s="14"/>
      <c r="AB5" s="14"/>
      <c r="AC5" s="14"/>
      <c r="AD5" s="15"/>
      <c r="AE5" s="13" t="s">
        <v>7</v>
      </c>
      <c r="AF5" s="14"/>
      <c r="AG5" s="14"/>
      <c r="AH5" s="14"/>
      <c r="AI5" s="14"/>
      <c r="AJ5" s="14"/>
      <c r="AK5" s="14"/>
      <c r="AL5" s="14"/>
      <c r="AM5" s="15"/>
      <c r="AN5" s="13" t="s">
        <v>8</v>
      </c>
      <c r="AO5" s="14"/>
      <c r="AP5" s="14"/>
      <c r="AQ5" s="14"/>
      <c r="AR5" s="14"/>
      <c r="AS5" s="14"/>
      <c r="AT5" s="14"/>
      <c r="AU5" s="14"/>
      <c r="AV5" s="15"/>
      <c r="AW5" s="13" t="s">
        <v>7</v>
      </c>
      <c r="AX5" s="14"/>
      <c r="AY5" s="14"/>
      <c r="AZ5" s="14"/>
      <c r="BA5" s="14"/>
      <c r="BB5" s="14"/>
      <c r="BC5" s="14"/>
      <c r="BD5" s="14"/>
      <c r="BE5" s="15"/>
      <c r="BF5" s="13" t="s">
        <v>8</v>
      </c>
      <c r="BG5" s="14"/>
      <c r="BH5" s="14"/>
      <c r="BI5" s="14"/>
      <c r="BJ5" s="14"/>
      <c r="BK5" s="14"/>
      <c r="BL5" s="14"/>
      <c r="BM5" s="14"/>
      <c r="BN5" s="15"/>
      <c r="BO5" s="13" t="s">
        <v>7</v>
      </c>
      <c r="BP5" s="14"/>
      <c r="BQ5" s="14"/>
      <c r="BR5" s="14"/>
      <c r="BS5" s="14"/>
      <c r="BT5" s="14"/>
      <c r="BU5" s="14"/>
      <c r="BV5" s="14"/>
      <c r="BW5" s="15"/>
      <c r="BX5" s="13" t="s">
        <v>8</v>
      </c>
      <c r="BY5" s="14"/>
      <c r="BZ5" s="14"/>
      <c r="CA5" s="14"/>
      <c r="CB5" s="14"/>
      <c r="CC5" s="14"/>
      <c r="CD5" s="14"/>
      <c r="CE5" s="14"/>
      <c r="CF5" s="15"/>
    </row>
    <row r="6" spans="1:85" x14ac:dyDescent="0.25">
      <c r="M6" s="13" t="s">
        <v>9</v>
      </c>
      <c r="N6" s="14"/>
      <c r="O6" s="14"/>
      <c r="P6" s="15"/>
      <c r="Q6" s="13" t="s">
        <v>10</v>
      </c>
      <c r="R6" s="14"/>
      <c r="S6" s="14"/>
      <c r="T6" s="15"/>
      <c r="U6" s="11" t="s">
        <v>11</v>
      </c>
      <c r="V6" s="13" t="s">
        <v>9</v>
      </c>
      <c r="W6" s="14"/>
      <c r="X6" s="14"/>
      <c r="Y6" s="15"/>
      <c r="Z6" s="13" t="s">
        <v>10</v>
      </c>
      <c r="AA6" s="14"/>
      <c r="AB6" s="14"/>
      <c r="AC6" s="15"/>
      <c r="AD6" s="16" t="s">
        <v>11</v>
      </c>
      <c r="AE6" s="13" t="s">
        <v>9</v>
      </c>
      <c r="AF6" s="14"/>
      <c r="AG6" s="14"/>
      <c r="AH6" s="15"/>
      <c r="AI6" s="13" t="s">
        <v>10</v>
      </c>
      <c r="AJ6" s="14"/>
      <c r="AK6" s="14"/>
      <c r="AL6" s="15"/>
      <c r="AM6" s="11" t="s">
        <v>11</v>
      </c>
      <c r="AN6" s="13" t="s">
        <v>9</v>
      </c>
      <c r="AO6" s="14"/>
      <c r="AP6" s="14"/>
      <c r="AQ6" s="15"/>
      <c r="AR6" s="13" t="s">
        <v>10</v>
      </c>
      <c r="AS6" s="14"/>
      <c r="AT6" s="14"/>
      <c r="AU6" s="15"/>
      <c r="AV6" s="11" t="s">
        <v>11</v>
      </c>
      <c r="AW6" s="13" t="s">
        <v>9</v>
      </c>
      <c r="AX6" s="14"/>
      <c r="AY6" s="14"/>
      <c r="AZ6" s="15"/>
      <c r="BA6" s="13" t="s">
        <v>10</v>
      </c>
      <c r="BB6" s="14"/>
      <c r="BC6" s="14"/>
      <c r="BD6" s="15"/>
      <c r="BE6" s="11" t="s">
        <v>11</v>
      </c>
      <c r="BF6" s="13" t="s">
        <v>9</v>
      </c>
      <c r="BG6" s="14"/>
      <c r="BH6" s="14"/>
      <c r="BI6" s="15"/>
      <c r="BJ6" s="13" t="s">
        <v>10</v>
      </c>
      <c r="BK6" s="14"/>
      <c r="BL6" s="14"/>
      <c r="BM6" s="15"/>
      <c r="BN6" s="11" t="s">
        <v>11</v>
      </c>
      <c r="BO6" s="13" t="s">
        <v>9</v>
      </c>
      <c r="BP6" s="14"/>
      <c r="BQ6" s="14"/>
      <c r="BR6" s="15"/>
      <c r="BS6" s="13" t="s">
        <v>10</v>
      </c>
      <c r="BT6" s="14"/>
      <c r="BU6" s="14"/>
      <c r="BV6" s="15"/>
      <c r="BW6" s="11" t="s">
        <v>11</v>
      </c>
      <c r="BX6" s="13" t="s">
        <v>9</v>
      </c>
      <c r="BY6" s="14"/>
      <c r="BZ6" s="14"/>
      <c r="CA6" s="15"/>
      <c r="CB6" s="13" t="s">
        <v>10</v>
      </c>
      <c r="CC6" s="14"/>
      <c r="CD6" s="14"/>
      <c r="CE6" s="15"/>
      <c r="CF6" s="11" t="s">
        <v>11</v>
      </c>
    </row>
    <row r="7" spans="1:85" ht="30" x14ac:dyDescent="0.25">
      <c r="M7" s="3" t="s">
        <v>3</v>
      </c>
      <c r="N7" s="3" t="s">
        <v>4</v>
      </c>
      <c r="O7" s="3" t="s">
        <v>5</v>
      </c>
      <c r="P7" s="3" t="s">
        <v>6</v>
      </c>
      <c r="Q7" s="3" t="s">
        <v>3</v>
      </c>
      <c r="R7" s="3" t="s">
        <v>4</v>
      </c>
      <c r="S7" s="3" t="s">
        <v>5</v>
      </c>
      <c r="T7" s="3" t="s">
        <v>6</v>
      </c>
      <c r="U7" s="12"/>
      <c r="V7" s="3" t="s">
        <v>3</v>
      </c>
      <c r="W7" s="3" t="s">
        <v>4</v>
      </c>
      <c r="X7" s="3" t="s">
        <v>5</v>
      </c>
      <c r="Y7" s="3" t="s">
        <v>6</v>
      </c>
      <c r="Z7" s="3" t="s">
        <v>3</v>
      </c>
      <c r="AA7" s="3" t="s">
        <v>4</v>
      </c>
      <c r="AB7" s="3" t="s">
        <v>5</v>
      </c>
      <c r="AC7" s="3" t="s">
        <v>6</v>
      </c>
      <c r="AD7" s="17"/>
      <c r="AE7" s="3" t="s">
        <v>3</v>
      </c>
      <c r="AF7" s="3" t="s">
        <v>4</v>
      </c>
      <c r="AG7" s="3" t="s">
        <v>5</v>
      </c>
      <c r="AH7" s="3" t="s">
        <v>6</v>
      </c>
      <c r="AI7" s="3" t="s">
        <v>3</v>
      </c>
      <c r="AJ7" s="3" t="s">
        <v>4</v>
      </c>
      <c r="AK7" s="3" t="s">
        <v>5</v>
      </c>
      <c r="AL7" s="3" t="s">
        <v>6</v>
      </c>
      <c r="AM7" s="12"/>
      <c r="AN7" s="3" t="s">
        <v>3</v>
      </c>
      <c r="AO7" s="3" t="s">
        <v>4</v>
      </c>
      <c r="AP7" s="3" t="s">
        <v>5</v>
      </c>
      <c r="AQ7" s="3" t="s">
        <v>6</v>
      </c>
      <c r="AR7" s="3" t="s">
        <v>3</v>
      </c>
      <c r="AS7" s="3" t="s">
        <v>4</v>
      </c>
      <c r="AT7" s="3" t="s">
        <v>5</v>
      </c>
      <c r="AU7" s="3" t="s">
        <v>6</v>
      </c>
      <c r="AV7" s="12"/>
      <c r="AW7" s="3" t="s">
        <v>3</v>
      </c>
      <c r="AX7" s="3" t="s">
        <v>4</v>
      </c>
      <c r="AY7" s="3" t="s">
        <v>5</v>
      </c>
      <c r="AZ7" s="3" t="s">
        <v>6</v>
      </c>
      <c r="BA7" s="3" t="s">
        <v>3</v>
      </c>
      <c r="BB7" s="3" t="s">
        <v>4</v>
      </c>
      <c r="BC7" s="3" t="s">
        <v>5</v>
      </c>
      <c r="BD7" s="3" t="s">
        <v>6</v>
      </c>
      <c r="BE7" s="12"/>
      <c r="BF7" s="3" t="s">
        <v>3</v>
      </c>
      <c r="BG7" s="3" t="s">
        <v>4</v>
      </c>
      <c r="BH7" s="3" t="s">
        <v>5</v>
      </c>
      <c r="BI7" s="3" t="s">
        <v>6</v>
      </c>
      <c r="BJ7" s="3" t="s">
        <v>3</v>
      </c>
      <c r="BK7" s="3" t="s">
        <v>4</v>
      </c>
      <c r="BL7" s="3" t="s">
        <v>5</v>
      </c>
      <c r="BM7" s="3" t="s">
        <v>6</v>
      </c>
      <c r="BN7" s="12"/>
      <c r="BO7" s="3" t="s">
        <v>3</v>
      </c>
      <c r="BP7" s="3" t="s">
        <v>4</v>
      </c>
      <c r="BQ7" s="3" t="s">
        <v>5</v>
      </c>
      <c r="BR7" s="3" t="s">
        <v>6</v>
      </c>
      <c r="BS7" s="3" t="s">
        <v>3</v>
      </c>
      <c r="BT7" s="3" t="s">
        <v>4</v>
      </c>
      <c r="BU7" s="3" t="s">
        <v>5</v>
      </c>
      <c r="BV7" s="3" t="s">
        <v>6</v>
      </c>
      <c r="BW7" s="12"/>
      <c r="BX7" s="3" t="s">
        <v>3</v>
      </c>
      <c r="BY7" s="3" t="s">
        <v>4</v>
      </c>
      <c r="BZ7" s="3" t="s">
        <v>5</v>
      </c>
      <c r="CA7" s="3" t="s">
        <v>6</v>
      </c>
      <c r="CB7" s="3" t="s">
        <v>3</v>
      </c>
      <c r="CC7" s="3" t="s">
        <v>4</v>
      </c>
      <c r="CD7" s="3" t="s">
        <v>5</v>
      </c>
      <c r="CE7" s="3" t="s">
        <v>6</v>
      </c>
      <c r="CF7" s="12"/>
    </row>
    <row r="8" spans="1:85" x14ac:dyDescent="0.25">
      <c r="M8" s="4">
        <f t="shared" ref="M8:AR8" si="0">SUM(M10:M31)</f>
        <v>83</v>
      </c>
      <c r="N8" s="4">
        <f t="shared" si="0"/>
        <v>0</v>
      </c>
      <c r="O8" s="4">
        <f t="shared" si="0"/>
        <v>1</v>
      </c>
      <c r="P8" s="4">
        <f t="shared" si="0"/>
        <v>0</v>
      </c>
      <c r="Q8" s="4">
        <f t="shared" si="0"/>
        <v>7</v>
      </c>
      <c r="R8" s="4">
        <f t="shared" si="0"/>
        <v>0</v>
      </c>
      <c r="S8" s="4">
        <f t="shared" si="0"/>
        <v>0</v>
      </c>
      <c r="T8" s="4">
        <f t="shared" si="0"/>
        <v>0</v>
      </c>
      <c r="U8" s="4">
        <f t="shared" si="0"/>
        <v>4</v>
      </c>
      <c r="V8" s="4">
        <f t="shared" si="0"/>
        <v>0</v>
      </c>
      <c r="W8" s="4">
        <f t="shared" si="0"/>
        <v>0</v>
      </c>
      <c r="X8" s="5">
        <f t="shared" si="0"/>
        <v>0</v>
      </c>
      <c r="Y8" s="4">
        <f t="shared" si="0"/>
        <v>0</v>
      </c>
      <c r="Z8" s="4">
        <f t="shared" si="0"/>
        <v>0</v>
      </c>
      <c r="AA8" s="4">
        <f t="shared" si="0"/>
        <v>0</v>
      </c>
      <c r="AB8" s="4">
        <f t="shared" si="0"/>
        <v>0</v>
      </c>
      <c r="AC8" s="4">
        <f t="shared" si="0"/>
        <v>0</v>
      </c>
      <c r="AD8" s="4">
        <f t="shared" si="0"/>
        <v>0</v>
      </c>
      <c r="AE8" s="4">
        <f t="shared" si="0"/>
        <v>32</v>
      </c>
      <c r="AF8" s="4">
        <f t="shared" si="0"/>
        <v>17</v>
      </c>
      <c r="AG8" s="4">
        <f t="shared" si="0"/>
        <v>3</v>
      </c>
      <c r="AH8" s="4">
        <f t="shared" si="0"/>
        <v>8</v>
      </c>
      <c r="AI8" s="4">
        <f t="shared" si="0"/>
        <v>7</v>
      </c>
      <c r="AJ8" s="4">
        <f t="shared" si="0"/>
        <v>7</v>
      </c>
      <c r="AK8" s="4">
        <f t="shared" si="0"/>
        <v>0</v>
      </c>
      <c r="AL8" s="4">
        <f t="shared" si="0"/>
        <v>1</v>
      </c>
      <c r="AM8" s="4">
        <f t="shared" si="0"/>
        <v>9</v>
      </c>
      <c r="AN8" s="4">
        <f t="shared" si="0"/>
        <v>0</v>
      </c>
      <c r="AO8" s="4">
        <f t="shared" si="0"/>
        <v>0</v>
      </c>
      <c r="AP8" s="4">
        <f t="shared" si="0"/>
        <v>0</v>
      </c>
      <c r="AQ8" s="4">
        <f t="shared" si="0"/>
        <v>0</v>
      </c>
      <c r="AR8" s="4">
        <f t="shared" si="0"/>
        <v>0</v>
      </c>
      <c r="AS8" s="4">
        <f t="shared" ref="AS8:BX8" si="1">SUM(AS10:AS31)</f>
        <v>0</v>
      </c>
      <c r="AT8" s="4">
        <f t="shared" si="1"/>
        <v>0</v>
      </c>
      <c r="AU8" s="4">
        <f t="shared" si="1"/>
        <v>0</v>
      </c>
      <c r="AV8" s="4">
        <f t="shared" si="1"/>
        <v>0</v>
      </c>
      <c r="AW8" s="4">
        <f t="shared" si="1"/>
        <v>0</v>
      </c>
      <c r="AX8" s="4">
        <f t="shared" si="1"/>
        <v>0</v>
      </c>
      <c r="AY8" s="4">
        <f t="shared" si="1"/>
        <v>68</v>
      </c>
      <c r="AZ8" s="4">
        <f t="shared" si="1"/>
        <v>2</v>
      </c>
      <c r="BA8" s="4">
        <f t="shared" si="1"/>
        <v>0</v>
      </c>
      <c r="BB8" s="4">
        <f t="shared" si="1"/>
        <v>0</v>
      </c>
      <c r="BC8" s="4">
        <f t="shared" si="1"/>
        <v>5</v>
      </c>
      <c r="BD8" s="4">
        <f t="shared" si="1"/>
        <v>1</v>
      </c>
      <c r="BE8" s="4">
        <f t="shared" si="1"/>
        <v>1</v>
      </c>
      <c r="BF8" s="4">
        <f t="shared" si="1"/>
        <v>0</v>
      </c>
      <c r="BG8" s="4">
        <f t="shared" si="1"/>
        <v>0</v>
      </c>
      <c r="BH8" s="4">
        <f t="shared" si="1"/>
        <v>0</v>
      </c>
      <c r="BI8" s="4">
        <f t="shared" si="1"/>
        <v>0</v>
      </c>
      <c r="BJ8" s="4">
        <f t="shared" si="1"/>
        <v>0</v>
      </c>
      <c r="BK8" s="4">
        <f t="shared" si="1"/>
        <v>0</v>
      </c>
      <c r="BL8" s="4">
        <f t="shared" si="1"/>
        <v>0</v>
      </c>
      <c r="BM8" s="4">
        <f t="shared" si="1"/>
        <v>0</v>
      </c>
      <c r="BN8" s="4">
        <f t="shared" si="1"/>
        <v>0</v>
      </c>
      <c r="BO8" s="4">
        <f t="shared" si="1"/>
        <v>0</v>
      </c>
      <c r="BP8" s="4">
        <f t="shared" si="1"/>
        <v>0</v>
      </c>
      <c r="BQ8" s="4">
        <f t="shared" si="1"/>
        <v>1</v>
      </c>
      <c r="BR8" s="4">
        <f t="shared" si="1"/>
        <v>93</v>
      </c>
      <c r="BS8" s="4">
        <f t="shared" si="1"/>
        <v>0</v>
      </c>
      <c r="BT8" s="4">
        <f t="shared" si="1"/>
        <v>0</v>
      </c>
      <c r="BU8" s="4">
        <f t="shared" si="1"/>
        <v>0</v>
      </c>
      <c r="BV8" s="4">
        <f t="shared" si="1"/>
        <v>12</v>
      </c>
      <c r="BW8" s="4">
        <f t="shared" si="1"/>
        <v>3</v>
      </c>
      <c r="BX8" s="4">
        <f t="shared" si="1"/>
        <v>0</v>
      </c>
      <c r="BY8" s="4">
        <f t="shared" ref="BY8:CF8" si="2">SUM(BY10:BY31)</f>
        <v>0</v>
      </c>
      <c r="BZ8" s="4">
        <f t="shared" si="2"/>
        <v>0</v>
      </c>
      <c r="CA8" s="4">
        <f t="shared" si="2"/>
        <v>0</v>
      </c>
      <c r="CB8" s="4">
        <f t="shared" si="2"/>
        <v>0</v>
      </c>
      <c r="CC8" s="4">
        <f t="shared" si="2"/>
        <v>0</v>
      </c>
      <c r="CD8" s="4">
        <f t="shared" si="2"/>
        <v>0</v>
      </c>
      <c r="CE8" s="4">
        <f t="shared" si="2"/>
        <v>0</v>
      </c>
      <c r="CF8" s="4">
        <f t="shared" si="2"/>
        <v>0</v>
      </c>
    </row>
    <row r="9" spans="1:85" x14ac:dyDescent="0.25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  <c r="K9" s="6" t="s">
        <v>22</v>
      </c>
      <c r="L9" s="7" t="s">
        <v>23</v>
      </c>
      <c r="M9" s="8" t="s">
        <v>24</v>
      </c>
      <c r="N9" s="8" t="s">
        <v>25</v>
      </c>
      <c r="O9" s="8" t="s">
        <v>26</v>
      </c>
      <c r="P9" s="8" t="s">
        <v>27</v>
      </c>
      <c r="Q9" s="8" t="s">
        <v>28</v>
      </c>
      <c r="R9" s="8" t="s">
        <v>29</v>
      </c>
      <c r="S9" s="8" t="s">
        <v>26</v>
      </c>
      <c r="T9" s="8" t="s">
        <v>30</v>
      </c>
      <c r="U9" s="8" t="s">
        <v>31</v>
      </c>
      <c r="V9" s="8" t="s">
        <v>32</v>
      </c>
      <c r="W9" s="8" t="s">
        <v>33</v>
      </c>
      <c r="X9" s="8" t="s">
        <v>34</v>
      </c>
      <c r="Y9" s="8" t="s">
        <v>35</v>
      </c>
      <c r="Z9" s="8" t="s">
        <v>36</v>
      </c>
      <c r="AA9" s="8" t="s">
        <v>37</v>
      </c>
      <c r="AB9" s="8" t="s">
        <v>38</v>
      </c>
      <c r="AC9" s="8" t="s">
        <v>39</v>
      </c>
      <c r="AD9" s="8" t="s">
        <v>40</v>
      </c>
      <c r="AE9" s="8" t="s">
        <v>41</v>
      </c>
      <c r="AF9" s="8" t="s">
        <v>42</v>
      </c>
      <c r="AG9" s="8" t="s">
        <v>43</v>
      </c>
      <c r="AH9" s="8" t="s">
        <v>44</v>
      </c>
      <c r="AI9" s="8" t="s">
        <v>45</v>
      </c>
      <c r="AJ9" s="8" t="s">
        <v>46</v>
      </c>
      <c r="AK9" s="8" t="s">
        <v>47</v>
      </c>
      <c r="AL9" s="8" t="s">
        <v>48</v>
      </c>
      <c r="AM9" s="8" t="s">
        <v>49</v>
      </c>
      <c r="AN9" s="8" t="s">
        <v>50</v>
      </c>
      <c r="AO9" s="8" t="s">
        <v>51</v>
      </c>
      <c r="AP9" s="8" t="s">
        <v>52</v>
      </c>
      <c r="AQ9" s="8" t="s">
        <v>53</v>
      </c>
      <c r="AR9" s="8" t="s">
        <v>54</v>
      </c>
      <c r="AS9" s="8" t="s">
        <v>55</v>
      </c>
      <c r="AT9" s="8" t="s">
        <v>56</v>
      </c>
      <c r="AU9" s="8" t="s">
        <v>57</v>
      </c>
      <c r="AV9" s="8" t="s">
        <v>58</v>
      </c>
      <c r="AW9" s="8" t="s">
        <v>59</v>
      </c>
      <c r="AX9" s="8" t="s">
        <v>60</v>
      </c>
      <c r="AY9" s="8" t="s">
        <v>61</v>
      </c>
      <c r="AZ9" s="8" t="s">
        <v>62</v>
      </c>
      <c r="BA9" s="8" t="s">
        <v>63</v>
      </c>
      <c r="BB9" s="8" t="s">
        <v>64</v>
      </c>
      <c r="BC9" s="8" t="s">
        <v>65</v>
      </c>
      <c r="BD9" s="8" t="s">
        <v>66</v>
      </c>
      <c r="BE9" s="8" t="s">
        <v>67</v>
      </c>
      <c r="BF9" s="8" t="s">
        <v>68</v>
      </c>
      <c r="BG9" s="8" t="s">
        <v>69</v>
      </c>
      <c r="BH9" s="8" t="s">
        <v>65</v>
      </c>
      <c r="BI9" s="8" t="s">
        <v>70</v>
      </c>
      <c r="BJ9" s="8" t="s">
        <v>71</v>
      </c>
      <c r="BK9" s="8" t="s">
        <v>72</v>
      </c>
      <c r="BL9" s="8" t="s">
        <v>73</v>
      </c>
      <c r="BM9" s="8" t="s">
        <v>74</v>
      </c>
      <c r="BN9" s="8" t="s">
        <v>75</v>
      </c>
      <c r="BO9" s="8" t="s">
        <v>76</v>
      </c>
      <c r="BP9" s="8" t="s">
        <v>77</v>
      </c>
      <c r="BQ9" s="8" t="s">
        <v>78</v>
      </c>
      <c r="BR9" s="8" t="s">
        <v>79</v>
      </c>
      <c r="BS9" s="8" t="s">
        <v>80</v>
      </c>
      <c r="BT9" s="8" t="s">
        <v>81</v>
      </c>
      <c r="BU9" s="8" t="s">
        <v>82</v>
      </c>
      <c r="BV9" s="8" t="s">
        <v>83</v>
      </c>
      <c r="BW9" s="8" t="s">
        <v>84</v>
      </c>
      <c r="BX9" s="8" t="s">
        <v>85</v>
      </c>
      <c r="BY9" s="8" t="s">
        <v>86</v>
      </c>
      <c r="BZ9" s="8" t="s">
        <v>87</v>
      </c>
      <c r="CA9" s="8" t="s">
        <v>88</v>
      </c>
      <c r="CB9" s="8" t="s">
        <v>89</v>
      </c>
      <c r="CC9" s="8" t="s">
        <v>90</v>
      </c>
      <c r="CD9" s="8" t="s">
        <v>91</v>
      </c>
      <c r="CE9" s="8" t="s">
        <v>92</v>
      </c>
      <c r="CF9" s="8" t="s">
        <v>93</v>
      </c>
      <c r="CG9" s="8" t="s">
        <v>94</v>
      </c>
    </row>
    <row r="10" spans="1:85" x14ac:dyDescent="0.25">
      <c r="A10" t="s">
        <v>95</v>
      </c>
      <c r="B10" t="s">
        <v>103</v>
      </c>
      <c r="C10" t="s">
        <v>104</v>
      </c>
      <c r="D10">
        <v>304325</v>
      </c>
      <c r="E10" t="s">
        <v>105</v>
      </c>
      <c r="F10" t="s">
        <v>106</v>
      </c>
      <c r="G10" t="s">
        <v>107</v>
      </c>
      <c r="H10" t="s">
        <v>108</v>
      </c>
      <c r="I10" t="s">
        <v>96</v>
      </c>
      <c r="J10" t="s">
        <v>109</v>
      </c>
      <c r="K10" t="s">
        <v>97</v>
      </c>
      <c r="L10" s="9" t="s">
        <v>98</v>
      </c>
      <c r="M10">
        <v>16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7</v>
      </c>
      <c r="AG10">
        <v>0</v>
      </c>
      <c r="AH10">
        <v>0</v>
      </c>
      <c r="AI10">
        <v>0</v>
      </c>
      <c r="AJ10">
        <v>5</v>
      </c>
      <c r="AK10">
        <v>0</v>
      </c>
      <c r="AL10">
        <v>0</v>
      </c>
      <c r="AM10">
        <v>8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12</v>
      </c>
      <c r="BS10">
        <v>0</v>
      </c>
      <c r="BT10">
        <v>0</v>
      </c>
      <c r="BU10">
        <v>0</v>
      </c>
      <c r="BV10">
        <v>0</v>
      </c>
      <c r="BW10">
        <v>3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</row>
    <row r="11" spans="1:85" x14ac:dyDescent="0.25">
      <c r="A11" t="s">
        <v>95</v>
      </c>
      <c r="B11" t="s">
        <v>103</v>
      </c>
      <c r="C11" t="s">
        <v>104</v>
      </c>
      <c r="D11">
        <v>304326</v>
      </c>
      <c r="E11" t="s">
        <v>110</v>
      </c>
      <c r="F11" t="s">
        <v>111</v>
      </c>
      <c r="G11" t="s">
        <v>107</v>
      </c>
      <c r="H11" t="s">
        <v>108</v>
      </c>
      <c r="I11" t="s">
        <v>96</v>
      </c>
      <c r="J11" t="s">
        <v>109</v>
      </c>
      <c r="K11" t="s">
        <v>97</v>
      </c>
      <c r="L11" s="9" t="s">
        <v>98</v>
      </c>
      <c r="M11">
        <v>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0</v>
      </c>
      <c r="AG11">
        <v>0</v>
      </c>
      <c r="AH11">
        <v>4</v>
      </c>
      <c r="AI11">
        <v>0</v>
      </c>
      <c r="AJ11">
        <v>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4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9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</row>
    <row r="12" spans="1:85" x14ac:dyDescent="0.25">
      <c r="A12" t="s">
        <v>95</v>
      </c>
      <c r="B12" t="s">
        <v>103</v>
      </c>
      <c r="C12" t="s">
        <v>104</v>
      </c>
      <c r="D12">
        <v>305680</v>
      </c>
      <c r="E12" t="s">
        <v>112</v>
      </c>
      <c r="F12" t="s">
        <v>113</v>
      </c>
      <c r="G12" t="s">
        <v>107</v>
      </c>
      <c r="H12" t="s">
        <v>108</v>
      </c>
      <c r="I12" t="s">
        <v>96</v>
      </c>
      <c r="J12" t="s">
        <v>114</v>
      </c>
      <c r="K12" t="s">
        <v>99</v>
      </c>
      <c r="L12" s="9" t="s">
        <v>100</v>
      </c>
      <c r="M12">
        <v>3</v>
      </c>
      <c r="N12">
        <v>0</v>
      </c>
      <c r="O12">
        <v>0</v>
      </c>
      <c r="P12">
        <v>0</v>
      </c>
      <c r="Q12">
        <v>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</v>
      </c>
      <c r="AF12">
        <v>0</v>
      </c>
      <c r="AG12">
        <v>0</v>
      </c>
      <c r="AH12">
        <v>1</v>
      </c>
      <c r="AI12">
        <v>3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6</v>
      </c>
      <c r="BS12">
        <v>0</v>
      </c>
      <c r="BT12">
        <v>0</v>
      </c>
      <c r="BU12">
        <v>0</v>
      </c>
      <c r="BV12">
        <v>6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</row>
    <row r="13" spans="1:85" x14ac:dyDescent="0.25">
      <c r="A13" t="s">
        <v>95</v>
      </c>
      <c r="B13" t="s">
        <v>103</v>
      </c>
      <c r="C13" t="s">
        <v>104</v>
      </c>
      <c r="D13">
        <v>325104</v>
      </c>
      <c r="E13" t="s">
        <v>115</v>
      </c>
      <c r="F13" t="s">
        <v>116</v>
      </c>
      <c r="G13" t="s">
        <v>107</v>
      </c>
      <c r="H13" t="s">
        <v>108</v>
      </c>
      <c r="I13" t="s">
        <v>96</v>
      </c>
      <c r="J13" t="s">
        <v>117</v>
      </c>
      <c r="K13" t="s">
        <v>97</v>
      </c>
      <c r="L13" s="9" t="s">
        <v>98</v>
      </c>
      <c r="M13">
        <v>4</v>
      </c>
      <c r="N13">
        <v>0</v>
      </c>
      <c r="O13">
        <v>0</v>
      </c>
      <c r="P13">
        <v>0</v>
      </c>
      <c r="Q13">
        <v>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</v>
      </c>
      <c r="AF13">
        <v>0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4</v>
      </c>
      <c r="AZ13">
        <v>0</v>
      </c>
      <c r="BA13">
        <v>0</v>
      </c>
      <c r="BB13">
        <v>0</v>
      </c>
      <c r="BC13">
        <v>4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6</v>
      </c>
      <c r="BS13">
        <v>0</v>
      </c>
      <c r="BT13">
        <v>0</v>
      </c>
      <c r="BU13">
        <v>0</v>
      </c>
      <c r="BV13">
        <v>6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</row>
    <row r="14" spans="1:85" x14ac:dyDescent="0.25">
      <c r="A14" t="s">
        <v>95</v>
      </c>
      <c r="B14" t="s">
        <v>103</v>
      </c>
      <c r="C14" t="s">
        <v>104</v>
      </c>
      <c r="D14">
        <v>500454</v>
      </c>
      <c r="E14" t="s">
        <v>118</v>
      </c>
      <c r="F14" t="s">
        <v>119</v>
      </c>
      <c r="G14" t="s">
        <v>107</v>
      </c>
      <c r="H14" t="s">
        <v>108</v>
      </c>
      <c r="I14" t="s">
        <v>96</v>
      </c>
      <c r="J14" t="s">
        <v>109</v>
      </c>
      <c r="K14" t="s">
        <v>120</v>
      </c>
      <c r="L14" s="9" t="s">
        <v>121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</row>
    <row r="15" spans="1:85" x14ac:dyDescent="0.25">
      <c r="A15" t="s">
        <v>95</v>
      </c>
      <c r="B15" t="s">
        <v>103</v>
      </c>
      <c r="C15" t="s">
        <v>104</v>
      </c>
      <c r="D15">
        <v>501424</v>
      </c>
      <c r="E15" t="s">
        <v>122</v>
      </c>
      <c r="F15" t="s">
        <v>123</v>
      </c>
      <c r="G15" t="s">
        <v>107</v>
      </c>
      <c r="H15" t="s">
        <v>108</v>
      </c>
      <c r="I15" t="s">
        <v>96</v>
      </c>
      <c r="J15" t="s">
        <v>124</v>
      </c>
      <c r="K15" t="s">
        <v>101</v>
      </c>
      <c r="L15" s="9" t="s">
        <v>102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</row>
    <row r="16" spans="1:85" x14ac:dyDescent="0.25">
      <c r="A16" t="s">
        <v>95</v>
      </c>
      <c r="B16" t="s">
        <v>103</v>
      </c>
      <c r="C16" t="s">
        <v>125</v>
      </c>
      <c r="D16">
        <v>304303</v>
      </c>
      <c r="E16" t="s">
        <v>126</v>
      </c>
      <c r="F16" t="s">
        <v>127</v>
      </c>
      <c r="G16" t="s">
        <v>107</v>
      </c>
      <c r="H16" t="s">
        <v>108</v>
      </c>
      <c r="I16" t="s">
        <v>96</v>
      </c>
      <c r="J16" t="s">
        <v>128</v>
      </c>
      <c r="K16" t="s">
        <v>97</v>
      </c>
      <c r="L16" s="9" t="s">
        <v>98</v>
      </c>
      <c r="M16">
        <v>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3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7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</row>
    <row r="17" spans="1:84" x14ac:dyDescent="0.25">
      <c r="A17" t="s">
        <v>95</v>
      </c>
      <c r="B17" t="s">
        <v>103</v>
      </c>
      <c r="C17" t="s">
        <v>125</v>
      </c>
      <c r="D17">
        <v>304305</v>
      </c>
      <c r="E17" t="s">
        <v>129</v>
      </c>
      <c r="F17" t="s">
        <v>130</v>
      </c>
      <c r="G17" t="s">
        <v>107</v>
      </c>
      <c r="H17" t="s">
        <v>108</v>
      </c>
      <c r="I17" t="s">
        <v>96</v>
      </c>
      <c r="J17" t="s">
        <v>131</v>
      </c>
      <c r="K17" t="s">
        <v>97</v>
      </c>
      <c r="L17" s="9" t="s">
        <v>98</v>
      </c>
      <c r="M17">
        <v>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4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4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</row>
    <row r="18" spans="1:84" x14ac:dyDescent="0.25">
      <c r="A18" t="s">
        <v>95</v>
      </c>
      <c r="B18" t="s">
        <v>103</v>
      </c>
      <c r="C18" t="s">
        <v>125</v>
      </c>
      <c r="D18">
        <v>304314</v>
      </c>
      <c r="E18" t="s">
        <v>132</v>
      </c>
      <c r="F18" t="s">
        <v>133</v>
      </c>
      <c r="G18" t="s">
        <v>107</v>
      </c>
      <c r="H18" t="s">
        <v>108</v>
      </c>
      <c r="I18" t="s">
        <v>96</v>
      </c>
      <c r="J18" t="s">
        <v>134</v>
      </c>
      <c r="K18" t="s">
        <v>97</v>
      </c>
      <c r="L18" s="9" t="s">
        <v>98</v>
      </c>
      <c r="M18">
        <v>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4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</row>
    <row r="19" spans="1:84" x14ac:dyDescent="0.25">
      <c r="A19" t="s">
        <v>95</v>
      </c>
      <c r="B19" t="s">
        <v>103</v>
      </c>
      <c r="C19" t="s">
        <v>125</v>
      </c>
      <c r="D19">
        <v>304327</v>
      </c>
      <c r="E19" t="s">
        <v>135</v>
      </c>
      <c r="F19" t="s">
        <v>136</v>
      </c>
      <c r="G19" t="s">
        <v>107</v>
      </c>
      <c r="H19" t="s">
        <v>108</v>
      </c>
      <c r="I19" t="s">
        <v>96</v>
      </c>
      <c r="J19" t="s">
        <v>137</v>
      </c>
      <c r="K19" t="s">
        <v>97</v>
      </c>
      <c r="L19" s="9" t="s">
        <v>98</v>
      </c>
      <c r="M19">
        <v>7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7</v>
      </c>
      <c r="AF19">
        <v>3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9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</row>
    <row r="20" spans="1:84" x14ac:dyDescent="0.25">
      <c r="A20" t="s">
        <v>95</v>
      </c>
      <c r="B20" t="s">
        <v>103</v>
      </c>
      <c r="C20" t="s">
        <v>125</v>
      </c>
      <c r="D20">
        <v>304328</v>
      </c>
      <c r="E20" t="s">
        <v>138</v>
      </c>
      <c r="F20" t="s">
        <v>139</v>
      </c>
      <c r="G20" t="s">
        <v>107</v>
      </c>
      <c r="H20" t="s">
        <v>108</v>
      </c>
      <c r="I20" t="s">
        <v>96</v>
      </c>
      <c r="J20" t="s">
        <v>114</v>
      </c>
      <c r="K20" t="s">
        <v>97</v>
      </c>
      <c r="L20" s="9" t="s">
        <v>98</v>
      </c>
      <c r="M20">
        <v>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4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4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7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</row>
    <row r="21" spans="1:84" x14ac:dyDescent="0.25">
      <c r="A21" t="s">
        <v>95</v>
      </c>
      <c r="B21" t="s">
        <v>103</v>
      </c>
      <c r="C21" t="s">
        <v>125</v>
      </c>
      <c r="D21">
        <v>304338</v>
      </c>
      <c r="E21" t="s">
        <v>140</v>
      </c>
      <c r="F21" t="s">
        <v>141</v>
      </c>
      <c r="G21" t="s">
        <v>107</v>
      </c>
      <c r="H21" t="s">
        <v>108</v>
      </c>
      <c r="I21" t="s">
        <v>96</v>
      </c>
      <c r="J21" t="s">
        <v>142</v>
      </c>
      <c r="K21" t="s">
        <v>97</v>
      </c>
      <c r="L21" s="9" t="s">
        <v>98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</row>
    <row r="22" spans="1:84" x14ac:dyDescent="0.25">
      <c r="A22" t="s">
        <v>95</v>
      </c>
      <c r="B22" t="s">
        <v>103</v>
      </c>
      <c r="C22" t="s">
        <v>125</v>
      </c>
      <c r="D22">
        <v>316104</v>
      </c>
      <c r="E22" t="s">
        <v>143</v>
      </c>
      <c r="F22" t="s">
        <v>144</v>
      </c>
      <c r="G22" t="s">
        <v>107</v>
      </c>
      <c r="H22" t="s">
        <v>108</v>
      </c>
      <c r="I22" t="s">
        <v>96</v>
      </c>
      <c r="J22" t="s">
        <v>145</v>
      </c>
      <c r="K22" t="s">
        <v>97</v>
      </c>
      <c r="L22" s="9" t="s">
        <v>98</v>
      </c>
      <c r="M22">
        <v>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5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</row>
    <row r="23" spans="1:84" x14ac:dyDescent="0.25">
      <c r="A23" t="s">
        <v>95</v>
      </c>
      <c r="B23" t="s">
        <v>103</v>
      </c>
      <c r="C23" t="s">
        <v>125</v>
      </c>
      <c r="D23">
        <v>325101</v>
      </c>
      <c r="E23" t="s">
        <v>146</v>
      </c>
      <c r="F23" t="s">
        <v>147</v>
      </c>
      <c r="G23" t="s">
        <v>107</v>
      </c>
      <c r="H23" t="s">
        <v>108</v>
      </c>
      <c r="I23" t="s">
        <v>96</v>
      </c>
      <c r="J23" t="s">
        <v>114</v>
      </c>
      <c r="K23" t="s">
        <v>99</v>
      </c>
      <c r="L23" s="9" t="s">
        <v>100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4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</row>
    <row r="24" spans="1:84" x14ac:dyDescent="0.25">
      <c r="A24" t="s">
        <v>95</v>
      </c>
      <c r="B24" t="s">
        <v>103</v>
      </c>
      <c r="C24" t="s">
        <v>125</v>
      </c>
      <c r="D24">
        <v>325102</v>
      </c>
      <c r="E24" t="s">
        <v>148</v>
      </c>
      <c r="F24" t="s">
        <v>149</v>
      </c>
      <c r="G24" t="s">
        <v>107</v>
      </c>
      <c r="H24" t="s">
        <v>108</v>
      </c>
      <c r="I24" t="s">
        <v>96</v>
      </c>
      <c r="J24" t="s">
        <v>150</v>
      </c>
      <c r="K24" t="s">
        <v>97</v>
      </c>
      <c r="L24" s="9" t="s">
        <v>98</v>
      </c>
      <c r="M24">
        <v>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</row>
    <row r="25" spans="1:84" x14ac:dyDescent="0.25">
      <c r="A25" t="s">
        <v>95</v>
      </c>
      <c r="B25" t="s">
        <v>103</v>
      </c>
      <c r="C25" t="s">
        <v>125</v>
      </c>
      <c r="D25">
        <v>325106</v>
      </c>
      <c r="E25" t="s">
        <v>151</v>
      </c>
      <c r="F25" t="s">
        <v>152</v>
      </c>
      <c r="G25" t="s">
        <v>107</v>
      </c>
      <c r="H25" t="s">
        <v>108</v>
      </c>
      <c r="I25" t="s">
        <v>96</v>
      </c>
      <c r="J25" t="s">
        <v>153</v>
      </c>
      <c r="K25" t="s">
        <v>97</v>
      </c>
      <c r="L25" s="9" t="s">
        <v>98</v>
      </c>
      <c r="M25">
        <v>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0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3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</row>
    <row r="26" spans="1:84" x14ac:dyDescent="0.25">
      <c r="A26" t="s">
        <v>95</v>
      </c>
      <c r="B26" t="s">
        <v>103</v>
      </c>
      <c r="C26" t="s">
        <v>154</v>
      </c>
      <c r="D26">
        <v>304313</v>
      </c>
      <c r="E26" t="s">
        <v>155</v>
      </c>
      <c r="F26" t="s">
        <v>156</v>
      </c>
      <c r="G26" t="s">
        <v>107</v>
      </c>
      <c r="H26" t="s">
        <v>108</v>
      </c>
      <c r="I26" t="s">
        <v>96</v>
      </c>
      <c r="J26" t="s">
        <v>157</v>
      </c>
      <c r="K26" t="s">
        <v>97</v>
      </c>
      <c r="L26" s="9" t="s">
        <v>98</v>
      </c>
      <c r="M26">
        <v>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4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6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</row>
    <row r="27" spans="1:84" x14ac:dyDescent="0.25">
      <c r="A27" t="s">
        <v>95</v>
      </c>
      <c r="B27" t="s">
        <v>103</v>
      </c>
      <c r="C27" t="s">
        <v>154</v>
      </c>
      <c r="D27">
        <v>304318</v>
      </c>
      <c r="E27" t="s">
        <v>158</v>
      </c>
      <c r="F27" t="s">
        <v>159</v>
      </c>
      <c r="G27" t="s">
        <v>107</v>
      </c>
      <c r="H27" t="s">
        <v>108</v>
      </c>
      <c r="I27" t="s">
        <v>96</v>
      </c>
      <c r="J27" t="s">
        <v>160</v>
      </c>
      <c r="K27" t="s">
        <v>97</v>
      </c>
      <c r="L27" s="9" t="s">
        <v>98</v>
      </c>
      <c r="M27">
        <v>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3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</row>
    <row r="28" spans="1:84" x14ac:dyDescent="0.25">
      <c r="A28" t="s">
        <v>95</v>
      </c>
      <c r="B28" t="s">
        <v>103</v>
      </c>
      <c r="C28" t="s">
        <v>154</v>
      </c>
      <c r="D28">
        <v>325105</v>
      </c>
      <c r="E28" t="s">
        <v>161</v>
      </c>
      <c r="F28" t="s">
        <v>162</v>
      </c>
      <c r="G28" t="s">
        <v>107</v>
      </c>
      <c r="H28" t="s">
        <v>108</v>
      </c>
      <c r="I28" t="s">
        <v>96</v>
      </c>
      <c r="J28" t="s">
        <v>163</v>
      </c>
      <c r="K28" t="s">
        <v>97</v>
      </c>
      <c r="L28" s="9" t="s">
        <v>98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3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</row>
    <row r="29" spans="1:84" x14ac:dyDescent="0.25">
      <c r="A29" t="s">
        <v>95</v>
      </c>
      <c r="B29" t="s">
        <v>103</v>
      </c>
      <c r="C29" t="s">
        <v>154</v>
      </c>
      <c r="D29">
        <v>501085</v>
      </c>
      <c r="E29" t="s">
        <v>164</v>
      </c>
      <c r="F29" t="s">
        <v>165</v>
      </c>
      <c r="G29" t="s">
        <v>107</v>
      </c>
      <c r="H29" t="s">
        <v>108</v>
      </c>
      <c r="I29" t="s">
        <v>96</v>
      </c>
      <c r="J29" t="s">
        <v>166</v>
      </c>
      <c r="K29" t="s">
        <v>101</v>
      </c>
      <c r="L29" s="9" t="s">
        <v>102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</row>
    <row r="30" spans="1:84" x14ac:dyDescent="0.25">
      <c r="A30" t="s">
        <v>95</v>
      </c>
      <c r="B30" t="s">
        <v>103</v>
      </c>
      <c r="C30" t="s">
        <v>154</v>
      </c>
      <c r="D30">
        <v>501086</v>
      </c>
      <c r="E30" t="s">
        <v>167</v>
      </c>
      <c r="F30" t="s">
        <v>168</v>
      </c>
      <c r="G30" t="s">
        <v>107</v>
      </c>
      <c r="H30" t="s">
        <v>108</v>
      </c>
      <c r="I30" t="s">
        <v>96</v>
      </c>
      <c r="J30" t="s">
        <v>169</v>
      </c>
      <c r="K30" t="s">
        <v>101</v>
      </c>
      <c r="L30" s="9" t="s">
        <v>102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</row>
    <row r="31" spans="1:84" x14ac:dyDescent="0.25">
      <c r="A31" t="s">
        <v>95</v>
      </c>
      <c r="B31" t="s">
        <v>103</v>
      </c>
      <c r="C31" t="s">
        <v>154</v>
      </c>
      <c r="D31">
        <v>501087</v>
      </c>
      <c r="E31" t="s">
        <v>170</v>
      </c>
      <c r="F31" t="s">
        <v>171</v>
      </c>
      <c r="G31" t="s">
        <v>107</v>
      </c>
      <c r="H31" t="s">
        <v>108</v>
      </c>
      <c r="I31" t="s">
        <v>96</v>
      </c>
      <c r="J31" t="s">
        <v>172</v>
      </c>
      <c r="K31" t="s">
        <v>101</v>
      </c>
      <c r="L31" s="9" t="s">
        <v>102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</row>
  </sheetData>
  <autoFilter ref="A9:CG31" xr:uid="{00000000-0009-0000-0000-000000000000}"/>
  <mergeCells count="36">
    <mergeCell ref="M4:AD4"/>
    <mergeCell ref="AE4:AV4"/>
    <mergeCell ref="AW4:BN4"/>
    <mergeCell ref="BO4:CF4"/>
    <mergeCell ref="M5:U5"/>
    <mergeCell ref="V5:AD5"/>
    <mergeCell ref="AE5:AM5"/>
    <mergeCell ref="AN5:AV5"/>
    <mergeCell ref="AW5:BE5"/>
    <mergeCell ref="BF5:BN5"/>
    <mergeCell ref="BA6:BD6"/>
    <mergeCell ref="BO5:BW5"/>
    <mergeCell ref="BX5:CF5"/>
    <mergeCell ref="M6:P6"/>
    <mergeCell ref="Q6:T6"/>
    <mergeCell ref="U6:U7"/>
    <mergeCell ref="V6:Y6"/>
    <mergeCell ref="Z6:AC6"/>
    <mergeCell ref="AD6:AD7"/>
    <mergeCell ref="AE6:AH6"/>
    <mergeCell ref="AI6:AL6"/>
    <mergeCell ref="AM6:AM7"/>
    <mergeCell ref="AN6:AQ6"/>
    <mergeCell ref="AR6:AU6"/>
    <mergeCell ref="AV6:AV7"/>
    <mergeCell ref="AW6:AZ6"/>
    <mergeCell ref="BW6:BW7"/>
    <mergeCell ref="BX6:CA6"/>
    <mergeCell ref="CB6:CE6"/>
    <mergeCell ref="CF6:CF7"/>
    <mergeCell ref="BE6:BE7"/>
    <mergeCell ref="BF6:BI6"/>
    <mergeCell ref="BJ6:BM6"/>
    <mergeCell ref="BN6:BN7"/>
    <mergeCell ref="BO6:BR6"/>
    <mergeCell ref="BS6:BV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F590-9CE5-4125-90DB-A603A9496AD1}">
  <dimension ref="A1:CG25"/>
  <sheetViews>
    <sheetView tabSelected="1" zoomScale="85" zoomScaleNormal="85" workbookViewId="0">
      <pane xSplit="4" ySplit="9" topLeftCell="E10" activePane="bottomRight" state="frozen"/>
      <selection activeCell="B32" sqref="B32"/>
      <selection pane="topRight" activeCell="B32" sqref="B32"/>
      <selection pane="bottomLeft" activeCell="B32" sqref="B32"/>
      <selection pane="bottomRight" activeCell="C41" sqref="C41"/>
    </sheetView>
  </sheetViews>
  <sheetFormatPr defaultRowHeight="15" x14ac:dyDescent="0.25"/>
  <cols>
    <col min="2" max="2" width="27.140625" bestFit="1" customWidth="1"/>
  </cols>
  <sheetData>
    <row r="1" spans="1:85" x14ac:dyDescent="0.25">
      <c r="A1" s="1" t="s">
        <v>173</v>
      </c>
    </row>
    <row r="2" spans="1:85" x14ac:dyDescent="0.25">
      <c r="A2" s="1" t="s">
        <v>1</v>
      </c>
      <c r="L2" s="2"/>
    </row>
    <row r="3" spans="1:85" x14ac:dyDescent="0.25">
      <c r="A3" s="1" t="s">
        <v>174</v>
      </c>
      <c r="L3" s="2"/>
    </row>
    <row r="4" spans="1:85" x14ac:dyDescent="0.25">
      <c r="M4" s="13" t="s">
        <v>3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5"/>
      <c r="AE4" s="13" t="s">
        <v>4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5"/>
      <c r="AW4" s="13" t="s">
        <v>5</v>
      </c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5"/>
      <c r="BO4" s="13" t="s">
        <v>6</v>
      </c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5"/>
    </row>
    <row r="5" spans="1:85" x14ac:dyDescent="0.25">
      <c r="M5" s="13" t="s">
        <v>7</v>
      </c>
      <c r="N5" s="14"/>
      <c r="O5" s="14"/>
      <c r="P5" s="14"/>
      <c r="Q5" s="14"/>
      <c r="R5" s="14"/>
      <c r="S5" s="14"/>
      <c r="T5" s="14"/>
      <c r="U5" s="15"/>
      <c r="V5" s="13" t="s">
        <v>8</v>
      </c>
      <c r="W5" s="14"/>
      <c r="X5" s="14"/>
      <c r="Y5" s="14"/>
      <c r="Z5" s="14"/>
      <c r="AA5" s="14"/>
      <c r="AB5" s="14"/>
      <c r="AC5" s="14"/>
      <c r="AD5" s="15"/>
      <c r="AE5" s="13" t="s">
        <v>7</v>
      </c>
      <c r="AF5" s="14"/>
      <c r="AG5" s="14"/>
      <c r="AH5" s="14"/>
      <c r="AI5" s="14"/>
      <c r="AJ5" s="14"/>
      <c r="AK5" s="14"/>
      <c r="AL5" s="14"/>
      <c r="AM5" s="15"/>
      <c r="AN5" s="13" t="s">
        <v>8</v>
      </c>
      <c r="AO5" s="14"/>
      <c r="AP5" s="14"/>
      <c r="AQ5" s="14"/>
      <c r="AR5" s="14"/>
      <c r="AS5" s="14"/>
      <c r="AT5" s="14"/>
      <c r="AU5" s="14"/>
      <c r="AV5" s="15"/>
      <c r="AW5" s="13" t="s">
        <v>7</v>
      </c>
      <c r="AX5" s="14"/>
      <c r="AY5" s="14"/>
      <c r="AZ5" s="14"/>
      <c r="BA5" s="14"/>
      <c r="BB5" s="14"/>
      <c r="BC5" s="14"/>
      <c r="BD5" s="14"/>
      <c r="BE5" s="15"/>
      <c r="BF5" s="13" t="s">
        <v>8</v>
      </c>
      <c r="BG5" s="14"/>
      <c r="BH5" s="14"/>
      <c r="BI5" s="14"/>
      <c r="BJ5" s="14"/>
      <c r="BK5" s="14"/>
      <c r="BL5" s="14"/>
      <c r="BM5" s="14"/>
      <c r="BN5" s="15"/>
      <c r="BO5" s="13" t="s">
        <v>7</v>
      </c>
      <c r="BP5" s="14"/>
      <c r="BQ5" s="14"/>
      <c r="BR5" s="14"/>
      <c r="BS5" s="14"/>
      <c r="BT5" s="14"/>
      <c r="BU5" s="14"/>
      <c r="BV5" s="14"/>
      <c r="BW5" s="15"/>
      <c r="BX5" s="13" t="s">
        <v>8</v>
      </c>
      <c r="BY5" s="14"/>
      <c r="BZ5" s="14"/>
      <c r="CA5" s="14"/>
      <c r="CB5" s="14"/>
      <c r="CC5" s="14"/>
      <c r="CD5" s="14"/>
      <c r="CE5" s="14"/>
      <c r="CF5" s="15"/>
    </row>
    <row r="6" spans="1:85" x14ac:dyDescent="0.25">
      <c r="M6" s="13" t="s">
        <v>9</v>
      </c>
      <c r="N6" s="14"/>
      <c r="O6" s="14"/>
      <c r="P6" s="15"/>
      <c r="Q6" s="13" t="s">
        <v>9</v>
      </c>
      <c r="R6" s="14"/>
      <c r="S6" s="14"/>
      <c r="T6" s="15"/>
      <c r="U6" s="11" t="s">
        <v>11</v>
      </c>
      <c r="V6" s="13" t="s">
        <v>9</v>
      </c>
      <c r="W6" s="14"/>
      <c r="X6" s="14"/>
      <c r="Y6" s="15"/>
      <c r="Z6" s="13" t="s">
        <v>9</v>
      </c>
      <c r="AA6" s="14"/>
      <c r="AB6" s="14"/>
      <c r="AC6" s="15"/>
      <c r="AD6" s="16" t="s">
        <v>11</v>
      </c>
      <c r="AE6" s="13" t="s">
        <v>9</v>
      </c>
      <c r="AF6" s="14"/>
      <c r="AG6" s="14"/>
      <c r="AH6" s="15"/>
      <c r="AI6" s="13" t="s">
        <v>9</v>
      </c>
      <c r="AJ6" s="14"/>
      <c r="AK6" s="14"/>
      <c r="AL6" s="15"/>
      <c r="AM6" s="11" t="s">
        <v>11</v>
      </c>
      <c r="AN6" s="13" t="s">
        <v>9</v>
      </c>
      <c r="AO6" s="14"/>
      <c r="AP6" s="14"/>
      <c r="AQ6" s="15"/>
      <c r="AR6" s="13" t="s">
        <v>9</v>
      </c>
      <c r="AS6" s="14"/>
      <c r="AT6" s="14"/>
      <c r="AU6" s="15"/>
      <c r="AV6" s="11" t="s">
        <v>11</v>
      </c>
      <c r="AW6" s="13" t="s">
        <v>9</v>
      </c>
      <c r="AX6" s="14"/>
      <c r="AY6" s="14"/>
      <c r="AZ6" s="15"/>
      <c r="BA6" s="13" t="s">
        <v>9</v>
      </c>
      <c r="BB6" s="14"/>
      <c r="BC6" s="14"/>
      <c r="BD6" s="15"/>
      <c r="BE6" s="11" t="s">
        <v>11</v>
      </c>
      <c r="BF6" s="13" t="s">
        <v>9</v>
      </c>
      <c r="BG6" s="14"/>
      <c r="BH6" s="14"/>
      <c r="BI6" s="15"/>
      <c r="BJ6" s="13" t="s">
        <v>9</v>
      </c>
      <c r="BK6" s="14"/>
      <c r="BL6" s="14"/>
      <c r="BM6" s="15"/>
      <c r="BN6" s="11" t="s">
        <v>11</v>
      </c>
      <c r="BO6" s="13" t="s">
        <v>9</v>
      </c>
      <c r="BP6" s="14"/>
      <c r="BQ6" s="14"/>
      <c r="BR6" s="15"/>
      <c r="BS6" s="13" t="s">
        <v>9</v>
      </c>
      <c r="BT6" s="14"/>
      <c r="BU6" s="14"/>
      <c r="BV6" s="15"/>
      <c r="BW6" s="11" t="s">
        <v>11</v>
      </c>
      <c r="BX6" s="13" t="s">
        <v>9</v>
      </c>
      <c r="BY6" s="14"/>
      <c r="BZ6" s="14"/>
      <c r="CA6" s="15"/>
      <c r="CB6" s="13" t="s">
        <v>9</v>
      </c>
      <c r="CC6" s="14"/>
      <c r="CD6" s="14"/>
      <c r="CE6" s="15"/>
      <c r="CF6" s="11" t="s">
        <v>11</v>
      </c>
    </row>
    <row r="7" spans="1:85" ht="14.45" customHeight="1" x14ac:dyDescent="0.25">
      <c r="M7" s="3" t="s">
        <v>3</v>
      </c>
      <c r="N7" s="3" t="s">
        <v>4</v>
      </c>
      <c r="O7" s="3" t="s">
        <v>5</v>
      </c>
      <c r="P7" s="3" t="s">
        <v>6</v>
      </c>
      <c r="Q7" s="3" t="s">
        <v>3</v>
      </c>
      <c r="R7" s="3" t="s">
        <v>4</v>
      </c>
      <c r="S7" s="3" t="s">
        <v>5</v>
      </c>
      <c r="T7" s="3" t="s">
        <v>6</v>
      </c>
      <c r="U7" s="12"/>
      <c r="V7" s="3" t="s">
        <v>3</v>
      </c>
      <c r="W7" s="3" t="s">
        <v>4</v>
      </c>
      <c r="X7" s="3" t="s">
        <v>5</v>
      </c>
      <c r="Y7" s="3" t="s">
        <v>6</v>
      </c>
      <c r="Z7" s="3" t="s">
        <v>3</v>
      </c>
      <c r="AA7" s="3" t="s">
        <v>4</v>
      </c>
      <c r="AB7" s="3" t="s">
        <v>5</v>
      </c>
      <c r="AC7" s="3" t="s">
        <v>6</v>
      </c>
      <c r="AD7" s="17"/>
      <c r="AE7" s="3" t="s">
        <v>3</v>
      </c>
      <c r="AF7" s="3" t="s">
        <v>4</v>
      </c>
      <c r="AG7" s="3" t="s">
        <v>5</v>
      </c>
      <c r="AH7" s="3" t="s">
        <v>6</v>
      </c>
      <c r="AI7" s="3" t="s">
        <v>3</v>
      </c>
      <c r="AJ7" s="3" t="s">
        <v>4</v>
      </c>
      <c r="AK7" s="3" t="s">
        <v>5</v>
      </c>
      <c r="AL7" s="3" t="s">
        <v>6</v>
      </c>
      <c r="AM7" s="12"/>
      <c r="AN7" s="3" t="s">
        <v>3</v>
      </c>
      <c r="AO7" s="3" t="s">
        <v>4</v>
      </c>
      <c r="AP7" s="3" t="s">
        <v>5</v>
      </c>
      <c r="AQ7" s="3" t="s">
        <v>6</v>
      </c>
      <c r="AR7" s="3" t="s">
        <v>3</v>
      </c>
      <c r="AS7" s="3" t="s">
        <v>4</v>
      </c>
      <c r="AT7" s="3" t="s">
        <v>5</v>
      </c>
      <c r="AU7" s="3" t="s">
        <v>6</v>
      </c>
      <c r="AV7" s="12"/>
      <c r="AW7" s="3" t="s">
        <v>3</v>
      </c>
      <c r="AX7" s="3" t="s">
        <v>4</v>
      </c>
      <c r="AY7" s="3" t="s">
        <v>5</v>
      </c>
      <c r="AZ7" s="3" t="s">
        <v>6</v>
      </c>
      <c r="BA7" s="3" t="s">
        <v>3</v>
      </c>
      <c r="BB7" s="3" t="s">
        <v>4</v>
      </c>
      <c r="BC7" s="3" t="s">
        <v>5</v>
      </c>
      <c r="BD7" s="3" t="s">
        <v>6</v>
      </c>
      <c r="BE7" s="12"/>
      <c r="BF7" s="3" t="s">
        <v>3</v>
      </c>
      <c r="BG7" s="3" t="s">
        <v>4</v>
      </c>
      <c r="BH7" s="3" t="s">
        <v>5</v>
      </c>
      <c r="BI7" s="3" t="s">
        <v>6</v>
      </c>
      <c r="BJ7" s="3" t="s">
        <v>3</v>
      </c>
      <c r="BK7" s="3" t="s">
        <v>4</v>
      </c>
      <c r="BL7" s="3" t="s">
        <v>5</v>
      </c>
      <c r="BM7" s="3" t="s">
        <v>6</v>
      </c>
      <c r="BN7" s="12"/>
      <c r="BO7" s="3" t="s">
        <v>3</v>
      </c>
      <c r="BP7" s="3" t="s">
        <v>4</v>
      </c>
      <c r="BQ7" s="3" t="s">
        <v>5</v>
      </c>
      <c r="BR7" s="3" t="s">
        <v>6</v>
      </c>
      <c r="BS7" s="3" t="s">
        <v>3</v>
      </c>
      <c r="BT7" s="3" t="s">
        <v>4</v>
      </c>
      <c r="BU7" s="3" t="s">
        <v>5</v>
      </c>
      <c r="BV7" s="3" t="s">
        <v>6</v>
      </c>
      <c r="BW7" s="12"/>
      <c r="BX7" s="3" t="s">
        <v>3</v>
      </c>
      <c r="BY7" s="3" t="s">
        <v>4</v>
      </c>
      <c r="BZ7" s="3" t="s">
        <v>5</v>
      </c>
      <c r="CA7" s="3" t="s">
        <v>6</v>
      </c>
      <c r="CB7" s="3" t="s">
        <v>3</v>
      </c>
      <c r="CC7" s="3" t="s">
        <v>4</v>
      </c>
      <c r="CD7" s="3" t="s">
        <v>5</v>
      </c>
      <c r="CE7" s="3" t="s">
        <v>6</v>
      </c>
      <c r="CF7" s="12"/>
    </row>
    <row r="8" spans="1:85" ht="14.45" customHeight="1" x14ac:dyDescent="0.25">
      <c r="M8" s="4">
        <f t="shared" ref="M8:AR8" si="0">SUM(M10:M25)</f>
        <v>21</v>
      </c>
      <c r="N8" s="4">
        <f t="shared" si="0"/>
        <v>0</v>
      </c>
      <c r="O8" s="4">
        <f t="shared" si="0"/>
        <v>0</v>
      </c>
      <c r="P8" s="4">
        <f t="shared" si="0"/>
        <v>1</v>
      </c>
      <c r="Q8" s="4">
        <f t="shared" si="0"/>
        <v>6</v>
      </c>
      <c r="R8" s="4">
        <f t="shared" si="0"/>
        <v>0</v>
      </c>
      <c r="S8" s="4">
        <f t="shared" si="0"/>
        <v>0</v>
      </c>
      <c r="T8" s="4">
        <f t="shared" si="0"/>
        <v>0</v>
      </c>
      <c r="U8" s="4">
        <f t="shared" si="0"/>
        <v>0</v>
      </c>
      <c r="V8" s="4">
        <f t="shared" si="0"/>
        <v>0</v>
      </c>
      <c r="W8" s="4">
        <f t="shared" si="0"/>
        <v>0</v>
      </c>
      <c r="X8" s="4">
        <f t="shared" si="0"/>
        <v>0</v>
      </c>
      <c r="Y8" s="4">
        <f t="shared" si="0"/>
        <v>0</v>
      </c>
      <c r="Z8" s="4">
        <f t="shared" si="0"/>
        <v>0</v>
      </c>
      <c r="AA8" s="4">
        <f t="shared" si="0"/>
        <v>0</v>
      </c>
      <c r="AB8" s="4">
        <f t="shared" si="0"/>
        <v>0</v>
      </c>
      <c r="AC8" s="4">
        <f t="shared" si="0"/>
        <v>0</v>
      </c>
      <c r="AD8" s="4">
        <f t="shared" si="0"/>
        <v>0</v>
      </c>
      <c r="AE8" s="4">
        <f t="shared" si="0"/>
        <v>3</v>
      </c>
      <c r="AF8" s="4">
        <f t="shared" si="0"/>
        <v>4</v>
      </c>
      <c r="AG8" s="4">
        <f t="shared" si="0"/>
        <v>0</v>
      </c>
      <c r="AH8" s="4">
        <f t="shared" si="0"/>
        <v>1</v>
      </c>
      <c r="AI8" s="4">
        <f t="shared" si="0"/>
        <v>1</v>
      </c>
      <c r="AJ8" s="4">
        <f t="shared" si="0"/>
        <v>3</v>
      </c>
      <c r="AK8" s="4">
        <f t="shared" si="0"/>
        <v>0</v>
      </c>
      <c r="AL8" s="4">
        <f t="shared" si="0"/>
        <v>0</v>
      </c>
      <c r="AM8" s="4">
        <f t="shared" si="0"/>
        <v>2</v>
      </c>
      <c r="AN8" s="4">
        <f t="shared" si="0"/>
        <v>0</v>
      </c>
      <c r="AO8" s="4">
        <f t="shared" si="0"/>
        <v>0</v>
      </c>
      <c r="AP8" s="4">
        <f t="shared" si="0"/>
        <v>0</v>
      </c>
      <c r="AQ8" s="4">
        <f t="shared" si="0"/>
        <v>0</v>
      </c>
      <c r="AR8" s="4">
        <f t="shared" si="0"/>
        <v>0</v>
      </c>
      <c r="AS8" s="4">
        <f t="shared" ref="AS8:BX8" si="1">SUM(AS10:AS25)</f>
        <v>0</v>
      </c>
      <c r="AT8" s="4">
        <f t="shared" si="1"/>
        <v>0</v>
      </c>
      <c r="AU8" s="4">
        <f t="shared" si="1"/>
        <v>0</v>
      </c>
      <c r="AV8" s="4">
        <f t="shared" si="1"/>
        <v>0</v>
      </c>
      <c r="AW8" s="4">
        <f t="shared" si="1"/>
        <v>2</v>
      </c>
      <c r="AX8" s="4">
        <f t="shared" si="1"/>
        <v>0</v>
      </c>
      <c r="AY8" s="4">
        <f t="shared" si="1"/>
        <v>19</v>
      </c>
      <c r="AZ8" s="4">
        <f t="shared" si="1"/>
        <v>3</v>
      </c>
      <c r="BA8" s="4">
        <f t="shared" si="1"/>
        <v>0</v>
      </c>
      <c r="BB8" s="4">
        <f t="shared" si="1"/>
        <v>0</v>
      </c>
      <c r="BC8" s="4">
        <f t="shared" si="1"/>
        <v>7</v>
      </c>
      <c r="BD8" s="4">
        <f t="shared" si="1"/>
        <v>0</v>
      </c>
      <c r="BE8" s="4">
        <f t="shared" si="1"/>
        <v>3</v>
      </c>
      <c r="BF8" s="4">
        <f t="shared" si="1"/>
        <v>0</v>
      </c>
      <c r="BG8" s="4">
        <f t="shared" si="1"/>
        <v>0</v>
      </c>
      <c r="BH8" s="4">
        <f t="shared" si="1"/>
        <v>0</v>
      </c>
      <c r="BI8" s="4">
        <f t="shared" si="1"/>
        <v>0</v>
      </c>
      <c r="BJ8" s="4">
        <f t="shared" si="1"/>
        <v>0</v>
      </c>
      <c r="BK8" s="4">
        <f t="shared" si="1"/>
        <v>0</v>
      </c>
      <c r="BL8" s="4">
        <f t="shared" si="1"/>
        <v>0</v>
      </c>
      <c r="BM8" s="4">
        <f t="shared" si="1"/>
        <v>0</v>
      </c>
      <c r="BN8" s="4">
        <f t="shared" si="1"/>
        <v>0</v>
      </c>
      <c r="BO8" s="4">
        <f t="shared" si="1"/>
        <v>0</v>
      </c>
      <c r="BP8" s="4">
        <f t="shared" si="1"/>
        <v>0</v>
      </c>
      <c r="BQ8" s="4">
        <f t="shared" si="1"/>
        <v>0</v>
      </c>
      <c r="BR8" s="4">
        <f t="shared" si="1"/>
        <v>10</v>
      </c>
      <c r="BS8" s="4">
        <f t="shared" si="1"/>
        <v>0</v>
      </c>
      <c r="BT8" s="4">
        <f t="shared" si="1"/>
        <v>0</v>
      </c>
      <c r="BU8" s="4">
        <f t="shared" si="1"/>
        <v>0</v>
      </c>
      <c r="BV8" s="4">
        <f t="shared" si="1"/>
        <v>5</v>
      </c>
      <c r="BW8" s="4">
        <f t="shared" si="1"/>
        <v>0</v>
      </c>
      <c r="BX8" s="4">
        <f t="shared" si="1"/>
        <v>0</v>
      </c>
      <c r="BY8" s="4">
        <f t="shared" ref="BY8:CF8" si="2">SUM(BY10:BY25)</f>
        <v>0</v>
      </c>
      <c r="BZ8" s="4">
        <f t="shared" si="2"/>
        <v>0</v>
      </c>
      <c r="CA8" s="4">
        <f t="shared" si="2"/>
        <v>0</v>
      </c>
      <c r="CB8" s="4">
        <f t="shared" si="2"/>
        <v>0</v>
      </c>
      <c r="CC8" s="4">
        <f t="shared" si="2"/>
        <v>0</v>
      </c>
      <c r="CD8" s="4">
        <f t="shared" si="2"/>
        <v>0</v>
      </c>
      <c r="CE8" s="4">
        <f t="shared" si="2"/>
        <v>0</v>
      </c>
      <c r="CF8" s="4">
        <f t="shared" si="2"/>
        <v>0</v>
      </c>
    </row>
    <row r="9" spans="1:85" x14ac:dyDescent="0.25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  <c r="K9" s="6" t="s">
        <v>22</v>
      </c>
      <c r="L9" s="7" t="s">
        <v>23</v>
      </c>
      <c r="M9" s="10" t="s">
        <v>175</v>
      </c>
      <c r="N9" s="10" t="s">
        <v>176</v>
      </c>
      <c r="O9" s="10" t="s">
        <v>177</v>
      </c>
      <c r="P9" s="10" t="s">
        <v>178</v>
      </c>
      <c r="Q9" s="10" t="s">
        <v>179</v>
      </c>
      <c r="R9" s="10" t="s">
        <v>180</v>
      </c>
      <c r="S9" s="10" t="s">
        <v>181</v>
      </c>
      <c r="T9" s="10" t="s">
        <v>182</v>
      </c>
      <c r="U9" s="10" t="s">
        <v>183</v>
      </c>
      <c r="V9" s="10" t="s">
        <v>184</v>
      </c>
      <c r="W9" s="10" t="s">
        <v>185</v>
      </c>
      <c r="X9" s="10" t="s">
        <v>186</v>
      </c>
      <c r="Y9" s="10" t="s">
        <v>187</v>
      </c>
      <c r="Z9" s="10" t="s">
        <v>188</v>
      </c>
      <c r="AA9" s="10" t="s">
        <v>189</v>
      </c>
      <c r="AB9" s="10" t="s">
        <v>190</v>
      </c>
      <c r="AC9" s="10" t="s">
        <v>191</v>
      </c>
      <c r="AD9" s="10" t="s">
        <v>192</v>
      </c>
      <c r="AE9" s="10" t="s">
        <v>193</v>
      </c>
      <c r="AF9" s="10" t="s">
        <v>194</v>
      </c>
      <c r="AG9" s="10" t="s">
        <v>195</v>
      </c>
      <c r="AH9" s="10" t="s">
        <v>196</v>
      </c>
      <c r="AI9" s="10" t="s">
        <v>197</v>
      </c>
      <c r="AJ9" s="10" t="s">
        <v>198</v>
      </c>
      <c r="AK9" s="10" t="s">
        <v>199</v>
      </c>
      <c r="AL9" s="10" t="s">
        <v>200</v>
      </c>
      <c r="AM9" s="10" t="s">
        <v>201</v>
      </c>
      <c r="AN9" s="10" t="s">
        <v>202</v>
      </c>
      <c r="AO9" s="10" t="s">
        <v>203</v>
      </c>
      <c r="AP9" s="10" t="s">
        <v>204</v>
      </c>
      <c r="AQ9" s="10" t="s">
        <v>205</v>
      </c>
      <c r="AR9" s="10" t="s">
        <v>206</v>
      </c>
      <c r="AS9" s="10" t="s">
        <v>207</v>
      </c>
      <c r="AT9" s="10" t="s">
        <v>208</v>
      </c>
      <c r="AU9" s="10" t="s">
        <v>209</v>
      </c>
      <c r="AV9" s="10" t="s">
        <v>210</v>
      </c>
      <c r="AW9" s="10" t="s">
        <v>211</v>
      </c>
      <c r="AX9" s="10" t="s">
        <v>212</v>
      </c>
      <c r="AY9" s="10" t="s">
        <v>213</v>
      </c>
      <c r="AZ9" s="10" t="s">
        <v>214</v>
      </c>
      <c r="BA9" s="10" t="s">
        <v>215</v>
      </c>
      <c r="BB9" s="10" t="s">
        <v>216</v>
      </c>
      <c r="BC9" s="10" t="s">
        <v>217</v>
      </c>
      <c r="BD9" s="10" t="s">
        <v>218</v>
      </c>
      <c r="BE9" s="10" t="s">
        <v>219</v>
      </c>
      <c r="BF9" s="10" t="s">
        <v>220</v>
      </c>
      <c r="BG9" s="10" t="s">
        <v>221</v>
      </c>
      <c r="BH9" s="10" t="s">
        <v>222</v>
      </c>
      <c r="BI9" s="10" t="s">
        <v>223</v>
      </c>
      <c r="BJ9" s="10" t="s">
        <v>224</v>
      </c>
      <c r="BK9" s="10" t="s">
        <v>225</v>
      </c>
      <c r="BL9" s="10" t="s">
        <v>226</v>
      </c>
      <c r="BM9" s="10" t="s">
        <v>227</v>
      </c>
      <c r="BN9" s="10" t="s">
        <v>228</v>
      </c>
      <c r="BO9" s="10" t="s">
        <v>229</v>
      </c>
      <c r="BP9" s="10" t="s">
        <v>230</v>
      </c>
      <c r="BQ9" s="10" t="s">
        <v>231</v>
      </c>
      <c r="BR9" s="10" t="s">
        <v>232</v>
      </c>
      <c r="BS9" s="10" t="s">
        <v>233</v>
      </c>
      <c r="BT9" s="10" t="s">
        <v>234</v>
      </c>
      <c r="BU9" s="10" t="s">
        <v>235</v>
      </c>
      <c r="BV9" s="10" t="s">
        <v>236</v>
      </c>
      <c r="BW9" s="10" t="s">
        <v>237</v>
      </c>
      <c r="BX9" s="10" t="s">
        <v>238</v>
      </c>
      <c r="BY9" s="10" t="s">
        <v>239</v>
      </c>
      <c r="BZ9" s="10" t="s">
        <v>240</v>
      </c>
      <c r="CA9" s="10" t="s">
        <v>241</v>
      </c>
      <c r="CB9" s="10" t="s">
        <v>242</v>
      </c>
      <c r="CC9" s="10" t="s">
        <v>243</v>
      </c>
      <c r="CD9" s="10" t="s">
        <v>244</v>
      </c>
      <c r="CE9" s="10" t="s">
        <v>245</v>
      </c>
      <c r="CF9" s="10" t="s">
        <v>246</v>
      </c>
      <c r="CG9" s="10" t="s">
        <v>94</v>
      </c>
    </row>
    <row r="10" spans="1:85" x14ac:dyDescent="0.25">
      <c r="A10" t="s">
        <v>95</v>
      </c>
      <c r="B10" t="s">
        <v>103</v>
      </c>
      <c r="C10" t="s">
        <v>104</v>
      </c>
      <c r="D10">
        <v>304325</v>
      </c>
      <c r="E10" t="s">
        <v>105</v>
      </c>
      <c r="F10" t="s">
        <v>106</v>
      </c>
      <c r="G10" t="s">
        <v>107</v>
      </c>
      <c r="H10" t="s">
        <v>108</v>
      </c>
      <c r="I10" t="s">
        <v>96</v>
      </c>
      <c r="J10" t="s">
        <v>109</v>
      </c>
      <c r="K10" t="s">
        <v>97</v>
      </c>
      <c r="L10" s="9" t="s">
        <v>98</v>
      </c>
      <c r="M10">
        <v>6</v>
      </c>
      <c r="N10">
        <v>0</v>
      </c>
      <c r="O10">
        <v>0</v>
      </c>
      <c r="P10">
        <v>0</v>
      </c>
      <c r="Q10">
        <v>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</v>
      </c>
      <c r="AG10">
        <v>0</v>
      </c>
      <c r="AH10">
        <v>0</v>
      </c>
      <c r="AI10">
        <v>0</v>
      </c>
      <c r="AJ10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6</v>
      </c>
      <c r="AZ10">
        <v>0</v>
      </c>
      <c r="BA10">
        <v>0</v>
      </c>
      <c r="BB10">
        <v>0</v>
      </c>
      <c r="BC10">
        <v>6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5</v>
      </c>
      <c r="BS10">
        <v>0</v>
      </c>
      <c r="BT10">
        <v>0</v>
      </c>
      <c r="BU10">
        <v>0</v>
      </c>
      <c r="BV10">
        <v>5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</row>
    <row r="11" spans="1:85" x14ac:dyDescent="0.25">
      <c r="A11" t="s">
        <v>95</v>
      </c>
      <c r="B11" t="s">
        <v>103</v>
      </c>
      <c r="C11" t="s">
        <v>104</v>
      </c>
      <c r="D11">
        <v>304326</v>
      </c>
      <c r="E11" t="s">
        <v>110</v>
      </c>
      <c r="F11" t="s">
        <v>111</v>
      </c>
      <c r="G11" t="s">
        <v>107</v>
      </c>
      <c r="H11" t="s">
        <v>108</v>
      </c>
      <c r="I11" t="s">
        <v>96</v>
      </c>
      <c r="J11" t="s">
        <v>109</v>
      </c>
      <c r="K11" t="s">
        <v>97</v>
      </c>
      <c r="L11" s="9" t="s">
        <v>98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4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3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</row>
    <row r="12" spans="1:85" x14ac:dyDescent="0.25">
      <c r="A12" t="s">
        <v>95</v>
      </c>
      <c r="B12" t="s">
        <v>103</v>
      </c>
      <c r="C12" t="s">
        <v>104</v>
      </c>
      <c r="D12">
        <v>325104</v>
      </c>
      <c r="E12" t="s">
        <v>115</v>
      </c>
      <c r="F12" t="s">
        <v>116</v>
      </c>
      <c r="G12" t="s">
        <v>107</v>
      </c>
      <c r="H12" t="s">
        <v>108</v>
      </c>
      <c r="I12" t="s">
        <v>96</v>
      </c>
      <c r="J12" t="s">
        <v>117</v>
      </c>
      <c r="K12" t="s">
        <v>97</v>
      </c>
      <c r="L12" s="9" t="s">
        <v>98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</row>
    <row r="13" spans="1:85" x14ac:dyDescent="0.25">
      <c r="A13" t="s">
        <v>95</v>
      </c>
      <c r="B13" t="s">
        <v>103</v>
      </c>
      <c r="C13" t="s">
        <v>104</v>
      </c>
      <c r="D13">
        <v>500454</v>
      </c>
      <c r="E13" t="s">
        <v>118</v>
      </c>
      <c r="F13" t="s">
        <v>119</v>
      </c>
      <c r="G13" t="s">
        <v>107</v>
      </c>
      <c r="H13" t="s">
        <v>108</v>
      </c>
      <c r="I13" t="s">
        <v>96</v>
      </c>
      <c r="J13" t="s">
        <v>109</v>
      </c>
      <c r="K13" t="s">
        <v>120</v>
      </c>
      <c r="L13" s="9" t="s">
        <v>121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</row>
    <row r="14" spans="1:85" x14ac:dyDescent="0.25">
      <c r="A14" t="s">
        <v>95</v>
      </c>
      <c r="B14" t="s">
        <v>103</v>
      </c>
      <c r="C14" t="s">
        <v>125</v>
      </c>
      <c r="D14">
        <v>304303</v>
      </c>
      <c r="E14" t="s">
        <v>126</v>
      </c>
      <c r="F14" t="s">
        <v>127</v>
      </c>
      <c r="G14" t="s">
        <v>107</v>
      </c>
      <c r="H14" t="s">
        <v>108</v>
      </c>
      <c r="I14" t="s">
        <v>96</v>
      </c>
      <c r="J14" t="s">
        <v>128</v>
      </c>
      <c r="K14" t="s">
        <v>97</v>
      </c>
      <c r="L14" s="9" t="s">
        <v>98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</row>
    <row r="15" spans="1:85" x14ac:dyDescent="0.25">
      <c r="A15" t="s">
        <v>95</v>
      </c>
      <c r="B15" t="s">
        <v>103</v>
      </c>
      <c r="C15" t="s">
        <v>125</v>
      </c>
      <c r="D15">
        <v>304305</v>
      </c>
      <c r="E15" t="s">
        <v>129</v>
      </c>
      <c r="F15" t="s">
        <v>130</v>
      </c>
      <c r="G15" t="s">
        <v>107</v>
      </c>
      <c r="H15" t="s">
        <v>108</v>
      </c>
      <c r="I15" t="s">
        <v>96</v>
      </c>
      <c r="J15" t="s">
        <v>131</v>
      </c>
      <c r="K15" t="s">
        <v>97</v>
      </c>
      <c r="L15" s="9" t="s">
        <v>98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</row>
    <row r="16" spans="1:85" x14ac:dyDescent="0.25">
      <c r="A16" t="s">
        <v>95</v>
      </c>
      <c r="B16" t="s">
        <v>103</v>
      </c>
      <c r="C16" t="s">
        <v>125</v>
      </c>
      <c r="D16">
        <v>304314</v>
      </c>
      <c r="E16" t="s">
        <v>132</v>
      </c>
      <c r="F16" t="s">
        <v>133</v>
      </c>
      <c r="G16" t="s">
        <v>107</v>
      </c>
      <c r="H16" t="s">
        <v>108</v>
      </c>
      <c r="I16" t="s">
        <v>96</v>
      </c>
      <c r="J16" t="s">
        <v>134</v>
      </c>
      <c r="K16" t="s">
        <v>97</v>
      </c>
      <c r="L16" s="9" t="s">
        <v>98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</row>
    <row r="17" spans="1:84" x14ac:dyDescent="0.25">
      <c r="A17" t="s">
        <v>95</v>
      </c>
      <c r="B17" t="s">
        <v>103</v>
      </c>
      <c r="C17" t="s">
        <v>125</v>
      </c>
      <c r="D17">
        <v>304327</v>
      </c>
      <c r="E17" t="s">
        <v>135</v>
      </c>
      <c r="F17" t="s">
        <v>136</v>
      </c>
      <c r="G17" t="s">
        <v>107</v>
      </c>
      <c r="H17" t="s">
        <v>108</v>
      </c>
      <c r="I17" t="s">
        <v>96</v>
      </c>
      <c r="J17" t="s">
        <v>137</v>
      </c>
      <c r="K17" t="s">
        <v>97</v>
      </c>
      <c r="L17" s="9" t="s">
        <v>98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</row>
    <row r="18" spans="1:84" x14ac:dyDescent="0.25">
      <c r="A18" t="s">
        <v>95</v>
      </c>
      <c r="B18" t="s">
        <v>103</v>
      </c>
      <c r="C18" t="s">
        <v>125</v>
      </c>
      <c r="D18">
        <v>304328</v>
      </c>
      <c r="E18" t="s">
        <v>138</v>
      </c>
      <c r="F18" t="s">
        <v>139</v>
      </c>
      <c r="G18" t="s">
        <v>107</v>
      </c>
      <c r="H18" t="s">
        <v>108</v>
      </c>
      <c r="I18" t="s">
        <v>96</v>
      </c>
      <c r="J18" t="s">
        <v>114</v>
      </c>
      <c r="K18" t="s">
        <v>97</v>
      </c>
      <c r="L18" s="9" t="s">
        <v>98</v>
      </c>
      <c r="M18">
        <v>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</row>
    <row r="19" spans="1:84" x14ac:dyDescent="0.25">
      <c r="A19" t="s">
        <v>95</v>
      </c>
      <c r="B19" t="s">
        <v>103</v>
      </c>
      <c r="C19" t="s">
        <v>125</v>
      </c>
      <c r="D19">
        <v>304338</v>
      </c>
      <c r="E19" t="s">
        <v>140</v>
      </c>
      <c r="F19" t="s">
        <v>141</v>
      </c>
      <c r="G19" t="s">
        <v>107</v>
      </c>
      <c r="H19" t="s">
        <v>108</v>
      </c>
      <c r="I19" t="s">
        <v>96</v>
      </c>
      <c r="J19" t="s">
        <v>142</v>
      </c>
      <c r="K19" t="s">
        <v>97</v>
      </c>
      <c r="L19" s="9" t="s">
        <v>98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</row>
    <row r="20" spans="1:84" x14ac:dyDescent="0.25">
      <c r="A20" t="s">
        <v>95</v>
      </c>
      <c r="B20" t="s">
        <v>103</v>
      </c>
      <c r="C20" t="s">
        <v>125</v>
      </c>
      <c r="D20">
        <v>316104</v>
      </c>
      <c r="E20" t="s">
        <v>143</v>
      </c>
      <c r="F20" t="s">
        <v>144</v>
      </c>
      <c r="G20" t="s">
        <v>107</v>
      </c>
      <c r="H20" t="s">
        <v>108</v>
      </c>
      <c r="I20" t="s">
        <v>96</v>
      </c>
      <c r="J20" t="s">
        <v>145</v>
      </c>
      <c r="K20" t="s">
        <v>97</v>
      </c>
      <c r="L20" s="9" t="s">
        <v>98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</row>
    <row r="21" spans="1:84" x14ac:dyDescent="0.25">
      <c r="A21" t="s">
        <v>95</v>
      </c>
      <c r="B21" t="s">
        <v>103</v>
      </c>
      <c r="C21" t="s">
        <v>125</v>
      </c>
      <c r="D21">
        <v>325102</v>
      </c>
      <c r="E21" t="s">
        <v>148</v>
      </c>
      <c r="F21" t="s">
        <v>149</v>
      </c>
      <c r="G21" t="s">
        <v>107</v>
      </c>
      <c r="H21" t="s">
        <v>108</v>
      </c>
      <c r="I21" t="s">
        <v>96</v>
      </c>
      <c r="J21" t="s">
        <v>150</v>
      </c>
      <c r="K21" t="s">
        <v>97</v>
      </c>
      <c r="L21" s="9" t="s">
        <v>98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</row>
    <row r="22" spans="1:84" x14ac:dyDescent="0.25">
      <c r="A22" t="s">
        <v>95</v>
      </c>
      <c r="B22" t="s">
        <v>103</v>
      </c>
      <c r="C22" t="s">
        <v>125</v>
      </c>
      <c r="D22">
        <v>325106</v>
      </c>
      <c r="E22" t="s">
        <v>151</v>
      </c>
      <c r="F22" t="s">
        <v>152</v>
      </c>
      <c r="G22" t="s">
        <v>107</v>
      </c>
      <c r="H22" t="s">
        <v>108</v>
      </c>
      <c r="I22" t="s">
        <v>96</v>
      </c>
      <c r="J22" t="s">
        <v>153</v>
      </c>
      <c r="K22" t="s">
        <v>97</v>
      </c>
      <c r="L22" s="9" t="s">
        <v>98</v>
      </c>
      <c r="M22">
        <v>1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</row>
    <row r="23" spans="1:84" x14ac:dyDescent="0.25">
      <c r="A23" t="s">
        <v>95</v>
      </c>
      <c r="B23" t="s">
        <v>103</v>
      </c>
      <c r="C23" t="s">
        <v>154</v>
      </c>
      <c r="D23">
        <v>304313</v>
      </c>
      <c r="E23" t="s">
        <v>155</v>
      </c>
      <c r="F23" t="s">
        <v>156</v>
      </c>
      <c r="G23" t="s">
        <v>107</v>
      </c>
      <c r="H23" t="s">
        <v>108</v>
      </c>
      <c r="I23" t="s">
        <v>96</v>
      </c>
      <c r="J23" t="s">
        <v>157</v>
      </c>
      <c r="K23" t="s">
        <v>97</v>
      </c>
      <c r="L23" s="9" t="s">
        <v>98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2</v>
      </c>
      <c r="AZ23">
        <v>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</row>
    <row r="24" spans="1:84" x14ac:dyDescent="0.25">
      <c r="A24" t="s">
        <v>95</v>
      </c>
      <c r="B24" t="s">
        <v>103</v>
      </c>
      <c r="C24" t="s">
        <v>154</v>
      </c>
      <c r="D24">
        <v>304318</v>
      </c>
      <c r="E24" t="s">
        <v>158</v>
      </c>
      <c r="F24" t="s">
        <v>159</v>
      </c>
      <c r="G24" t="s">
        <v>107</v>
      </c>
      <c r="H24" t="s">
        <v>108</v>
      </c>
      <c r="I24" t="s">
        <v>96</v>
      </c>
      <c r="J24" t="s">
        <v>160</v>
      </c>
      <c r="K24" t="s">
        <v>97</v>
      </c>
      <c r="L24" s="9" t="s">
        <v>98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</row>
    <row r="25" spans="1:84" x14ac:dyDescent="0.25">
      <c r="A25" t="s">
        <v>95</v>
      </c>
      <c r="B25" t="s">
        <v>103</v>
      </c>
      <c r="C25" t="s">
        <v>154</v>
      </c>
      <c r="D25">
        <v>325105</v>
      </c>
      <c r="E25" t="s">
        <v>161</v>
      </c>
      <c r="F25" t="s">
        <v>162</v>
      </c>
      <c r="G25" t="s">
        <v>107</v>
      </c>
      <c r="H25" t="s">
        <v>108</v>
      </c>
      <c r="I25" t="s">
        <v>96</v>
      </c>
      <c r="J25" t="s">
        <v>163</v>
      </c>
      <c r="K25" t="s">
        <v>97</v>
      </c>
      <c r="L25" s="9" t="s">
        <v>98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</row>
  </sheetData>
  <autoFilter ref="A9:CF25" xr:uid="{00000000-0009-0000-0000-000001000000}"/>
  <mergeCells count="36">
    <mergeCell ref="M4:AD4"/>
    <mergeCell ref="AE4:AV4"/>
    <mergeCell ref="AW4:BN4"/>
    <mergeCell ref="BO4:CF4"/>
    <mergeCell ref="M5:U5"/>
    <mergeCell ref="V5:AD5"/>
    <mergeCell ref="AE5:AM5"/>
    <mergeCell ref="AN5:AV5"/>
    <mergeCell ref="AW5:BE5"/>
    <mergeCell ref="BF5:BN5"/>
    <mergeCell ref="BA6:BD6"/>
    <mergeCell ref="BO5:BW5"/>
    <mergeCell ref="BX5:CF5"/>
    <mergeCell ref="M6:P6"/>
    <mergeCell ref="Q6:T6"/>
    <mergeCell ref="U6:U7"/>
    <mergeCell ref="V6:Y6"/>
    <mergeCell ref="Z6:AC6"/>
    <mergeCell ref="AD6:AD7"/>
    <mergeCell ref="AE6:AH6"/>
    <mergeCell ref="AI6:AL6"/>
    <mergeCell ref="AM6:AM7"/>
    <mergeCell ref="AN6:AQ6"/>
    <mergeCell ref="AR6:AU6"/>
    <mergeCell ref="AV6:AV7"/>
    <mergeCell ref="AW6:AZ6"/>
    <mergeCell ref="BW6:BW7"/>
    <mergeCell ref="BX6:CA6"/>
    <mergeCell ref="CB6:CE6"/>
    <mergeCell ref="CF6:CF7"/>
    <mergeCell ref="BE6:BE7"/>
    <mergeCell ref="BF6:BI6"/>
    <mergeCell ref="BJ6:BM6"/>
    <mergeCell ref="BN6:BN7"/>
    <mergeCell ref="BO6:BR6"/>
    <mergeCell ref="BS6:B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2023-07-31T05:12:04Z</dcterms:created>
  <dcterms:modified xsi:type="dcterms:W3CDTF">2023-08-01T00:16:08Z</dcterms:modified>
</cp:coreProperties>
</file>