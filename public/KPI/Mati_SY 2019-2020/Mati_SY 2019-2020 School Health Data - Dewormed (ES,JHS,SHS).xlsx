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4D0F4BF8-EE19-4B72-A0C3-1B0A9A72D239}" xr6:coauthVersionLast="47" xr6:coauthVersionMax="47" xr10:uidLastSave="{00000000-0000-0000-0000-000000000000}"/>
  <bookViews>
    <workbookView xWindow="-120" yWindow="-120" windowWidth="29040" windowHeight="15720" activeTab="2" xr2:uid="{8D5C4BED-B8D5-4537-8E00-68955CA7FBD9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ES!$A$9:$AB$233</definedName>
    <definedName name="_xlnm._FilterDatabase" localSheetId="1" hidden="1">JHS!$A$8:$W$8</definedName>
    <definedName name="_xlnm._FilterDatabase" localSheetId="2" hidden="1">SHS!$A$7:$S$23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3" l="1"/>
  <c r="Q23" i="3"/>
  <c r="S23" i="3" s="1"/>
  <c r="R22" i="3"/>
  <c r="Q22" i="3"/>
  <c r="R21" i="3"/>
  <c r="Q21" i="3"/>
  <c r="R20" i="3"/>
  <c r="Q20" i="3"/>
  <c r="S20" i="3" s="1"/>
  <c r="R19" i="3"/>
  <c r="Q19" i="3"/>
  <c r="R18" i="3"/>
  <c r="Q18" i="3"/>
  <c r="S18" i="3" s="1"/>
  <c r="R17" i="3"/>
  <c r="Q17" i="3"/>
  <c r="S17" i="3" s="1"/>
  <c r="R16" i="3"/>
  <c r="Q16" i="3"/>
  <c r="R15" i="3"/>
  <c r="Q15" i="3"/>
  <c r="R14" i="3"/>
  <c r="Q14" i="3"/>
  <c r="S14" i="3" s="1"/>
  <c r="R13" i="3"/>
  <c r="Q13" i="3"/>
  <c r="R12" i="3"/>
  <c r="Q12" i="3"/>
  <c r="S12" i="3" s="1"/>
  <c r="R11" i="3"/>
  <c r="Q11" i="3"/>
  <c r="S11" i="3" s="1"/>
  <c r="R10" i="3"/>
  <c r="Q10" i="3"/>
  <c r="R9" i="3"/>
  <c r="Q9" i="3"/>
  <c r="R8" i="3"/>
  <c r="Q8" i="3"/>
  <c r="S8" i="3" s="1"/>
  <c r="P6" i="3"/>
  <c r="O6" i="3"/>
  <c r="N6" i="3"/>
  <c r="M6" i="3"/>
  <c r="V30" i="2"/>
  <c r="U30" i="2"/>
  <c r="V29" i="2"/>
  <c r="U29" i="2"/>
  <c r="W29" i="2" s="1"/>
  <c r="V28" i="2"/>
  <c r="U28" i="2"/>
  <c r="V27" i="2"/>
  <c r="U27" i="2"/>
  <c r="W27" i="2" s="1"/>
  <c r="V26" i="2"/>
  <c r="U26" i="2"/>
  <c r="V25" i="2"/>
  <c r="U25" i="2"/>
  <c r="V24" i="2"/>
  <c r="U24" i="2"/>
  <c r="V23" i="2"/>
  <c r="U23" i="2"/>
  <c r="V22" i="2"/>
  <c r="U22" i="2"/>
  <c r="W22" i="2" s="1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W14" i="2" s="1"/>
  <c r="V13" i="2"/>
  <c r="U13" i="2"/>
  <c r="V12" i="2"/>
  <c r="U12" i="2"/>
  <c r="V11" i="2"/>
  <c r="U11" i="2"/>
  <c r="V10" i="2"/>
  <c r="U10" i="2"/>
  <c r="W10" i="2" s="1"/>
  <c r="V9" i="2"/>
  <c r="U9" i="2"/>
  <c r="W9" i="2" s="1"/>
  <c r="T7" i="2"/>
  <c r="S7" i="2"/>
  <c r="R7" i="2"/>
  <c r="Q7" i="2"/>
  <c r="P7" i="2"/>
  <c r="O7" i="2"/>
  <c r="N7" i="2"/>
  <c r="M7" i="2"/>
  <c r="AD233" i="1"/>
  <c r="AC233" i="1"/>
  <c r="AD232" i="1"/>
  <c r="AC232" i="1"/>
  <c r="AE232" i="1" s="1"/>
  <c r="AD231" i="1"/>
  <c r="AC231" i="1"/>
  <c r="AE231" i="1" s="1"/>
  <c r="AD230" i="1"/>
  <c r="AC230" i="1"/>
  <c r="AE230" i="1" s="1"/>
  <c r="AD229" i="1"/>
  <c r="AC229" i="1"/>
  <c r="AE229" i="1" s="1"/>
  <c r="AD228" i="1"/>
  <c r="AC228" i="1"/>
  <c r="AE228" i="1" s="1"/>
  <c r="AD227" i="1"/>
  <c r="AC227" i="1"/>
  <c r="AD226" i="1"/>
  <c r="AC226" i="1"/>
  <c r="AE226" i="1" s="1"/>
  <c r="AD225" i="1"/>
  <c r="AC225" i="1"/>
  <c r="AE225" i="1" s="1"/>
  <c r="AD224" i="1"/>
  <c r="AC224" i="1"/>
  <c r="AE224" i="1" s="1"/>
  <c r="AD223" i="1"/>
  <c r="AC223" i="1"/>
  <c r="AE223" i="1" s="1"/>
  <c r="AD222" i="1"/>
  <c r="AC222" i="1"/>
  <c r="AE222" i="1" s="1"/>
  <c r="AD221" i="1"/>
  <c r="AC221" i="1"/>
  <c r="AD220" i="1"/>
  <c r="AC220" i="1"/>
  <c r="AE220" i="1" s="1"/>
  <c r="AD219" i="1"/>
  <c r="AC219" i="1"/>
  <c r="AE219" i="1" s="1"/>
  <c r="AD218" i="1"/>
  <c r="AC218" i="1"/>
  <c r="AE218" i="1" s="1"/>
  <c r="AD217" i="1"/>
  <c r="AC217" i="1"/>
  <c r="AE217" i="1" s="1"/>
  <c r="AD216" i="1"/>
  <c r="AC216" i="1"/>
  <c r="AE216" i="1" s="1"/>
  <c r="AD215" i="1"/>
  <c r="AC215" i="1"/>
  <c r="AD214" i="1"/>
  <c r="AC214" i="1"/>
  <c r="AE214" i="1" s="1"/>
  <c r="AD213" i="1"/>
  <c r="AC213" i="1"/>
  <c r="AE213" i="1" s="1"/>
  <c r="AD212" i="1"/>
  <c r="AC212" i="1"/>
  <c r="AE212" i="1" s="1"/>
  <c r="AD211" i="1"/>
  <c r="AC211" i="1"/>
  <c r="AE211" i="1" s="1"/>
  <c r="AD210" i="1"/>
  <c r="AC210" i="1"/>
  <c r="AE210" i="1" s="1"/>
  <c r="AD209" i="1"/>
  <c r="AC209" i="1"/>
  <c r="AD208" i="1"/>
  <c r="AC208" i="1"/>
  <c r="AE208" i="1" s="1"/>
  <c r="AD207" i="1"/>
  <c r="AC207" i="1"/>
  <c r="AE207" i="1" s="1"/>
  <c r="AD206" i="1"/>
  <c r="AC206" i="1"/>
  <c r="AE206" i="1" s="1"/>
  <c r="AD205" i="1"/>
  <c r="AC205" i="1"/>
  <c r="AE205" i="1" s="1"/>
  <c r="AD204" i="1"/>
  <c r="AC204" i="1"/>
  <c r="AE204" i="1" s="1"/>
  <c r="AD203" i="1"/>
  <c r="AC203" i="1"/>
  <c r="AD202" i="1"/>
  <c r="AC202" i="1"/>
  <c r="AE202" i="1" s="1"/>
  <c r="AD201" i="1"/>
  <c r="AC201" i="1"/>
  <c r="AE201" i="1" s="1"/>
  <c r="AD200" i="1"/>
  <c r="AC200" i="1"/>
  <c r="AE200" i="1" s="1"/>
  <c r="AD199" i="1"/>
  <c r="AC199" i="1"/>
  <c r="AE199" i="1" s="1"/>
  <c r="AD198" i="1"/>
  <c r="AC198" i="1"/>
  <c r="AE198" i="1" s="1"/>
  <c r="AD197" i="1"/>
  <c r="AC197" i="1"/>
  <c r="AD196" i="1"/>
  <c r="AC196" i="1"/>
  <c r="AE196" i="1" s="1"/>
  <c r="AD195" i="1"/>
  <c r="AC195" i="1"/>
  <c r="AE195" i="1" s="1"/>
  <c r="AD194" i="1"/>
  <c r="AC194" i="1"/>
  <c r="AE194" i="1" s="1"/>
  <c r="AD193" i="1"/>
  <c r="AC193" i="1"/>
  <c r="AE193" i="1" s="1"/>
  <c r="AD192" i="1"/>
  <c r="AC192" i="1"/>
  <c r="AE192" i="1" s="1"/>
  <c r="AD191" i="1"/>
  <c r="AC191" i="1"/>
  <c r="AD190" i="1"/>
  <c r="AC190" i="1"/>
  <c r="AE190" i="1" s="1"/>
  <c r="AD189" i="1"/>
  <c r="AC189" i="1"/>
  <c r="AE189" i="1" s="1"/>
  <c r="AD188" i="1"/>
  <c r="AC188" i="1"/>
  <c r="AE188" i="1" s="1"/>
  <c r="AD187" i="1"/>
  <c r="AC187" i="1"/>
  <c r="AE187" i="1" s="1"/>
  <c r="AD186" i="1"/>
  <c r="AC186" i="1"/>
  <c r="AE186" i="1" s="1"/>
  <c r="AD185" i="1"/>
  <c r="AC185" i="1"/>
  <c r="AD184" i="1"/>
  <c r="AC184" i="1"/>
  <c r="AE184" i="1" s="1"/>
  <c r="AD183" i="1"/>
  <c r="AC183" i="1"/>
  <c r="AE183" i="1" s="1"/>
  <c r="AD182" i="1"/>
  <c r="AC182" i="1"/>
  <c r="AE182" i="1" s="1"/>
  <c r="AD181" i="1"/>
  <c r="AC181" i="1"/>
  <c r="AE181" i="1" s="1"/>
  <c r="AD180" i="1"/>
  <c r="AC180" i="1"/>
  <c r="AE180" i="1" s="1"/>
  <c r="AD179" i="1"/>
  <c r="AC179" i="1"/>
  <c r="AD178" i="1"/>
  <c r="AC178" i="1"/>
  <c r="AE178" i="1" s="1"/>
  <c r="AD177" i="1"/>
  <c r="AC177" i="1"/>
  <c r="AE177" i="1" s="1"/>
  <c r="AD176" i="1"/>
  <c r="AC176" i="1"/>
  <c r="AE176" i="1" s="1"/>
  <c r="AD175" i="1"/>
  <c r="AC175" i="1"/>
  <c r="AE175" i="1" s="1"/>
  <c r="AD174" i="1"/>
  <c r="AC174" i="1"/>
  <c r="AE174" i="1" s="1"/>
  <c r="AD173" i="1"/>
  <c r="AC173" i="1"/>
  <c r="AD172" i="1"/>
  <c r="AC172" i="1"/>
  <c r="AE172" i="1" s="1"/>
  <c r="AD171" i="1"/>
  <c r="AC171" i="1"/>
  <c r="AE171" i="1" s="1"/>
  <c r="AD170" i="1"/>
  <c r="AC170" i="1"/>
  <c r="AE170" i="1" s="1"/>
  <c r="AD169" i="1"/>
  <c r="AC169" i="1"/>
  <c r="AE169" i="1" s="1"/>
  <c r="AD168" i="1"/>
  <c r="AC168" i="1"/>
  <c r="AE168" i="1" s="1"/>
  <c r="AD167" i="1"/>
  <c r="AC167" i="1"/>
  <c r="AE167" i="1" s="1"/>
  <c r="AD166" i="1"/>
  <c r="AE166" i="1" s="1"/>
  <c r="AC166" i="1"/>
  <c r="AD165" i="1"/>
  <c r="AC165" i="1"/>
  <c r="AE165" i="1" s="1"/>
  <c r="AD164" i="1"/>
  <c r="AC164" i="1"/>
  <c r="AE164" i="1" s="1"/>
  <c r="AD163" i="1"/>
  <c r="AC163" i="1"/>
  <c r="AE163" i="1" s="1"/>
  <c r="AD162" i="1"/>
  <c r="AC162" i="1"/>
  <c r="AD161" i="1"/>
  <c r="AC161" i="1"/>
  <c r="AD160" i="1"/>
  <c r="AC160" i="1"/>
  <c r="AD159" i="1"/>
  <c r="AC159" i="1"/>
  <c r="AE159" i="1" s="1"/>
  <c r="AD158" i="1"/>
  <c r="AC158" i="1"/>
  <c r="AE158" i="1" s="1"/>
  <c r="AD157" i="1"/>
  <c r="AC157" i="1"/>
  <c r="AE157" i="1" s="1"/>
  <c r="AD156" i="1"/>
  <c r="AC156" i="1"/>
  <c r="AD155" i="1"/>
  <c r="AC155" i="1"/>
  <c r="AE154" i="1"/>
  <c r="AD154" i="1"/>
  <c r="AC154" i="1"/>
  <c r="AD153" i="1"/>
  <c r="AC153" i="1"/>
  <c r="AD152" i="1"/>
  <c r="AC152" i="1"/>
  <c r="AE152" i="1" s="1"/>
  <c r="AD151" i="1"/>
  <c r="AC151" i="1"/>
  <c r="AD150" i="1"/>
  <c r="AC150" i="1"/>
  <c r="AE150" i="1" s="1"/>
  <c r="AD149" i="1"/>
  <c r="AC149" i="1"/>
  <c r="AD148" i="1"/>
  <c r="AC148" i="1"/>
  <c r="AD147" i="1"/>
  <c r="AC147" i="1"/>
  <c r="AD146" i="1"/>
  <c r="AC146" i="1"/>
  <c r="AE146" i="1" s="1"/>
  <c r="AD145" i="1"/>
  <c r="AC145" i="1"/>
  <c r="AE145" i="1" s="1"/>
  <c r="AD144" i="1"/>
  <c r="AC144" i="1"/>
  <c r="AE144" i="1" s="1"/>
  <c r="AD143" i="1"/>
  <c r="AC143" i="1"/>
  <c r="AE143" i="1" s="1"/>
  <c r="AD142" i="1"/>
  <c r="AC142" i="1"/>
  <c r="AE142" i="1" s="1"/>
  <c r="AD141" i="1"/>
  <c r="AC141" i="1"/>
  <c r="AE141" i="1" s="1"/>
  <c r="AD140" i="1"/>
  <c r="AC140" i="1"/>
  <c r="AE140" i="1" s="1"/>
  <c r="AD139" i="1"/>
  <c r="AC139" i="1"/>
  <c r="AD138" i="1"/>
  <c r="AC138" i="1"/>
  <c r="AD137" i="1"/>
  <c r="AC137" i="1"/>
  <c r="AD136" i="1"/>
  <c r="AC136" i="1"/>
  <c r="AE136" i="1" s="1"/>
  <c r="AD135" i="1"/>
  <c r="AC135" i="1"/>
  <c r="AE135" i="1" s="1"/>
  <c r="AD134" i="1"/>
  <c r="AC134" i="1"/>
  <c r="AE134" i="1" s="1"/>
  <c r="AD133" i="1"/>
  <c r="AC133" i="1"/>
  <c r="AE133" i="1" s="1"/>
  <c r="AD132" i="1"/>
  <c r="AC132" i="1"/>
  <c r="AD131" i="1"/>
  <c r="AC131" i="1"/>
  <c r="AD130" i="1"/>
  <c r="AC130" i="1"/>
  <c r="AE130" i="1" s="1"/>
  <c r="AD129" i="1"/>
  <c r="AC129" i="1"/>
  <c r="AD128" i="1"/>
  <c r="AC128" i="1"/>
  <c r="AE128" i="1" s="1"/>
  <c r="AD127" i="1"/>
  <c r="AC127" i="1"/>
  <c r="AD126" i="1"/>
  <c r="AC126" i="1"/>
  <c r="AE126" i="1" s="1"/>
  <c r="AD125" i="1"/>
  <c r="AC125" i="1"/>
  <c r="AD124" i="1"/>
  <c r="AC124" i="1"/>
  <c r="AE124" i="1" s="1"/>
  <c r="AD123" i="1"/>
  <c r="AC123" i="1"/>
  <c r="AD122" i="1"/>
  <c r="AC122" i="1"/>
  <c r="AE122" i="1" s="1"/>
  <c r="AD121" i="1"/>
  <c r="AC121" i="1"/>
  <c r="AE121" i="1" s="1"/>
  <c r="AD120" i="1"/>
  <c r="AC120" i="1"/>
  <c r="AE120" i="1" s="1"/>
  <c r="AD119" i="1"/>
  <c r="AC119" i="1"/>
  <c r="AE119" i="1" s="1"/>
  <c r="AD118" i="1"/>
  <c r="AC118" i="1"/>
  <c r="AE118" i="1" s="1"/>
  <c r="AD117" i="1"/>
  <c r="AC117" i="1"/>
  <c r="AE117" i="1" s="1"/>
  <c r="AD116" i="1"/>
  <c r="AC116" i="1"/>
  <c r="AE116" i="1" s="1"/>
  <c r="AD115" i="1"/>
  <c r="AC115" i="1"/>
  <c r="AD114" i="1"/>
  <c r="AC114" i="1"/>
  <c r="AD113" i="1"/>
  <c r="AC113" i="1"/>
  <c r="AE113" i="1" s="1"/>
  <c r="AD112" i="1"/>
  <c r="AC112" i="1"/>
  <c r="AE112" i="1" s="1"/>
  <c r="AD111" i="1"/>
  <c r="AC111" i="1"/>
  <c r="AE111" i="1" s="1"/>
  <c r="AD110" i="1"/>
  <c r="AC110" i="1"/>
  <c r="AE110" i="1" s="1"/>
  <c r="AD109" i="1"/>
  <c r="AC109" i="1"/>
  <c r="AD108" i="1"/>
  <c r="AC108" i="1"/>
  <c r="AD107" i="1"/>
  <c r="AC107" i="1"/>
  <c r="AE107" i="1" s="1"/>
  <c r="AD106" i="1"/>
  <c r="AC106" i="1"/>
  <c r="AE106" i="1" s="1"/>
  <c r="AD105" i="1"/>
  <c r="AC105" i="1"/>
  <c r="AD104" i="1"/>
  <c r="AC104" i="1"/>
  <c r="AE104" i="1" s="1"/>
  <c r="AD103" i="1"/>
  <c r="AC103" i="1"/>
  <c r="AD102" i="1"/>
  <c r="AC102" i="1"/>
  <c r="AE102" i="1" s="1"/>
  <c r="AD101" i="1"/>
  <c r="AC101" i="1"/>
  <c r="AD100" i="1"/>
  <c r="AC100" i="1"/>
  <c r="AE100" i="1" s="1"/>
  <c r="AD99" i="1"/>
  <c r="AC99" i="1"/>
  <c r="AD98" i="1"/>
  <c r="AC98" i="1"/>
  <c r="AE98" i="1" s="1"/>
  <c r="AD97" i="1"/>
  <c r="AC97" i="1"/>
  <c r="AE97" i="1" s="1"/>
  <c r="AD96" i="1"/>
  <c r="AC96" i="1"/>
  <c r="AE96" i="1" s="1"/>
  <c r="AD95" i="1"/>
  <c r="AC95" i="1"/>
  <c r="AE95" i="1" s="1"/>
  <c r="AD94" i="1"/>
  <c r="AC94" i="1"/>
  <c r="AE94" i="1" s="1"/>
  <c r="AD93" i="1"/>
  <c r="AC93" i="1"/>
  <c r="AE93" i="1" s="1"/>
  <c r="AD92" i="1"/>
  <c r="AC92" i="1"/>
  <c r="AD91" i="1"/>
  <c r="AC91" i="1"/>
  <c r="AD90" i="1"/>
  <c r="AC90" i="1"/>
  <c r="AE90" i="1" s="1"/>
  <c r="AD89" i="1"/>
  <c r="AC89" i="1"/>
  <c r="AE89" i="1" s="1"/>
  <c r="AD88" i="1"/>
  <c r="AC88" i="1"/>
  <c r="AE88" i="1" s="1"/>
  <c r="AD87" i="1"/>
  <c r="AC87" i="1"/>
  <c r="AE87" i="1" s="1"/>
  <c r="AD86" i="1"/>
  <c r="AC86" i="1"/>
  <c r="AD85" i="1"/>
  <c r="AC85" i="1"/>
  <c r="AD84" i="1"/>
  <c r="AC84" i="1"/>
  <c r="AE84" i="1" s="1"/>
  <c r="AD83" i="1"/>
  <c r="AC83" i="1"/>
  <c r="AE83" i="1" s="1"/>
  <c r="AD82" i="1"/>
  <c r="AC82" i="1"/>
  <c r="AE82" i="1" s="1"/>
  <c r="AD81" i="1"/>
  <c r="AC81" i="1"/>
  <c r="AD80" i="1"/>
  <c r="AC80" i="1"/>
  <c r="AE80" i="1" s="1"/>
  <c r="AD79" i="1"/>
  <c r="AE79" i="1" s="1"/>
  <c r="AC79" i="1"/>
  <c r="AD78" i="1"/>
  <c r="AC78" i="1"/>
  <c r="AE78" i="1" s="1"/>
  <c r="AD77" i="1"/>
  <c r="AC77" i="1"/>
  <c r="AD76" i="1"/>
  <c r="AC76" i="1"/>
  <c r="AE76" i="1" s="1"/>
  <c r="AD75" i="1"/>
  <c r="AC75" i="1"/>
  <c r="AD74" i="1"/>
  <c r="AC74" i="1"/>
  <c r="AE74" i="1" s="1"/>
  <c r="AD73" i="1"/>
  <c r="AC73" i="1"/>
  <c r="AD72" i="1"/>
  <c r="AC72" i="1"/>
  <c r="AE72" i="1" s="1"/>
  <c r="AD71" i="1"/>
  <c r="AC71" i="1"/>
  <c r="AE71" i="1" s="1"/>
  <c r="AD70" i="1"/>
  <c r="AC70" i="1"/>
  <c r="AE70" i="1" s="1"/>
  <c r="AD69" i="1"/>
  <c r="AC69" i="1"/>
  <c r="AD68" i="1"/>
  <c r="AC68" i="1"/>
  <c r="AD67" i="1"/>
  <c r="AC67" i="1"/>
  <c r="AE67" i="1" s="1"/>
  <c r="AD66" i="1"/>
  <c r="AC66" i="1"/>
  <c r="AE66" i="1" s="1"/>
  <c r="AD65" i="1"/>
  <c r="AC65" i="1"/>
  <c r="AE65" i="1" s="1"/>
  <c r="AD64" i="1"/>
  <c r="AC64" i="1"/>
  <c r="AE64" i="1" s="1"/>
  <c r="AD63" i="1"/>
  <c r="AC63" i="1"/>
  <c r="AD62" i="1"/>
  <c r="AC62" i="1"/>
  <c r="AD61" i="1"/>
  <c r="AC61" i="1"/>
  <c r="AE61" i="1" s="1"/>
  <c r="AD60" i="1"/>
  <c r="AC60" i="1"/>
  <c r="AE60" i="1" s="1"/>
  <c r="AD59" i="1"/>
  <c r="AC59" i="1"/>
  <c r="AE59" i="1" s="1"/>
  <c r="AD58" i="1"/>
  <c r="AC58" i="1"/>
  <c r="AE58" i="1" s="1"/>
  <c r="AD57" i="1"/>
  <c r="AC57" i="1"/>
  <c r="AD56" i="1"/>
  <c r="AC56" i="1"/>
  <c r="AD55" i="1"/>
  <c r="AC55" i="1"/>
  <c r="AD54" i="1"/>
  <c r="AC54" i="1"/>
  <c r="AE54" i="1" s="1"/>
  <c r="AD53" i="1"/>
  <c r="AC53" i="1"/>
  <c r="AD52" i="1"/>
  <c r="AC52" i="1"/>
  <c r="AE52" i="1" s="1"/>
  <c r="AD51" i="1"/>
  <c r="AC51" i="1"/>
  <c r="AD50" i="1"/>
  <c r="AC50" i="1"/>
  <c r="AE50" i="1" s="1"/>
  <c r="AD49" i="1"/>
  <c r="AC49" i="1"/>
  <c r="AE49" i="1" s="1"/>
  <c r="AD48" i="1"/>
  <c r="AC48" i="1"/>
  <c r="AE48" i="1" s="1"/>
  <c r="AD47" i="1"/>
  <c r="AC47" i="1"/>
  <c r="AE47" i="1" s="1"/>
  <c r="AD46" i="1"/>
  <c r="AE46" i="1" s="1"/>
  <c r="AC46" i="1"/>
  <c r="AD45" i="1"/>
  <c r="AC45" i="1"/>
  <c r="AD44" i="1"/>
  <c r="AC44" i="1"/>
  <c r="AE44" i="1" s="1"/>
  <c r="AD43" i="1"/>
  <c r="AC43" i="1"/>
  <c r="AE43" i="1" s="1"/>
  <c r="AD42" i="1"/>
  <c r="AC42" i="1"/>
  <c r="AE42" i="1" s="1"/>
  <c r="AD41" i="1"/>
  <c r="AC41" i="1"/>
  <c r="AE41" i="1" s="1"/>
  <c r="AD40" i="1"/>
  <c r="AC40" i="1"/>
  <c r="AD39" i="1"/>
  <c r="AC39" i="1"/>
  <c r="AD38" i="1"/>
  <c r="AC38" i="1"/>
  <c r="AE38" i="1" s="1"/>
  <c r="AD37" i="1"/>
  <c r="AC37" i="1"/>
  <c r="AE37" i="1" s="1"/>
  <c r="AD36" i="1"/>
  <c r="AC36" i="1"/>
  <c r="AE36" i="1" s="1"/>
  <c r="AD35" i="1"/>
  <c r="AC35" i="1"/>
  <c r="AE35" i="1" s="1"/>
  <c r="AE34" i="1"/>
  <c r="AD34" i="1"/>
  <c r="AC34" i="1"/>
  <c r="AD33" i="1"/>
  <c r="AC33" i="1"/>
  <c r="AD32" i="1"/>
  <c r="AC32" i="1"/>
  <c r="AE32" i="1" s="1"/>
  <c r="AD31" i="1"/>
  <c r="AC31" i="1"/>
  <c r="AD30" i="1"/>
  <c r="AC30" i="1"/>
  <c r="AE30" i="1" s="1"/>
  <c r="AD29" i="1"/>
  <c r="AC29" i="1"/>
  <c r="AD28" i="1"/>
  <c r="AC28" i="1"/>
  <c r="AE28" i="1" s="1"/>
  <c r="AD27" i="1"/>
  <c r="AE27" i="1" s="1"/>
  <c r="AC27" i="1"/>
  <c r="AD26" i="1"/>
  <c r="AC26" i="1"/>
  <c r="AE26" i="1" s="1"/>
  <c r="AD25" i="1"/>
  <c r="AC25" i="1"/>
  <c r="AE25" i="1" s="1"/>
  <c r="AD24" i="1"/>
  <c r="AC24" i="1"/>
  <c r="AE24" i="1" s="1"/>
  <c r="AD23" i="1"/>
  <c r="AC23" i="1"/>
  <c r="AE23" i="1" s="1"/>
  <c r="AD22" i="1"/>
  <c r="AC22" i="1"/>
  <c r="AE22" i="1" s="1"/>
  <c r="AD21" i="1"/>
  <c r="AC21" i="1"/>
  <c r="AE21" i="1" s="1"/>
  <c r="AD20" i="1"/>
  <c r="AC20" i="1"/>
  <c r="AE20" i="1" s="1"/>
  <c r="AD19" i="1"/>
  <c r="AC19" i="1"/>
  <c r="AE19" i="1" s="1"/>
  <c r="AD18" i="1"/>
  <c r="AC18" i="1"/>
  <c r="AE18" i="1" s="1"/>
  <c r="AD17" i="1"/>
  <c r="AC17" i="1"/>
  <c r="AD16" i="1"/>
  <c r="AC16" i="1"/>
  <c r="AD15" i="1"/>
  <c r="AC15" i="1"/>
  <c r="AE15" i="1" s="1"/>
  <c r="AD14" i="1"/>
  <c r="AC14" i="1"/>
  <c r="AE14" i="1" s="1"/>
  <c r="AD13" i="1"/>
  <c r="AC13" i="1"/>
  <c r="AE13" i="1" s="1"/>
  <c r="AD12" i="1"/>
  <c r="AC12" i="1"/>
  <c r="AE12" i="1" s="1"/>
  <c r="AD11" i="1"/>
  <c r="AD8" i="1" s="1"/>
  <c r="AC11" i="1"/>
  <c r="AE10" i="1"/>
  <c r="AD10" i="1"/>
  <c r="AC10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R6" i="3" l="1"/>
  <c r="S10" i="3"/>
  <c r="S16" i="3"/>
  <c r="S22" i="3"/>
  <c r="S13" i="3"/>
  <c r="S19" i="3"/>
  <c r="V7" i="2"/>
  <c r="W11" i="2"/>
  <c r="W17" i="2"/>
  <c r="W18" i="2"/>
  <c r="W30" i="2"/>
  <c r="W13" i="2"/>
  <c r="W25" i="2"/>
  <c r="W15" i="2"/>
  <c r="W23" i="2"/>
  <c r="W12" i="2"/>
  <c r="W24" i="2"/>
  <c r="U7" i="2"/>
  <c r="W19" i="2"/>
  <c r="W20" i="2"/>
  <c r="W26" i="2"/>
  <c r="W21" i="2"/>
  <c r="W16" i="2"/>
  <c r="W28" i="2"/>
  <c r="AA5" i="1"/>
  <c r="AE99" i="1"/>
  <c r="AE151" i="1"/>
  <c r="AE123" i="1"/>
  <c r="AE11" i="1"/>
  <c r="AE17" i="1"/>
  <c r="AE40" i="1"/>
  <c r="AE51" i="1"/>
  <c r="AE63" i="1"/>
  <c r="AE69" i="1"/>
  <c r="AE86" i="1"/>
  <c r="AE92" i="1"/>
  <c r="AE103" i="1"/>
  <c r="AE109" i="1"/>
  <c r="AE115" i="1"/>
  <c r="AE132" i="1"/>
  <c r="AE138" i="1"/>
  <c r="AE155" i="1"/>
  <c r="AE161" i="1"/>
  <c r="AE127" i="1"/>
  <c r="AE139" i="1"/>
  <c r="AE156" i="1"/>
  <c r="AE162" i="1"/>
  <c r="AE75" i="1"/>
  <c r="AB5" i="1"/>
  <c r="AE56" i="1"/>
  <c r="AE73" i="1"/>
  <c r="AE148" i="1"/>
  <c r="AE31" i="1"/>
  <c r="AE55" i="1"/>
  <c r="AE147" i="1"/>
  <c r="AE16" i="1"/>
  <c r="AE39" i="1"/>
  <c r="AE45" i="1"/>
  <c r="AE62" i="1"/>
  <c r="AE68" i="1"/>
  <c r="AE85" i="1"/>
  <c r="AE91" i="1"/>
  <c r="AE108" i="1"/>
  <c r="AE114" i="1"/>
  <c r="AE131" i="1"/>
  <c r="AE137" i="1"/>
  <c r="AE160" i="1"/>
  <c r="AE8" i="1"/>
  <c r="AE33" i="1"/>
  <c r="AE57" i="1"/>
  <c r="AE81" i="1"/>
  <c r="AE105" i="1"/>
  <c r="AE129" i="1"/>
  <c r="AE153" i="1"/>
  <c r="AE173" i="1"/>
  <c r="AE179" i="1"/>
  <c r="AE185" i="1"/>
  <c r="AE191" i="1"/>
  <c r="AE197" i="1"/>
  <c r="AE203" i="1"/>
  <c r="AE209" i="1"/>
  <c r="AE215" i="1"/>
  <c r="AE221" i="1"/>
  <c r="AE227" i="1"/>
  <c r="AE233" i="1"/>
  <c r="AE29" i="1"/>
  <c r="AE53" i="1"/>
  <c r="AE77" i="1"/>
  <c r="AE101" i="1"/>
  <c r="AE125" i="1"/>
  <c r="AE149" i="1"/>
  <c r="S9" i="3"/>
  <c r="S15" i="3"/>
  <c r="S21" i="3"/>
  <c r="AC8" i="1"/>
  <c r="Q6" i="3"/>
  <c r="W7" i="2" l="1"/>
  <c r="S6" i="3"/>
</calcChain>
</file>

<file path=xl/sharedStrings.xml><?xml version="1.0" encoding="utf-8"?>
<sst xmlns="http://schemas.openxmlformats.org/spreadsheetml/2006/main" count="3019" uniqueCount="670">
  <si>
    <t>School Level Data on Number of Learners who were Dewormed (Public Elementary)</t>
  </si>
  <si>
    <t>SY 2019-2020</t>
  </si>
  <si>
    <t>Based on BEIS, generated as of February 27, 2020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</si>
  <si>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</si>
  <si>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</si>
  <si>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</si>
  <si>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</si>
  <si>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</si>
  <si>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</si>
  <si>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</si>
  <si>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</t>
  </si>
  <si>
    <t>Grand Total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</si>
  <si>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</si>
  <si>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</si>
  <si>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</si>
  <si>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</si>
  <si>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</si>
  <si>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</si>
  <si>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</si>
  <si>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</si>
  <si>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</si>
  <si>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</si>
  <si>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</si>
  <si>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</si>
  <si>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</si>
  <si>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</si>
  <si>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</si>
  <si>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sch_health_learners_dewormed_k_m</t>
  </si>
  <si>
    <t>sch_health_learners_dewormed_k_f</t>
  </si>
  <si>
    <t>sch_health_learners_dewormed_g1_m</t>
  </si>
  <si>
    <t>sch_health_learners_dewormed_g1_f</t>
  </si>
  <si>
    <t>sch_health_learners_dewormed_g2_m</t>
  </si>
  <si>
    <t>sch_health_learners_dewormed_g2_f</t>
  </si>
  <si>
    <t>sch_health_learners_dewormed_g3_m</t>
  </si>
  <si>
    <t>sch_health_learners_dewormed_g3_f</t>
  </si>
  <si>
    <t>sch_health_learners_dewormed_g4_m</t>
  </si>
  <si>
    <t>sch_health_learners_dewormed_g4_f</t>
  </si>
  <si>
    <t>sch_health_learners_dewormed_g5_m</t>
  </si>
  <si>
    <t>sch_health_learners_dewormed_g5_f</t>
  </si>
  <si>
    <t>sch_health_learners_dewormed_g6_m</t>
  </si>
  <si>
    <t>sch_health_learners_dewormed_g6_f</t>
  </si>
  <si>
    <t>sch_health_learners_dewormed_ng_m</t>
  </si>
  <si>
    <t>sch_health_learners_dewormed_ng_f</t>
  </si>
  <si>
    <t>Remarks</t>
  </si>
  <si>
    <t>Region XI</t>
  </si>
  <si>
    <t>Babak</t>
  </si>
  <si>
    <t>2nd District</t>
  </si>
  <si>
    <t>Kinder &amp; Grade 1-6</t>
  </si>
  <si>
    <t>Purely ES</t>
  </si>
  <si>
    <t>SAN AGUSTIN</t>
  </si>
  <si>
    <t>SAN ANTONIO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</si>
  <si>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</si>
  <si>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</si>
  <si>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</si>
  <si>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</si>
  <si>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</si>
  <si>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</si>
  <si>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</si>
  <si>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</si>
  <si>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</si>
  <si>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</si>
  <si>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</si>
  <si>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</si>
  <si>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</si>
  <si>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</si>
  <si>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</si>
  <si>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</si>
  <si>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</si>
  <si>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</si>
  <si>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</si>
  <si>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</si>
  <si>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</si>
  <si>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</si>
  <si>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</si>
  <si>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</si>
  <si>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</si>
  <si>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</si>
  <si>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</si>
  <si>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</si>
  <si>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</si>
  <si>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</si>
  <si>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</si>
  <si>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</si>
  <si>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</si>
  <si>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</si>
  <si>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</si>
  <si>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</si>
  <si>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</si>
  <si>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</si>
  <si>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</si>
  <si>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</si>
  <si>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</si>
  <si>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</si>
  <si>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</si>
  <si>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</si>
  <si>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</si>
  <si>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</si>
  <si>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</si>
  <si>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</si>
  <si>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</si>
  <si>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</si>
  <si>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</si>
  <si>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</si>
  <si>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</si>
  <si>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</si>
  <si>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</si>
  <si>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</si>
  <si>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</si>
  <si>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</si>
  <si>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</si>
  <si>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</si>
  <si>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</si>
  <si>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</si>
  <si>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</si>
  <si>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</si>
  <si>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</si>
  <si>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</si>
  <si>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</si>
  <si>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</si>
  <si>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</si>
  <si>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</si>
  <si>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</si>
  <si>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</si>
  <si>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</si>
  <si>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</si>
  <si>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</si>
  <si>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</si>
  <si>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</si>
  <si>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</si>
  <si>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</si>
  <si>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</si>
  <si>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</si>
  <si>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</si>
  <si>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</si>
  <si>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</si>
  <si>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</si>
  <si>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</si>
  <si>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</si>
  <si>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</si>
  <si>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</si>
  <si>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</si>
  <si>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</si>
  <si>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</si>
  <si>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</si>
  <si>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</si>
  <si>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</si>
  <si>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</si>
  <si>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</si>
  <si>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</si>
  <si>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</si>
  <si>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</si>
  <si>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</si>
  <si>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</si>
  <si>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</si>
  <si>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</si>
  <si>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</si>
  <si>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</si>
  <si>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</si>
  <si>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</si>
  <si>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</si>
  <si>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</si>
  <si>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</si>
  <si>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</si>
  <si>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</si>
  <si>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</si>
  <si>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</si>
  <si>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</si>
  <si>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</si>
  <si>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</si>
  <si>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</si>
  <si>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</si>
  <si>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</si>
  <si>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</si>
  <si>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</si>
  <si>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</si>
  <si>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</si>
  <si>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</si>
  <si>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</si>
  <si>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</si>
  <si>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</si>
  <si>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</si>
  <si>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</si>
  <si>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</si>
  <si>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</si>
  <si>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</si>
  <si>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</si>
  <si>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</si>
  <si>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</si>
  <si>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</si>
  <si>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</si>
  <si>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</si>
  <si>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</si>
  <si>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</si>
  <si>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Davao Occidental</t>
  </si>
  <si>
    <t>Don Marcelino</t>
  </si>
  <si>
    <t>Baluntaya Elementary SChool</t>
  </si>
  <si>
    <t>na</t>
  </si>
  <si>
    <t>DAVAO OCCIDENTAL</t>
  </si>
  <si>
    <t>DON MARCELINO</t>
  </si>
  <si>
    <t>1st District</t>
  </si>
  <si>
    <t>BALUNTAYA</t>
  </si>
  <si>
    <t>Calian Elementary School</t>
  </si>
  <si>
    <t>CALIAN</t>
  </si>
  <si>
    <t>Dalupan Elementary School</t>
  </si>
  <si>
    <t>Dalupan</t>
  </si>
  <si>
    <t>DALUPAN</t>
  </si>
  <si>
    <t>Don Marcelino Maruya Elementary School</t>
  </si>
  <si>
    <t>Talaguton</t>
  </si>
  <si>
    <t>TALAGUTONG (POB.)</t>
  </si>
  <si>
    <t>Kinanga ES</t>
  </si>
  <si>
    <t>KINANGA</t>
  </si>
  <si>
    <t>Fred Johnson Elementary School</t>
  </si>
  <si>
    <t>SOUTH LAMIDAN</t>
  </si>
  <si>
    <t>Lanao Elementary School</t>
  </si>
  <si>
    <t>Magalamod Lanao</t>
  </si>
  <si>
    <t>LANAO</t>
  </si>
  <si>
    <t>William Joyce Sr. Elementary School</t>
  </si>
  <si>
    <t>LAPUAN</t>
  </si>
  <si>
    <t>Lawa CES</t>
  </si>
  <si>
    <t>Biton II</t>
  </si>
  <si>
    <t>Lone District</t>
  </si>
  <si>
    <t>LAWA (POB.)</t>
  </si>
  <si>
    <t>Linadasan ES</t>
  </si>
  <si>
    <t>Avocado</t>
  </si>
  <si>
    <t>LINADASAN</t>
  </si>
  <si>
    <t>Mabuhay ES</t>
  </si>
  <si>
    <t>NUEVA VILLA</t>
  </si>
  <si>
    <t>Maltusan ES</t>
  </si>
  <si>
    <t>Sitio San Malbino</t>
  </si>
  <si>
    <t>Migdolog ES</t>
  </si>
  <si>
    <t>MABUHAY</t>
  </si>
  <si>
    <t>Jose Villanueva ES</t>
  </si>
  <si>
    <t>Nueva Villa</t>
  </si>
  <si>
    <t>Palamid ES</t>
  </si>
  <si>
    <t>Brgy. Site, West Lamidan, Don Marcelino, Dvo. del Sur</t>
  </si>
  <si>
    <t>WEST LAMIDAN</t>
  </si>
  <si>
    <t>Pamongot Elementary School</t>
  </si>
  <si>
    <t>Pamongot, Talaguton</t>
  </si>
  <si>
    <t>Tador &amp; Masaglang ES</t>
  </si>
  <si>
    <t>KIOBOG</t>
  </si>
  <si>
    <t>Thomas Jhonson ES</t>
  </si>
  <si>
    <t>North Lamidan</t>
  </si>
  <si>
    <t>Kibatang ES</t>
  </si>
  <si>
    <t>Sitio Kibatang</t>
  </si>
  <si>
    <t>Gusatbak Elementary School</t>
  </si>
  <si>
    <t>Gusatbak</t>
  </si>
  <si>
    <t>NORTH LAMIDAN</t>
  </si>
  <si>
    <t>Kalabunay ES</t>
  </si>
  <si>
    <t>KALABUNAY</t>
  </si>
  <si>
    <t>Kiyaga Elementary School</t>
  </si>
  <si>
    <t>KIYAGA</t>
  </si>
  <si>
    <t>Jose Abad Santos</t>
  </si>
  <si>
    <t>Datu Tawang Elementary School</t>
  </si>
  <si>
    <t>Mangga, Culaman, Jose Abad Santos, Davao Occidental</t>
  </si>
  <si>
    <t>JOSE ABAD SANTOS (TRINIDAD)</t>
  </si>
  <si>
    <t>CAYAPONGA</t>
  </si>
  <si>
    <t>Jose Abad Santos I</t>
  </si>
  <si>
    <t>Monroe M. Joyce ES</t>
  </si>
  <si>
    <t>Buguis, JAS</t>
  </si>
  <si>
    <t>BUGUIS</t>
  </si>
  <si>
    <t>Cayaponga ES</t>
  </si>
  <si>
    <t>Cayaponga</t>
  </si>
  <si>
    <t>David Lachica Sr. Elementary school</t>
  </si>
  <si>
    <t>Sitio Lumbia, Caburan Big</t>
  </si>
  <si>
    <t>CABURAN BIG</t>
  </si>
  <si>
    <t>Jose Abad Santos CES</t>
  </si>
  <si>
    <t>none</t>
  </si>
  <si>
    <t>CABURAN SMALL (POB.)</t>
  </si>
  <si>
    <t>Faustino K. Labiton Sr. Elementary School</t>
  </si>
  <si>
    <t>CARAHAYAN</t>
  </si>
  <si>
    <t>Malalan ES</t>
  </si>
  <si>
    <t>Malalan, Jose Abad Santos</t>
  </si>
  <si>
    <t>MALALAN</t>
  </si>
  <si>
    <t>Mangili ES</t>
  </si>
  <si>
    <t>TIYAY</t>
  </si>
  <si>
    <t>MANGILE</t>
  </si>
  <si>
    <t>Andres Yacon  Sr. ES</t>
  </si>
  <si>
    <t>MAGULIBAS</t>
  </si>
  <si>
    <t>Manuel Medel ES</t>
  </si>
  <si>
    <t>Marabatuan, Jose Abad Santos, Davao Occidental</t>
  </si>
  <si>
    <t>MARABUTUAN</t>
  </si>
  <si>
    <t>Rolando E. Pardinas Sr. ES</t>
  </si>
  <si>
    <t>Kolikipos</t>
  </si>
  <si>
    <t>San Felipe ES</t>
  </si>
  <si>
    <t>Brgy. Tabayon</t>
  </si>
  <si>
    <t>TABAYON</t>
  </si>
  <si>
    <t>ELEUTERIA S. CASTRO ES</t>
  </si>
  <si>
    <t>TANUMAN</t>
  </si>
  <si>
    <t>Datu Mending ES</t>
  </si>
  <si>
    <t>Sitio Kibanoot</t>
  </si>
  <si>
    <t>Pedro Tague Sr., Primary School</t>
  </si>
  <si>
    <t>Sitio Mangga, Marabatuan</t>
  </si>
  <si>
    <t>Tunggal Capitan ES</t>
  </si>
  <si>
    <t>Sitio Pigbaloyan</t>
  </si>
  <si>
    <t>Harden Joyce Integrated School</t>
  </si>
  <si>
    <t>Brgy. Culaman, Jose Abad Santos, Davao Occidental</t>
  </si>
  <si>
    <t>CULAMAN</t>
  </si>
  <si>
    <t>Aldo Pagagao Integrated School</t>
  </si>
  <si>
    <t>Brgy. Meybio, Jose Abad Santos, Davao Occidental</t>
  </si>
  <si>
    <t>MEYBIO</t>
  </si>
  <si>
    <t>Jose Abad Santos II</t>
  </si>
  <si>
    <t>MARIA/RITA MEDEL ELEMENTARY SCHOOL</t>
  </si>
  <si>
    <t>Butuan, Jose Abad Santos, Davao Occ.</t>
  </si>
  <si>
    <t>BUTUAN</t>
  </si>
  <si>
    <t>Kalbay ES</t>
  </si>
  <si>
    <t>Kalbay, Jose Abad Santos, Dvo. Sur</t>
  </si>
  <si>
    <t>KALBAY</t>
  </si>
  <si>
    <t>Patulang ES</t>
  </si>
  <si>
    <t>PATULANG</t>
  </si>
  <si>
    <t>Manuel Medel Sr.  Elementary School</t>
  </si>
  <si>
    <t>SITIO KIBAYO</t>
  </si>
  <si>
    <t>SUGAL</t>
  </si>
  <si>
    <t>Dionesio Leong Elementary School</t>
  </si>
  <si>
    <t>Hacienda</t>
  </si>
  <si>
    <t>BALANGONAN</t>
  </si>
  <si>
    <t>Ignacia Guillermo ES (Butulan ES)</t>
  </si>
  <si>
    <t>Brgy. Nuing</t>
  </si>
  <si>
    <t>NUING</t>
  </si>
  <si>
    <t>Camalian ES</t>
  </si>
  <si>
    <t>-CAMALIAN</t>
  </si>
  <si>
    <t>CAMALIAN</t>
  </si>
  <si>
    <t>Butulan ES (Kilakay ES)</t>
  </si>
  <si>
    <t>Butulan, Jose Abad Santos, Dvo Sur</t>
  </si>
  <si>
    <t>BUTULAN</t>
  </si>
  <si>
    <t>Kitayo Elementary School</t>
  </si>
  <si>
    <t>-Kitayo</t>
  </si>
  <si>
    <t>KITAYO</t>
  </si>
  <si>
    <t>Quiapo Elementary School</t>
  </si>
  <si>
    <t>not applicable</t>
  </si>
  <si>
    <t>QUIAPO</t>
  </si>
  <si>
    <t>San Isidro ES</t>
  </si>
  <si>
    <t>SAN ISIDRO</t>
  </si>
  <si>
    <t>Kidaman Integrated School</t>
  </si>
  <si>
    <t>Kidaman, Kalbay, Jose Abad Santos, Davao Occidental</t>
  </si>
  <si>
    <t>Bukid Integrated School</t>
  </si>
  <si>
    <t>Brgy. Bukid, Jose Abad Santos, Davao Occidental</t>
  </si>
  <si>
    <t>BUKID</t>
  </si>
  <si>
    <t>Mariano Anoy Sangay Integrated School</t>
  </si>
  <si>
    <t>Brgy. Molmol, Jose Abad Santos, Davao Occidental</t>
  </si>
  <si>
    <t>MOLMOL</t>
  </si>
  <si>
    <t>Malita</t>
  </si>
  <si>
    <t>Balis Elementary School</t>
  </si>
  <si>
    <t>Sitio Balis, Datu Danwata, Malita, Davao Occidental</t>
  </si>
  <si>
    <t>MALITA</t>
  </si>
  <si>
    <t>DATU DANWATA</t>
  </si>
  <si>
    <t>Agik-Ik Elementary School</t>
  </si>
  <si>
    <t>Agik-Ik, Datu Danwata, Malita, Davao Occidental</t>
  </si>
  <si>
    <t>Malita East</t>
  </si>
  <si>
    <t>Mariano Calungsod Regis ES (Bolila ES)</t>
  </si>
  <si>
    <t>BOLILA</t>
  </si>
  <si>
    <t>Felis Elementary School</t>
  </si>
  <si>
    <t>Felis, Malita, Davao Occidental</t>
  </si>
  <si>
    <t>FELIS</t>
  </si>
  <si>
    <t>Bisang ES</t>
  </si>
  <si>
    <t>Bisang, Lais, Malita, Davao del Sur</t>
  </si>
  <si>
    <t>LAIS</t>
  </si>
  <si>
    <t>Bito ES</t>
  </si>
  <si>
    <t>-Centro</t>
  </si>
  <si>
    <t>BITO</t>
  </si>
  <si>
    <t>Kibalatong ES</t>
  </si>
  <si>
    <t>Kibalatong</t>
  </si>
  <si>
    <t>KIBALATONG</t>
  </si>
  <si>
    <t>Mana CES</t>
  </si>
  <si>
    <t>-Mana, Malita, Davao Occidental</t>
  </si>
  <si>
    <t>MANA</t>
  </si>
  <si>
    <t>Jack Harvey ES</t>
  </si>
  <si>
    <t>-Mawalay</t>
  </si>
  <si>
    <t>New Argao Elementary School</t>
  </si>
  <si>
    <t>New Argao, Poblacion Malita, Davao Occidental</t>
  </si>
  <si>
    <t>NEW ARGAO</t>
  </si>
  <si>
    <t>Tical ES</t>
  </si>
  <si>
    <t>Upper Tical</t>
  </si>
  <si>
    <t>TICAL</t>
  </si>
  <si>
    <t>TFS of Bilibak</t>
  </si>
  <si>
    <t>Sitio Bilibak, Brgy. Tical, Malita, Davao Occidental</t>
  </si>
  <si>
    <t>Tingolo Integrated School</t>
  </si>
  <si>
    <t>Tingolo, Malita, Davao Occidental</t>
  </si>
  <si>
    <t>TINGOLO</t>
  </si>
  <si>
    <t>Malita North</t>
  </si>
  <si>
    <t>Procopio Mejellano Sr. Elementary School</t>
  </si>
  <si>
    <t>Bagsak</t>
  </si>
  <si>
    <t>LACARON</t>
  </si>
  <si>
    <t>BUHANGIN ELEMENTARY SCHOOL</t>
  </si>
  <si>
    <t>Buhangin Proper</t>
  </si>
  <si>
    <t>BUHANGIN</t>
  </si>
  <si>
    <t>Domingo Bautista Sr. ES</t>
  </si>
  <si>
    <t>n/a</t>
  </si>
  <si>
    <t>TUBALAN</t>
  </si>
  <si>
    <t>Fishing Village ES</t>
  </si>
  <si>
    <t>Fishing Village, Malita, Dav Occidental</t>
  </si>
  <si>
    <t>FISHING VILLAGE (FISHERMAN'S VILLAGE)</t>
  </si>
  <si>
    <t>Kidalapong ES</t>
  </si>
  <si>
    <t>Kidalapong, Malita, Davao Occidental</t>
  </si>
  <si>
    <t>KIDALAPONG</t>
  </si>
  <si>
    <t>Kitana Elem. School</t>
  </si>
  <si>
    <t>Sittio Kitana, Tubalan, Malita, Davao Occidental</t>
  </si>
  <si>
    <t>Lacaron ES</t>
  </si>
  <si>
    <t>Lacaron malita</t>
  </si>
  <si>
    <t>Lafeud Elementary School</t>
  </si>
  <si>
    <t>Lafeud</t>
  </si>
  <si>
    <t>PANGIAN</t>
  </si>
  <si>
    <t>Malita Central  Elementary School</t>
  </si>
  <si>
    <t>-Manuel Peralta Street</t>
  </si>
  <si>
    <t>POBLACION</t>
  </si>
  <si>
    <t>Mariano Peralta Elementary School</t>
  </si>
  <si>
    <t>Quezon</t>
  </si>
  <si>
    <t>Nawan ES</t>
  </si>
  <si>
    <t>Sitio Nawan</t>
  </si>
  <si>
    <t>John Wilson ES</t>
  </si>
  <si>
    <t>Sarawagon Elementary School</t>
  </si>
  <si>
    <t>Sarawagon, Pangian, Malita, Davao Occidental</t>
  </si>
  <si>
    <t>Talogoy Elementary School</t>
  </si>
  <si>
    <t>TALOGOY</t>
  </si>
  <si>
    <t>Tubalan ES</t>
  </si>
  <si>
    <t>TUBALAN,MALITA DAVAO OCCIDENTAL</t>
  </si>
  <si>
    <t>Malagsom Elementary School</t>
  </si>
  <si>
    <t>Malagsom, Buhangin, Malita, Davao Occidental</t>
  </si>
  <si>
    <t>Malita South</t>
  </si>
  <si>
    <t>Macalanggan Sarway Sumanday ES</t>
  </si>
  <si>
    <t>Kablulan.</t>
  </si>
  <si>
    <t>LITTLE BAGUIO</t>
  </si>
  <si>
    <t>Lagumit Elementary School</t>
  </si>
  <si>
    <t>Centro Lagumit</t>
  </si>
  <si>
    <t>LAGUMIT</t>
  </si>
  <si>
    <t>Lalon ES</t>
  </si>
  <si>
    <t>-Lalon</t>
  </si>
  <si>
    <t>Lenna Elementary School</t>
  </si>
  <si>
    <t>Lenna</t>
  </si>
  <si>
    <t>Little Baguio Elementary School</t>
  </si>
  <si>
    <t>Centro</t>
  </si>
  <si>
    <t>Malaway ES</t>
  </si>
  <si>
    <t>Malaway</t>
  </si>
  <si>
    <t>KINANGAN</t>
  </si>
  <si>
    <t>Manuel Peralta ES</t>
  </si>
  <si>
    <t>Taladok</t>
  </si>
  <si>
    <t>MANUEL PERALTA</t>
  </si>
  <si>
    <t>Santagose ES</t>
  </si>
  <si>
    <t>Santagose,Lagumit,Malita, Davao Occidental</t>
  </si>
  <si>
    <t>Ticulon Elementary School</t>
  </si>
  <si>
    <t>Lower Ticulon, Malita, Davao Occidental</t>
  </si>
  <si>
    <t>TICULON</t>
  </si>
  <si>
    <t>Upper Ticulon ES</t>
  </si>
  <si>
    <t>UPPER TICULON</t>
  </si>
  <si>
    <t>TFS-Talabong Elementary School</t>
  </si>
  <si>
    <t>Talabong, Manuel Peralta</t>
  </si>
  <si>
    <t>New Mabuhay ES</t>
  </si>
  <si>
    <t>New Mabuhay, Little Baguio</t>
  </si>
  <si>
    <t>Kisoy Elementary School</t>
  </si>
  <si>
    <t>-Kisoy</t>
  </si>
  <si>
    <t>Fagligdong ES</t>
  </si>
  <si>
    <t>Paglidong, Little Baguio</t>
  </si>
  <si>
    <t>Bolo Bolo Integrated School</t>
  </si>
  <si>
    <t>Bolo Bolo, Little Baguio, Malita, Davao Occidental</t>
  </si>
  <si>
    <t>Kinangan Integrated School</t>
  </si>
  <si>
    <t>Kinangan, Malita, Davao Occidental</t>
  </si>
  <si>
    <t>Malita West</t>
  </si>
  <si>
    <t>Aglaungan Elementary School</t>
  </si>
  <si>
    <t>Relocation, Pob., Malita, Davao Occidental</t>
  </si>
  <si>
    <t>DEMOLOC</t>
  </si>
  <si>
    <t>Biao ES</t>
  </si>
  <si>
    <t>Biao, Pinalpalan, Malita, Davao Occidental</t>
  </si>
  <si>
    <t>PINALPALAN</t>
  </si>
  <si>
    <t>Guisok PS</t>
  </si>
  <si>
    <t>Guisok</t>
  </si>
  <si>
    <t>J. Doromal ES</t>
  </si>
  <si>
    <t>Kilalag Elementary School</t>
  </si>
  <si>
    <t>KILALAG</t>
  </si>
  <si>
    <t>Lorenzo Manuel Primary School</t>
  </si>
  <si>
    <t>Lunao</t>
  </si>
  <si>
    <t>Mote Elementary School</t>
  </si>
  <si>
    <t>Sitio Mote, Pinalpalan, Malita, Davao Occidental</t>
  </si>
  <si>
    <t>Teodorico Lopez ES (Sangay ES)</t>
  </si>
  <si>
    <t>Sangay,Malita,Davao Occidental</t>
  </si>
  <si>
    <t>SANGAY</t>
  </si>
  <si>
    <t>Julian M. Turado Elementary School</t>
  </si>
  <si>
    <t>Demoloc, Malita, Davao Occidental</t>
  </si>
  <si>
    <t>Datu Danwata ES</t>
  </si>
  <si>
    <t>Datu Danwata, Malita</t>
  </si>
  <si>
    <t>Ismael Yahya ES</t>
  </si>
  <si>
    <t>CENTRO</t>
  </si>
  <si>
    <t>PANGALEON</t>
  </si>
  <si>
    <t>Kipaliko ES</t>
  </si>
  <si>
    <t>Kipaliko</t>
  </si>
  <si>
    <t>Macol ES</t>
  </si>
  <si>
    <t>macol</t>
  </si>
  <si>
    <t>MACOL</t>
  </si>
  <si>
    <t>Libudon ES</t>
  </si>
  <si>
    <t>-Libudon</t>
  </si>
  <si>
    <t>Kangko ES</t>
  </si>
  <si>
    <t>Kangko</t>
  </si>
  <si>
    <t>Kisawel Elementary School</t>
  </si>
  <si>
    <t>Sitio Kisawel, Barangay Demoloc, Malita, Davao del Sur</t>
  </si>
  <si>
    <t>Sitio Guisok BEAM Primary School</t>
  </si>
  <si>
    <t>Sitio Guisok</t>
  </si>
  <si>
    <t>TFS-Makalong ES</t>
  </si>
  <si>
    <t>Kadagdagan</t>
  </si>
  <si>
    <t>TFS-Kitastas PS</t>
  </si>
  <si>
    <t>Sitio Kitastas, Macol,Malita</t>
  </si>
  <si>
    <t>TFS-Malandeg PS</t>
  </si>
  <si>
    <t>MALANDEG</t>
  </si>
  <si>
    <t>TFS-Tabunan PS</t>
  </si>
  <si>
    <t>Sitio Tabunan, Datu Danwata</t>
  </si>
  <si>
    <t>TFS-Danaw PS</t>
  </si>
  <si>
    <t>Danaw</t>
  </si>
  <si>
    <t>TFS-Kamugna ES</t>
  </si>
  <si>
    <t>-Kamugna</t>
  </si>
  <si>
    <t>TFS-Kalamagan</t>
  </si>
  <si>
    <t>Kalamagan</t>
  </si>
  <si>
    <t>Malandog PS</t>
  </si>
  <si>
    <t>0</t>
  </si>
  <si>
    <t>TFS of Tambelang Integrated School</t>
  </si>
  <si>
    <t>Sitio Tambelang,Brgy. Datu Danwata, Malita, Davao Occidental</t>
  </si>
  <si>
    <t>Sarangani</t>
  </si>
  <si>
    <t>Angel F. Olarte Sr. ES</t>
  </si>
  <si>
    <t>SARANGANI</t>
  </si>
  <si>
    <t>BATUGANDING</t>
  </si>
  <si>
    <t>Camahual ES</t>
  </si>
  <si>
    <t>CAMAHUAL</t>
  </si>
  <si>
    <t>Guillerma A. Olarte ES</t>
  </si>
  <si>
    <t>GOMTAGO</t>
  </si>
  <si>
    <t>Konel ES</t>
  </si>
  <si>
    <t>KONEL</t>
  </si>
  <si>
    <t>Mabila CES</t>
  </si>
  <si>
    <t>MABILA (POB.)</t>
  </si>
  <si>
    <t>Mangahos PS</t>
  </si>
  <si>
    <t>Mangahos</t>
  </si>
  <si>
    <t>CAMALIG</t>
  </si>
  <si>
    <t>Pulabato ES</t>
  </si>
  <si>
    <t>Purok 1, Barangay Lipol,  Sarangani,  Davao Occidental</t>
  </si>
  <si>
    <t>LIPOL</t>
  </si>
  <si>
    <t>Sangkokdatal ES</t>
  </si>
  <si>
    <t>LAKER (SARANGANI SUR)</t>
  </si>
  <si>
    <t>Tagen ES</t>
  </si>
  <si>
    <t>TAGEN</t>
  </si>
  <si>
    <t>Tinina ES</t>
  </si>
  <si>
    <t>Proper 1</t>
  </si>
  <si>
    <t>TININA</t>
  </si>
  <si>
    <t>Tucal Elementary School</t>
  </si>
  <si>
    <t>TUCAL</t>
  </si>
  <si>
    <t>Ubas ES</t>
  </si>
  <si>
    <t>PATUCO (SARANGANI NORTE)</t>
  </si>
  <si>
    <t>Laker ES</t>
  </si>
  <si>
    <t>Camalig ES</t>
  </si>
  <si>
    <t>Kababa ES</t>
  </si>
  <si>
    <t>Patuko Integrated School</t>
  </si>
  <si>
    <t>Patuko, Sarangani, Davao Occidental</t>
  </si>
  <si>
    <t>Sta. Maria</t>
  </si>
  <si>
    <t>Leonila Limboran Elementary School</t>
  </si>
  <si>
    <t>Ilian, San Juan, Sta. Maria, Davao Occidental</t>
  </si>
  <si>
    <t>SANTA MARIA</t>
  </si>
  <si>
    <t>SAN JUAN</t>
  </si>
  <si>
    <t>Sta. Maria East</t>
  </si>
  <si>
    <t>Babak PS</t>
  </si>
  <si>
    <t>KISULAD</t>
  </si>
  <si>
    <t>Basiawan CES</t>
  </si>
  <si>
    <t>Basiawan</t>
  </si>
  <si>
    <t>BASIAWAN</t>
  </si>
  <si>
    <t>Buca ES</t>
  </si>
  <si>
    <t>BUCA</t>
  </si>
  <si>
    <t>Cabalantian ES</t>
  </si>
  <si>
    <t>STO. NIÑO</t>
  </si>
  <si>
    <t>Ernesto V. Bautista Elementary School</t>
  </si>
  <si>
    <t>SAN ROQUE</t>
  </si>
  <si>
    <t>Datu Daligasao ES</t>
  </si>
  <si>
    <t>DATU DALIGASAO</t>
  </si>
  <si>
    <t>Doña Regina ES</t>
  </si>
  <si>
    <t>Doña Regina</t>
  </si>
  <si>
    <t>Kinilidan Elemetary School</t>
  </si>
  <si>
    <t>KINILIDAN, Sta. Maria, Davao Occidental</t>
  </si>
  <si>
    <t>KINILIDAN</t>
  </si>
  <si>
    <t>Hilario K. Cernal ES</t>
  </si>
  <si>
    <t>L. Payan ES</t>
  </si>
  <si>
    <t>OGPAO</t>
  </si>
  <si>
    <t>Lanete ES</t>
  </si>
  <si>
    <t>-LANETE</t>
  </si>
  <si>
    <t>Malaygan ES</t>
  </si>
  <si>
    <t>San Agustin ES</t>
  </si>
  <si>
    <t>San Pedro ES</t>
  </si>
  <si>
    <t>SAN PEDRO</t>
  </si>
  <si>
    <t>Hilario A. Nardo ES</t>
  </si>
  <si>
    <t>STO. ROSARIO</t>
  </si>
  <si>
    <t>SANTO ROSARIO</t>
  </si>
  <si>
    <t>Sta. Maria West</t>
  </si>
  <si>
    <t>Cadaatan ES</t>
  </si>
  <si>
    <t>Cadaatan Sta. Maria Davao Occidental</t>
  </si>
  <si>
    <t>CADAATAN</t>
  </si>
  <si>
    <t>COLAGSING ES</t>
  </si>
  <si>
    <t>Colagsing</t>
  </si>
  <si>
    <t>TANGLAD</t>
  </si>
  <si>
    <t>Jose Timbol Sr. CES</t>
  </si>
  <si>
    <t>Poblacion</t>
  </si>
  <si>
    <t>Kidadan ES</t>
  </si>
  <si>
    <t>kidadan</t>
  </si>
  <si>
    <t>KIDADAN</t>
  </si>
  <si>
    <t>LILAN ELEMENTARY SCHOOL</t>
  </si>
  <si>
    <t>DATU INTAN</t>
  </si>
  <si>
    <t>Malalag Tubig ES</t>
  </si>
  <si>
    <t>Sta. Maria Davao Occidental</t>
  </si>
  <si>
    <t>MALALAG TUBIG</t>
  </si>
  <si>
    <t>Mamacao ES</t>
  </si>
  <si>
    <t>Proper, Mamacao, Sta. Maria, Davao Occidental</t>
  </si>
  <si>
    <t>MAMACAO</t>
  </si>
  <si>
    <t>Migsulang Primary School</t>
  </si>
  <si>
    <t>Migsulang</t>
  </si>
  <si>
    <t>Pedro Mariscal ES</t>
  </si>
  <si>
    <t>Lais</t>
  </si>
  <si>
    <t>Pongpong Elementary School</t>
  </si>
  <si>
    <t>Pongpong</t>
  </si>
  <si>
    <t>PONGPONG</t>
  </si>
  <si>
    <t>San Antonio ES</t>
  </si>
  <si>
    <t>-0</t>
  </si>
  <si>
    <t>De Guzman- Zapanta ES</t>
  </si>
  <si>
    <t>Proper, San Isidro</t>
  </si>
  <si>
    <t>Tanglad ES</t>
  </si>
  <si>
    <t>School Level Data on Number of Learners who were Dewormed in (Public Junior High School )</t>
  </si>
  <si>
    <t>Based on BEIS, as of Febraury 27, 2020</t>
  </si>
  <si>
    <t>Grade 7</t>
  </si>
  <si>
    <t>Grade 8</t>
  </si>
  <si>
    <t>Grade 9</t>
  </si>
  <si>
    <t>Grade 10</t>
  </si>
  <si>
    <t>sch_health_learners_dewormed_g7_m</t>
  </si>
  <si>
    <t>sch_health_learners_dewormed_g7_f</t>
  </si>
  <si>
    <t>sch_health_learners_dewormed_g8_m</t>
  </si>
  <si>
    <t>sch_health_learners_dewormed_g8_f</t>
  </si>
  <si>
    <t>sch_health_learners_dewormed_g9_m</t>
  </si>
  <si>
    <t>sch_health_learners_dewormed_g9_f</t>
  </si>
  <si>
    <t>sch_health_learners_dewormed_g10_m</t>
  </si>
  <si>
    <t>sch_health_learners_dewormed_g10_f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</si>
  <si>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</si>
  <si>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</si>
  <si>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</si>
  <si>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</si>
  <si>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</si>
  <si>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</si>
  <si>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</si>
  <si>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</si>
  <si>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</si>
  <si>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</si>
  <si>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</si>
  <si>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</si>
  <si>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</si>
  <si>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</si>
  <si>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</si>
  <si>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</si>
  <si>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</si>
  <si>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</si>
  <si>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</si>
  <si>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</si>
  <si>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</si>
  <si>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</si>
  <si>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</si>
  <si>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</si>
  <si>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</si>
  <si>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</si>
  <si>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</si>
  <si>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</si>
  <si>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</si>
  <si>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</si>
  <si>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</si>
  <si>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</si>
  <si>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</si>
  <si>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</si>
  <si>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Learners who were Dewormed  in (Public Senior High School)</t>
  </si>
  <si>
    <t>Based on LIS, as of January 5, 2020</t>
  </si>
  <si>
    <t xml:space="preserve">Grade 11 </t>
  </si>
  <si>
    <t>Grade 11 &amp; 12 Dewormed</t>
  </si>
  <si>
    <t>sch_health_learners_dewormed_g11_m</t>
  </si>
  <si>
    <t>sch_health_learners_dewormed_g11_f</t>
  </si>
  <si>
    <t>sch_health_learners_dewormed_g12_m</t>
  </si>
  <si>
    <t>sch_health_learners_dewormed_g12_f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</si>
</sst>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0" fillId="4" borderId="0" xfId="0" applyFill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B748-5C0B-4FBB-ACA1-C9DBF51E745B}">
  <dimension ref="A1:AF233"/>
  <sheetViews>
    <sheetView zoomScale="85" zoomScaleNormal="85" workbookViewId="0">
      <pane xSplit="4" ySplit="9" topLeftCell="E40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26" sqref="A8:XFD26"/>
    </sheetView>
  </sheetViews>
  <sheetFormatPr defaultRowHeight="15" x14ac:dyDescent="0.25"/>
  <cols>
    <col min="2" max="2" width="27.140625" bestFit="1" customWidth="1"/>
    <col min="13" max="26" width="11.7109375" bestFit="1" customWidth="1"/>
    <col min="27" max="28" width="10.5703125" bestFit="1" customWidth="1"/>
    <col min="29" max="31" width="10.5703125" customWidth="1"/>
  </cols>
  <sheetData>
    <row r="1" spans="1:32" x14ac:dyDescent="0.25">
      <c r="A1" s="1" t="s">
        <v>0</v>
      </c>
    </row>
    <row r="2" spans="1:32" x14ac:dyDescent="0.25">
      <c r="A2" s="1" t="s">
        <v>1</v>
      </c>
      <c r="L2" s="2"/>
    </row>
    <row r="3" spans="1:32" x14ac:dyDescent="0.25">
      <c r="A3" s="1" t="s">
        <v>2</v>
      </c>
      <c r="L3" s="2"/>
    </row>
    <row r="5" spans="1:32" x14ac:dyDescent="0.25">
      <c r="AA5">
        <f>M8+O8+Q8+S8+U8+W8+Y8+AA8</f>
        <v>29546</v>
      </c>
      <c r="AB5">
        <f>N8+P8+R8+T8+V8+X8+Z8+AB8</f>
        <v>28938</v>
      </c>
    </row>
    <row r="6" spans="1:32" x14ac:dyDescent="0.25">
      <c r="M6" s="3" t="s">
        <v>3</v>
      </c>
      <c r="N6" s="3"/>
      <c r="O6" s="3" t="s">
        <v>4</v>
      </c>
      <c r="P6" s="3"/>
      <c r="Q6" s="3" t="s">
        <v>5</v>
      </c>
      <c r="R6" s="3"/>
      <c r="S6" s="3" t="s">
        <v>6</v>
      </c>
      <c r="T6" s="3"/>
      <c r="U6" s="3" t="s">
        <v>7</v>
      </c>
      <c r="V6" s="3"/>
      <c r="W6" s="3" t="s">
        <v>8</v>
      </c>
      <c r="X6" s="3"/>
      <c r="Y6" s="3" t="s">
        <v>9</v>
      </c>
      <c r="Z6" s="3"/>
      <c r="AA6" s="3" t="s">
        <v>10</v>
      </c>
      <c r="AB6" s="3"/>
      <c r="AC6" s="4" t="s">
        <v>11</v>
      </c>
      <c r="AD6" s="5"/>
      <c r="AE6" s="5"/>
    </row>
    <row r="7" spans="1:32" ht="15.75" thickBot="1" x14ac:dyDescent="0.3">
      <c r="M7" s="6" t="s">
        <v>12</v>
      </c>
      <c r="N7" s="6" t="s">
        <v>13</v>
      </c>
      <c r="O7" s="6" t="s">
        <v>12</v>
      </c>
      <c r="P7" s="6" t="s">
        <v>13</v>
      </c>
      <c r="Q7" s="6" t="s">
        <v>12</v>
      </c>
      <c r="R7" s="6" t="s">
        <v>13</v>
      </c>
      <c r="S7" s="6" t="s">
        <v>12</v>
      </c>
      <c r="T7" s="6" t="s">
        <v>13</v>
      </c>
      <c r="U7" s="6" t="s">
        <v>12</v>
      </c>
      <c r="V7" s="6" t="s">
        <v>13</v>
      </c>
      <c r="W7" s="6" t="s">
        <v>12</v>
      </c>
      <c r="X7" s="6" t="s">
        <v>13</v>
      </c>
      <c r="Y7" s="6" t="s">
        <v>12</v>
      </c>
      <c r="Z7" s="6" t="s">
        <v>13</v>
      </c>
      <c r="AA7" s="6" t="s">
        <v>12</v>
      </c>
      <c r="AB7" s="6" t="s">
        <v>13</v>
      </c>
      <c r="AC7" s="7" t="s">
        <v>12</v>
      </c>
      <c r="AD7" s="7" t="s">
        <v>13</v>
      </c>
      <c r="AE7" s="7" t="s">
        <v>14</v>
      </c>
    </row>
    <row r="8" spans="1:32" ht="15.75" thickTop="1" x14ac:dyDescent="0.25">
      <c r="M8" s="2">
        <f>SUM(M10:M233)</f>
        <v>3703</v>
      </c>
      <c r="N8" s="2">
        <f>SUM(N10:N233)</f>
        <v>3510</v>
      </c>
      <c r="O8" s="2">
        <f>SUM(O10:O233)</f>
        <v>4375</v>
      </c>
      <c r="P8" s="2">
        <f>SUM(P10:P233)</f>
        <v>4374</v>
      </c>
      <c r="Q8" s="2">
        <f>SUM(Q10:Q233)</f>
        <v>4516</v>
      </c>
      <c r="R8" s="2">
        <f>SUM(R10:R233)</f>
        <v>4395</v>
      </c>
      <c r="S8" s="2">
        <f>SUM(S10:S233)</f>
        <v>3892</v>
      </c>
      <c r="T8" s="2">
        <f>SUM(T10:T233)</f>
        <v>3598</v>
      </c>
      <c r="U8" s="2">
        <f>SUM(U10:U233)</f>
        <v>4016</v>
      </c>
      <c r="V8" s="2">
        <f>SUM(V10:V233)</f>
        <v>3899</v>
      </c>
      <c r="W8" s="2">
        <f>SUM(W10:W233)</f>
        <v>4316</v>
      </c>
      <c r="X8" s="2">
        <f>SUM(X10:X233)</f>
        <v>4337</v>
      </c>
      <c r="Y8" s="2">
        <f>SUM(Y10:Y233)</f>
        <v>4627</v>
      </c>
      <c r="Z8" s="2">
        <f>SUM(Z10:Z233)</f>
        <v>4744</v>
      </c>
      <c r="AA8" s="2">
        <f>SUM(AA10:AA233)</f>
        <v>101</v>
      </c>
      <c r="AB8" s="2">
        <f>SUM(AB10:AB233)</f>
        <v>81</v>
      </c>
      <c r="AC8" s="2">
        <f>SUM(AC10:AC233)</f>
        <v>29546</v>
      </c>
      <c r="AD8" s="2">
        <f>SUM(AD10:AD233)</f>
        <v>28938</v>
      </c>
      <c r="AE8" s="2">
        <f>SUM(AE10:AE233)</f>
        <v>58484</v>
      </c>
      <c r="AF8" s="2"/>
    </row>
    <row r="9" spans="1:32" x14ac:dyDescent="0.25">
      <c r="A9" s="8" t="s">
        <v>15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24</v>
      </c>
      <c r="K9" s="8" t="s">
        <v>25</v>
      </c>
      <c r="L9" s="9" t="s">
        <v>26</v>
      </c>
      <c r="M9" s="10" t="s">
        <v>27</v>
      </c>
      <c r="N9" s="10" t="s">
        <v>28</v>
      </c>
      <c r="O9" s="10" t="s">
        <v>29</v>
      </c>
      <c r="P9" s="10" t="s">
        <v>30</v>
      </c>
      <c r="Q9" s="10" t="s">
        <v>31</v>
      </c>
      <c r="R9" s="10" t="s">
        <v>32</v>
      </c>
      <c r="S9" s="10" t="s">
        <v>33</v>
      </c>
      <c r="T9" s="10" t="s">
        <v>34</v>
      </c>
      <c r="U9" s="10" t="s">
        <v>35</v>
      </c>
      <c r="V9" s="10" t="s">
        <v>36</v>
      </c>
      <c r="W9" s="10" t="s">
        <v>37</v>
      </c>
      <c r="X9" s="10" t="s">
        <v>38</v>
      </c>
      <c r="Y9" s="10" t="s">
        <v>39</v>
      </c>
      <c r="Z9" s="10" t="s">
        <v>40</v>
      </c>
      <c r="AA9" s="10" t="s">
        <v>41</v>
      </c>
      <c r="AB9" s="10" t="s">
        <v>42</v>
      </c>
      <c r="AC9" s="7" t="s">
        <v>12</v>
      </c>
      <c r="AD9" s="7" t="s">
        <v>13</v>
      </c>
      <c r="AE9" s="7" t="s">
        <v>14</v>
      </c>
      <c r="AF9" s="10" t="s">
        <v>43</v>
      </c>
    </row>
    <row r="10" spans="1:32" x14ac:dyDescent="0.25">
      <c r="A10" t="s">
        <v>44</v>
      </c>
      <c r="B10" t="s">
        <v>53</v>
      </c>
      <c r="C10" t="s">
        <v>54</v>
      </c>
      <c r="D10">
        <v>129374</v>
      </c>
      <c r="E10" t="s">
        <v>55</v>
      </c>
      <c r="F10" t="s">
        <v>56</v>
      </c>
      <c r="G10" t="s">
        <v>57</v>
      </c>
      <c r="H10" t="s">
        <v>58</v>
      </c>
      <c r="I10" t="s">
        <v>46</v>
      </c>
      <c r="J10" t="s">
        <v>59</v>
      </c>
      <c r="K10" t="s">
        <v>47</v>
      </c>
      <c r="L10" s="11" t="s">
        <v>48</v>
      </c>
      <c r="M10">
        <v>20</v>
      </c>
      <c r="N10">
        <v>15</v>
      </c>
      <c r="O10">
        <v>9</v>
      </c>
      <c r="P10">
        <v>18</v>
      </c>
      <c r="Q10">
        <v>14</v>
      </c>
      <c r="R10">
        <v>18</v>
      </c>
      <c r="S10">
        <v>16</v>
      </c>
      <c r="T10">
        <v>21</v>
      </c>
      <c r="U10">
        <v>19</v>
      </c>
      <c r="V10">
        <v>28</v>
      </c>
      <c r="W10">
        <v>22</v>
      </c>
      <c r="X10">
        <v>35</v>
      </c>
      <c r="Y10">
        <v>26</v>
      </c>
      <c r="Z10">
        <v>22</v>
      </c>
      <c r="AA10">
        <v>0</v>
      </c>
      <c r="AB10">
        <v>0</v>
      </c>
      <c r="AC10">
        <f t="shared" ref="AC10:AD73" si="0">M10+O10+Q10+S10+U10+W10+Y10+AA10</f>
        <v>126</v>
      </c>
      <c r="AD10">
        <f t="shared" si="0"/>
        <v>157</v>
      </c>
      <c r="AE10">
        <f t="shared" ref="AE10:AE22" si="1">SUM(AC10:AD10)</f>
        <v>283</v>
      </c>
    </row>
    <row r="11" spans="1:32" x14ac:dyDescent="0.25">
      <c r="A11" t="s">
        <v>44</v>
      </c>
      <c r="B11" t="s">
        <v>53</v>
      </c>
      <c r="C11" t="s">
        <v>54</v>
      </c>
      <c r="D11">
        <v>129375</v>
      </c>
      <c r="E11" t="s">
        <v>60</v>
      </c>
      <c r="F11" t="s">
        <v>61</v>
      </c>
      <c r="G11" t="s">
        <v>57</v>
      </c>
      <c r="H11" t="s">
        <v>58</v>
      </c>
      <c r="I11" t="s">
        <v>46</v>
      </c>
      <c r="J11" t="s">
        <v>59</v>
      </c>
      <c r="K11" t="s">
        <v>47</v>
      </c>
      <c r="L11" s="11" t="s">
        <v>48</v>
      </c>
      <c r="M11">
        <v>11</v>
      </c>
      <c r="N11">
        <v>10</v>
      </c>
      <c r="O11">
        <v>7</v>
      </c>
      <c r="P11">
        <v>16</v>
      </c>
      <c r="Q11">
        <v>10</v>
      </c>
      <c r="R11">
        <v>15</v>
      </c>
      <c r="S11">
        <v>15</v>
      </c>
      <c r="T11">
        <v>10</v>
      </c>
      <c r="U11">
        <v>13</v>
      </c>
      <c r="V11">
        <v>10</v>
      </c>
      <c r="W11">
        <v>11</v>
      </c>
      <c r="X11">
        <v>15</v>
      </c>
      <c r="Y11">
        <v>10</v>
      </c>
      <c r="Z11">
        <v>8</v>
      </c>
      <c r="AA11">
        <v>0</v>
      </c>
      <c r="AB11">
        <v>0</v>
      </c>
      <c r="AC11">
        <f t="shared" si="0"/>
        <v>77</v>
      </c>
      <c r="AD11">
        <f t="shared" si="0"/>
        <v>84</v>
      </c>
      <c r="AE11">
        <f t="shared" si="1"/>
        <v>161</v>
      </c>
    </row>
    <row r="12" spans="1:32" x14ac:dyDescent="0.25">
      <c r="A12" t="s">
        <v>44</v>
      </c>
      <c r="B12" t="s">
        <v>53</v>
      </c>
      <c r="C12" t="s">
        <v>54</v>
      </c>
      <c r="D12">
        <v>129376</v>
      </c>
      <c r="E12" t="s">
        <v>62</v>
      </c>
      <c r="F12" t="s">
        <v>63</v>
      </c>
      <c r="G12" t="s">
        <v>57</v>
      </c>
      <c r="H12" t="s">
        <v>58</v>
      </c>
      <c r="I12" t="s">
        <v>46</v>
      </c>
      <c r="J12" t="s">
        <v>64</v>
      </c>
      <c r="K12" t="s">
        <v>47</v>
      </c>
      <c r="L12" s="11" t="s">
        <v>48</v>
      </c>
      <c r="M12">
        <v>20</v>
      </c>
      <c r="N12">
        <v>5</v>
      </c>
      <c r="O12">
        <v>32</v>
      </c>
      <c r="P12">
        <v>14</v>
      </c>
      <c r="Q12">
        <v>20</v>
      </c>
      <c r="R12">
        <v>18</v>
      </c>
      <c r="S12">
        <v>14</v>
      </c>
      <c r="T12">
        <v>15</v>
      </c>
      <c r="U12">
        <v>14</v>
      </c>
      <c r="V12">
        <v>12</v>
      </c>
      <c r="W12">
        <v>12</v>
      </c>
      <c r="X12">
        <v>13</v>
      </c>
      <c r="Y12">
        <v>11</v>
      </c>
      <c r="Z12">
        <v>17</v>
      </c>
      <c r="AA12">
        <v>0</v>
      </c>
      <c r="AB12">
        <v>0</v>
      </c>
      <c r="AC12">
        <f t="shared" si="0"/>
        <v>123</v>
      </c>
      <c r="AD12">
        <f t="shared" si="0"/>
        <v>94</v>
      </c>
      <c r="AE12">
        <f t="shared" si="1"/>
        <v>217</v>
      </c>
    </row>
    <row r="13" spans="1:32" x14ac:dyDescent="0.25">
      <c r="A13" t="s">
        <v>44</v>
      </c>
      <c r="B13" t="s">
        <v>53</v>
      </c>
      <c r="C13" t="s">
        <v>54</v>
      </c>
      <c r="D13">
        <v>129377</v>
      </c>
      <c r="E13" t="s">
        <v>65</v>
      </c>
      <c r="F13" t="s">
        <v>66</v>
      </c>
      <c r="G13" t="s">
        <v>57</v>
      </c>
      <c r="H13" t="s">
        <v>58</v>
      </c>
      <c r="I13" t="s">
        <v>46</v>
      </c>
      <c r="J13" t="s">
        <v>67</v>
      </c>
      <c r="K13" t="s">
        <v>47</v>
      </c>
      <c r="L13" s="11" t="s">
        <v>48</v>
      </c>
      <c r="M13">
        <v>24</v>
      </c>
      <c r="N13">
        <v>24</v>
      </c>
      <c r="O13">
        <v>25</v>
      </c>
      <c r="P13">
        <v>26</v>
      </c>
      <c r="Q13">
        <v>22</v>
      </c>
      <c r="R13">
        <v>28</v>
      </c>
      <c r="S13">
        <v>21</v>
      </c>
      <c r="T13">
        <v>24</v>
      </c>
      <c r="U13">
        <v>28</v>
      </c>
      <c r="V13">
        <v>22</v>
      </c>
      <c r="W13">
        <v>27</v>
      </c>
      <c r="X13">
        <v>25</v>
      </c>
      <c r="Y13">
        <v>32</v>
      </c>
      <c r="Z13">
        <v>31</v>
      </c>
      <c r="AA13">
        <v>0</v>
      </c>
      <c r="AB13">
        <v>0</v>
      </c>
      <c r="AC13">
        <f t="shared" si="0"/>
        <v>179</v>
      </c>
      <c r="AD13">
        <f t="shared" si="0"/>
        <v>180</v>
      </c>
      <c r="AE13">
        <f t="shared" si="1"/>
        <v>359</v>
      </c>
    </row>
    <row r="14" spans="1:32" x14ac:dyDescent="0.25">
      <c r="A14" t="s">
        <v>44</v>
      </c>
      <c r="B14" t="s">
        <v>53</v>
      </c>
      <c r="C14" t="s">
        <v>54</v>
      </c>
      <c r="D14">
        <v>129380</v>
      </c>
      <c r="E14" t="s">
        <v>68</v>
      </c>
      <c r="F14" t="s">
        <v>69</v>
      </c>
      <c r="G14" t="s">
        <v>57</v>
      </c>
      <c r="H14" t="s">
        <v>58</v>
      </c>
      <c r="I14" t="s">
        <v>46</v>
      </c>
      <c r="J14" t="s">
        <v>64</v>
      </c>
      <c r="K14" t="s">
        <v>47</v>
      </c>
      <c r="L14" s="11" t="s">
        <v>48</v>
      </c>
      <c r="M14">
        <v>14</v>
      </c>
      <c r="N14">
        <v>12</v>
      </c>
      <c r="O14">
        <v>33</v>
      </c>
      <c r="P14">
        <v>34</v>
      </c>
      <c r="Q14">
        <v>28</v>
      </c>
      <c r="R14">
        <v>35</v>
      </c>
      <c r="S14">
        <v>35</v>
      </c>
      <c r="T14">
        <v>28</v>
      </c>
      <c r="U14">
        <v>40</v>
      </c>
      <c r="V14">
        <v>26</v>
      </c>
      <c r="W14">
        <v>46</v>
      </c>
      <c r="X14">
        <v>33</v>
      </c>
      <c r="Y14">
        <v>27</v>
      </c>
      <c r="Z14">
        <v>35</v>
      </c>
      <c r="AA14">
        <v>0</v>
      </c>
      <c r="AB14">
        <v>0</v>
      </c>
      <c r="AC14">
        <f t="shared" si="0"/>
        <v>223</v>
      </c>
      <c r="AD14">
        <f t="shared" si="0"/>
        <v>203</v>
      </c>
      <c r="AE14">
        <f t="shared" si="1"/>
        <v>426</v>
      </c>
    </row>
    <row r="15" spans="1:32" x14ac:dyDescent="0.25">
      <c r="A15" t="s">
        <v>44</v>
      </c>
      <c r="B15" t="s">
        <v>53</v>
      </c>
      <c r="C15" t="s">
        <v>54</v>
      </c>
      <c r="D15">
        <v>129381</v>
      </c>
      <c r="E15" t="s">
        <v>70</v>
      </c>
      <c r="F15" t="s">
        <v>71</v>
      </c>
      <c r="G15" t="s">
        <v>57</v>
      </c>
      <c r="H15" t="s">
        <v>58</v>
      </c>
      <c r="I15" t="s">
        <v>46</v>
      </c>
      <c r="J15" t="s">
        <v>64</v>
      </c>
      <c r="K15" t="s">
        <v>47</v>
      </c>
      <c r="L15" s="11" t="s">
        <v>48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0</v>
      </c>
      <c r="AD15">
        <f t="shared" si="0"/>
        <v>0</v>
      </c>
      <c r="AE15">
        <f t="shared" si="1"/>
        <v>0</v>
      </c>
    </row>
    <row r="16" spans="1:32" x14ac:dyDescent="0.25">
      <c r="A16" t="s">
        <v>44</v>
      </c>
      <c r="B16" t="s">
        <v>53</v>
      </c>
      <c r="C16" t="s">
        <v>54</v>
      </c>
      <c r="D16">
        <v>129382</v>
      </c>
      <c r="E16" t="s">
        <v>72</v>
      </c>
      <c r="F16" t="s">
        <v>73</v>
      </c>
      <c r="G16" t="s">
        <v>57</v>
      </c>
      <c r="H16" t="s">
        <v>58</v>
      </c>
      <c r="I16" t="s">
        <v>46</v>
      </c>
      <c r="J16" t="s">
        <v>64</v>
      </c>
      <c r="K16" t="s">
        <v>47</v>
      </c>
      <c r="L16" s="11" t="s">
        <v>48</v>
      </c>
      <c r="M16">
        <v>68</v>
      </c>
      <c r="N16">
        <v>31</v>
      </c>
      <c r="O16">
        <v>98</v>
      </c>
      <c r="P16">
        <v>103</v>
      </c>
      <c r="Q16">
        <v>142</v>
      </c>
      <c r="R16">
        <v>130</v>
      </c>
      <c r="S16">
        <v>85</v>
      </c>
      <c r="T16">
        <v>62</v>
      </c>
      <c r="U16">
        <v>88</v>
      </c>
      <c r="V16">
        <v>96</v>
      </c>
      <c r="W16">
        <v>116</v>
      </c>
      <c r="X16">
        <v>113</v>
      </c>
      <c r="Y16">
        <v>113</v>
      </c>
      <c r="Z16">
        <v>88</v>
      </c>
      <c r="AA16">
        <v>0</v>
      </c>
      <c r="AB16">
        <v>0</v>
      </c>
      <c r="AC16">
        <f t="shared" si="0"/>
        <v>710</v>
      </c>
      <c r="AD16">
        <f t="shared" si="0"/>
        <v>623</v>
      </c>
      <c r="AE16">
        <f t="shared" si="1"/>
        <v>1333</v>
      </c>
    </row>
    <row r="17" spans="1:31" x14ac:dyDescent="0.25">
      <c r="A17" t="s">
        <v>44</v>
      </c>
      <c r="B17" t="s">
        <v>53</v>
      </c>
      <c r="C17" t="s">
        <v>54</v>
      </c>
      <c r="D17">
        <v>129383</v>
      </c>
      <c r="E17" t="s">
        <v>74</v>
      </c>
      <c r="F17" t="s">
        <v>75</v>
      </c>
      <c r="G17" t="s">
        <v>57</v>
      </c>
      <c r="H17" t="s">
        <v>58</v>
      </c>
      <c r="I17" t="s">
        <v>46</v>
      </c>
      <c r="J17" t="s">
        <v>64</v>
      </c>
      <c r="K17" t="s">
        <v>47</v>
      </c>
      <c r="L17" s="11" t="s">
        <v>48</v>
      </c>
      <c r="M17">
        <v>88</v>
      </c>
      <c r="N17">
        <v>58</v>
      </c>
      <c r="O17">
        <v>84</v>
      </c>
      <c r="P17">
        <v>64</v>
      </c>
      <c r="Q17">
        <v>72</v>
      </c>
      <c r="R17">
        <v>65</v>
      </c>
      <c r="S17">
        <v>61</v>
      </c>
      <c r="T17">
        <v>47</v>
      </c>
      <c r="U17">
        <v>66</v>
      </c>
      <c r="V17">
        <v>82</v>
      </c>
      <c r="W17">
        <v>76</v>
      </c>
      <c r="X17">
        <v>68</v>
      </c>
      <c r="Y17">
        <v>67</v>
      </c>
      <c r="Z17">
        <v>71</v>
      </c>
      <c r="AA17">
        <v>0</v>
      </c>
      <c r="AB17">
        <v>0</v>
      </c>
      <c r="AC17">
        <f t="shared" si="0"/>
        <v>514</v>
      </c>
      <c r="AD17">
        <f t="shared" si="0"/>
        <v>455</v>
      </c>
      <c r="AE17">
        <f t="shared" si="1"/>
        <v>969</v>
      </c>
    </row>
    <row r="18" spans="1:31" x14ac:dyDescent="0.25">
      <c r="A18" t="s">
        <v>44</v>
      </c>
      <c r="B18" t="s">
        <v>53</v>
      </c>
      <c r="C18" t="s">
        <v>54</v>
      </c>
      <c r="D18">
        <v>129384</v>
      </c>
      <c r="E18" t="s">
        <v>76</v>
      </c>
      <c r="F18" t="s">
        <v>77</v>
      </c>
      <c r="G18" t="s">
        <v>57</v>
      </c>
      <c r="H18" t="s">
        <v>58</v>
      </c>
      <c r="I18" t="s">
        <v>46</v>
      </c>
      <c r="J18" t="s">
        <v>64</v>
      </c>
      <c r="K18" t="s">
        <v>47</v>
      </c>
      <c r="L18" s="11" t="s">
        <v>48</v>
      </c>
      <c r="M18">
        <v>6</v>
      </c>
      <c r="N18">
        <v>7</v>
      </c>
      <c r="O18">
        <v>9</v>
      </c>
      <c r="P18">
        <v>11</v>
      </c>
      <c r="Q18">
        <v>12</v>
      </c>
      <c r="R18">
        <v>10</v>
      </c>
      <c r="S18">
        <v>5</v>
      </c>
      <c r="T18">
        <v>9</v>
      </c>
      <c r="U18">
        <v>3</v>
      </c>
      <c r="V18">
        <v>3</v>
      </c>
      <c r="W18">
        <v>2</v>
      </c>
      <c r="X18">
        <v>10</v>
      </c>
      <c r="Y18">
        <v>12</v>
      </c>
      <c r="Z18">
        <v>7</v>
      </c>
      <c r="AA18">
        <v>0</v>
      </c>
      <c r="AB18">
        <v>0</v>
      </c>
      <c r="AC18">
        <f t="shared" si="0"/>
        <v>49</v>
      </c>
      <c r="AD18">
        <f t="shared" si="0"/>
        <v>57</v>
      </c>
      <c r="AE18">
        <f t="shared" si="1"/>
        <v>106</v>
      </c>
    </row>
    <row r="19" spans="1:31" x14ac:dyDescent="0.25">
      <c r="A19" t="s">
        <v>44</v>
      </c>
      <c r="B19" t="s">
        <v>53</v>
      </c>
      <c r="C19" t="s">
        <v>54</v>
      </c>
      <c r="D19">
        <v>129385</v>
      </c>
      <c r="E19" t="s">
        <v>78</v>
      </c>
      <c r="F19" t="s">
        <v>79</v>
      </c>
      <c r="G19" t="s">
        <v>57</v>
      </c>
      <c r="H19" t="s">
        <v>58</v>
      </c>
      <c r="I19" t="s">
        <v>46</v>
      </c>
      <c r="J19" t="s">
        <v>59</v>
      </c>
      <c r="K19" t="s">
        <v>47</v>
      </c>
      <c r="L19" s="11" t="s">
        <v>48</v>
      </c>
      <c r="M19">
        <v>20</v>
      </c>
      <c r="N19">
        <v>26</v>
      </c>
      <c r="O19">
        <v>31</v>
      </c>
      <c r="P19">
        <v>32</v>
      </c>
      <c r="Q19">
        <v>42</v>
      </c>
      <c r="R19">
        <v>53</v>
      </c>
      <c r="S19">
        <v>32</v>
      </c>
      <c r="T19">
        <v>38</v>
      </c>
      <c r="U19">
        <v>41</v>
      </c>
      <c r="V19">
        <v>57</v>
      </c>
      <c r="W19">
        <v>45</v>
      </c>
      <c r="X19">
        <v>51</v>
      </c>
      <c r="Y19">
        <v>35</v>
      </c>
      <c r="Z19">
        <v>32</v>
      </c>
      <c r="AA19">
        <v>0</v>
      </c>
      <c r="AB19">
        <v>0</v>
      </c>
      <c r="AC19">
        <f t="shared" si="0"/>
        <v>246</v>
      </c>
      <c r="AD19">
        <f t="shared" si="0"/>
        <v>289</v>
      </c>
      <c r="AE19">
        <f t="shared" si="1"/>
        <v>535</v>
      </c>
    </row>
    <row r="20" spans="1:31" x14ac:dyDescent="0.25">
      <c r="A20" t="s">
        <v>44</v>
      </c>
      <c r="B20" t="s">
        <v>53</v>
      </c>
      <c r="C20" t="s">
        <v>54</v>
      </c>
      <c r="D20">
        <v>129386</v>
      </c>
      <c r="E20" t="s">
        <v>80</v>
      </c>
      <c r="F20" t="s">
        <v>81</v>
      </c>
      <c r="G20" t="s">
        <v>57</v>
      </c>
      <c r="H20" t="s">
        <v>58</v>
      </c>
      <c r="I20" t="s">
        <v>46</v>
      </c>
      <c r="J20" t="s">
        <v>67</v>
      </c>
      <c r="K20" t="s">
        <v>47</v>
      </c>
      <c r="L20" s="11" t="s">
        <v>48</v>
      </c>
      <c r="M20">
        <v>9</v>
      </c>
      <c r="N20">
        <v>9</v>
      </c>
      <c r="O20">
        <v>14</v>
      </c>
      <c r="P20">
        <v>10</v>
      </c>
      <c r="Q20">
        <v>5</v>
      </c>
      <c r="R20">
        <v>7</v>
      </c>
      <c r="S20">
        <v>11</v>
      </c>
      <c r="T20">
        <v>7</v>
      </c>
      <c r="U20">
        <v>7</v>
      </c>
      <c r="V20">
        <v>10</v>
      </c>
      <c r="W20">
        <v>9</v>
      </c>
      <c r="X20">
        <v>8</v>
      </c>
      <c r="Y20">
        <v>14</v>
      </c>
      <c r="Z20">
        <v>5</v>
      </c>
      <c r="AA20">
        <v>0</v>
      </c>
      <c r="AB20">
        <v>0</v>
      </c>
      <c r="AC20">
        <f t="shared" si="0"/>
        <v>69</v>
      </c>
      <c r="AD20">
        <f t="shared" si="0"/>
        <v>56</v>
      </c>
      <c r="AE20">
        <f t="shared" si="1"/>
        <v>125</v>
      </c>
    </row>
    <row r="21" spans="1:31" x14ac:dyDescent="0.25">
      <c r="A21" t="s">
        <v>44</v>
      </c>
      <c r="B21" t="s">
        <v>53</v>
      </c>
      <c r="C21" t="s">
        <v>54</v>
      </c>
      <c r="D21">
        <v>205504</v>
      </c>
      <c r="E21" t="s">
        <v>82</v>
      </c>
      <c r="F21" t="s">
        <v>71</v>
      </c>
      <c r="G21" t="s">
        <v>57</v>
      </c>
      <c r="H21" t="s">
        <v>58</v>
      </c>
      <c r="I21" t="s">
        <v>46</v>
      </c>
      <c r="J21" t="s">
        <v>64</v>
      </c>
      <c r="K21" t="s">
        <v>47</v>
      </c>
      <c r="L21" s="11" t="s">
        <v>48</v>
      </c>
      <c r="M21">
        <v>51</v>
      </c>
      <c r="N21">
        <v>30</v>
      </c>
      <c r="O21">
        <v>20</v>
      </c>
      <c r="P21">
        <v>25</v>
      </c>
      <c r="Q21">
        <v>30</v>
      </c>
      <c r="R21">
        <v>35</v>
      </c>
      <c r="S21">
        <v>21</v>
      </c>
      <c r="T21">
        <v>31</v>
      </c>
      <c r="U21">
        <v>24</v>
      </c>
      <c r="V21">
        <v>30</v>
      </c>
      <c r="W21">
        <v>22</v>
      </c>
      <c r="X21">
        <v>21</v>
      </c>
      <c r="Y21">
        <v>20</v>
      </c>
      <c r="Z21">
        <v>15</v>
      </c>
      <c r="AA21">
        <v>41</v>
      </c>
      <c r="AB21">
        <v>25</v>
      </c>
      <c r="AC21">
        <f t="shared" si="0"/>
        <v>229</v>
      </c>
      <c r="AD21">
        <f t="shared" si="0"/>
        <v>212</v>
      </c>
      <c r="AE21">
        <f t="shared" si="1"/>
        <v>441</v>
      </c>
    </row>
    <row r="22" spans="1:31" x14ac:dyDescent="0.25">
      <c r="A22" t="s">
        <v>44</v>
      </c>
      <c r="B22" t="s">
        <v>53</v>
      </c>
      <c r="C22" t="s">
        <v>54</v>
      </c>
      <c r="D22">
        <v>500454</v>
      </c>
      <c r="E22" t="s">
        <v>83</v>
      </c>
      <c r="F22" t="s">
        <v>84</v>
      </c>
      <c r="G22" t="s">
        <v>57</v>
      </c>
      <c r="H22" t="s">
        <v>58</v>
      </c>
      <c r="I22" t="s">
        <v>46</v>
      </c>
      <c r="J22" t="s">
        <v>67</v>
      </c>
      <c r="K22" t="s">
        <v>85</v>
      </c>
      <c r="L22" s="11" t="s">
        <v>86</v>
      </c>
      <c r="M22">
        <v>8</v>
      </c>
      <c r="N22">
        <v>8</v>
      </c>
      <c r="O22">
        <v>13</v>
      </c>
      <c r="P22">
        <v>12</v>
      </c>
      <c r="Q22">
        <v>15</v>
      </c>
      <c r="R22">
        <v>16</v>
      </c>
      <c r="S22">
        <v>8</v>
      </c>
      <c r="T22">
        <v>5</v>
      </c>
      <c r="U22">
        <v>6</v>
      </c>
      <c r="V22">
        <v>5</v>
      </c>
      <c r="W22">
        <v>12</v>
      </c>
      <c r="X22">
        <v>10</v>
      </c>
      <c r="Y22">
        <v>10</v>
      </c>
      <c r="Z22">
        <v>9</v>
      </c>
      <c r="AA22">
        <v>0</v>
      </c>
      <c r="AB22">
        <v>0</v>
      </c>
      <c r="AC22">
        <f t="shared" si="0"/>
        <v>72</v>
      </c>
      <c r="AD22">
        <f t="shared" si="0"/>
        <v>65</v>
      </c>
      <c r="AE22">
        <f t="shared" si="1"/>
        <v>137</v>
      </c>
    </row>
    <row r="23" spans="1:31" x14ac:dyDescent="0.25">
      <c r="A23" t="s">
        <v>44</v>
      </c>
      <c r="B23" t="s">
        <v>53</v>
      </c>
      <c r="C23" t="s">
        <v>54</v>
      </c>
      <c r="D23">
        <v>501424</v>
      </c>
      <c r="E23" t="s">
        <v>87</v>
      </c>
      <c r="F23" t="s">
        <v>88</v>
      </c>
      <c r="G23" t="s">
        <v>57</v>
      </c>
      <c r="H23" t="s">
        <v>58</v>
      </c>
      <c r="I23" t="s">
        <v>46</v>
      </c>
      <c r="J23" t="s">
        <v>89</v>
      </c>
      <c r="K23" t="s">
        <v>51</v>
      </c>
      <c r="L23" s="11" t="s">
        <v>52</v>
      </c>
      <c r="M23">
        <v>11</v>
      </c>
      <c r="N23">
        <v>13</v>
      </c>
      <c r="O23">
        <v>9</v>
      </c>
      <c r="P23">
        <v>8</v>
      </c>
      <c r="Q23">
        <v>14</v>
      </c>
      <c r="R23">
        <v>18</v>
      </c>
      <c r="S23">
        <v>10</v>
      </c>
      <c r="T23">
        <v>9</v>
      </c>
      <c r="U23">
        <v>18</v>
      </c>
      <c r="V23">
        <v>17</v>
      </c>
      <c r="W23">
        <v>11</v>
      </c>
      <c r="X23">
        <v>13</v>
      </c>
      <c r="Y23">
        <v>15</v>
      </c>
      <c r="Z23">
        <v>23</v>
      </c>
      <c r="AA23">
        <v>0</v>
      </c>
      <c r="AB23">
        <v>0</v>
      </c>
      <c r="AC23">
        <f t="shared" si="0"/>
        <v>88</v>
      </c>
      <c r="AD23">
        <f t="shared" si="0"/>
        <v>101</v>
      </c>
      <c r="AE23">
        <f t="shared" ref="AE23:AE86" si="2">SUM(AC23:AD23)</f>
        <v>189</v>
      </c>
    </row>
    <row r="24" spans="1:31" x14ac:dyDescent="0.25">
      <c r="A24" t="s">
        <v>44</v>
      </c>
      <c r="B24" t="s">
        <v>53</v>
      </c>
      <c r="C24" t="s">
        <v>90</v>
      </c>
      <c r="D24">
        <v>101813</v>
      </c>
      <c r="E24" t="s">
        <v>91</v>
      </c>
      <c r="F24" t="s">
        <v>92</v>
      </c>
      <c r="G24" t="s">
        <v>57</v>
      </c>
      <c r="H24" t="s">
        <v>58</v>
      </c>
      <c r="I24" t="s">
        <v>46</v>
      </c>
      <c r="J24" t="s">
        <v>93</v>
      </c>
      <c r="K24" t="s">
        <v>47</v>
      </c>
      <c r="L24" s="11" t="s">
        <v>48</v>
      </c>
      <c r="M24">
        <v>5</v>
      </c>
      <c r="N24">
        <v>4</v>
      </c>
      <c r="O24">
        <v>11</v>
      </c>
      <c r="P24">
        <v>11</v>
      </c>
      <c r="Q24">
        <v>5</v>
      </c>
      <c r="R24">
        <v>4</v>
      </c>
      <c r="S24">
        <v>6</v>
      </c>
      <c r="T24">
        <v>7</v>
      </c>
      <c r="U24">
        <v>5</v>
      </c>
      <c r="V24">
        <v>8</v>
      </c>
      <c r="W24">
        <v>3</v>
      </c>
      <c r="X24">
        <v>8</v>
      </c>
      <c r="Y24">
        <v>10</v>
      </c>
      <c r="Z24">
        <v>6</v>
      </c>
      <c r="AA24">
        <v>0</v>
      </c>
      <c r="AB24">
        <v>0</v>
      </c>
      <c r="AC24">
        <f t="shared" si="0"/>
        <v>45</v>
      </c>
      <c r="AD24">
        <f t="shared" si="0"/>
        <v>48</v>
      </c>
      <c r="AE24">
        <f t="shared" si="2"/>
        <v>93</v>
      </c>
    </row>
    <row r="25" spans="1:31" x14ac:dyDescent="0.25">
      <c r="A25" t="s">
        <v>44</v>
      </c>
      <c r="B25" t="s">
        <v>53</v>
      </c>
      <c r="C25" t="s">
        <v>90</v>
      </c>
      <c r="D25">
        <v>129387</v>
      </c>
      <c r="E25" t="s">
        <v>94</v>
      </c>
      <c r="F25" t="s">
        <v>95</v>
      </c>
      <c r="G25" t="s">
        <v>57</v>
      </c>
      <c r="H25" t="s">
        <v>58</v>
      </c>
      <c r="I25" t="s">
        <v>46</v>
      </c>
      <c r="J25" t="s">
        <v>96</v>
      </c>
      <c r="K25" t="s">
        <v>47</v>
      </c>
      <c r="L25" s="11" t="s">
        <v>48</v>
      </c>
      <c r="M25">
        <v>10</v>
      </c>
      <c r="N25">
        <v>13</v>
      </c>
      <c r="O25">
        <v>21</v>
      </c>
      <c r="P25">
        <v>22</v>
      </c>
      <c r="Q25">
        <v>17</v>
      </c>
      <c r="R25">
        <v>16</v>
      </c>
      <c r="S25">
        <v>16</v>
      </c>
      <c r="T25">
        <v>12</v>
      </c>
      <c r="U25">
        <v>10</v>
      </c>
      <c r="V25">
        <v>10</v>
      </c>
      <c r="W25">
        <v>10</v>
      </c>
      <c r="X25">
        <v>11</v>
      </c>
      <c r="Y25">
        <v>8</v>
      </c>
      <c r="Z25">
        <v>6</v>
      </c>
      <c r="AA25">
        <v>0</v>
      </c>
      <c r="AB25">
        <v>0</v>
      </c>
      <c r="AC25">
        <f t="shared" si="0"/>
        <v>92</v>
      </c>
      <c r="AD25">
        <f t="shared" si="0"/>
        <v>90</v>
      </c>
      <c r="AE25">
        <f t="shared" si="2"/>
        <v>182</v>
      </c>
    </row>
    <row r="26" spans="1:31" x14ac:dyDescent="0.25">
      <c r="A26" t="s">
        <v>44</v>
      </c>
      <c r="B26" t="s">
        <v>53</v>
      </c>
      <c r="C26" t="s">
        <v>90</v>
      </c>
      <c r="D26">
        <v>129388</v>
      </c>
      <c r="E26" t="s">
        <v>97</v>
      </c>
      <c r="F26" t="s">
        <v>98</v>
      </c>
      <c r="G26" t="s">
        <v>57</v>
      </c>
      <c r="H26" t="s">
        <v>58</v>
      </c>
      <c r="I26" t="s">
        <v>46</v>
      </c>
      <c r="J26" t="s">
        <v>99</v>
      </c>
      <c r="K26" t="s">
        <v>47</v>
      </c>
      <c r="L26" s="11" t="s">
        <v>48</v>
      </c>
      <c r="M26">
        <v>15</v>
      </c>
      <c r="N26">
        <v>25</v>
      </c>
      <c r="O26">
        <v>22</v>
      </c>
      <c r="P26">
        <v>23</v>
      </c>
      <c r="Q26">
        <v>15</v>
      </c>
      <c r="R26">
        <v>16</v>
      </c>
      <c r="S26">
        <v>24</v>
      </c>
      <c r="T26">
        <v>23</v>
      </c>
      <c r="U26">
        <v>27</v>
      </c>
      <c r="V26">
        <v>28</v>
      </c>
      <c r="W26">
        <v>23</v>
      </c>
      <c r="X26">
        <v>24</v>
      </c>
      <c r="Y26">
        <v>21</v>
      </c>
      <c r="Z26">
        <v>23</v>
      </c>
      <c r="AA26">
        <v>0</v>
      </c>
      <c r="AB26">
        <v>0</v>
      </c>
      <c r="AC26">
        <f t="shared" si="0"/>
        <v>147</v>
      </c>
      <c r="AD26">
        <f t="shared" si="0"/>
        <v>162</v>
      </c>
      <c r="AE26">
        <f t="shared" si="2"/>
        <v>309</v>
      </c>
    </row>
    <row r="27" spans="1:31" x14ac:dyDescent="0.25">
      <c r="A27" t="s">
        <v>44</v>
      </c>
      <c r="B27" t="s">
        <v>53</v>
      </c>
      <c r="C27" t="s">
        <v>90</v>
      </c>
      <c r="D27">
        <v>129389</v>
      </c>
      <c r="E27" t="s">
        <v>100</v>
      </c>
      <c r="F27" t="s">
        <v>101</v>
      </c>
      <c r="G27" t="s">
        <v>57</v>
      </c>
      <c r="H27" t="s">
        <v>58</v>
      </c>
      <c r="I27" t="s">
        <v>46</v>
      </c>
      <c r="J27" t="s">
        <v>102</v>
      </c>
      <c r="K27" t="s">
        <v>47</v>
      </c>
      <c r="L27" s="11" t="s">
        <v>48</v>
      </c>
      <c r="M27">
        <v>7</v>
      </c>
      <c r="N27">
        <v>2</v>
      </c>
      <c r="O27">
        <v>7</v>
      </c>
      <c r="P27">
        <v>3</v>
      </c>
      <c r="Q27">
        <v>14</v>
      </c>
      <c r="R27">
        <v>9</v>
      </c>
      <c r="S27">
        <v>15</v>
      </c>
      <c r="T27">
        <v>8</v>
      </c>
      <c r="U27">
        <v>12</v>
      </c>
      <c r="V27">
        <v>12</v>
      </c>
      <c r="W27">
        <v>19</v>
      </c>
      <c r="X27">
        <v>17</v>
      </c>
      <c r="Y27">
        <v>29</v>
      </c>
      <c r="Z27">
        <v>27</v>
      </c>
      <c r="AA27">
        <v>0</v>
      </c>
      <c r="AB27">
        <v>0</v>
      </c>
      <c r="AC27">
        <f t="shared" si="0"/>
        <v>103</v>
      </c>
      <c r="AD27">
        <f t="shared" si="0"/>
        <v>78</v>
      </c>
      <c r="AE27">
        <f t="shared" si="2"/>
        <v>181</v>
      </c>
    </row>
    <row r="28" spans="1:31" x14ac:dyDescent="0.25">
      <c r="A28" t="s">
        <v>44</v>
      </c>
      <c r="B28" t="s">
        <v>53</v>
      </c>
      <c r="C28" t="s">
        <v>90</v>
      </c>
      <c r="D28">
        <v>129390</v>
      </c>
      <c r="E28" t="s">
        <v>103</v>
      </c>
      <c r="F28" t="s">
        <v>104</v>
      </c>
      <c r="G28" t="s">
        <v>57</v>
      </c>
      <c r="H28" t="s">
        <v>58</v>
      </c>
      <c r="I28" t="s">
        <v>46</v>
      </c>
      <c r="J28" t="s">
        <v>96</v>
      </c>
      <c r="K28" t="s">
        <v>47</v>
      </c>
      <c r="L28" s="11" t="s">
        <v>48</v>
      </c>
      <c r="M28">
        <v>19</v>
      </c>
      <c r="N28">
        <v>37</v>
      </c>
      <c r="O28">
        <v>73</v>
      </c>
      <c r="P28">
        <v>63</v>
      </c>
      <c r="Q28">
        <v>49</v>
      </c>
      <c r="R28">
        <v>42</v>
      </c>
      <c r="S28">
        <v>57</v>
      </c>
      <c r="T28">
        <v>41</v>
      </c>
      <c r="U28">
        <v>35</v>
      </c>
      <c r="V28">
        <v>46</v>
      </c>
      <c r="W28">
        <v>42</v>
      </c>
      <c r="X28">
        <v>45</v>
      </c>
      <c r="Y28">
        <v>47</v>
      </c>
      <c r="Z28">
        <v>55</v>
      </c>
      <c r="AA28">
        <v>0</v>
      </c>
      <c r="AB28">
        <v>0</v>
      </c>
      <c r="AC28">
        <f t="shared" si="0"/>
        <v>322</v>
      </c>
      <c r="AD28">
        <f t="shared" si="0"/>
        <v>329</v>
      </c>
      <c r="AE28">
        <f t="shared" si="2"/>
        <v>651</v>
      </c>
    </row>
    <row r="29" spans="1:31" x14ac:dyDescent="0.25">
      <c r="A29" t="s">
        <v>44</v>
      </c>
      <c r="B29" t="s">
        <v>53</v>
      </c>
      <c r="C29" t="s">
        <v>90</v>
      </c>
      <c r="D29">
        <v>129391</v>
      </c>
      <c r="E29" t="s">
        <v>105</v>
      </c>
      <c r="F29" t="s">
        <v>106</v>
      </c>
      <c r="G29" t="s">
        <v>57</v>
      </c>
      <c r="H29" t="s">
        <v>58</v>
      </c>
      <c r="I29" t="s">
        <v>46</v>
      </c>
      <c r="J29" t="s">
        <v>107</v>
      </c>
      <c r="K29" t="s">
        <v>47</v>
      </c>
      <c r="L29" s="11" t="s">
        <v>48</v>
      </c>
      <c r="M29">
        <v>17</v>
      </c>
      <c r="N29">
        <v>12</v>
      </c>
      <c r="O29">
        <v>15</v>
      </c>
      <c r="P29">
        <v>15</v>
      </c>
      <c r="Q29">
        <v>30</v>
      </c>
      <c r="R29">
        <v>18</v>
      </c>
      <c r="S29">
        <v>13</v>
      </c>
      <c r="T29">
        <v>6</v>
      </c>
      <c r="U29">
        <v>20</v>
      </c>
      <c r="V29">
        <v>17</v>
      </c>
      <c r="W29">
        <v>10</v>
      </c>
      <c r="X29">
        <v>18</v>
      </c>
      <c r="Y29">
        <v>21</v>
      </c>
      <c r="Z29">
        <v>18</v>
      </c>
      <c r="AA29">
        <v>0</v>
      </c>
      <c r="AB29">
        <v>0</v>
      </c>
      <c r="AC29">
        <f t="shared" si="0"/>
        <v>126</v>
      </c>
      <c r="AD29">
        <f t="shared" si="0"/>
        <v>104</v>
      </c>
      <c r="AE29">
        <f t="shared" si="2"/>
        <v>230</v>
      </c>
    </row>
    <row r="30" spans="1:31" x14ac:dyDescent="0.25">
      <c r="A30" t="s">
        <v>44</v>
      </c>
      <c r="B30" t="s">
        <v>53</v>
      </c>
      <c r="C30" t="s">
        <v>90</v>
      </c>
      <c r="D30">
        <v>129392</v>
      </c>
      <c r="E30" t="s">
        <v>108</v>
      </c>
      <c r="F30" t="s">
        <v>109</v>
      </c>
      <c r="G30" t="s">
        <v>57</v>
      </c>
      <c r="H30" t="s">
        <v>58</v>
      </c>
      <c r="I30" t="s">
        <v>46</v>
      </c>
      <c r="J30" t="s">
        <v>110</v>
      </c>
      <c r="K30" t="s">
        <v>47</v>
      </c>
      <c r="L30" s="11" t="s">
        <v>48</v>
      </c>
      <c r="M30">
        <v>25</v>
      </c>
      <c r="N30">
        <v>18</v>
      </c>
      <c r="O30">
        <v>24</v>
      </c>
      <c r="P30">
        <v>20</v>
      </c>
      <c r="Q30">
        <v>33</v>
      </c>
      <c r="R30">
        <v>20</v>
      </c>
      <c r="S30">
        <v>20</v>
      </c>
      <c r="T30">
        <v>11</v>
      </c>
      <c r="U30">
        <v>22</v>
      </c>
      <c r="V30">
        <v>18</v>
      </c>
      <c r="W30">
        <v>32</v>
      </c>
      <c r="X30">
        <v>12</v>
      </c>
      <c r="Y30">
        <v>27</v>
      </c>
      <c r="Z30">
        <v>15</v>
      </c>
      <c r="AA30">
        <v>0</v>
      </c>
      <c r="AB30">
        <v>0</v>
      </c>
      <c r="AC30">
        <f t="shared" si="0"/>
        <v>183</v>
      </c>
      <c r="AD30">
        <f t="shared" si="0"/>
        <v>114</v>
      </c>
      <c r="AE30">
        <f t="shared" si="2"/>
        <v>297</v>
      </c>
    </row>
    <row r="31" spans="1:31" x14ac:dyDescent="0.25">
      <c r="A31" t="s">
        <v>44</v>
      </c>
      <c r="B31" t="s">
        <v>53</v>
      </c>
      <c r="C31" t="s">
        <v>90</v>
      </c>
      <c r="D31">
        <v>129393</v>
      </c>
      <c r="E31" t="s">
        <v>111</v>
      </c>
      <c r="F31" t="s">
        <v>112</v>
      </c>
      <c r="G31" t="s">
        <v>57</v>
      </c>
      <c r="H31" t="s">
        <v>58</v>
      </c>
      <c r="I31" t="s">
        <v>46</v>
      </c>
      <c r="J31" t="s">
        <v>113</v>
      </c>
      <c r="K31" t="s">
        <v>47</v>
      </c>
      <c r="L31" s="11" t="s">
        <v>48</v>
      </c>
      <c r="M31">
        <v>6</v>
      </c>
      <c r="N31">
        <v>7</v>
      </c>
      <c r="O31">
        <v>7</v>
      </c>
      <c r="P31">
        <v>4</v>
      </c>
      <c r="Q31">
        <v>8</v>
      </c>
      <c r="R31">
        <v>1</v>
      </c>
      <c r="S31">
        <v>1</v>
      </c>
      <c r="T31">
        <v>3</v>
      </c>
      <c r="U31">
        <v>3</v>
      </c>
      <c r="V31">
        <v>2</v>
      </c>
      <c r="W31">
        <v>1</v>
      </c>
      <c r="X31">
        <v>2</v>
      </c>
      <c r="Y31">
        <v>2</v>
      </c>
      <c r="Z31">
        <v>2</v>
      </c>
      <c r="AA31">
        <v>0</v>
      </c>
      <c r="AB31">
        <v>0</v>
      </c>
      <c r="AC31">
        <f t="shared" si="0"/>
        <v>28</v>
      </c>
      <c r="AD31">
        <f t="shared" si="0"/>
        <v>21</v>
      </c>
      <c r="AE31">
        <f t="shared" si="2"/>
        <v>49</v>
      </c>
    </row>
    <row r="32" spans="1:31" x14ac:dyDescent="0.25">
      <c r="A32" t="s">
        <v>44</v>
      </c>
      <c r="B32" t="s">
        <v>53</v>
      </c>
      <c r="C32" t="s">
        <v>90</v>
      </c>
      <c r="D32">
        <v>129394</v>
      </c>
      <c r="E32" t="s">
        <v>114</v>
      </c>
      <c r="F32" t="s">
        <v>115</v>
      </c>
      <c r="G32" t="s">
        <v>57</v>
      </c>
      <c r="H32" t="s">
        <v>58</v>
      </c>
      <c r="I32" t="s">
        <v>46</v>
      </c>
      <c r="J32" t="s">
        <v>107</v>
      </c>
      <c r="K32" t="s">
        <v>47</v>
      </c>
      <c r="L32" s="11" t="s">
        <v>48</v>
      </c>
      <c r="M32">
        <v>9</v>
      </c>
      <c r="N32">
        <v>6</v>
      </c>
      <c r="O32">
        <v>10</v>
      </c>
      <c r="P32">
        <v>7</v>
      </c>
      <c r="Q32">
        <v>12</v>
      </c>
      <c r="R32">
        <v>9</v>
      </c>
      <c r="S32">
        <v>6</v>
      </c>
      <c r="T32">
        <v>6</v>
      </c>
      <c r="U32">
        <v>3</v>
      </c>
      <c r="V32">
        <v>7</v>
      </c>
      <c r="W32">
        <v>5</v>
      </c>
      <c r="X32">
        <v>7</v>
      </c>
      <c r="Y32">
        <v>7</v>
      </c>
      <c r="Z32">
        <v>6</v>
      </c>
      <c r="AA32">
        <v>0</v>
      </c>
      <c r="AB32">
        <v>0</v>
      </c>
      <c r="AC32">
        <f t="shared" si="0"/>
        <v>52</v>
      </c>
      <c r="AD32">
        <f t="shared" si="0"/>
        <v>48</v>
      </c>
      <c r="AE32">
        <f t="shared" si="2"/>
        <v>100</v>
      </c>
    </row>
    <row r="33" spans="1:31" x14ac:dyDescent="0.25">
      <c r="A33" t="s">
        <v>44</v>
      </c>
      <c r="B33" t="s">
        <v>53</v>
      </c>
      <c r="C33" t="s">
        <v>90</v>
      </c>
      <c r="D33">
        <v>129395</v>
      </c>
      <c r="E33" t="s">
        <v>116</v>
      </c>
      <c r="F33" t="s">
        <v>117</v>
      </c>
      <c r="G33" t="s">
        <v>57</v>
      </c>
      <c r="H33" t="s">
        <v>58</v>
      </c>
      <c r="I33" t="s">
        <v>46</v>
      </c>
      <c r="J33" t="s">
        <v>102</v>
      </c>
      <c r="K33" t="s">
        <v>47</v>
      </c>
      <c r="L33" s="11" t="s">
        <v>48</v>
      </c>
      <c r="M33">
        <v>6</v>
      </c>
      <c r="N33">
        <v>11</v>
      </c>
      <c r="O33">
        <v>17</v>
      </c>
      <c r="P33">
        <v>22</v>
      </c>
      <c r="Q33">
        <v>23</v>
      </c>
      <c r="R33">
        <v>25</v>
      </c>
      <c r="S33">
        <v>37</v>
      </c>
      <c r="T33">
        <v>21</v>
      </c>
      <c r="U33">
        <v>21</v>
      </c>
      <c r="V33">
        <v>25</v>
      </c>
      <c r="W33">
        <v>32</v>
      </c>
      <c r="X33">
        <v>32</v>
      </c>
      <c r="Y33">
        <v>41</v>
      </c>
      <c r="Z33">
        <v>33</v>
      </c>
      <c r="AA33">
        <v>0</v>
      </c>
      <c r="AB33">
        <v>0</v>
      </c>
      <c r="AC33">
        <f t="shared" si="0"/>
        <v>177</v>
      </c>
      <c r="AD33">
        <f t="shared" si="0"/>
        <v>169</v>
      </c>
      <c r="AE33">
        <f t="shared" si="2"/>
        <v>346</v>
      </c>
    </row>
    <row r="34" spans="1:31" x14ac:dyDescent="0.25">
      <c r="A34" t="s">
        <v>44</v>
      </c>
      <c r="B34" t="s">
        <v>53</v>
      </c>
      <c r="C34" t="s">
        <v>90</v>
      </c>
      <c r="D34">
        <v>129396</v>
      </c>
      <c r="E34" t="s">
        <v>118</v>
      </c>
      <c r="F34" t="s">
        <v>119</v>
      </c>
      <c r="G34" t="s">
        <v>57</v>
      </c>
      <c r="H34" t="s">
        <v>58</v>
      </c>
      <c r="I34" t="s">
        <v>46</v>
      </c>
      <c r="J34" t="s">
        <v>113</v>
      </c>
      <c r="K34" t="s">
        <v>47</v>
      </c>
      <c r="L34" s="11" t="s">
        <v>48</v>
      </c>
      <c r="M34">
        <v>45</v>
      </c>
      <c r="N34">
        <v>52</v>
      </c>
      <c r="O34">
        <v>14</v>
      </c>
      <c r="P34">
        <v>14</v>
      </c>
      <c r="Q34">
        <v>13</v>
      </c>
      <c r="R34">
        <v>7</v>
      </c>
      <c r="S34">
        <v>33</v>
      </c>
      <c r="T34">
        <v>24</v>
      </c>
      <c r="U34">
        <v>38</v>
      </c>
      <c r="V34">
        <v>35</v>
      </c>
      <c r="W34">
        <v>10</v>
      </c>
      <c r="X34">
        <v>9</v>
      </c>
      <c r="Y34">
        <v>17</v>
      </c>
      <c r="Z34">
        <v>18</v>
      </c>
      <c r="AA34">
        <v>0</v>
      </c>
      <c r="AB34">
        <v>0</v>
      </c>
      <c r="AC34">
        <f t="shared" si="0"/>
        <v>170</v>
      </c>
      <c r="AD34">
        <f t="shared" si="0"/>
        <v>159</v>
      </c>
      <c r="AE34">
        <f t="shared" si="2"/>
        <v>329</v>
      </c>
    </row>
    <row r="35" spans="1:31" x14ac:dyDescent="0.25">
      <c r="A35" t="s">
        <v>44</v>
      </c>
      <c r="B35" t="s">
        <v>53</v>
      </c>
      <c r="C35" t="s">
        <v>90</v>
      </c>
      <c r="D35">
        <v>129397</v>
      </c>
      <c r="E35" t="s">
        <v>120</v>
      </c>
      <c r="F35" t="s">
        <v>121</v>
      </c>
      <c r="G35" t="s">
        <v>57</v>
      </c>
      <c r="H35" t="s">
        <v>58</v>
      </c>
      <c r="I35" t="s">
        <v>46</v>
      </c>
      <c r="J35" t="s">
        <v>122</v>
      </c>
      <c r="K35" t="s">
        <v>47</v>
      </c>
      <c r="L35" s="11" t="s">
        <v>48</v>
      </c>
      <c r="M35">
        <v>8</v>
      </c>
      <c r="N35">
        <v>11</v>
      </c>
      <c r="O35">
        <v>11</v>
      </c>
      <c r="P35">
        <v>8</v>
      </c>
      <c r="Q35">
        <v>0</v>
      </c>
      <c r="R35">
        <v>0</v>
      </c>
      <c r="S35">
        <v>12</v>
      </c>
      <c r="T35">
        <v>3</v>
      </c>
      <c r="U35">
        <v>12</v>
      </c>
      <c r="V35">
        <v>6</v>
      </c>
      <c r="W35">
        <v>19</v>
      </c>
      <c r="X35">
        <v>10</v>
      </c>
      <c r="Y35">
        <v>14</v>
      </c>
      <c r="Z35">
        <v>16</v>
      </c>
      <c r="AA35">
        <v>0</v>
      </c>
      <c r="AB35">
        <v>0</v>
      </c>
      <c r="AC35">
        <f t="shared" si="0"/>
        <v>76</v>
      </c>
      <c r="AD35">
        <f t="shared" si="0"/>
        <v>54</v>
      </c>
      <c r="AE35">
        <f t="shared" si="2"/>
        <v>130</v>
      </c>
    </row>
    <row r="36" spans="1:31" x14ac:dyDescent="0.25">
      <c r="A36" t="s">
        <v>44</v>
      </c>
      <c r="B36" t="s">
        <v>53</v>
      </c>
      <c r="C36" t="s">
        <v>90</v>
      </c>
      <c r="D36">
        <v>129398</v>
      </c>
      <c r="E36" t="s">
        <v>123</v>
      </c>
      <c r="F36" t="s">
        <v>124</v>
      </c>
      <c r="G36" t="s">
        <v>57</v>
      </c>
      <c r="H36" t="s">
        <v>58</v>
      </c>
      <c r="I36" t="s">
        <v>46</v>
      </c>
      <c r="J36" t="s">
        <v>125</v>
      </c>
      <c r="K36" t="s">
        <v>47</v>
      </c>
      <c r="L36" s="11" t="s">
        <v>48</v>
      </c>
      <c r="M36">
        <v>20</v>
      </c>
      <c r="N36">
        <v>32</v>
      </c>
      <c r="O36">
        <v>34</v>
      </c>
      <c r="P36">
        <v>42</v>
      </c>
      <c r="Q36">
        <v>49</v>
      </c>
      <c r="R36">
        <v>38</v>
      </c>
      <c r="S36">
        <v>27</v>
      </c>
      <c r="T36">
        <v>30</v>
      </c>
      <c r="U36">
        <v>24</v>
      </c>
      <c r="V36">
        <v>27</v>
      </c>
      <c r="W36">
        <v>28</v>
      </c>
      <c r="X36">
        <v>25</v>
      </c>
      <c r="Y36">
        <v>23</v>
      </c>
      <c r="Z36">
        <v>35</v>
      </c>
      <c r="AA36">
        <v>0</v>
      </c>
      <c r="AB36">
        <v>0</v>
      </c>
      <c r="AC36">
        <f t="shared" si="0"/>
        <v>205</v>
      </c>
      <c r="AD36">
        <f t="shared" si="0"/>
        <v>229</v>
      </c>
      <c r="AE36">
        <f t="shared" si="2"/>
        <v>434</v>
      </c>
    </row>
    <row r="37" spans="1:31" x14ac:dyDescent="0.25">
      <c r="A37" t="s">
        <v>44</v>
      </c>
      <c r="B37" t="s">
        <v>53</v>
      </c>
      <c r="C37" t="s">
        <v>90</v>
      </c>
      <c r="D37">
        <v>129399</v>
      </c>
      <c r="E37" t="s">
        <v>126</v>
      </c>
      <c r="F37" t="s">
        <v>127</v>
      </c>
      <c r="G37" t="s">
        <v>57</v>
      </c>
      <c r="H37" t="s">
        <v>58</v>
      </c>
      <c r="I37" t="s">
        <v>46</v>
      </c>
      <c r="J37" t="s">
        <v>128</v>
      </c>
      <c r="K37" t="s">
        <v>47</v>
      </c>
      <c r="L37" s="11" t="s">
        <v>48</v>
      </c>
      <c r="M37">
        <v>32</v>
      </c>
      <c r="N37">
        <v>37</v>
      </c>
      <c r="O37">
        <v>40</v>
      </c>
      <c r="P37">
        <v>30</v>
      </c>
      <c r="Q37">
        <v>47</v>
      </c>
      <c r="R37">
        <v>40</v>
      </c>
      <c r="S37">
        <v>37</v>
      </c>
      <c r="T37">
        <v>38</v>
      </c>
      <c r="U37">
        <v>37</v>
      </c>
      <c r="V37">
        <v>25</v>
      </c>
      <c r="W37">
        <v>35</v>
      </c>
      <c r="X37">
        <v>30</v>
      </c>
      <c r="Y37">
        <v>40</v>
      </c>
      <c r="Z37">
        <v>30</v>
      </c>
      <c r="AA37">
        <v>0</v>
      </c>
      <c r="AB37">
        <v>0</v>
      </c>
      <c r="AC37">
        <f t="shared" si="0"/>
        <v>268</v>
      </c>
      <c r="AD37">
        <f t="shared" si="0"/>
        <v>230</v>
      </c>
      <c r="AE37">
        <f t="shared" si="2"/>
        <v>498</v>
      </c>
    </row>
    <row r="38" spans="1:31" x14ac:dyDescent="0.25">
      <c r="A38" t="s">
        <v>44</v>
      </c>
      <c r="B38" t="s">
        <v>53</v>
      </c>
      <c r="C38" t="s">
        <v>90</v>
      </c>
      <c r="D38">
        <v>129400</v>
      </c>
      <c r="E38" t="s">
        <v>129</v>
      </c>
      <c r="F38" t="s">
        <v>130</v>
      </c>
      <c r="G38" t="s">
        <v>57</v>
      </c>
      <c r="H38" t="s">
        <v>58</v>
      </c>
      <c r="I38" t="s">
        <v>46</v>
      </c>
      <c r="J38" t="s">
        <v>125</v>
      </c>
      <c r="K38" t="s">
        <v>47</v>
      </c>
      <c r="L38" s="11" t="s">
        <v>48</v>
      </c>
      <c r="M38">
        <v>57</v>
      </c>
      <c r="N38">
        <v>56</v>
      </c>
      <c r="O38">
        <v>96</v>
      </c>
      <c r="P38">
        <v>97</v>
      </c>
      <c r="Q38">
        <v>69</v>
      </c>
      <c r="R38">
        <v>82</v>
      </c>
      <c r="S38">
        <v>95</v>
      </c>
      <c r="T38">
        <v>78</v>
      </c>
      <c r="U38">
        <v>58</v>
      </c>
      <c r="V38">
        <v>40</v>
      </c>
      <c r="W38">
        <v>74</v>
      </c>
      <c r="X38">
        <v>73</v>
      </c>
      <c r="Y38">
        <v>84</v>
      </c>
      <c r="Z38">
        <v>86</v>
      </c>
      <c r="AA38">
        <v>0</v>
      </c>
      <c r="AB38">
        <v>0</v>
      </c>
      <c r="AC38">
        <f t="shared" si="0"/>
        <v>533</v>
      </c>
      <c r="AD38">
        <f t="shared" si="0"/>
        <v>512</v>
      </c>
      <c r="AE38">
        <f t="shared" si="2"/>
        <v>1045</v>
      </c>
    </row>
    <row r="39" spans="1:31" x14ac:dyDescent="0.25">
      <c r="A39" t="s">
        <v>44</v>
      </c>
      <c r="B39" t="s">
        <v>53</v>
      </c>
      <c r="C39" t="s">
        <v>90</v>
      </c>
      <c r="D39">
        <v>129401</v>
      </c>
      <c r="E39" t="s">
        <v>131</v>
      </c>
      <c r="F39" t="s">
        <v>132</v>
      </c>
      <c r="G39" t="s">
        <v>57</v>
      </c>
      <c r="H39" t="s">
        <v>58</v>
      </c>
      <c r="I39" t="s">
        <v>46</v>
      </c>
      <c r="J39" t="s">
        <v>99</v>
      </c>
      <c r="K39" t="s">
        <v>47</v>
      </c>
      <c r="L39" s="11" t="s">
        <v>48</v>
      </c>
      <c r="M39">
        <v>5</v>
      </c>
      <c r="N39">
        <v>4</v>
      </c>
      <c r="O39">
        <v>13</v>
      </c>
      <c r="P39">
        <v>13</v>
      </c>
      <c r="Q39">
        <v>13</v>
      </c>
      <c r="R39">
        <v>13</v>
      </c>
      <c r="S39">
        <v>1</v>
      </c>
      <c r="T39">
        <v>2</v>
      </c>
      <c r="U39">
        <v>0</v>
      </c>
      <c r="V39">
        <v>1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f t="shared" si="0"/>
        <v>33</v>
      </c>
      <c r="AD39">
        <f t="shared" si="0"/>
        <v>34</v>
      </c>
      <c r="AE39">
        <f t="shared" si="2"/>
        <v>67</v>
      </c>
    </row>
    <row r="40" spans="1:31" x14ac:dyDescent="0.25">
      <c r="A40" t="s">
        <v>44</v>
      </c>
      <c r="B40" t="s">
        <v>53</v>
      </c>
      <c r="C40" t="s">
        <v>90</v>
      </c>
      <c r="D40">
        <v>129402</v>
      </c>
      <c r="E40" t="s">
        <v>133</v>
      </c>
      <c r="F40" t="s">
        <v>134</v>
      </c>
      <c r="G40" t="s">
        <v>57</v>
      </c>
      <c r="H40" t="s">
        <v>58</v>
      </c>
      <c r="I40" t="s">
        <v>46</v>
      </c>
      <c r="J40" t="s">
        <v>113</v>
      </c>
      <c r="K40" t="s">
        <v>47</v>
      </c>
      <c r="L40" s="11" t="s">
        <v>48</v>
      </c>
      <c r="M40">
        <v>0</v>
      </c>
      <c r="N40">
        <v>0</v>
      </c>
      <c r="O40">
        <v>2</v>
      </c>
      <c r="P40">
        <v>4</v>
      </c>
      <c r="Q40">
        <v>5</v>
      </c>
      <c r="R40">
        <v>5</v>
      </c>
      <c r="S40">
        <v>6</v>
      </c>
      <c r="T40">
        <v>6</v>
      </c>
      <c r="U40">
        <v>7</v>
      </c>
      <c r="V40">
        <v>8</v>
      </c>
      <c r="W40">
        <v>4</v>
      </c>
      <c r="X40">
        <v>2</v>
      </c>
      <c r="Y40">
        <v>6</v>
      </c>
      <c r="Z40">
        <v>10</v>
      </c>
      <c r="AA40">
        <v>0</v>
      </c>
      <c r="AB40">
        <v>0</v>
      </c>
      <c r="AC40">
        <f t="shared" si="0"/>
        <v>30</v>
      </c>
      <c r="AD40">
        <f t="shared" si="0"/>
        <v>35</v>
      </c>
      <c r="AE40">
        <f t="shared" si="2"/>
        <v>65</v>
      </c>
    </row>
    <row r="41" spans="1:31" x14ac:dyDescent="0.25">
      <c r="A41" t="s">
        <v>44</v>
      </c>
      <c r="B41" t="s">
        <v>53</v>
      </c>
      <c r="C41" t="s">
        <v>90</v>
      </c>
      <c r="D41">
        <v>129403</v>
      </c>
      <c r="E41" t="s">
        <v>135</v>
      </c>
      <c r="F41" t="s">
        <v>136</v>
      </c>
      <c r="G41" t="s">
        <v>57</v>
      </c>
      <c r="H41" t="s">
        <v>58</v>
      </c>
      <c r="I41" t="s">
        <v>46</v>
      </c>
      <c r="J41" t="s">
        <v>93</v>
      </c>
      <c r="K41" t="s">
        <v>47</v>
      </c>
      <c r="L41" s="11" t="s">
        <v>48</v>
      </c>
      <c r="M41">
        <v>12</v>
      </c>
      <c r="N41">
        <v>8</v>
      </c>
      <c r="O41">
        <v>17</v>
      </c>
      <c r="P41">
        <v>7</v>
      </c>
      <c r="Q41">
        <v>14</v>
      </c>
      <c r="R41">
        <v>11</v>
      </c>
      <c r="S41">
        <v>10</v>
      </c>
      <c r="T41">
        <v>6</v>
      </c>
      <c r="U41">
        <v>2</v>
      </c>
      <c r="V41">
        <v>4</v>
      </c>
      <c r="W41">
        <v>2</v>
      </c>
      <c r="X41">
        <v>3</v>
      </c>
      <c r="Y41">
        <v>2</v>
      </c>
      <c r="Z41">
        <v>1</v>
      </c>
      <c r="AA41">
        <v>0</v>
      </c>
      <c r="AB41">
        <v>0</v>
      </c>
      <c r="AC41">
        <f t="shared" si="0"/>
        <v>59</v>
      </c>
      <c r="AD41">
        <f t="shared" si="0"/>
        <v>40</v>
      </c>
      <c r="AE41">
        <f t="shared" si="2"/>
        <v>99</v>
      </c>
    </row>
    <row r="42" spans="1:31" x14ac:dyDescent="0.25">
      <c r="A42" t="s">
        <v>44</v>
      </c>
      <c r="B42" t="s">
        <v>53</v>
      </c>
      <c r="C42" t="s">
        <v>90</v>
      </c>
      <c r="D42">
        <v>129404</v>
      </c>
      <c r="E42" t="s">
        <v>137</v>
      </c>
      <c r="F42" t="s">
        <v>138</v>
      </c>
      <c r="G42" t="s">
        <v>57</v>
      </c>
      <c r="H42" t="s">
        <v>58</v>
      </c>
      <c r="I42" t="s">
        <v>46</v>
      </c>
      <c r="J42" t="s">
        <v>139</v>
      </c>
      <c r="K42" t="s">
        <v>47</v>
      </c>
      <c r="L42" s="11" t="s">
        <v>48</v>
      </c>
      <c r="M42">
        <v>11</v>
      </c>
      <c r="N42">
        <v>19</v>
      </c>
      <c r="O42">
        <v>18</v>
      </c>
      <c r="P42">
        <v>7</v>
      </c>
      <c r="Q42">
        <v>17</v>
      </c>
      <c r="R42">
        <v>16</v>
      </c>
      <c r="S42">
        <v>16</v>
      </c>
      <c r="T42">
        <v>12</v>
      </c>
      <c r="U42">
        <v>15</v>
      </c>
      <c r="V42">
        <v>13</v>
      </c>
      <c r="W42">
        <v>10</v>
      </c>
      <c r="X42">
        <v>13</v>
      </c>
      <c r="Y42">
        <v>15</v>
      </c>
      <c r="Z42">
        <v>15</v>
      </c>
      <c r="AA42">
        <v>0</v>
      </c>
      <c r="AB42">
        <v>0</v>
      </c>
      <c r="AC42">
        <f t="shared" si="0"/>
        <v>102</v>
      </c>
      <c r="AD42">
        <f t="shared" si="0"/>
        <v>95</v>
      </c>
      <c r="AE42">
        <f t="shared" si="2"/>
        <v>197</v>
      </c>
    </row>
    <row r="43" spans="1:31" x14ac:dyDescent="0.25">
      <c r="A43" t="s">
        <v>44</v>
      </c>
      <c r="B43" t="s">
        <v>53</v>
      </c>
      <c r="C43" t="s">
        <v>90</v>
      </c>
      <c r="D43">
        <v>129405</v>
      </c>
      <c r="E43" t="s">
        <v>140</v>
      </c>
      <c r="F43" t="s">
        <v>141</v>
      </c>
      <c r="G43" t="s">
        <v>57</v>
      </c>
      <c r="H43" t="s">
        <v>58</v>
      </c>
      <c r="I43" t="s">
        <v>46</v>
      </c>
      <c r="J43" t="s">
        <v>142</v>
      </c>
      <c r="K43" t="s">
        <v>47</v>
      </c>
      <c r="L43" s="11" t="s">
        <v>48</v>
      </c>
      <c r="M43">
        <v>20</v>
      </c>
      <c r="N43">
        <v>21</v>
      </c>
      <c r="O43">
        <v>28</v>
      </c>
      <c r="P43">
        <v>25</v>
      </c>
      <c r="Q43">
        <v>15</v>
      </c>
      <c r="R43">
        <v>15</v>
      </c>
      <c r="S43">
        <v>21</v>
      </c>
      <c r="T43">
        <v>17</v>
      </c>
      <c r="U43">
        <v>17</v>
      </c>
      <c r="V43">
        <v>22</v>
      </c>
      <c r="W43">
        <v>21</v>
      </c>
      <c r="X43">
        <v>23</v>
      </c>
      <c r="Y43">
        <v>24</v>
      </c>
      <c r="Z43">
        <v>27</v>
      </c>
      <c r="AA43">
        <v>0</v>
      </c>
      <c r="AB43">
        <v>0</v>
      </c>
      <c r="AC43">
        <f t="shared" si="0"/>
        <v>146</v>
      </c>
      <c r="AD43">
        <f t="shared" si="0"/>
        <v>150</v>
      </c>
      <c r="AE43">
        <f t="shared" si="2"/>
        <v>296</v>
      </c>
    </row>
    <row r="44" spans="1:31" x14ac:dyDescent="0.25">
      <c r="A44" t="s">
        <v>44</v>
      </c>
      <c r="B44" t="s">
        <v>53</v>
      </c>
      <c r="C44" t="s">
        <v>90</v>
      </c>
      <c r="D44">
        <v>129406</v>
      </c>
      <c r="E44" t="s">
        <v>143</v>
      </c>
      <c r="F44" t="s">
        <v>144</v>
      </c>
      <c r="G44" t="s">
        <v>57</v>
      </c>
      <c r="H44" t="s">
        <v>58</v>
      </c>
      <c r="I44" t="s">
        <v>46</v>
      </c>
      <c r="J44" t="s">
        <v>110</v>
      </c>
      <c r="K44" t="s">
        <v>47</v>
      </c>
      <c r="L44" s="11" t="s">
        <v>48</v>
      </c>
      <c r="M44">
        <v>14</v>
      </c>
      <c r="N44">
        <v>22</v>
      </c>
      <c r="O44">
        <v>18</v>
      </c>
      <c r="P44">
        <v>15</v>
      </c>
      <c r="Q44">
        <v>10</v>
      </c>
      <c r="R44">
        <v>14</v>
      </c>
      <c r="S44">
        <v>11</v>
      </c>
      <c r="T44">
        <v>3</v>
      </c>
      <c r="U44">
        <v>7</v>
      </c>
      <c r="V44">
        <v>10</v>
      </c>
      <c r="W44">
        <v>9</v>
      </c>
      <c r="X44">
        <v>10</v>
      </c>
      <c r="Y44">
        <v>10</v>
      </c>
      <c r="Z44">
        <v>7</v>
      </c>
      <c r="AA44">
        <v>0</v>
      </c>
      <c r="AB44">
        <v>0</v>
      </c>
      <c r="AC44">
        <f t="shared" si="0"/>
        <v>79</v>
      </c>
      <c r="AD44">
        <f t="shared" si="0"/>
        <v>81</v>
      </c>
      <c r="AE44">
        <f t="shared" si="2"/>
        <v>160</v>
      </c>
    </row>
    <row r="45" spans="1:31" x14ac:dyDescent="0.25">
      <c r="A45" t="s">
        <v>44</v>
      </c>
      <c r="B45" t="s">
        <v>53</v>
      </c>
      <c r="C45" t="s">
        <v>90</v>
      </c>
      <c r="D45">
        <v>129407</v>
      </c>
      <c r="E45" t="s">
        <v>145</v>
      </c>
      <c r="F45" t="s">
        <v>146</v>
      </c>
      <c r="G45" t="s">
        <v>57</v>
      </c>
      <c r="H45" t="s">
        <v>58</v>
      </c>
      <c r="I45" t="s">
        <v>46</v>
      </c>
      <c r="J45" t="s">
        <v>122</v>
      </c>
      <c r="K45" t="s">
        <v>47</v>
      </c>
      <c r="L45" s="11" t="s">
        <v>48</v>
      </c>
      <c r="M45">
        <v>7</v>
      </c>
      <c r="N45">
        <v>6</v>
      </c>
      <c r="O45">
        <v>12</v>
      </c>
      <c r="P45">
        <v>26</v>
      </c>
      <c r="Q45">
        <v>12</v>
      </c>
      <c r="R45">
        <v>17</v>
      </c>
      <c r="S45">
        <v>13</v>
      </c>
      <c r="T45">
        <v>10</v>
      </c>
      <c r="U45">
        <v>24</v>
      </c>
      <c r="V45">
        <v>17</v>
      </c>
      <c r="W45">
        <v>15</v>
      </c>
      <c r="X45">
        <v>18</v>
      </c>
      <c r="Y45">
        <v>20</v>
      </c>
      <c r="Z45">
        <v>26</v>
      </c>
      <c r="AA45">
        <v>0</v>
      </c>
      <c r="AB45">
        <v>0</v>
      </c>
      <c r="AC45">
        <f t="shared" si="0"/>
        <v>103</v>
      </c>
      <c r="AD45">
        <f t="shared" si="0"/>
        <v>120</v>
      </c>
      <c r="AE45">
        <f t="shared" si="2"/>
        <v>223</v>
      </c>
    </row>
    <row r="46" spans="1:31" x14ac:dyDescent="0.25">
      <c r="A46" t="s">
        <v>44</v>
      </c>
      <c r="B46" t="s">
        <v>53</v>
      </c>
      <c r="C46" t="s">
        <v>90</v>
      </c>
      <c r="D46">
        <v>129408</v>
      </c>
      <c r="E46" t="s">
        <v>147</v>
      </c>
      <c r="F46" t="s">
        <v>148</v>
      </c>
      <c r="G46" t="s">
        <v>57</v>
      </c>
      <c r="H46" t="s">
        <v>58</v>
      </c>
      <c r="I46" t="s">
        <v>46</v>
      </c>
      <c r="J46" t="s">
        <v>125</v>
      </c>
      <c r="K46" t="s">
        <v>47</v>
      </c>
      <c r="L46" s="11" t="s">
        <v>48</v>
      </c>
      <c r="M46">
        <v>7</v>
      </c>
      <c r="N46">
        <v>6</v>
      </c>
      <c r="O46">
        <v>13</v>
      </c>
      <c r="P46">
        <v>19</v>
      </c>
      <c r="Q46">
        <v>10</v>
      </c>
      <c r="R46">
        <v>13</v>
      </c>
      <c r="S46">
        <v>14</v>
      </c>
      <c r="T46">
        <v>16</v>
      </c>
      <c r="U46">
        <v>11</v>
      </c>
      <c r="V46">
        <v>11</v>
      </c>
      <c r="W46">
        <v>10</v>
      </c>
      <c r="X46">
        <v>8</v>
      </c>
      <c r="Y46">
        <v>12</v>
      </c>
      <c r="Z46">
        <v>4</v>
      </c>
      <c r="AA46">
        <v>0</v>
      </c>
      <c r="AB46">
        <v>0</v>
      </c>
      <c r="AC46">
        <f t="shared" si="0"/>
        <v>77</v>
      </c>
      <c r="AD46">
        <f t="shared" si="0"/>
        <v>77</v>
      </c>
      <c r="AE46">
        <f t="shared" si="2"/>
        <v>154</v>
      </c>
    </row>
    <row r="47" spans="1:31" x14ac:dyDescent="0.25">
      <c r="A47" t="s">
        <v>44</v>
      </c>
      <c r="B47" t="s">
        <v>53</v>
      </c>
      <c r="C47" t="s">
        <v>90</v>
      </c>
      <c r="D47">
        <v>129409</v>
      </c>
      <c r="E47" t="s">
        <v>149</v>
      </c>
      <c r="F47" t="s">
        <v>150</v>
      </c>
      <c r="G47" t="s">
        <v>57</v>
      </c>
      <c r="H47" t="s">
        <v>58</v>
      </c>
      <c r="I47" t="s">
        <v>46</v>
      </c>
      <c r="J47" t="s">
        <v>151</v>
      </c>
      <c r="K47" t="s">
        <v>47</v>
      </c>
      <c r="L47" s="11" t="s">
        <v>48</v>
      </c>
      <c r="M47">
        <v>36</v>
      </c>
      <c r="N47">
        <v>40</v>
      </c>
      <c r="O47">
        <v>40</v>
      </c>
      <c r="P47">
        <v>49</v>
      </c>
      <c r="Q47">
        <v>50</v>
      </c>
      <c r="R47">
        <v>32</v>
      </c>
      <c r="S47">
        <v>35</v>
      </c>
      <c r="T47">
        <v>44</v>
      </c>
      <c r="U47">
        <v>40</v>
      </c>
      <c r="V47">
        <v>30</v>
      </c>
      <c r="W47">
        <v>40</v>
      </c>
      <c r="X47">
        <v>39</v>
      </c>
      <c r="Y47">
        <v>40</v>
      </c>
      <c r="Z47">
        <v>39</v>
      </c>
      <c r="AA47">
        <v>0</v>
      </c>
      <c r="AB47">
        <v>0</v>
      </c>
      <c r="AC47">
        <f t="shared" si="0"/>
        <v>281</v>
      </c>
      <c r="AD47">
        <f t="shared" si="0"/>
        <v>273</v>
      </c>
      <c r="AE47">
        <f t="shared" si="2"/>
        <v>554</v>
      </c>
    </row>
    <row r="48" spans="1:31" x14ac:dyDescent="0.25">
      <c r="A48" t="s">
        <v>44</v>
      </c>
      <c r="B48" t="s">
        <v>53</v>
      </c>
      <c r="C48" t="s">
        <v>90</v>
      </c>
      <c r="D48">
        <v>257001</v>
      </c>
      <c r="E48" t="s">
        <v>152</v>
      </c>
      <c r="F48" t="s">
        <v>153</v>
      </c>
      <c r="G48" t="s">
        <v>57</v>
      </c>
      <c r="H48" t="s">
        <v>58</v>
      </c>
      <c r="I48" t="s">
        <v>46</v>
      </c>
      <c r="J48" t="s">
        <v>102</v>
      </c>
      <c r="K48" t="s">
        <v>47</v>
      </c>
      <c r="L48" s="11" t="s">
        <v>48</v>
      </c>
      <c r="M48">
        <v>19</v>
      </c>
      <c r="N48">
        <v>23</v>
      </c>
      <c r="O48">
        <v>24</v>
      </c>
      <c r="P48">
        <v>18</v>
      </c>
      <c r="Q48">
        <v>34</v>
      </c>
      <c r="R48">
        <v>23</v>
      </c>
      <c r="S48">
        <v>15</v>
      </c>
      <c r="T48">
        <v>16</v>
      </c>
      <c r="U48">
        <v>22</v>
      </c>
      <c r="V48">
        <v>20</v>
      </c>
      <c r="W48">
        <v>14</v>
      </c>
      <c r="X48">
        <v>18</v>
      </c>
      <c r="Y48">
        <v>17</v>
      </c>
      <c r="Z48">
        <v>17</v>
      </c>
      <c r="AA48">
        <v>0</v>
      </c>
      <c r="AB48">
        <v>0</v>
      </c>
      <c r="AC48">
        <f t="shared" si="0"/>
        <v>145</v>
      </c>
      <c r="AD48">
        <f t="shared" si="0"/>
        <v>135</v>
      </c>
      <c r="AE48">
        <f t="shared" si="2"/>
        <v>280</v>
      </c>
    </row>
    <row r="49" spans="1:31" x14ac:dyDescent="0.25">
      <c r="A49" t="s">
        <v>44</v>
      </c>
      <c r="B49" t="s">
        <v>53</v>
      </c>
      <c r="C49" t="s">
        <v>154</v>
      </c>
      <c r="D49">
        <v>102157</v>
      </c>
      <c r="E49" t="s">
        <v>155</v>
      </c>
      <c r="F49" t="s">
        <v>156</v>
      </c>
      <c r="G49" t="s">
        <v>57</v>
      </c>
      <c r="H49" t="s">
        <v>58</v>
      </c>
      <c r="I49" t="s">
        <v>46</v>
      </c>
      <c r="J49" t="s">
        <v>157</v>
      </c>
      <c r="K49" t="s">
        <v>47</v>
      </c>
      <c r="L49" s="11" t="s">
        <v>48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f t="shared" si="0"/>
        <v>0</v>
      </c>
      <c r="AD49">
        <f t="shared" si="0"/>
        <v>0</v>
      </c>
      <c r="AE49">
        <f t="shared" si="2"/>
        <v>0</v>
      </c>
    </row>
    <row r="50" spans="1:31" x14ac:dyDescent="0.25">
      <c r="A50" t="s">
        <v>44</v>
      </c>
      <c r="B50" t="s">
        <v>53</v>
      </c>
      <c r="C50" t="s">
        <v>154</v>
      </c>
      <c r="D50">
        <v>102164</v>
      </c>
      <c r="E50" t="s">
        <v>158</v>
      </c>
      <c r="F50" t="s">
        <v>159</v>
      </c>
      <c r="G50" t="s">
        <v>57</v>
      </c>
      <c r="H50" t="s">
        <v>58</v>
      </c>
      <c r="I50" t="s">
        <v>46</v>
      </c>
      <c r="J50" t="s">
        <v>160</v>
      </c>
      <c r="K50" t="s">
        <v>47</v>
      </c>
      <c r="L50" s="11" t="s">
        <v>48</v>
      </c>
      <c r="M50">
        <v>7</v>
      </c>
      <c r="N50">
        <v>6</v>
      </c>
      <c r="O50">
        <v>8</v>
      </c>
      <c r="P50">
        <v>8</v>
      </c>
      <c r="Q50">
        <v>3</v>
      </c>
      <c r="R50">
        <v>8</v>
      </c>
      <c r="S50">
        <v>7</v>
      </c>
      <c r="T50">
        <v>9</v>
      </c>
      <c r="U50">
        <v>7</v>
      </c>
      <c r="V50">
        <v>4</v>
      </c>
      <c r="W50">
        <v>6</v>
      </c>
      <c r="X50">
        <v>4</v>
      </c>
      <c r="Y50">
        <v>7</v>
      </c>
      <c r="Z50">
        <v>5</v>
      </c>
      <c r="AA50">
        <v>0</v>
      </c>
      <c r="AB50">
        <v>0</v>
      </c>
      <c r="AC50">
        <f t="shared" si="0"/>
        <v>45</v>
      </c>
      <c r="AD50">
        <f t="shared" si="0"/>
        <v>44</v>
      </c>
      <c r="AE50">
        <f t="shared" si="2"/>
        <v>89</v>
      </c>
    </row>
    <row r="51" spans="1:31" x14ac:dyDescent="0.25">
      <c r="A51" t="s">
        <v>44</v>
      </c>
      <c r="B51" t="s">
        <v>53</v>
      </c>
      <c r="C51" t="s">
        <v>154</v>
      </c>
      <c r="D51">
        <v>129410</v>
      </c>
      <c r="E51" t="s">
        <v>161</v>
      </c>
      <c r="F51" t="s">
        <v>162</v>
      </c>
      <c r="G51" t="s">
        <v>57</v>
      </c>
      <c r="H51" t="s">
        <v>58</v>
      </c>
      <c r="I51" t="s">
        <v>46</v>
      </c>
      <c r="J51" t="s">
        <v>163</v>
      </c>
      <c r="K51" t="s">
        <v>47</v>
      </c>
      <c r="L51" s="11" t="s">
        <v>48</v>
      </c>
      <c r="M51">
        <v>5</v>
      </c>
      <c r="N51">
        <v>9</v>
      </c>
      <c r="O51">
        <v>7</v>
      </c>
      <c r="P51">
        <v>9</v>
      </c>
      <c r="Q51">
        <v>5</v>
      </c>
      <c r="R51">
        <v>10</v>
      </c>
      <c r="S51">
        <v>6</v>
      </c>
      <c r="T51">
        <v>5</v>
      </c>
      <c r="U51">
        <v>10</v>
      </c>
      <c r="V51">
        <v>6</v>
      </c>
      <c r="W51">
        <v>6</v>
      </c>
      <c r="X51">
        <v>5</v>
      </c>
      <c r="Y51">
        <v>5</v>
      </c>
      <c r="Z51">
        <v>6</v>
      </c>
      <c r="AA51">
        <v>0</v>
      </c>
      <c r="AB51">
        <v>0</v>
      </c>
      <c r="AC51">
        <f t="shared" si="0"/>
        <v>44</v>
      </c>
      <c r="AD51">
        <f t="shared" si="0"/>
        <v>50</v>
      </c>
      <c r="AE51">
        <f t="shared" si="2"/>
        <v>94</v>
      </c>
    </row>
    <row r="52" spans="1:31" x14ac:dyDescent="0.25">
      <c r="A52" t="s">
        <v>44</v>
      </c>
      <c r="B52" t="s">
        <v>53</v>
      </c>
      <c r="C52" t="s">
        <v>154</v>
      </c>
      <c r="D52">
        <v>129412</v>
      </c>
      <c r="E52" t="s">
        <v>164</v>
      </c>
      <c r="F52" t="s">
        <v>165</v>
      </c>
      <c r="G52" t="s">
        <v>57</v>
      </c>
      <c r="H52" t="s">
        <v>58</v>
      </c>
      <c r="I52" t="s">
        <v>46</v>
      </c>
      <c r="J52" t="s">
        <v>166</v>
      </c>
      <c r="K52" t="s">
        <v>47</v>
      </c>
      <c r="L52" s="11" t="s">
        <v>48</v>
      </c>
      <c r="M52">
        <v>8</v>
      </c>
      <c r="N52">
        <v>4</v>
      </c>
      <c r="O52">
        <v>9</v>
      </c>
      <c r="P52">
        <v>10</v>
      </c>
      <c r="Q52">
        <v>4</v>
      </c>
      <c r="R52">
        <v>8</v>
      </c>
      <c r="S52">
        <v>6</v>
      </c>
      <c r="T52">
        <v>7</v>
      </c>
      <c r="U52">
        <v>8</v>
      </c>
      <c r="V52">
        <v>4</v>
      </c>
      <c r="W52">
        <v>9</v>
      </c>
      <c r="X52">
        <v>4</v>
      </c>
      <c r="Y52">
        <v>5</v>
      </c>
      <c r="Z52">
        <v>5</v>
      </c>
      <c r="AA52">
        <v>0</v>
      </c>
      <c r="AB52">
        <v>0</v>
      </c>
      <c r="AC52">
        <f t="shared" si="0"/>
        <v>49</v>
      </c>
      <c r="AD52">
        <f t="shared" si="0"/>
        <v>42</v>
      </c>
      <c r="AE52">
        <f t="shared" si="2"/>
        <v>91</v>
      </c>
    </row>
    <row r="53" spans="1:31" x14ac:dyDescent="0.25">
      <c r="A53" t="s">
        <v>44</v>
      </c>
      <c r="B53" t="s">
        <v>53</v>
      </c>
      <c r="C53" t="s">
        <v>154</v>
      </c>
      <c r="D53">
        <v>129413</v>
      </c>
      <c r="E53" t="s">
        <v>167</v>
      </c>
      <c r="F53" t="s">
        <v>168</v>
      </c>
      <c r="G53" t="s">
        <v>57</v>
      </c>
      <c r="H53" t="s">
        <v>58</v>
      </c>
      <c r="I53" t="s">
        <v>46</v>
      </c>
      <c r="J53" t="s">
        <v>163</v>
      </c>
      <c r="K53" t="s">
        <v>47</v>
      </c>
      <c r="L53" s="11" t="s">
        <v>48</v>
      </c>
      <c r="M53">
        <v>22</v>
      </c>
      <c r="N53">
        <v>20</v>
      </c>
      <c r="O53">
        <v>9</v>
      </c>
      <c r="P53">
        <v>11</v>
      </c>
      <c r="Q53">
        <v>12</v>
      </c>
      <c r="R53">
        <v>16</v>
      </c>
      <c r="S53">
        <v>20</v>
      </c>
      <c r="T53">
        <v>15</v>
      </c>
      <c r="U53">
        <v>21</v>
      </c>
      <c r="V53">
        <v>18</v>
      </c>
      <c r="W53">
        <v>20</v>
      </c>
      <c r="X53">
        <v>23</v>
      </c>
      <c r="Y53">
        <v>17</v>
      </c>
      <c r="Z53">
        <v>21</v>
      </c>
      <c r="AA53">
        <v>0</v>
      </c>
      <c r="AB53">
        <v>0</v>
      </c>
      <c r="AC53">
        <f t="shared" si="0"/>
        <v>121</v>
      </c>
      <c r="AD53">
        <f t="shared" si="0"/>
        <v>124</v>
      </c>
      <c r="AE53">
        <f t="shared" si="2"/>
        <v>245</v>
      </c>
    </row>
    <row r="54" spans="1:31" x14ac:dyDescent="0.25">
      <c r="A54" t="s">
        <v>44</v>
      </c>
      <c r="B54" t="s">
        <v>53</v>
      </c>
      <c r="C54" t="s">
        <v>154</v>
      </c>
      <c r="D54">
        <v>129414</v>
      </c>
      <c r="E54" t="s">
        <v>169</v>
      </c>
      <c r="F54" t="s">
        <v>170</v>
      </c>
      <c r="G54" t="s">
        <v>57</v>
      </c>
      <c r="H54" t="s">
        <v>58</v>
      </c>
      <c r="I54" t="s">
        <v>46</v>
      </c>
      <c r="J54" t="s">
        <v>171</v>
      </c>
      <c r="K54" t="s">
        <v>47</v>
      </c>
      <c r="L54" s="11" t="s">
        <v>48</v>
      </c>
      <c r="M54">
        <v>20</v>
      </c>
      <c r="N54">
        <v>13</v>
      </c>
      <c r="O54">
        <v>32</v>
      </c>
      <c r="P54">
        <v>19</v>
      </c>
      <c r="Q54">
        <v>34</v>
      </c>
      <c r="R54">
        <v>28</v>
      </c>
      <c r="S54">
        <v>19</v>
      </c>
      <c r="T54">
        <v>26</v>
      </c>
      <c r="U54">
        <v>29</v>
      </c>
      <c r="V54">
        <v>23</v>
      </c>
      <c r="W54">
        <v>21</v>
      </c>
      <c r="X54">
        <v>23</v>
      </c>
      <c r="Y54">
        <v>19</v>
      </c>
      <c r="Z54">
        <v>20</v>
      </c>
      <c r="AA54">
        <v>0</v>
      </c>
      <c r="AB54">
        <v>0</v>
      </c>
      <c r="AC54">
        <f t="shared" si="0"/>
        <v>174</v>
      </c>
      <c r="AD54">
        <f t="shared" si="0"/>
        <v>152</v>
      </c>
      <c r="AE54">
        <f t="shared" si="2"/>
        <v>326</v>
      </c>
    </row>
    <row r="55" spans="1:31" x14ac:dyDescent="0.25">
      <c r="A55" t="s">
        <v>44</v>
      </c>
      <c r="B55" t="s">
        <v>53</v>
      </c>
      <c r="C55" t="s">
        <v>154</v>
      </c>
      <c r="D55">
        <v>129417</v>
      </c>
      <c r="E55" t="s">
        <v>172</v>
      </c>
      <c r="F55" t="s">
        <v>173</v>
      </c>
      <c r="G55" t="s">
        <v>57</v>
      </c>
      <c r="H55" t="s">
        <v>58</v>
      </c>
      <c r="I55" t="s">
        <v>46</v>
      </c>
      <c r="J55" t="s">
        <v>157</v>
      </c>
      <c r="K55" t="s">
        <v>47</v>
      </c>
      <c r="L55" s="11" t="s">
        <v>48</v>
      </c>
      <c r="M55">
        <v>28</v>
      </c>
      <c r="N55">
        <v>7</v>
      </c>
      <c r="O55">
        <v>38</v>
      </c>
      <c r="P55">
        <v>31</v>
      </c>
      <c r="Q55">
        <v>36</v>
      </c>
      <c r="R55">
        <v>37</v>
      </c>
      <c r="S55">
        <v>31</v>
      </c>
      <c r="T55">
        <v>28</v>
      </c>
      <c r="U55">
        <v>32</v>
      </c>
      <c r="V55">
        <v>31</v>
      </c>
      <c r="W55">
        <v>19</v>
      </c>
      <c r="X55">
        <v>32</v>
      </c>
      <c r="Y55">
        <v>23</v>
      </c>
      <c r="Z55">
        <v>24</v>
      </c>
      <c r="AA55">
        <v>0</v>
      </c>
      <c r="AB55">
        <v>0</v>
      </c>
      <c r="AC55">
        <f t="shared" si="0"/>
        <v>207</v>
      </c>
      <c r="AD55">
        <f t="shared" si="0"/>
        <v>190</v>
      </c>
      <c r="AE55">
        <f t="shared" si="2"/>
        <v>397</v>
      </c>
    </row>
    <row r="56" spans="1:31" x14ac:dyDescent="0.25">
      <c r="A56" t="s">
        <v>44</v>
      </c>
      <c r="B56" t="s">
        <v>53</v>
      </c>
      <c r="C56" t="s">
        <v>154</v>
      </c>
      <c r="D56">
        <v>129418</v>
      </c>
      <c r="E56" t="s">
        <v>174</v>
      </c>
      <c r="F56" t="s">
        <v>175</v>
      </c>
      <c r="G56" t="s">
        <v>57</v>
      </c>
      <c r="H56" t="s">
        <v>58</v>
      </c>
      <c r="I56" t="s">
        <v>46</v>
      </c>
      <c r="J56" t="s">
        <v>157</v>
      </c>
      <c r="K56" t="s">
        <v>47</v>
      </c>
      <c r="L56" s="11" t="s">
        <v>48</v>
      </c>
      <c r="M56">
        <v>5</v>
      </c>
      <c r="N56">
        <v>1</v>
      </c>
      <c r="O56">
        <v>2</v>
      </c>
      <c r="P56">
        <v>2</v>
      </c>
      <c r="Q56">
        <v>9</v>
      </c>
      <c r="R56">
        <v>15</v>
      </c>
      <c r="S56">
        <v>5</v>
      </c>
      <c r="T56">
        <v>3</v>
      </c>
      <c r="U56">
        <v>3</v>
      </c>
      <c r="V56">
        <v>2</v>
      </c>
      <c r="W56">
        <v>8</v>
      </c>
      <c r="X56">
        <v>9</v>
      </c>
      <c r="Y56">
        <v>6</v>
      </c>
      <c r="Z56">
        <v>3</v>
      </c>
      <c r="AA56">
        <v>0</v>
      </c>
      <c r="AB56">
        <v>0</v>
      </c>
      <c r="AC56">
        <f t="shared" si="0"/>
        <v>38</v>
      </c>
      <c r="AD56">
        <f t="shared" si="0"/>
        <v>35</v>
      </c>
      <c r="AE56">
        <f t="shared" si="2"/>
        <v>73</v>
      </c>
    </row>
    <row r="57" spans="1:31" x14ac:dyDescent="0.25">
      <c r="A57" t="s">
        <v>44</v>
      </c>
      <c r="B57" t="s">
        <v>53</v>
      </c>
      <c r="C57" t="s">
        <v>154</v>
      </c>
      <c r="D57">
        <v>129419</v>
      </c>
      <c r="E57" t="s">
        <v>176</v>
      </c>
      <c r="F57" t="s">
        <v>177</v>
      </c>
      <c r="G57" t="s">
        <v>57</v>
      </c>
      <c r="H57" t="s">
        <v>58</v>
      </c>
      <c r="I57" t="s">
        <v>46</v>
      </c>
      <c r="J57" t="s">
        <v>178</v>
      </c>
      <c r="K57" t="s">
        <v>47</v>
      </c>
      <c r="L57" s="11" t="s">
        <v>48</v>
      </c>
      <c r="M57">
        <v>14</v>
      </c>
      <c r="N57">
        <v>7</v>
      </c>
      <c r="O57">
        <v>21</v>
      </c>
      <c r="P57">
        <v>17</v>
      </c>
      <c r="Q57">
        <v>14</v>
      </c>
      <c r="R57">
        <v>20</v>
      </c>
      <c r="S57">
        <v>14</v>
      </c>
      <c r="T57">
        <v>11</v>
      </c>
      <c r="U57">
        <v>14</v>
      </c>
      <c r="V57">
        <v>11</v>
      </c>
      <c r="W57">
        <v>16</v>
      </c>
      <c r="X57">
        <v>16</v>
      </c>
      <c r="Y57">
        <v>14</v>
      </c>
      <c r="Z57">
        <v>11</v>
      </c>
      <c r="AA57">
        <v>0</v>
      </c>
      <c r="AB57">
        <v>0</v>
      </c>
      <c r="AC57">
        <f t="shared" si="0"/>
        <v>107</v>
      </c>
      <c r="AD57">
        <f t="shared" si="0"/>
        <v>93</v>
      </c>
      <c r="AE57">
        <f t="shared" si="2"/>
        <v>200</v>
      </c>
    </row>
    <row r="58" spans="1:31" x14ac:dyDescent="0.25">
      <c r="A58" t="s">
        <v>44</v>
      </c>
      <c r="B58" t="s">
        <v>53</v>
      </c>
      <c r="C58" t="s">
        <v>154</v>
      </c>
      <c r="D58">
        <v>129420</v>
      </c>
      <c r="E58" t="s">
        <v>179</v>
      </c>
      <c r="F58" t="s">
        <v>180</v>
      </c>
      <c r="G58" t="s">
        <v>57</v>
      </c>
      <c r="H58" t="s">
        <v>58</v>
      </c>
      <c r="I58" t="s">
        <v>46</v>
      </c>
      <c r="J58" t="s">
        <v>180</v>
      </c>
      <c r="K58" t="s">
        <v>47</v>
      </c>
      <c r="L58" s="11" t="s">
        <v>48</v>
      </c>
      <c r="M58">
        <v>13</v>
      </c>
      <c r="N58">
        <v>9</v>
      </c>
      <c r="O58">
        <v>23</v>
      </c>
      <c r="P58">
        <v>20</v>
      </c>
      <c r="Q58">
        <v>15</v>
      </c>
      <c r="R58">
        <v>15</v>
      </c>
      <c r="S58">
        <v>14</v>
      </c>
      <c r="T58">
        <v>8</v>
      </c>
      <c r="U58">
        <v>18</v>
      </c>
      <c r="V58">
        <v>11</v>
      </c>
      <c r="W58">
        <v>10</v>
      </c>
      <c r="X58">
        <v>13</v>
      </c>
      <c r="Y58">
        <v>12</v>
      </c>
      <c r="Z58">
        <v>11</v>
      </c>
      <c r="AA58">
        <v>0</v>
      </c>
      <c r="AB58">
        <v>0</v>
      </c>
      <c r="AC58">
        <f t="shared" si="0"/>
        <v>105</v>
      </c>
      <c r="AD58">
        <f t="shared" si="0"/>
        <v>87</v>
      </c>
      <c r="AE58">
        <f t="shared" si="2"/>
        <v>192</v>
      </c>
    </row>
    <row r="59" spans="1:31" x14ac:dyDescent="0.25">
      <c r="A59" t="s">
        <v>44</v>
      </c>
      <c r="B59" t="s">
        <v>53</v>
      </c>
      <c r="C59" t="s">
        <v>154</v>
      </c>
      <c r="D59">
        <v>129421</v>
      </c>
      <c r="E59" t="s">
        <v>181</v>
      </c>
      <c r="F59" t="s">
        <v>182</v>
      </c>
      <c r="G59" t="s">
        <v>57</v>
      </c>
      <c r="H59" t="s">
        <v>58</v>
      </c>
      <c r="I59" t="s">
        <v>46</v>
      </c>
      <c r="J59" t="s">
        <v>163</v>
      </c>
      <c r="K59" t="s">
        <v>47</v>
      </c>
      <c r="L59" s="11" t="s">
        <v>48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f t="shared" si="0"/>
        <v>0</v>
      </c>
      <c r="AD59">
        <f t="shared" si="0"/>
        <v>0</v>
      </c>
      <c r="AE59">
        <f t="shared" si="2"/>
        <v>0</v>
      </c>
    </row>
    <row r="60" spans="1:31" x14ac:dyDescent="0.25">
      <c r="A60" t="s">
        <v>44</v>
      </c>
      <c r="B60" t="s">
        <v>53</v>
      </c>
      <c r="C60" t="s">
        <v>154</v>
      </c>
      <c r="D60">
        <v>129422</v>
      </c>
      <c r="E60" t="s">
        <v>183</v>
      </c>
      <c r="F60" t="s">
        <v>184</v>
      </c>
      <c r="G60" t="s">
        <v>57</v>
      </c>
      <c r="H60" t="s">
        <v>58</v>
      </c>
      <c r="I60" t="s">
        <v>46</v>
      </c>
      <c r="J60" t="s">
        <v>157</v>
      </c>
      <c r="K60" t="s">
        <v>47</v>
      </c>
      <c r="L60" s="11" t="s">
        <v>48</v>
      </c>
      <c r="M60">
        <v>4</v>
      </c>
      <c r="N60">
        <v>2</v>
      </c>
      <c r="O60">
        <v>13</v>
      </c>
      <c r="P60">
        <v>11</v>
      </c>
      <c r="Q60">
        <v>13</v>
      </c>
      <c r="R60">
        <v>10</v>
      </c>
      <c r="S60">
        <v>4</v>
      </c>
      <c r="T60">
        <v>4</v>
      </c>
      <c r="U60">
        <v>7</v>
      </c>
      <c r="V60">
        <v>7</v>
      </c>
      <c r="W60">
        <v>6</v>
      </c>
      <c r="X60">
        <v>5</v>
      </c>
      <c r="Y60">
        <v>4</v>
      </c>
      <c r="Z60">
        <v>6</v>
      </c>
      <c r="AA60">
        <v>0</v>
      </c>
      <c r="AB60">
        <v>0</v>
      </c>
      <c r="AC60">
        <f t="shared" si="0"/>
        <v>51</v>
      </c>
      <c r="AD60">
        <f t="shared" si="0"/>
        <v>45</v>
      </c>
      <c r="AE60">
        <f t="shared" si="2"/>
        <v>96</v>
      </c>
    </row>
    <row r="61" spans="1:31" x14ac:dyDescent="0.25">
      <c r="A61" t="s">
        <v>44</v>
      </c>
      <c r="B61" t="s">
        <v>53</v>
      </c>
      <c r="C61" t="s">
        <v>154</v>
      </c>
      <c r="D61">
        <v>501085</v>
      </c>
      <c r="E61" t="s">
        <v>185</v>
      </c>
      <c r="F61" t="s">
        <v>186</v>
      </c>
      <c r="G61" t="s">
        <v>57</v>
      </c>
      <c r="H61" t="s">
        <v>58</v>
      </c>
      <c r="I61" t="s">
        <v>46</v>
      </c>
      <c r="J61" t="s">
        <v>187</v>
      </c>
      <c r="K61" t="s">
        <v>51</v>
      </c>
      <c r="L61" s="11" t="s">
        <v>52</v>
      </c>
      <c r="M61">
        <v>22</v>
      </c>
      <c r="N61">
        <v>24</v>
      </c>
      <c r="O61">
        <v>37</v>
      </c>
      <c r="P61">
        <v>30</v>
      </c>
      <c r="Q61">
        <v>25</v>
      </c>
      <c r="R61">
        <v>30</v>
      </c>
      <c r="S61">
        <v>32</v>
      </c>
      <c r="T61">
        <v>23</v>
      </c>
      <c r="U61">
        <v>23</v>
      </c>
      <c r="V61">
        <v>24</v>
      </c>
      <c r="W61">
        <v>27</v>
      </c>
      <c r="X61">
        <v>29</v>
      </c>
      <c r="Y61">
        <v>29</v>
      </c>
      <c r="Z61">
        <v>38</v>
      </c>
      <c r="AA61">
        <v>0</v>
      </c>
      <c r="AB61">
        <v>0</v>
      </c>
      <c r="AC61">
        <f t="shared" si="0"/>
        <v>195</v>
      </c>
      <c r="AD61">
        <f t="shared" si="0"/>
        <v>198</v>
      </c>
      <c r="AE61">
        <f t="shared" si="2"/>
        <v>393</v>
      </c>
    </row>
    <row r="62" spans="1:31" x14ac:dyDescent="0.25">
      <c r="A62" t="s">
        <v>44</v>
      </c>
      <c r="B62" t="s">
        <v>53</v>
      </c>
      <c r="C62" t="s">
        <v>154</v>
      </c>
      <c r="D62">
        <v>501086</v>
      </c>
      <c r="E62" t="s">
        <v>188</v>
      </c>
      <c r="F62" t="s">
        <v>189</v>
      </c>
      <c r="G62" t="s">
        <v>57</v>
      </c>
      <c r="H62" t="s">
        <v>58</v>
      </c>
      <c r="I62" t="s">
        <v>46</v>
      </c>
      <c r="J62" t="s">
        <v>190</v>
      </c>
      <c r="K62" t="s">
        <v>51</v>
      </c>
      <c r="L62" s="11" t="s">
        <v>52</v>
      </c>
      <c r="M62">
        <v>11</v>
      </c>
      <c r="N62">
        <v>11</v>
      </c>
      <c r="O62">
        <v>17</v>
      </c>
      <c r="P62">
        <v>12</v>
      </c>
      <c r="Q62">
        <v>16</v>
      </c>
      <c r="R62">
        <v>11</v>
      </c>
      <c r="S62">
        <v>16</v>
      </c>
      <c r="T62">
        <v>14</v>
      </c>
      <c r="U62">
        <v>13</v>
      </c>
      <c r="V62">
        <v>17</v>
      </c>
      <c r="W62">
        <v>20</v>
      </c>
      <c r="X62">
        <v>14</v>
      </c>
      <c r="Y62">
        <v>12</v>
      </c>
      <c r="Z62">
        <v>9</v>
      </c>
      <c r="AA62">
        <v>0</v>
      </c>
      <c r="AB62">
        <v>0</v>
      </c>
      <c r="AC62">
        <f t="shared" si="0"/>
        <v>105</v>
      </c>
      <c r="AD62">
        <f t="shared" si="0"/>
        <v>88</v>
      </c>
      <c r="AE62">
        <f t="shared" si="2"/>
        <v>193</v>
      </c>
    </row>
    <row r="63" spans="1:31" x14ac:dyDescent="0.25">
      <c r="A63" t="s">
        <v>44</v>
      </c>
      <c r="B63" t="s">
        <v>53</v>
      </c>
      <c r="C63" t="s">
        <v>154</v>
      </c>
      <c r="D63">
        <v>501087</v>
      </c>
      <c r="E63" t="s">
        <v>191</v>
      </c>
      <c r="F63" t="s">
        <v>192</v>
      </c>
      <c r="G63" t="s">
        <v>57</v>
      </c>
      <c r="H63" t="s">
        <v>58</v>
      </c>
      <c r="I63" t="s">
        <v>46</v>
      </c>
      <c r="J63" t="s">
        <v>160</v>
      </c>
      <c r="K63" t="s">
        <v>51</v>
      </c>
      <c r="L63" s="11" t="s">
        <v>52</v>
      </c>
      <c r="M63">
        <v>4</v>
      </c>
      <c r="N63">
        <v>7</v>
      </c>
      <c r="O63">
        <v>6</v>
      </c>
      <c r="P63">
        <v>8</v>
      </c>
      <c r="Q63">
        <v>14</v>
      </c>
      <c r="R63">
        <v>11</v>
      </c>
      <c r="S63">
        <v>12</v>
      </c>
      <c r="T63">
        <v>10</v>
      </c>
      <c r="U63">
        <v>11</v>
      </c>
      <c r="V63">
        <v>10</v>
      </c>
      <c r="W63">
        <v>8</v>
      </c>
      <c r="X63">
        <v>9</v>
      </c>
      <c r="Y63">
        <v>6</v>
      </c>
      <c r="Z63">
        <v>15</v>
      </c>
      <c r="AA63">
        <v>0</v>
      </c>
      <c r="AB63">
        <v>0</v>
      </c>
      <c r="AC63">
        <f t="shared" si="0"/>
        <v>61</v>
      </c>
      <c r="AD63">
        <f t="shared" si="0"/>
        <v>70</v>
      </c>
      <c r="AE63">
        <f t="shared" si="2"/>
        <v>131</v>
      </c>
    </row>
    <row r="64" spans="1:31" x14ac:dyDescent="0.25">
      <c r="A64" t="s">
        <v>44</v>
      </c>
      <c r="B64" t="s">
        <v>193</v>
      </c>
      <c r="C64" t="s">
        <v>194</v>
      </c>
      <c r="D64">
        <v>128837</v>
      </c>
      <c r="E64" t="s">
        <v>195</v>
      </c>
      <c r="F64" t="s">
        <v>196</v>
      </c>
      <c r="G64" t="s">
        <v>197</v>
      </c>
      <c r="H64" t="s">
        <v>198</v>
      </c>
      <c r="I64" t="s">
        <v>199</v>
      </c>
      <c r="J64" t="s">
        <v>200</v>
      </c>
      <c r="K64" t="s">
        <v>47</v>
      </c>
      <c r="L64" s="11" t="s">
        <v>48</v>
      </c>
      <c r="M64">
        <v>25</v>
      </c>
      <c r="N64">
        <v>14</v>
      </c>
      <c r="O64">
        <v>12</v>
      </c>
      <c r="P64">
        <v>16</v>
      </c>
      <c r="Q64">
        <v>26</v>
      </c>
      <c r="R64">
        <v>34</v>
      </c>
      <c r="S64">
        <v>18</v>
      </c>
      <c r="T64">
        <v>15</v>
      </c>
      <c r="U64">
        <v>19</v>
      </c>
      <c r="V64">
        <v>20</v>
      </c>
      <c r="W64">
        <v>21</v>
      </c>
      <c r="X64">
        <v>30</v>
      </c>
      <c r="Y64">
        <v>27</v>
      </c>
      <c r="Z64">
        <v>27</v>
      </c>
      <c r="AA64">
        <v>0</v>
      </c>
      <c r="AB64">
        <v>1</v>
      </c>
      <c r="AC64">
        <f t="shared" si="0"/>
        <v>148</v>
      </c>
      <c r="AD64">
        <f t="shared" si="0"/>
        <v>157</v>
      </c>
      <c r="AE64">
        <f t="shared" si="2"/>
        <v>305</v>
      </c>
    </row>
    <row r="65" spans="1:31" x14ac:dyDescent="0.25">
      <c r="A65" t="s">
        <v>44</v>
      </c>
      <c r="B65" t="s">
        <v>193</v>
      </c>
      <c r="C65" t="s">
        <v>194</v>
      </c>
      <c r="D65">
        <v>128838</v>
      </c>
      <c r="E65" t="s">
        <v>201</v>
      </c>
      <c r="F65" t="s">
        <v>196</v>
      </c>
      <c r="G65" t="s">
        <v>197</v>
      </c>
      <c r="H65" t="s">
        <v>198</v>
      </c>
      <c r="I65" t="s">
        <v>199</v>
      </c>
      <c r="J65" t="s">
        <v>202</v>
      </c>
      <c r="K65" t="s">
        <v>47</v>
      </c>
      <c r="L65" s="11" t="s">
        <v>48</v>
      </c>
      <c r="M65">
        <v>29</v>
      </c>
      <c r="N65">
        <v>35</v>
      </c>
      <c r="O65">
        <v>30</v>
      </c>
      <c r="P65">
        <v>41</v>
      </c>
      <c r="Q65">
        <v>45</v>
      </c>
      <c r="R65">
        <v>48</v>
      </c>
      <c r="S65">
        <v>33</v>
      </c>
      <c r="T65">
        <v>30</v>
      </c>
      <c r="U65">
        <v>50</v>
      </c>
      <c r="V65">
        <v>36</v>
      </c>
      <c r="W65">
        <v>47</v>
      </c>
      <c r="X65">
        <v>37</v>
      </c>
      <c r="Y65">
        <v>53</v>
      </c>
      <c r="Z65">
        <v>49</v>
      </c>
      <c r="AA65">
        <v>0</v>
      </c>
      <c r="AB65">
        <v>0</v>
      </c>
      <c r="AC65">
        <f t="shared" si="0"/>
        <v>287</v>
      </c>
      <c r="AD65">
        <f t="shared" si="0"/>
        <v>276</v>
      </c>
      <c r="AE65">
        <f t="shared" si="2"/>
        <v>563</v>
      </c>
    </row>
    <row r="66" spans="1:31" x14ac:dyDescent="0.25">
      <c r="A66" t="s">
        <v>44</v>
      </c>
      <c r="B66" t="s">
        <v>193</v>
      </c>
      <c r="C66" t="s">
        <v>194</v>
      </c>
      <c r="D66">
        <v>128839</v>
      </c>
      <c r="E66" t="s">
        <v>203</v>
      </c>
      <c r="F66" t="s">
        <v>204</v>
      </c>
      <c r="G66" t="s">
        <v>197</v>
      </c>
      <c r="H66" t="s">
        <v>198</v>
      </c>
      <c r="I66" t="s">
        <v>199</v>
      </c>
      <c r="J66" t="s">
        <v>205</v>
      </c>
      <c r="K66" t="s">
        <v>47</v>
      </c>
      <c r="L66" s="11" t="s">
        <v>48</v>
      </c>
      <c r="M66">
        <v>15</v>
      </c>
      <c r="N66">
        <v>15</v>
      </c>
      <c r="O66">
        <v>20</v>
      </c>
      <c r="P66">
        <v>10</v>
      </c>
      <c r="Q66">
        <v>25</v>
      </c>
      <c r="R66">
        <v>17</v>
      </c>
      <c r="S66">
        <v>16</v>
      </c>
      <c r="T66">
        <v>12</v>
      </c>
      <c r="U66">
        <v>12</v>
      </c>
      <c r="V66">
        <v>13</v>
      </c>
      <c r="W66">
        <v>20</v>
      </c>
      <c r="X66">
        <v>23</v>
      </c>
      <c r="Y66">
        <v>30</v>
      </c>
      <c r="Z66">
        <v>12</v>
      </c>
      <c r="AA66">
        <v>0</v>
      </c>
      <c r="AB66">
        <v>0</v>
      </c>
      <c r="AC66">
        <f t="shared" si="0"/>
        <v>138</v>
      </c>
      <c r="AD66">
        <f t="shared" si="0"/>
        <v>102</v>
      </c>
      <c r="AE66">
        <f t="shared" si="2"/>
        <v>240</v>
      </c>
    </row>
    <row r="67" spans="1:31" x14ac:dyDescent="0.25">
      <c r="A67" t="s">
        <v>44</v>
      </c>
      <c r="B67" t="s">
        <v>193</v>
      </c>
      <c r="C67" t="s">
        <v>194</v>
      </c>
      <c r="D67">
        <v>128840</v>
      </c>
      <c r="E67" t="s">
        <v>206</v>
      </c>
      <c r="F67" t="s">
        <v>207</v>
      </c>
      <c r="G67" t="s">
        <v>197</v>
      </c>
      <c r="H67" t="s">
        <v>198</v>
      </c>
      <c r="I67" t="s">
        <v>199</v>
      </c>
      <c r="J67" t="s">
        <v>208</v>
      </c>
      <c r="K67" t="s">
        <v>47</v>
      </c>
      <c r="L67" s="11" t="s">
        <v>48</v>
      </c>
      <c r="M67">
        <v>37</v>
      </c>
      <c r="N67">
        <v>49</v>
      </c>
      <c r="O67">
        <v>47</v>
      </c>
      <c r="P67">
        <v>44</v>
      </c>
      <c r="Q67">
        <v>49</v>
      </c>
      <c r="R67">
        <v>45</v>
      </c>
      <c r="S67">
        <v>56</v>
      </c>
      <c r="T67">
        <v>31</v>
      </c>
      <c r="U67">
        <v>50</v>
      </c>
      <c r="V67">
        <v>43</v>
      </c>
      <c r="W67">
        <v>52</v>
      </c>
      <c r="X67">
        <v>51</v>
      </c>
      <c r="Y67">
        <v>56</v>
      </c>
      <c r="Z67">
        <v>44</v>
      </c>
      <c r="AA67">
        <v>0</v>
      </c>
      <c r="AB67">
        <v>0</v>
      </c>
      <c r="AC67">
        <f t="shared" si="0"/>
        <v>347</v>
      </c>
      <c r="AD67">
        <f t="shared" si="0"/>
        <v>307</v>
      </c>
      <c r="AE67">
        <f t="shared" si="2"/>
        <v>654</v>
      </c>
    </row>
    <row r="68" spans="1:31" x14ac:dyDescent="0.25">
      <c r="A68" t="s">
        <v>44</v>
      </c>
      <c r="B68" t="s">
        <v>193</v>
      </c>
      <c r="C68" t="s">
        <v>194</v>
      </c>
      <c r="D68">
        <v>128841</v>
      </c>
      <c r="E68" t="s">
        <v>209</v>
      </c>
      <c r="F68" t="s">
        <v>196</v>
      </c>
      <c r="G68" t="s">
        <v>197</v>
      </c>
      <c r="H68" t="s">
        <v>198</v>
      </c>
      <c r="I68" t="s">
        <v>199</v>
      </c>
      <c r="J68" t="s">
        <v>210</v>
      </c>
      <c r="K68" t="s">
        <v>47</v>
      </c>
      <c r="L68" s="11" t="s">
        <v>48</v>
      </c>
      <c r="M68">
        <v>47</v>
      </c>
      <c r="N68">
        <v>47</v>
      </c>
      <c r="O68">
        <v>52</v>
      </c>
      <c r="P68">
        <v>58</v>
      </c>
      <c r="Q68">
        <v>54</v>
      </c>
      <c r="R68">
        <v>60</v>
      </c>
      <c r="S68">
        <v>36</v>
      </c>
      <c r="T68">
        <v>47</v>
      </c>
      <c r="U68">
        <v>50</v>
      </c>
      <c r="V68">
        <v>45</v>
      </c>
      <c r="W68">
        <v>56</v>
      </c>
      <c r="X68">
        <v>45</v>
      </c>
      <c r="Y68">
        <v>59</v>
      </c>
      <c r="Z68">
        <v>59</v>
      </c>
      <c r="AA68">
        <v>0</v>
      </c>
      <c r="AB68">
        <v>0</v>
      </c>
      <c r="AC68">
        <f t="shared" si="0"/>
        <v>354</v>
      </c>
      <c r="AD68">
        <f t="shared" si="0"/>
        <v>361</v>
      </c>
      <c r="AE68">
        <f t="shared" si="2"/>
        <v>715</v>
      </c>
    </row>
    <row r="69" spans="1:31" x14ac:dyDescent="0.25">
      <c r="A69" t="s">
        <v>44</v>
      </c>
      <c r="B69" t="s">
        <v>193</v>
      </c>
      <c r="C69" t="s">
        <v>194</v>
      </c>
      <c r="D69">
        <v>128842</v>
      </c>
      <c r="E69" t="s">
        <v>211</v>
      </c>
      <c r="F69" t="s">
        <v>196</v>
      </c>
      <c r="G69" t="s">
        <v>197</v>
      </c>
      <c r="H69" t="s">
        <v>198</v>
      </c>
      <c r="I69" t="s">
        <v>199</v>
      </c>
      <c r="J69" t="s">
        <v>212</v>
      </c>
      <c r="K69" t="s">
        <v>47</v>
      </c>
      <c r="L69" s="11" t="s">
        <v>48</v>
      </c>
      <c r="M69">
        <v>18</v>
      </c>
      <c r="N69">
        <v>9</v>
      </c>
      <c r="O69">
        <v>13</v>
      </c>
      <c r="P69">
        <v>14</v>
      </c>
      <c r="Q69">
        <v>13</v>
      </c>
      <c r="R69">
        <v>18</v>
      </c>
      <c r="S69">
        <v>14</v>
      </c>
      <c r="T69">
        <v>17</v>
      </c>
      <c r="U69">
        <v>20</v>
      </c>
      <c r="V69">
        <v>16</v>
      </c>
      <c r="W69">
        <v>16</v>
      </c>
      <c r="X69">
        <v>16</v>
      </c>
      <c r="Y69">
        <v>29</v>
      </c>
      <c r="Z69">
        <v>16</v>
      </c>
      <c r="AA69">
        <v>0</v>
      </c>
      <c r="AB69">
        <v>0</v>
      </c>
      <c r="AC69">
        <f t="shared" si="0"/>
        <v>123</v>
      </c>
      <c r="AD69">
        <f t="shared" si="0"/>
        <v>106</v>
      </c>
      <c r="AE69">
        <f t="shared" si="2"/>
        <v>229</v>
      </c>
    </row>
    <row r="70" spans="1:31" x14ac:dyDescent="0.25">
      <c r="A70" t="s">
        <v>44</v>
      </c>
      <c r="B70" t="s">
        <v>193</v>
      </c>
      <c r="C70" t="s">
        <v>194</v>
      </c>
      <c r="D70">
        <v>128843</v>
      </c>
      <c r="E70" t="s">
        <v>213</v>
      </c>
      <c r="F70" t="s">
        <v>214</v>
      </c>
      <c r="G70" t="s">
        <v>197</v>
      </c>
      <c r="H70" t="s">
        <v>198</v>
      </c>
      <c r="I70" t="s">
        <v>199</v>
      </c>
      <c r="J70" t="s">
        <v>215</v>
      </c>
      <c r="K70" t="s">
        <v>47</v>
      </c>
      <c r="L70" s="11" t="s">
        <v>48</v>
      </c>
      <c r="M70">
        <v>8</v>
      </c>
      <c r="N70">
        <v>8</v>
      </c>
      <c r="O70">
        <v>10</v>
      </c>
      <c r="P70">
        <v>7</v>
      </c>
      <c r="Q70">
        <v>8</v>
      </c>
      <c r="R70">
        <v>10</v>
      </c>
      <c r="S70">
        <v>4</v>
      </c>
      <c r="T70">
        <v>5</v>
      </c>
      <c r="U70">
        <v>1</v>
      </c>
      <c r="V70">
        <v>1</v>
      </c>
      <c r="W70">
        <v>9</v>
      </c>
      <c r="X70">
        <v>12</v>
      </c>
      <c r="Y70">
        <v>11</v>
      </c>
      <c r="Z70">
        <v>8</v>
      </c>
      <c r="AA70">
        <v>0</v>
      </c>
      <c r="AB70">
        <v>0</v>
      </c>
      <c r="AC70">
        <f t="shared" si="0"/>
        <v>51</v>
      </c>
      <c r="AD70">
        <f t="shared" si="0"/>
        <v>51</v>
      </c>
      <c r="AE70">
        <f t="shared" si="2"/>
        <v>102</v>
      </c>
    </row>
    <row r="71" spans="1:31" x14ac:dyDescent="0.25">
      <c r="A71" t="s">
        <v>44</v>
      </c>
      <c r="B71" t="s">
        <v>193</v>
      </c>
      <c r="C71" t="s">
        <v>194</v>
      </c>
      <c r="D71">
        <v>128844</v>
      </c>
      <c r="E71" t="s">
        <v>216</v>
      </c>
      <c r="F71" t="s">
        <v>196</v>
      </c>
      <c r="G71" t="s">
        <v>197</v>
      </c>
      <c r="H71" t="s">
        <v>198</v>
      </c>
      <c r="I71" t="s">
        <v>199</v>
      </c>
      <c r="J71" t="s">
        <v>217</v>
      </c>
      <c r="K71" t="s">
        <v>47</v>
      </c>
      <c r="L71" s="11" t="s">
        <v>48</v>
      </c>
      <c r="M71">
        <v>32</v>
      </c>
      <c r="N71">
        <v>28</v>
      </c>
      <c r="O71">
        <v>20</v>
      </c>
      <c r="P71">
        <v>23</v>
      </c>
      <c r="Q71">
        <v>28</v>
      </c>
      <c r="R71">
        <v>34</v>
      </c>
      <c r="S71">
        <v>23</v>
      </c>
      <c r="T71">
        <v>13</v>
      </c>
      <c r="U71">
        <v>26</v>
      </c>
      <c r="V71">
        <v>29</v>
      </c>
      <c r="W71">
        <v>27</v>
      </c>
      <c r="X71">
        <v>34</v>
      </c>
      <c r="Y71">
        <v>50</v>
      </c>
      <c r="Z71">
        <v>40</v>
      </c>
      <c r="AA71">
        <v>0</v>
      </c>
      <c r="AB71">
        <v>0</v>
      </c>
      <c r="AC71">
        <f t="shared" si="0"/>
        <v>206</v>
      </c>
      <c r="AD71">
        <f t="shared" si="0"/>
        <v>201</v>
      </c>
      <c r="AE71">
        <f t="shared" si="2"/>
        <v>407</v>
      </c>
    </row>
    <row r="72" spans="1:31" x14ac:dyDescent="0.25">
      <c r="A72" t="s">
        <v>44</v>
      </c>
      <c r="B72" t="s">
        <v>193</v>
      </c>
      <c r="C72" t="s">
        <v>194</v>
      </c>
      <c r="D72">
        <v>128845</v>
      </c>
      <c r="E72" t="s">
        <v>218</v>
      </c>
      <c r="F72" t="s">
        <v>219</v>
      </c>
      <c r="G72" t="s">
        <v>197</v>
      </c>
      <c r="H72" t="s">
        <v>198</v>
      </c>
      <c r="I72" t="s">
        <v>220</v>
      </c>
      <c r="J72" t="s">
        <v>221</v>
      </c>
      <c r="K72" t="s">
        <v>47</v>
      </c>
      <c r="L72" s="11" t="s">
        <v>48</v>
      </c>
      <c r="M72">
        <v>26</v>
      </c>
      <c r="N72">
        <v>34</v>
      </c>
      <c r="O72">
        <v>38</v>
      </c>
      <c r="P72">
        <v>34</v>
      </c>
      <c r="Q72">
        <v>33</v>
      </c>
      <c r="R72">
        <v>35</v>
      </c>
      <c r="S72">
        <v>23</v>
      </c>
      <c r="T72">
        <v>31</v>
      </c>
      <c r="U72">
        <v>38</v>
      </c>
      <c r="V72">
        <v>22</v>
      </c>
      <c r="W72">
        <v>50</v>
      </c>
      <c r="X72">
        <v>33</v>
      </c>
      <c r="Y72">
        <v>38</v>
      </c>
      <c r="Z72">
        <v>40</v>
      </c>
      <c r="AA72">
        <v>0</v>
      </c>
      <c r="AB72">
        <v>0</v>
      </c>
      <c r="AC72">
        <f t="shared" si="0"/>
        <v>246</v>
      </c>
      <c r="AD72">
        <f t="shared" si="0"/>
        <v>229</v>
      </c>
      <c r="AE72">
        <f t="shared" si="2"/>
        <v>475</v>
      </c>
    </row>
    <row r="73" spans="1:31" x14ac:dyDescent="0.25">
      <c r="A73" t="s">
        <v>44</v>
      </c>
      <c r="B73" t="s">
        <v>193</v>
      </c>
      <c r="C73" t="s">
        <v>194</v>
      </c>
      <c r="D73">
        <v>128846</v>
      </c>
      <c r="E73" t="s">
        <v>222</v>
      </c>
      <c r="F73" t="s">
        <v>223</v>
      </c>
      <c r="G73" t="s">
        <v>197</v>
      </c>
      <c r="H73" t="s">
        <v>198</v>
      </c>
      <c r="I73" t="s">
        <v>220</v>
      </c>
      <c r="J73" t="s">
        <v>224</v>
      </c>
      <c r="K73" t="s">
        <v>47</v>
      </c>
      <c r="L73" s="11" t="s">
        <v>48</v>
      </c>
      <c r="M73">
        <v>26</v>
      </c>
      <c r="N73">
        <v>21</v>
      </c>
      <c r="O73">
        <v>18</v>
      </c>
      <c r="P73">
        <v>18</v>
      </c>
      <c r="Q73">
        <v>26</v>
      </c>
      <c r="R73">
        <v>28</v>
      </c>
      <c r="S73">
        <v>18</v>
      </c>
      <c r="T73">
        <v>29</v>
      </c>
      <c r="U73">
        <v>11</v>
      </c>
      <c r="V73">
        <v>20</v>
      </c>
      <c r="W73">
        <v>35</v>
      </c>
      <c r="X73">
        <v>33</v>
      </c>
      <c r="Y73">
        <v>17</v>
      </c>
      <c r="Z73">
        <v>13</v>
      </c>
      <c r="AA73">
        <v>0</v>
      </c>
      <c r="AB73">
        <v>0</v>
      </c>
      <c r="AC73">
        <f t="shared" si="0"/>
        <v>151</v>
      </c>
      <c r="AD73">
        <f t="shared" si="0"/>
        <v>162</v>
      </c>
      <c r="AE73">
        <f t="shared" si="2"/>
        <v>313</v>
      </c>
    </row>
    <row r="74" spans="1:31" x14ac:dyDescent="0.25">
      <c r="A74" t="s">
        <v>44</v>
      </c>
      <c r="B74" t="s">
        <v>193</v>
      </c>
      <c r="C74" t="s">
        <v>194</v>
      </c>
      <c r="D74">
        <v>128847</v>
      </c>
      <c r="E74" t="s">
        <v>225</v>
      </c>
      <c r="F74" t="s">
        <v>196</v>
      </c>
      <c r="G74" t="s">
        <v>197</v>
      </c>
      <c r="H74" t="s">
        <v>198</v>
      </c>
      <c r="I74" t="s">
        <v>199</v>
      </c>
      <c r="J74" t="s">
        <v>226</v>
      </c>
      <c r="K74" t="s">
        <v>47</v>
      </c>
      <c r="L74" s="11" t="s">
        <v>48</v>
      </c>
      <c r="M74">
        <v>28</v>
      </c>
      <c r="N74">
        <v>14</v>
      </c>
      <c r="O74">
        <v>20</v>
      </c>
      <c r="P74">
        <v>28</v>
      </c>
      <c r="Q74">
        <v>43</v>
      </c>
      <c r="R74">
        <v>26</v>
      </c>
      <c r="S74">
        <v>17</v>
      </c>
      <c r="T74">
        <v>13</v>
      </c>
      <c r="U74">
        <v>19</v>
      </c>
      <c r="V74">
        <v>19</v>
      </c>
      <c r="W74">
        <v>27</v>
      </c>
      <c r="X74">
        <v>27</v>
      </c>
      <c r="Y74">
        <v>35</v>
      </c>
      <c r="Z74">
        <v>40</v>
      </c>
      <c r="AA74">
        <v>0</v>
      </c>
      <c r="AB74">
        <v>0</v>
      </c>
      <c r="AC74">
        <f t="shared" ref="AC74:AD137" si="3">M74+O74+Q74+S74+U74+W74+Y74+AA74</f>
        <v>189</v>
      </c>
      <c r="AD74">
        <f t="shared" si="3"/>
        <v>167</v>
      </c>
      <c r="AE74">
        <f t="shared" si="2"/>
        <v>356</v>
      </c>
    </row>
    <row r="75" spans="1:31" x14ac:dyDescent="0.25">
      <c r="A75" t="s">
        <v>44</v>
      </c>
      <c r="B75" t="s">
        <v>193</v>
      </c>
      <c r="C75" t="s">
        <v>194</v>
      </c>
      <c r="D75">
        <v>128848</v>
      </c>
      <c r="E75" t="s">
        <v>227</v>
      </c>
      <c r="F75" t="s">
        <v>228</v>
      </c>
      <c r="G75" t="s">
        <v>197</v>
      </c>
      <c r="H75" t="s">
        <v>198</v>
      </c>
      <c r="I75" t="s">
        <v>220</v>
      </c>
      <c r="J75" t="s">
        <v>217</v>
      </c>
      <c r="K75" t="s">
        <v>47</v>
      </c>
      <c r="L75" s="11" t="s">
        <v>48</v>
      </c>
      <c r="M75">
        <v>12</v>
      </c>
      <c r="N75">
        <v>18</v>
      </c>
      <c r="O75">
        <v>15</v>
      </c>
      <c r="P75">
        <v>14</v>
      </c>
      <c r="Q75">
        <v>6</v>
      </c>
      <c r="R75">
        <v>17</v>
      </c>
      <c r="S75">
        <v>19</v>
      </c>
      <c r="T75">
        <v>21</v>
      </c>
      <c r="U75">
        <v>15</v>
      </c>
      <c r="V75">
        <v>11</v>
      </c>
      <c r="W75">
        <v>22</v>
      </c>
      <c r="X75">
        <v>15</v>
      </c>
      <c r="Y75">
        <v>32</v>
      </c>
      <c r="Z75">
        <v>28</v>
      </c>
      <c r="AA75">
        <v>0</v>
      </c>
      <c r="AB75">
        <v>0</v>
      </c>
      <c r="AC75">
        <f t="shared" si="3"/>
        <v>121</v>
      </c>
      <c r="AD75">
        <f t="shared" si="3"/>
        <v>124</v>
      </c>
      <c r="AE75">
        <f t="shared" si="2"/>
        <v>245</v>
      </c>
    </row>
    <row r="76" spans="1:31" x14ac:dyDescent="0.25">
      <c r="A76" t="s">
        <v>44</v>
      </c>
      <c r="B76" t="s">
        <v>193</v>
      </c>
      <c r="C76" t="s">
        <v>194</v>
      </c>
      <c r="D76">
        <v>128849</v>
      </c>
      <c r="E76" t="s">
        <v>229</v>
      </c>
      <c r="F76" t="s">
        <v>196</v>
      </c>
      <c r="G76" t="s">
        <v>197</v>
      </c>
      <c r="H76" t="s">
        <v>198</v>
      </c>
      <c r="I76" t="s">
        <v>220</v>
      </c>
      <c r="J76" t="s">
        <v>230</v>
      </c>
      <c r="K76" t="s">
        <v>47</v>
      </c>
      <c r="L76" s="11" t="s">
        <v>48</v>
      </c>
      <c r="M76">
        <v>8</v>
      </c>
      <c r="N76">
        <v>5</v>
      </c>
      <c r="O76">
        <v>20</v>
      </c>
      <c r="P76">
        <v>12</v>
      </c>
      <c r="Q76">
        <v>9</v>
      </c>
      <c r="R76">
        <v>14</v>
      </c>
      <c r="S76">
        <v>12</v>
      </c>
      <c r="T76">
        <v>7</v>
      </c>
      <c r="U76">
        <v>12</v>
      </c>
      <c r="V76">
        <v>9</v>
      </c>
      <c r="W76">
        <v>17</v>
      </c>
      <c r="X76">
        <v>13</v>
      </c>
      <c r="Y76">
        <v>14</v>
      </c>
      <c r="Z76">
        <v>12</v>
      </c>
      <c r="AA76">
        <v>0</v>
      </c>
      <c r="AB76">
        <v>1</v>
      </c>
      <c r="AC76">
        <f t="shared" si="3"/>
        <v>92</v>
      </c>
      <c r="AD76">
        <f t="shared" si="3"/>
        <v>73</v>
      </c>
      <c r="AE76">
        <f t="shared" si="2"/>
        <v>165</v>
      </c>
    </row>
    <row r="77" spans="1:31" x14ac:dyDescent="0.25">
      <c r="A77" t="s">
        <v>44</v>
      </c>
      <c r="B77" t="s">
        <v>193</v>
      </c>
      <c r="C77" t="s">
        <v>194</v>
      </c>
      <c r="D77">
        <v>128850</v>
      </c>
      <c r="E77" t="s">
        <v>231</v>
      </c>
      <c r="F77" t="s">
        <v>232</v>
      </c>
      <c r="G77" t="s">
        <v>197</v>
      </c>
      <c r="H77" t="s">
        <v>198</v>
      </c>
      <c r="I77" t="s">
        <v>199</v>
      </c>
      <c r="J77" t="s">
        <v>226</v>
      </c>
      <c r="K77" t="s">
        <v>47</v>
      </c>
      <c r="L77" s="11" t="s">
        <v>48</v>
      </c>
      <c r="M77">
        <v>22</v>
      </c>
      <c r="N77">
        <v>30</v>
      </c>
      <c r="O77">
        <v>21</v>
      </c>
      <c r="P77">
        <v>21</v>
      </c>
      <c r="Q77">
        <v>25</v>
      </c>
      <c r="R77">
        <v>30</v>
      </c>
      <c r="S77">
        <v>27</v>
      </c>
      <c r="T77">
        <v>24</v>
      </c>
      <c r="U77">
        <v>31</v>
      </c>
      <c r="V77">
        <v>25</v>
      </c>
      <c r="W77">
        <v>20</v>
      </c>
      <c r="X77">
        <v>29</v>
      </c>
      <c r="Y77">
        <v>28</v>
      </c>
      <c r="Z77">
        <v>23</v>
      </c>
      <c r="AA77">
        <v>0</v>
      </c>
      <c r="AB77">
        <v>0</v>
      </c>
      <c r="AC77">
        <f t="shared" si="3"/>
        <v>174</v>
      </c>
      <c r="AD77">
        <f t="shared" si="3"/>
        <v>182</v>
      </c>
      <c r="AE77">
        <f t="shared" si="2"/>
        <v>356</v>
      </c>
    </row>
    <row r="78" spans="1:31" x14ac:dyDescent="0.25">
      <c r="A78" t="s">
        <v>44</v>
      </c>
      <c r="B78" t="s">
        <v>193</v>
      </c>
      <c r="C78" t="s">
        <v>194</v>
      </c>
      <c r="D78">
        <v>128851</v>
      </c>
      <c r="E78" t="s">
        <v>233</v>
      </c>
      <c r="F78" t="s">
        <v>234</v>
      </c>
      <c r="G78" t="s">
        <v>197</v>
      </c>
      <c r="H78" t="s">
        <v>198</v>
      </c>
      <c r="I78" t="s">
        <v>199</v>
      </c>
      <c r="J78" t="s">
        <v>235</v>
      </c>
      <c r="K78" t="s">
        <v>47</v>
      </c>
      <c r="L78" s="11" t="s">
        <v>48</v>
      </c>
      <c r="M78">
        <v>17</v>
      </c>
      <c r="N78">
        <v>20</v>
      </c>
      <c r="O78">
        <v>19</v>
      </c>
      <c r="P78">
        <v>10</v>
      </c>
      <c r="Q78">
        <v>39</v>
      </c>
      <c r="R78">
        <v>36</v>
      </c>
      <c r="S78">
        <v>14</v>
      </c>
      <c r="T78">
        <v>20</v>
      </c>
      <c r="U78">
        <v>23</v>
      </c>
      <c r="V78">
        <v>35</v>
      </c>
      <c r="W78">
        <v>41</v>
      </c>
      <c r="X78">
        <v>28</v>
      </c>
      <c r="Y78">
        <v>49</v>
      </c>
      <c r="Z78">
        <v>27</v>
      </c>
      <c r="AA78">
        <v>0</v>
      </c>
      <c r="AB78">
        <v>0</v>
      </c>
      <c r="AC78">
        <f t="shared" si="3"/>
        <v>202</v>
      </c>
      <c r="AD78">
        <f t="shared" si="3"/>
        <v>176</v>
      </c>
      <c r="AE78">
        <f t="shared" si="2"/>
        <v>378</v>
      </c>
    </row>
    <row r="79" spans="1:31" x14ac:dyDescent="0.25">
      <c r="A79" t="s">
        <v>44</v>
      </c>
      <c r="B79" t="s">
        <v>193</v>
      </c>
      <c r="C79" t="s">
        <v>194</v>
      </c>
      <c r="D79">
        <v>128852</v>
      </c>
      <c r="E79" t="s">
        <v>236</v>
      </c>
      <c r="F79" t="s">
        <v>237</v>
      </c>
      <c r="G79" t="s">
        <v>197</v>
      </c>
      <c r="H79" t="s">
        <v>198</v>
      </c>
      <c r="I79" t="s">
        <v>220</v>
      </c>
      <c r="J79" t="s">
        <v>208</v>
      </c>
      <c r="K79" t="s">
        <v>47</v>
      </c>
      <c r="L79" s="11" t="s">
        <v>48</v>
      </c>
      <c r="M79">
        <v>11</v>
      </c>
      <c r="N79">
        <v>14</v>
      </c>
      <c r="O79">
        <v>13</v>
      </c>
      <c r="P79">
        <v>24</v>
      </c>
      <c r="Q79">
        <v>17</v>
      </c>
      <c r="R79">
        <v>21</v>
      </c>
      <c r="S79">
        <v>10</v>
      </c>
      <c r="T79">
        <v>22</v>
      </c>
      <c r="U79">
        <v>18</v>
      </c>
      <c r="V79">
        <v>15</v>
      </c>
      <c r="W79">
        <v>10</v>
      </c>
      <c r="X79">
        <v>19</v>
      </c>
      <c r="Y79">
        <v>17</v>
      </c>
      <c r="Z79">
        <v>20</v>
      </c>
      <c r="AA79">
        <v>0</v>
      </c>
      <c r="AB79">
        <v>3</v>
      </c>
      <c r="AC79">
        <f t="shared" si="3"/>
        <v>96</v>
      </c>
      <c r="AD79">
        <f t="shared" si="3"/>
        <v>138</v>
      </c>
      <c r="AE79">
        <f t="shared" si="2"/>
        <v>234</v>
      </c>
    </row>
    <row r="80" spans="1:31" x14ac:dyDescent="0.25">
      <c r="A80" t="s">
        <v>44</v>
      </c>
      <c r="B80" t="s">
        <v>193</v>
      </c>
      <c r="C80" t="s">
        <v>194</v>
      </c>
      <c r="D80">
        <v>128853</v>
      </c>
      <c r="E80" t="s">
        <v>238</v>
      </c>
      <c r="F80" t="s">
        <v>196</v>
      </c>
      <c r="G80" t="s">
        <v>197</v>
      </c>
      <c r="H80" t="s">
        <v>198</v>
      </c>
      <c r="I80" t="s">
        <v>199</v>
      </c>
      <c r="J80" t="s">
        <v>239</v>
      </c>
      <c r="K80" t="s">
        <v>47</v>
      </c>
      <c r="L80" s="11" t="s">
        <v>48</v>
      </c>
      <c r="M80">
        <v>24</v>
      </c>
      <c r="N80">
        <v>15</v>
      </c>
      <c r="O80">
        <v>18</v>
      </c>
      <c r="P80">
        <v>17</v>
      </c>
      <c r="Q80">
        <v>13</v>
      </c>
      <c r="R80">
        <v>13</v>
      </c>
      <c r="S80">
        <v>15</v>
      </c>
      <c r="T80">
        <v>15</v>
      </c>
      <c r="U80">
        <v>15</v>
      </c>
      <c r="V80">
        <v>18</v>
      </c>
      <c r="W80">
        <v>30</v>
      </c>
      <c r="X80">
        <v>35</v>
      </c>
      <c r="Y80">
        <v>19</v>
      </c>
      <c r="Z80">
        <v>22</v>
      </c>
      <c r="AA80">
        <v>0</v>
      </c>
      <c r="AB80">
        <v>0</v>
      </c>
      <c r="AC80">
        <f t="shared" si="3"/>
        <v>134</v>
      </c>
      <c r="AD80">
        <f t="shared" si="3"/>
        <v>135</v>
      </c>
      <c r="AE80">
        <f t="shared" si="2"/>
        <v>269</v>
      </c>
    </row>
    <row r="81" spans="1:31" x14ac:dyDescent="0.25">
      <c r="A81" t="s">
        <v>44</v>
      </c>
      <c r="B81" t="s">
        <v>193</v>
      </c>
      <c r="C81" t="s">
        <v>194</v>
      </c>
      <c r="D81">
        <v>128854</v>
      </c>
      <c r="E81" t="s">
        <v>240</v>
      </c>
      <c r="F81" t="s">
        <v>241</v>
      </c>
      <c r="G81" t="s">
        <v>197</v>
      </c>
      <c r="H81" t="s">
        <v>198</v>
      </c>
      <c r="I81" t="s">
        <v>220</v>
      </c>
      <c r="J81" t="s">
        <v>210</v>
      </c>
      <c r="K81" t="s">
        <v>47</v>
      </c>
      <c r="L81" s="11" t="s">
        <v>48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f t="shared" si="3"/>
        <v>0</v>
      </c>
      <c r="AD81">
        <f t="shared" si="3"/>
        <v>0</v>
      </c>
      <c r="AE81">
        <f t="shared" si="2"/>
        <v>0</v>
      </c>
    </row>
    <row r="82" spans="1:31" x14ac:dyDescent="0.25">
      <c r="A82" t="s">
        <v>44</v>
      </c>
      <c r="B82" t="s">
        <v>193</v>
      </c>
      <c r="C82" t="s">
        <v>194</v>
      </c>
      <c r="D82">
        <v>205028</v>
      </c>
      <c r="E82" t="s">
        <v>242</v>
      </c>
      <c r="F82" t="s">
        <v>243</v>
      </c>
      <c r="G82" t="s">
        <v>197</v>
      </c>
      <c r="H82" t="s">
        <v>198</v>
      </c>
      <c r="I82" t="s">
        <v>220</v>
      </c>
      <c r="J82" t="s">
        <v>205</v>
      </c>
      <c r="K82" t="s">
        <v>47</v>
      </c>
      <c r="L82" s="11" t="s">
        <v>48</v>
      </c>
      <c r="M82">
        <v>9</v>
      </c>
      <c r="N82">
        <v>7</v>
      </c>
      <c r="O82">
        <v>11</v>
      </c>
      <c r="P82">
        <v>13</v>
      </c>
      <c r="Q82">
        <v>15</v>
      </c>
      <c r="R82">
        <v>8</v>
      </c>
      <c r="S82">
        <v>8</v>
      </c>
      <c r="T82">
        <v>8</v>
      </c>
      <c r="U82">
        <v>9</v>
      </c>
      <c r="V82">
        <v>15</v>
      </c>
      <c r="W82">
        <v>14</v>
      </c>
      <c r="X82">
        <v>9</v>
      </c>
      <c r="Y82">
        <v>14</v>
      </c>
      <c r="Z82">
        <v>10</v>
      </c>
      <c r="AA82">
        <v>0</v>
      </c>
      <c r="AB82">
        <v>0</v>
      </c>
      <c r="AC82">
        <f t="shared" si="3"/>
        <v>80</v>
      </c>
      <c r="AD82">
        <f t="shared" si="3"/>
        <v>70</v>
      </c>
      <c r="AE82">
        <f t="shared" si="2"/>
        <v>150</v>
      </c>
    </row>
    <row r="83" spans="1:31" x14ac:dyDescent="0.25">
      <c r="A83" t="s">
        <v>44</v>
      </c>
      <c r="B83" t="s">
        <v>193</v>
      </c>
      <c r="C83" t="s">
        <v>194</v>
      </c>
      <c r="D83">
        <v>205045</v>
      </c>
      <c r="E83" t="s">
        <v>244</v>
      </c>
      <c r="F83" t="s">
        <v>245</v>
      </c>
      <c r="G83" t="s">
        <v>197</v>
      </c>
      <c r="H83" t="s">
        <v>198</v>
      </c>
      <c r="I83" t="s">
        <v>199</v>
      </c>
      <c r="J83" t="s">
        <v>246</v>
      </c>
      <c r="K83" t="s">
        <v>47</v>
      </c>
      <c r="L83" s="11" t="s">
        <v>48</v>
      </c>
      <c r="M83">
        <v>9</v>
      </c>
      <c r="N83">
        <v>8</v>
      </c>
      <c r="O83">
        <v>10</v>
      </c>
      <c r="P83">
        <v>9</v>
      </c>
      <c r="Q83">
        <v>15</v>
      </c>
      <c r="R83">
        <v>17</v>
      </c>
      <c r="S83">
        <v>8</v>
      </c>
      <c r="T83">
        <v>5</v>
      </c>
      <c r="U83">
        <v>5</v>
      </c>
      <c r="V83">
        <v>5</v>
      </c>
      <c r="W83">
        <v>4</v>
      </c>
      <c r="X83">
        <v>12</v>
      </c>
      <c r="Y83">
        <v>11</v>
      </c>
      <c r="Z83">
        <v>4</v>
      </c>
      <c r="AA83">
        <v>0</v>
      </c>
      <c r="AB83">
        <v>0</v>
      </c>
      <c r="AC83">
        <f t="shared" si="3"/>
        <v>62</v>
      </c>
      <c r="AD83">
        <f t="shared" si="3"/>
        <v>60</v>
      </c>
      <c r="AE83">
        <f t="shared" si="2"/>
        <v>122</v>
      </c>
    </row>
    <row r="84" spans="1:31" x14ac:dyDescent="0.25">
      <c r="A84" t="s">
        <v>44</v>
      </c>
      <c r="B84" t="s">
        <v>193</v>
      </c>
      <c r="C84" t="s">
        <v>194</v>
      </c>
      <c r="D84">
        <v>205047</v>
      </c>
      <c r="E84" t="s">
        <v>247</v>
      </c>
      <c r="F84" t="s">
        <v>248</v>
      </c>
      <c r="G84" t="s">
        <v>197</v>
      </c>
      <c r="H84" t="s">
        <v>198</v>
      </c>
      <c r="I84" t="s">
        <v>199</v>
      </c>
      <c r="J84" t="s">
        <v>205</v>
      </c>
      <c r="K84" t="s">
        <v>47</v>
      </c>
      <c r="L84" s="11" t="s">
        <v>48</v>
      </c>
      <c r="M84">
        <v>7</v>
      </c>
      <c r="N84">
        <v>6</v>
      </c>
      <c r="O84">
        <v>9</v>
      </c>
      <c r="P84">
        <v>3</v>
      </c>
      <c r="Q84">
        <v>7</v>
      </c>
      <c r="R84">
        <v>8</v>
      </c>
      <c r="S84">
        <v>4</v>
      </c>
      <c r="T84">
        <v>3</v>
      </c>
      <c r="U84">
        <v>9</v>
      </c>
      <c r="V84">
        <v>9</v>
      </c>
      <c r="W84">
        <v>8</v>
      </c>
      <c r="X84">
        <v>5</v>
      </c>
      <c r="Y84">
        <v>11</v>
      </c>
      <c r="Z84">
        <v>11</v>
      </c>
      <c r="AA84">
        <v>0</v>
      </c>
      <c r="AB84">
        <v>0</v>
      </c>
      <c r="AC84">
        <f t="shared" si="3"/>
        <v>55</v>
      </c>
      <c r="AD84">
        <f t="shared" si="3"/>
        <v>45</v>
      </c>
      <c r="AE84">
        <f t="shared" si="2"/>
        <v>100</v>
      </c>
    </row>
    <row r="85" spans="1:31" x14ac:dyDescent="0.25">
      <c r="A85" t="s">
        <v>44</v>
      </c>
      <c r="B85" t="s">
        <v>193</v>
      </c>
      <c r="C85" t="s">
        <v>194</v>
      </c>
      <c r="D85">
        <v>205048</v>
      </c>
      <c r="E85" t="s">
        <v>249</v>
      </c>
      <c r="F85" t="s">
        <v>250</v>
      </c>
      <c r="G85" t="s">
        <v>197</v>
      </c>
      <c r="H85" t="s">
        <v>198</v>
      </c>
      <c r="I85" t="s">
        <v>220</v>
      </c>
      <c r="J85" t="s">
        <v>205</v>
      </c>
      <c r="K85" t="s">
        <v>47</v>
      </c>
      <c r="L85" s="11" t="s">
        <v>48</v>
      </c>
      <c r="M85">
        <v>5</v>
      </c>
      <c r="N85">
        <v>6</v>
      </c>
      <c r="O85">
        <v>5</v>
      </c>
      <c r="P85">
        <v>5</v>
      </c>
      <c r="Q85">
        <v>5</v>
      </c>
      <c r="R85">
        <v>4</v>
      </c>
      <c r="S85">
        <v>5</v>
      </c>
      <c r="T85">
        <v>10</v>
      </c>
      <c r="U85">
        <v>5</v>
      </c>
      <c r="V85">
        <v>5</v>
      </c>
      <c r="W85">
        <v>15</v>
      </c>
      <c r="X85">
        <v>4</v>
      </c>
      <c r="Y85">
        <v>12</v>
      </c>
      <c r="Z85">
        <v>12</v>
      </c>
      <c r="AA85">
        <v>0</v>
      </c>
      <c r="AB85">
        <v>0</v>
      </c>
      <c r="AC85">
        <f t="shared" si="3"/>
        <v>52</v>
      </c>
      <c r="AD85">
        <f t="shared" si="3"/>
        <v>46</v>
      </c>
      <c r="AE85">
        <f t="shared" si="2"/>
        <v>98</v>
      </c>
    </row>
    <row r="86" spans="1:31" x14ac:dyDescent="0.25">
      <c r="A86" t="s">
        <v>44</v>
      </c>
      <c r="B86" t="s">
        <v>193</v>
      </c>
      <c r="C86" t="s">
        <v>251</v>
      </c>
      <c r="D86">
        <v>109395</v>
      </c>
      <c r="E86" t="s">
        <v>252</v>
      </c>
      <c r="F86" t="s">
        <v>253</v>
      </c>
      <c r="G86" t="s">
        <v>197</v>
      </c>
      <c r="H86" t="s">
        <v>254</v>
      </c>
      <c r="I86" t="s">
        <v>220</v>
      </c>
      <c r="J86" t="s">
        <v>255</v>
      </c>
      <c r="K86" t="s">
        <v>47</v>
      </c>
      <c r="L86" s="11" t="s">
        <v>48</v>
      </c>
      <c r="M86">
        <v>17</v>
      </c>
      <c r="N86">
        <v>25</v>
      </c>
      <c r="O86">
        <v>25</v>
      </c>
      <c r="P86">
        <v>17</v>
      </c>
      <c r="Q86">
        <v>26</v>
      </c>
      <c r="R86">
        <v>39</v>
      </c>
      <c r="S86">
        <v>18</v>
      </c>
      <c r="T86">
        <v>21</v>
      </c>
      <c r="U86">
        <v>10</v>
      </c>
      <c r="V86">
        <v>10</v>
      </c>
      <c r="W86">
        <v>5</v>
      </c>
      <c r="X86">
        <v>10</v>
      </c>
      <c r="Y86">
        <v>8</v>
      </c>
      <c r="Z86">
        <v>19</v>
      </c>
      <c r="AA86">
        <v>0</v>
      </c>
      <c r="AB86">
        <v>0</v>
      </c>
      <c r="AC86">
        <f t="shared" si="3"/>
        <v>109</v>
      </c>
      <c r="AD86">
        <f t="shared" si="3"/>
        <v>141</v>
      </c>
      <c r="AE86">
        <f t="shared" si="2"/>
        <v>250</v>
      </c>
    </row>
    <row r="87" spans="1:31" x14ac:dyDescent="0.25">
      <c r="A87" t="s">
        <v>44</v>
      </c>
      <c r="B87" t="s">
        <v>193</v>
      </c>
      <c r="C87" t="s">
        <v>256</v>
      </c>
      <c r="D87">
        <v>128876</v>
      </c>
      <c r="E87" t="s">
        <v>257</v>
      </c>
      <c r="F87" t="s">
        <v>258</v>
      </c>
      <c r="G87" t="s">
        <v>197</v>
      </c>
      <c r="H87" t="s">
        <v>254</v>
      </c>
      <c r="I87" t="s">
        <v>220</v>
      </c>
      <c r="J87" t="s">
        <v>259</v>
      </c>
      <c r="K87" t="s">
        <v>47</v>
      </c>
      <c r="L87" s="11" t="s">
        <v>48</v>
      </c>
      <c r="M87">
        <v>17</v>
      </c>
      <c r="N87">
        <v>14</v>
      </c>
      <c r="O87">
        <v>15</v>
      </c>
      <c r="P87">
        <v>14</v>
      </c>
      <c r="Q87">
        <v>16</v>
      </c>
      <c r="R87">
        <v>13</v>
      </c>
      <c r="S87">
        <v>14</v>
      </c>
      <c r="T87">
        <v>15</v>
      </c>
      <c r="U87">
        <v>17</v>
      </c>
      <c r="V87">
        <v>13</v>
      </c>
      <c r="W87">
        <v>17</v>
      </c>
      <c r="X87">
        <v>16</v>
      </c>
      <c r="Y87">
        <v>19</v>
      </c>
      <c r="Z87">
        <v>12</v>
      </c>
      <c r="AA87">
        <v>0</v>
      </c>
      <c r="AB87">
        <v>0</v>
      </c>
      <c r="AC87">
        <f t="shared" si="3"/>
        <v>115</v>
      </c>
      <c r="AD87">
        <f t="shared" si="3"/>
        <v>97</v>
      </c>
      <c r="AE87">
        <f t="shared" ref="AE87:AE150" si="4">SUM(AC87:AD87)</f>
        <v>212</v>
      </c>
    </row>
    <row r="88" spans="1:31" x14ac:dyDescent="0.25">
      <c r="A88" t="s">
        <v>44</v>
      </c>
      <c r="B88" t="s">
        <v>193</v>
      </c>
      <c r="C88" t="s">
        <v>256</v>
      </c>
      <c r="D88">
        <v>128878</v>
      </c>
      <c r="E88" t="s">
        <v>260</v>
      </c>
      <c r="F88" t="s">
        <v>261</v>
      </c>
      <c r="G88" t="s">
        <v>197</v>
      </c>
      <c r="H88" t="s">
        <v>254</v>
      </c>
      <c r="I88" t="s">
        <v>220</v>
      </c>
      <c r="J88" t="s">
        <v>255</v>
      </c>
      <c r="K88" t="s">
        <v>47</v>
      </c>
      <c r="L88" s="11" t="s">
        <v>48</v>
      </c>
      <c r="M88">
        <v>24</v>
      </c>
      <c r="N88">
        <v>20</v>
      </c>
      <c r="O88">
        <v>7</v>
      </c>
      <c r="P88">
        <v>10</v>
      </c>
      <c r="Q88">
        <v>7</v>
      </c>
      <c r="R88">
        <v>7</v>
      </c>
      <c r="S88">
        <v>10</v>
      </c>
      <c r="T88">
        <v>12</v>
      </c>
      <c r="U88">
        <v>9</v>
      </c>
      <c r="V88">
        <v>6</v>
      </c>
      <c r="W88">
        <v>5</v>
      </c>
      <c r="X88">
        <v>5</v>
      </c>
      <c r="Y88">
        <v>19</v>
      </c>
      <c r="Z88">
        <v>18</v>
      </c>
      <c r="AA88">
        <v>0</v>
      </c>
      <c r="AB88">
        <v>0</v>
      </c>
      <c r="AC88">
        <f t="shared" si="3"/>
        <v>81</v>
      </c>
      <c r="AD88">
        <f t="shared" si="3"/>
        <v>78</v>
      </c>
      <c r="AE88">
        <f t="shared" si="4"/>
        <v>159</v>
      </c>
    </row>
    <row r="89" spans="1:31" x14ac:dyDescent="0.25">
      <c r="A89" t="s">
        <v>44</v>
      </c>
      <c r="B89" t="s">
        <v>193</v>
      </c>
      <c r="C89" t="s">
        <v>256</v>
      </c>
      <c r="D89">
        <v>128880</v>
      </c>
      <c r="E89" t="s">
        <v>262</v>
      </c>
      <c r="F89" t="s">
        <v>263</v>
      </c>
      <c r="G89" t="s">
        <v>197</v>
      </c>
      <c r="H89" t="s">
        <v>254</v>
      </c>
      <c r="I89" t="s">
        <v>199</v>
      </c>
      <c r="J89" t="s">
        <v>264</v>
      </c>
      <c r="K89" t="s">
        <v>47</v>
      </c>
      <c r="L89" s="11" t="s">
        <v>48</v>
      </c>
      <c r="M89">
        <v>7</v>
      </c>
      <c r="N89">
        <v>6</v>
      </c>
      <c r="O89">
        <v>5</v>
      </c>
      <c r="P89">
        <v>8</v>
      </c>
      <c r="Q89">
        <v>8</v>
      </c>
      <c r="R89">
        <v>10</v>
      </c>
      <c r="S89">
        <v>4</v>
      </c>
      <c r="T89">
        <v>10</v>
      </c>
      <c r="U89">
        <v>3</v>
      </c>
      <c r="V89">
        <v>6</v>
      </c>
      <c r="W89">
        <v>9</v>
      </c>
      <c r="X89">
        <v>9</v>
      </c>
      <c r="Y89">
        <v>5</v>
      </c>
      <c r="Z89">
        <v>3</v>
      </c>
      <c r="AA89">
        <v>0</v>
      </c>
      <c r="AB89">
        <v>0</v>
      </c>
      <c r="AC89">
        <f t="shared" si="3"/>
        <v>41</v>
      </c>
      <c r="AD89">
        <f t="shared" si="3"/>
        <v>52</v>
      </c>
      <c r="AE89">
        <f t="shared" si="4"/>
        <v>93</v>
      </c>
    </row>
    <row r="90" spans="1:31" x14ac:dyDescent="0.25">
      <c r="A90" t="s">
        <v>44</v>
      </c>
      <c r="B90" t="s">
        <v>193</v>
      </c>
      <c r="C90" t="s">
        <v>256</v>
      </c>
      <c r="D90">
        <v>128881</v>
      </c>
      <c r="E90" t="s">
        <v>265</v>
      </c>
      <c r="F90" t="s">
        <v>266</v>
      </c>
      <c r="G90" t="s">
        <v>197</v>
      </c>
      <c r="H90" t="s">
        <v>254</v>
      </c>
      <c r="I90" t="s">
        <v>199</v>
      </c>
      <c r="J90" t="s">
        <v>267</v>
      </c>
      <c r="K90" t="s">
        <v>47</v>
      </c>
      <c r="L90" s="11" t="s">
        <v>48</v>
      </c>
      <c r="M90">
        <v>63</v>
      </c>
      <c r="N90">
        <v>42</v>
      </c>
      <c r="O90">
        <v>50</v>
      </c>
      <c r="P90">
        <v>134</v>
      </c>
      <c r="Q90">
        <v>75</v>
      </c>
      <c r="R90">
        <v>102</v>
      </c>
      <c r="S90">
        <v>92</v>
      </c>
      <c r="T90">
        <v>60</v>
      </c>
      <c r="U90">
        <v>78</v>
      </c>
      <c r="V90">
        <v>58</v>
      </c>
      <c r="W90">
        <v>101</v>
      </c>
      <c r="X90">
        <v>103</v>
      </c>
      <c r="Y90">
        <v>130</v>
      </c>
      <c r="Z90">
        <v>133</v>
      </c>
      <c r="AA90">
        <v>1</v>
      </c>
      <c r="AB90">
        <v>0</v>
      </c>
      <c r="AC90">
        <f t="shared" si="3"/>
        <v>590</v>
      </c>
      <c r="AD90">
        <f t="shared" si="3"/>
        <v>632</v>
      </c>
      <c r="AE90">
        <f t="shared" si="4"/>
        <v>1222</v>
      </c>
    </row>
    <row r="91" spans="1:31" x14ac:dyDescent="0.25">
      <c r="A91" t="s">
        <v>44</v>
      </c>
      <c r="B91" t="s">
        <v>193</v>
      </c>
      <c r="C91" t="s">
        <v>256</v>
      </c>
      <c r="D91">
        <v>128883</v>
      </c>
      <c r="E91" t="s">
        <v>268</v>
      </c>
      <c r="F91" t="s">
        <v>196</v>
      </c>
      <c r="G91" t="s">
        <v>197</v>
      </c>
      <c r="H91" t="s">
        <v>254</v>
      </c>
      <c r="I91" t="s">
        <v>199</v>
      </c>
      <c r="J91" t="s">
        <v>269</v>
      </c>
      <c r="K91" t="s">
        <v>47</v>
      </c>
      <c r="L91" s="11" t="s">
        <v>48</v>
      </c>
      <c r="M91">
        <v>15</v>
      </c>
      <c r="N91">
        <v>18</v>
      </c>
      <c r="O91">
        <v>30</v>
      </c>
      <c r="P91">
        <v>24</v>
      </c>
      <c r="Q91">
        <v>19</v>
      </c>
      <c r="R91">
        <v>29</v>
      </c>
      <c r="S91">
        <v>19</v>
      </c>
      <c r="T91">
        <v>21</v>
      </c>
      <c r="U91">
        <v>22</v>
      </c>
      <c r="V91">
        <v>29</v>
      </c>
      <c r="W91">
        <v>17</v>
      </c>
      <c r="X91">
        <v>30</v>
      </c>
      <c r="Y91">
        <v>32</v>
      </c>
      <c r="Z91">
        <v>30</v>
      </c>
      <c r="AA91">
        <v>0</v>
      </c>
      <c r="AB91">
        <v>0</v>
      </c>
      <c r="AC91">
        <f t="shared" si="3"/>
        <v>154</v>
      </c>
      <c r="AD91">
        <f t="shared" si="3"/>
        <v>181</v>
      </c>
      <c r="AE91">
        <f t="shared" si="4"/>
        <v>335</v>
      </c>
    </row>
    <row r="92" spans="1:31" x14ac:dyDescent="0.25">
      <c r="A92" t="s">
        <v>44</v>
      </c>
      <c r="B92" t="s">
        <v>193</v>
      </c>
      <c r="C92" t="s">
        <v>256</v>
      </c>
      <c r="D92">
        <v>128884</v>
      </c>
      <c r="E92" t="s">
        <v>270</v>
      </c>
      <c r="F92" t="s">
        <v>271</v>
      </c>
      <c r="G92" t="s">
        <v>197</v>
      </c>
      <c r="H92" t="s">
        <v>254</v>
      </c>
      <c r="I92" t="s">
        <v>199</v>
      </c>
      <c r="J92" t="s">
        <v>272</v>
      </c>
      <c r="K92" t="s">
        <v>47</v>
      </c>
      <c r="L92" s="11" t="s">
        <v>48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f t="shared" si="3"/>
        <v>0</v>
      </c>
      <c r="AD92">
        <f t="shared" si="3"/>
        <v>0</v>
      </c>
      <c r="AE92">
        <f t="shared" si="4"/>
        <v>0</v>
      </c>
    </row>
    <row r="93" spans="1:31" x14ac:dyDescent="0.25">
      <c r="A93" t="s">
        <v>44</v>
      </c>
      <c r="B93" t="s">
        <v>193</v>
      </c>
      <c r="C93" t="s">
        <v>256</v>
      </c>
      <c r="D93">
        <v>128885</v>
      </c>
      <c r="E93" t="s">
        <v>273</v>
      </c>
      <c r="F93" t="s">
        <v>274</v>
      </c>
      <c r="G93" t="s">
        <v>197</v>
      </c>
      <c r="H93" t="s">
        <v>254</v>
      </c>
      <c r="I93" t="s">
        <v>220</v>
      </c>
      <c r="J93" t="s">
        <v>275</v>
      </c>
      <c r="K93" t="s">
        <v>47</v>
      </c>
      <c r="L93" s="11" t="s">
        <v>48</v>
      </c>
      <c r="M93">
        <v>20</v>
      </c>
      <c r="N93">
        <v>20</v>
      </c>
      <c r="O93">
        <v>26</v>
      </c>
      <c r="P93">
        <v>34</v>
      </c>
      <c r="Q93">
        <v>28</v>
      </c>
      <c r="R93">
        <v>21</v>
      </c>
      <c r="S93">
        <v>33</v>
      </c>
      <c r="T93">
        <v>25</v>
      </c>
      <c r="U93">
        <v>30</v>
      </c>
      <c r="V93">
        <v>27</v>
      </c>
      <c r="W93">
        <v>38</v>
      </c>
      <c r="X93">
        <v>40</v>
      </c>
      <c r="Y93">
        <v>47</v>
      </c>
      <c r="Z93">
        <v>45</v>
      </c>
      <c r="AA93">
        <v>0</v>
      </c>
      <c r="AB93">
        <v>1</v>
      </c>
      <c r="AC93">
        <f t="shared" si="3"/>
        <v>222</v>
      </c>
      <c r="AD93">
        <f t="shared" si="3"/>
        <v>213</v>
      </c>
      <c r="AE93">
        <f t="shared" si="4"/>
        <v>435</v>
      </c>
    </row>
    <row r="94" spans="1:31" x14ac:dyDescent="0.25">
      <c r="A94" t="s">
        <v>44</v>
      </c>
      <c r="B94" t="s">
        <v>193</v>
      </c>
      <c r="C94" t="s">
        <v>256</v>
      </c>
      <c r="D94">
        <v>128886</v>
      </c>
      <c r="E94" t="s">
        <v>276</v>
      </c>
      <c r="F94" t="s">
        <v>196</v>
      </c>
      <c r="G94" t="s">
        <v>197</v>
      </c>
      <c r="H94" t="s">
        <v>254</v>
      </c>
      <c r="I94" t="s">
        <v>199</v>
      </c>
      <c r="J94" t="s">
        <v>277</v>
      </c>
      <c r="K94" t="s">
        <v>47</v>
      </c>
      <c r="L94" s="11" t="s">
        <v>48</v>
      </c>
      <c r="M94">
        <v>30</v>
      </c>
      <c r="N94">
        <v>25</v>
      </c>
      <c r="O94">
        <v>23</v>
      </c>
      <c r="P94">
        <v>26</v>
      </c>
      <c r="Q94">
        <v>27</v>
      </c>
      <c r="R94">
        <v>16</v>
      </c>
      <c r="S94">
        <v>21</v>
      </c>
      <c r="T94">
        <v>24</v>
      </c>
      <c r="U94">
        <v>27</v>
      </c>
      <c r="V94">
        <v>27</v>
      </c>
      <c r="W94">
        <v>33</v>
      </c>
      <c r="X94">
        <v>24</v>
      </c>
      <c r="Y94">
        <v>30</v>
      </c>
      <c r="Z94">
        <v>36</v>
      </c>
      <c r="AA94">
        <v>0</v>
      </c>
      <c r="AB94">
        <v>0</v>
      </c>
      <c r="AC94">
        <f t="shared" si="3"/>
        <v>191</v>
      </c>
      <c r="AD94">
        <f t="shared" si="3"/>
        <v>178</v>
      </c>
      <c r="AE94">
        <f t="shared" si="4"/>
        <v>369</v>
      </c>
    </row>
    <row r="95" spans="1:31" x14ac:dyDescent="0.25">
      <c r="A95" t="s">
        <v>44</v>
      </c>
      <c r="B95" t="s">
        <v>193</v>
      </c>
      <c r="C95" t="s">
        <v>256</v>
      </c>
      <c r="D95">
        <v>128887</v>
      </c>
      <c r="E95" t="s">
        <v>278</v>
      </c>
      <c r="F95" t="s">
        <v>279</v>
      </c>
      <c r="G95" t="s">
        <v>197</v>
      </c>
      <c r="H95" t="s">
        <v>254</v>
      </c>
      <c r="I95" t="s">
        <v>199</v>
      </c>
      <c r="J95" t="s">
        <v>280</v>
      </c>
      <c r="K95" t="s">
        <v>47</v>
      </c>
      <c r="L95" s="11" t="s">
        <v>48</v>
      </c>
      <c r="M95">
        <v>22</v>
      </c>
      <c r="N95">
        <v>13</v>
      </c>
      <c r="O95">
        <v>22</v>
      </c>
      <c r="P95">
        <v>18</v>
      </c>
      <c r="Q95">
        <v>25</v>
      </c>
      <c r="R95">
        <v>20</v>
      </c>
      <c r="S95">
        <v>14</v>
      </c>
      <c r="T95">
        <v>14</v>
      </c>
      <c r="U95">
        <v>12</v>
      </c>
      <c r="V95">
        <v>17</v>
      </c>
      <c r="W95">
        <v>24</v>
      </c>
      <c r="X95">
        <v>21</v>
      </c>
      <c r="Y95">
        <v>17</v>
      </c>
      <c r="Z95">
        <v>30</v>
      </c>
      <c r="AA95">
        <v>0</v>
      </c>
      <c r="AB95">
        <v>0</v>
      </c>
      <c r="AC95">
        <f t="shared" si="3"/>
        <v>136</v>
      </c>
      <c r="AD95">
        <f t="shared" si="3"/>
        <v>133</v>
      </c>
      <c r="AE95">
        <f t="shared" si="4"/>
        <v>269</v>
      </c>
    </row>
    <row r="96" spans="1:31" x14ac:dyDescent="0.25">
      <c r="A96" t="s">
        <v>44</v>
      </c>
      <c r="B96" t="s">
        <v>193</v>
      </c>
      <c r="C96" t="s">
        <v>256</v>
      </c>
      <c r="D96">
        <v>128889</v>
      </c>
      <c r="E96" t="s">
        <v>281</v>
      </c>
      <c r="F96" t="s">
        <v>282</v>
      </c>
      <c r="G96" t="s">
        <v>197</v>
      </c>
      <c r="H96" t="s">
        <v>254</v>
      </c>
      <c r="I96" t="s">
        <v>199</v>
      </c>
      <c r="J96" t="s">
        <v>267</v>
      </c>
      <c r="K96" t="s">
        <v>47</v>
      </c>
      <c r="L96" s="11" t="s">
        <v>48</v>
      </c>
      <c r="M96">
        <v>24</v>
      </c>
      <c r="N96">
        <v>16</v>
      </c>
      <c r="O96">
        <v>25</v>
      </c>
      <c r="P96">
        <v>28</v>
      </c>
      <c r="Q96">
        <v>15</v>
      </c>
      <c r="R96">
        <v>20</v>
      </c>
      <c r="S96">
        <v>19</v>
      </c>
      <c r="T96">
        <v>15</v>
      </c>
      <c r="U96">
        <v>23</v>
      </c>
      <c r="V96">
        <v>20</v>
      </c>
      <c r="W96">
        <v>16</v>
      </c>
      <c r="X96">
        <v>15</v>
      </c>
      <c r="Y96">
        <v>25</v>
      </c>
      <c r="Z96">
        <v>27</v>
      </c>
      <c r="AA96">
        <v>0</v>
      </c>
      <c r="AB96">
        <v>0</v>
      </c>
      <c r="AC96">
        <f t="shared" si="3"/>
        <v>147</v>
      </c>
      <c r="AD96">
        <f t="shared" si="3"/>
        <v>141</v>
      </c>
      <c r="AE96">
        <f t="shared" si="4"/>
        <v>288</v>
      </c>
    </row>
    <row r="97" spans="1:31" x14ac:dyDescent="0.25">
      <c r="A97" t="s">
        <v>44</v>
      </c>
      <c r="B97" t="s">
        <v>193</v>
      </c>
      <c r="C97" t="s">
        <v>256</v>
      </c>
      <c r="D97">
        <v>128890</v>
      </c>
      <c r="E97" t="s">
        <v>283</v>
      </c>
      <c r="F97" t="s">
        <v>284</v>
      </c>
      <c r="G97" t="s">
        <v>197</v>
      </c>
      <c r="H97" t="s">
        <v>254</v>
      </c>
      <c r="I97" t="s">
        <v>199</v>
      </c>
      <c r="J97" t="s">
        <v>285</v>
      </c>
      <c r="K97" t="s">
        <v>47</v>
      </c>
      <c r="L97" s="11" t="s">
        <v>48</v>
      </c>
      <c r="M97">
        <v>45</v>
      </c>
      <c r="N97">
        <v>43</v>
      </c>
      <c r="O97">
        <v>42</v>
      </c>
      <c r="P97">
        <v>58</v>
      </c>
      <c r="Q97">
        <v>55</v>
      </c>
      <c r="R97">
        <v>55</v>
      </c>
      <c r="S97">
        <v>39</v>
      </c>
      <c r="T97">
        <v>39</v>
      </c>
      <c r="U97">
        <v>32</v>
      </c>
      <c r="V97">
        <v>29</v>
      </c>
      <c r="W97">
        <v>39</v>
      </c>
      <c r="X97">
        <v>42</v>
      </c>
      <c r="Y97">
        <v>39</v>
      </c>
      <c r="Z97">
        <v>44</v>
      </c>
      <c r="AA97">
        <v>0</v>
      </c>
      <c r="AB97">
        <v>0</v>
      </c>
      <c r="AC97">
        <f t="shared" si="3"/>
        <v>291</v>
      </c>
      <c r="AD97">
        <f t="shared" si="3"/>
        <v>310</v>
      </c>
      <c r="AE97">
        <f t="shared" si="4"/>
        <v>601</v>
      </c>
    </row>
    <row r="98" spans="1:31" x14ac:dyDescent="0.25">
      <c r="A98" t="s">
        <v>44</v>
      </c>
      <c r="B98" t="s">
        <v>193</v>
      </c>
      <c r="C98" t="s">
        <v>256</v>
      </c>
      <c r="D98">
        <v>128893</v>
      </c>
      <c r="E98" t="s">
        <v>286</v>
      </c>
      <c r="F98" t="s">
        <v>196</v>
      </c>
      <c r="G98" t="s">
        <v>197</v>
      </c>
      <c r="H98" t="s">
        <v>254</v>
      </c>
      <c r="I98" t="s">
        <v>199</v>
      </c>
      <c r="J98" t="s">
        <v>287</v>
      </c>
      <c r="K98" t="s">
        <v>47</v>
      </c>
      <c r="L98" s="11" t="s">
        <v>48</v>
      </c>
      <c r="M98">
        <v>12</v>
      </c>
      <c r="N98">
        <v>12</v>
      </c>
      <c r="O98">
        <v>15</v>
      </c>
      <c r="P98">
        <v>19</v>
      </c>
      <c r="Q98">
        <v>24</v>
      </c>
      <c r="R98">
        <v>7</v>
      </c>
      <c r="S98">
        <v>30</v>
      </c>
      <c r="T98">
        <v>13</v>
      </c>
      <c r="U98">
        <v>30</v>
      </c>
      <c r="V98">
        <v>17</v>
      </c>
      <c r="W98">
        <v>15</v>
      </c>
      <c r="X98">
        <v>19</v>
      </c>
      <c r="Y98">
        <v>9</v>
      </c>
      <c r="Z98">
        <v>23</v>
      </c>
      <c r="AA98">
        <v>0</v>
      </c>
      <c r="AB98">
        <v>0</v>
      </c>
      <c r="AC98">
        <f t="shared" si="3"/>
        <v>135</v>
      </c>
      <c r="AD98">
        <f t="shared" si="3"/>
        <v>110</v>
      </c>
      <c r="AE98">
        <f t="shared" si="4"/>
        <v>245</v>
      </c>
    </row>
    <row r="99" spans="1:31" x14ac:dyDescent="0.25">
      <c r="A99" t="s">
        <v>44</v>
      </c>
      <c r="B99" t="s">
        <v>193</v>
      </c>
      <c r="C99" t="s">
        <v>256</v>
      </c>
      <c r="D99">
        <v>205020</v>
      </c>
      <c r="E99" t="s">
        <v>288</v>
      </c>
      <c r="F99" t="s">
        <v>289</v>
      </c>
      <c r="G99" t="s">
        <v>197</v>
      </c>
      <c r="H99" t="s">
        <v>254</v>
      </c>
      <c r="I99" t="s">
        <v>199</v>
      </c>
      <c r="J99" t="s">
        <v>280</v>
      </c>
      <c r="K99" t="s">
        <v>47</v>
      </c>
      <c r="L99" s="11" t="s">
        <v>48</v>
      </c>
      <c r="M99">
        <v>10</v>
      </c>
      <c r="N99">
        <v>8</v>
      </c>
      <c r="O99">
        <v>6</v>
      </c>
      <c r="P99">
        <v>10</v>
      </c>
      <c r="Q99">
        <v>10</v>
      </c>
      <c r="R99">
        <v>11</v>
      </c>
      <c r="S99">
        <v>7</v>
      </c>
      <c r="T99">
        <v>10</v>
      </c>
      <c r="U99">
        <v>5</v>
      </c>
      <c r="V99">
        <v>10</v>
      </c>
      <c r="W99">
        <v>10</v>
      </c>
      <c r="X99">
        <v>12</v>
      </c>
      <c r="Y99">
        <v>7</v>
      </c>
      <c r="Z99">
        <v>15</v>
      </c>
      <c r="AA99">
        <v>0</v>
      </c>
      <c r="AB99">
        <v>0</v>
      </c>
      <c r="AC99">
        <f t="shared" si="3"/>
        <v>55</v>
      </c>
      <c r="AD99">
        <f t="shared" si="3"/>
        <v>76</v>
      </c>
      <c r="AE99">
        <f t="shared" si="4"/>
        <v>131</v>
      </c>
    </row>
    <row r="100" spans="1:31" x14ac:dyDescent="0.25">
      <c r="A100" t="s">
        <v>44</v>
      </c>
      <c r="B100" t="s">
        <v>193</v>
      </c>
      <c r="C100" t="s">
        <v>256</v>
      </c>
      <c r="D100">
        <v>205049</v>
      </c>
      <c r="E100" t="s">
        <v>290</v>
      </c>
      <c r="F100" t="s">
        <v>291</v>
      </c>
      <c r="G100" t="s">
        <v>197</v>
      </c>
      <c r="H100" t="s">
        <v>254</v>
      </c>
      <c r="I100" t="s">
        <v>220</v>
      </c>
      <c r="J100" t="s">
        <v>280</v>
      </c>
      <c r="K100" t="s">
        <v>47</v>
      </c>
      <c r="L100" s="11" t="s">
        <v>48</v>
      </c>
      <c r="M100">
        <v>9</v>
      </c>
      <c r="N100">
        <v>7</v>
      </c>
      <c r="O100">
        <v>9</v>
      </c>
      <c r="P100">
        <v>6</v>
      </c>
      <c r="Q100">
        <v>12</v>
      </c>
      <c r="R100">
        <v>13</v>
      </c>
      <c r="S100">
        <v>4</v>
      </c>
      <c r="T100">
        <v>7</v>
      </c>
      <c r="U100">
        <v>10</v>
      </c>
      <c r="V100">
        <v>10</v>
      </c>
      <c r="W100">
        <v>8</v>
      </c>
      <c r="X100">
        <v>9</v>
      </c>
      <c r="Y100">
        <v>18</v>
      </c>
      <c r="Z100">
        <v>23</v>
      </c>
      <c r="AA100">
        <v>0</v>
      </c>
      <c r="AB100">
        <v>0</v>
      </c>
      <c r="AC100">
        <f t="shared" si="3"/>
        <v>70</v>
      </c>
      <c r="AD100">
        <f t="shared" si="3"/>
        <v>75</v>
      </c>
      <c r="AE100">
        <f t="shared" si="4"/>
        <v>145</v>
      </c>
    </row>
    <row r="101" spans="1:31" x14ac:dyDescent="0.25">
      <c r="A101" t="s">
        <v>44</v>
      </c>
      <c r="B101" t="s">
        <v>193</v>
      </c>
      <c r="C101" t="s">
        <v>256</v>
      </c>
      <c r="D101">
        <v>205050</v>
      </c>
      <c r="E101" t="s">
        <v>292</v>
      </c>
      <c r="F101" t="s">
        <v>293</v>
      </c>
      <c r="G101" t="s">
        <v>197</v>
      </c>
      <c r="H101" t="s">
        <v>254</v>
      </c>
      <c r="I101" t="s">
        <v>199</v>
      </c>
      <c r="J101" t="s">
        <v>267</v>
      </c>
      <c r="K101" t="s">
        <v>47</v>
      </c>
      <c r="L101" s="11" t="s">
        <v>48</v>
      </c>
      <c r="M101">
        <v>15</v>
      </c>
      <c r="N101">
        <v>15</v>
      </c>
      <c r="O101">
        <v>11</v>
      </c>
      <c r="P101">
        <v>10</v>
      </c>
      <c r="Q101">
        <v>12</v>
      </c>
      <c r="R101">
        <v>8</v>
      </c>
      <c r="S101">
        <v>10</v>
      </c>
      <c r="T101">
        <v>8</v>
      </c>
      <c r="U101">
        <v>6</v>
      </c>
      <c r="V101">
        <v>7</v>
      </c>
      <c r="W101">
        <v>15</v>
      </c>
      <c r="X101">
        <v>15</v>
      </c>
      <c r="Y101">
        <v>15</v>
      </c>
      <c r="Z101">
        <v>23</v>
      </c>
      <c r="AA101">
        <v>0</v>
      </c>
      <c r="AB101">
        <v>0</v>
      </c>
      <c r="AC101">
        <f t="shared" si="3"/>
        <v>84</v>
      </c>
      <c r="AD101">
        <f t="shared" si="3"/>
        <v>86</v>
      </c>
      <c r="AE101">
        <f t="shared" si="4"/>
        <v>170</v>
      </c>
    </row>
    <row r="102" spans="1:31" x14ac:dyDescent="0.25">
      <c r="A102" t="s">
        <v>44</v>
      </c>
      <c r="B102" t="s">
        <v>193</v>
      </c>
      <c r="C102" t="s">
        <v>256</v>
      </c>
      <c r="D102">
        <v>501415</v>
      </c>
      <c r="E102" t="s">
        <v>294</v>
      </c>
      <c r="F102" t="s">
        <v>295</v>
      </c>
      <c r="G102" t="s">
        <v>197</v>
      </c>
      <c r="H102" t="s">
        <v>254</v>
      </c>
      <c r="I102" t="s">
        <v>220</v>
      </c>
      <c r="J102" t="s">
        <v>296</v>
      </c>
      <c r="K102" t="s">
        <v>51</v>
      </c>
      <c r="L102" s="11" t="s">
        <v>52</v>
      </c>
      <c r="M102">
        <v>9</v>
      </c>
      <c r="N102">
        <v>10</v>
      </c>
      <c r="O102">
        <v>13</v>
      </c>
      <c r="P102">
        <v>18</v>
      </c>
      <c r="Q102">
        <v>17</v>
      </c>
      <c r="R102">
        <v>11</v>
      </c>
      <c r="S102">
        <v>25</v>
      </c>
      <c r="T102">
        <v>13</v>
      </c>
      <c r="U102">
        <v>26</v>
      </c>
      <c r="V102">
        <v>25</v>
      </c>
      <c r="W102">
        <v>25</v>
      </c>
      <c r="X102">
        <v>15</v>
      </c>
      <c r="Y102">
        <v>12</v>
      </c>
      <c r="Z102">
        <v>22</v>
      </c>
      <c r="AA102">
        <v>0</v>
      </c>
      <c r="AB102">
        <v>0</v>
      </c>
      <c r="AC102">
        <f t="shared" si="3"/>
        <v>127</v>
      </c>
      <c r="AD102">
        <f t="shared" si="3"/>
        <v>114</v>
      </c>
      <c r="AE102">
        <f t="shared" si="4"/>
        <v>241</v>
      </c>
    </row>
    <row r="103" spans="1:31" x14ac:dyDescent="0.25">
      <c r="A103" t="s">
        <v>44</v>
      </c>
      <c r="B103" t="s">
        <v>193</v>
      </c>
      <c r="C103" t="s">
        <v>256</v>
      </c>
      <c r="D103">
        <v>501416</v>
      </c>
      <c r="E103" t="s">
        <v>297</v>
      </c>
      <c r="F103" t="s">
        <v>298</v>
      </c>
      <c r="G103" t="s">
        <v>197</v>
      </c>
      <c r="H103" t="s">
        <v>254</v>
      </c>
      <c r="I103" t="s">
        <v>220</v>
      </c>
      <c r="J103" t="s">
        <v>299</v>
      </c>
      <c r="K103" t="s">
        <v>51</v>
      </c>
      <c r="L103" s="11" t="s">
        <v>52</v>
      </c>
      <c r="M103">
        <v>34</v>
      </c>
      <c r="N103">
        <v>40</v>
      </c>
      <c r="O103">
        <v>39</v>
      </c>
      <c r="P103">
        <v>39</v>
      </c>
      <c r="Q103">
        <v>46</v>
      </c>
      <c r="R103">
        <v>34</v>
      </c>
      <c r="S103">
        <v>52</v>
      </c>
      <c r="T103">
        <v>45</v>
      </c>
      <c r="U103">
        <v>17</v>
      </c>
      <c r="V103">
        <v>19</v>
      </c>
      <c r="W103">
        <v>33</v>
      </c>
      <c r="X103">
        <v>43</v>
      </c>
      <c r="Y103">
        <v>40</v>
      </c>
      <c r="Z103">
        <v>32</v>
      </c>
      <c r="AA103">
        <v>0</v>
      </c>
      <c r="AB103">
        <v>0</v>
      </c>
      <c r="AC103">
        <f t="shared" si="3"/>
        <v>261</v>
      </c>
      <c r="AD103">
        <f t="shared" si="3"/>
        <v>252</v>
      </c>
      <c r="AE103">
        <f t="shared" si="4"/>
        <v>513</v>
      </c>
    </row>
    <row r="104" spans="1:31" x14ac:dyDescent="0.25">
      <c r="A104" t="s">
        <v>44</v>
      </c>
      <c r="B104" t="s">
        <v>193</v>
      </c>
      <c r="C104" t="s">
        <v>300</v>
      </c>
      <c r="D104">
        <v>128877</v>
      </c>
      <c r="E104" t="s">
        <v>301</v>
      </c>
      <c r="F104" t="s">
        <v>302</v>
      </c>
      <c r="G104" t="s">
        <v>197</v>
      </c>
      <c r="H104" t="s">
        <v>254</v>
      </c>
      <c r="I104" t="s">
        <v>199</v>
      </c>
      <c r="J104" t="s">
        <v>303</v>
      </c>
      <c r="K104" t="s">
        <v>47</v>
      </c>
      <c r="L104" s="11" t="s">
        <v>48</v>
      </c>
      <c r="M104">
        <v>8</v>
      </c>
      <c r="N104">
        <v>5</v>
      </c>
      <c r="O104">
        <v>16</v>
      </c>
      <c r="P104">
        <v>13</v>
      </c>
      <c r="Q104">
        <v>21</v>
      </c>
      <c r="R104">
        <v>17</v>
      </c>
      <c r="S104">
        <v>20</v>
      </c>
      <c r="T104">
        <v>14</v>
      </c>
      <c r="U104">
        <v>25</v>
      </c>
      <c r="V104">
        <v>22</v>
      </c>
      <c r="W104">
        <v>20</v>
      </c>
      <c r="X104">
        <v>17</v>
      </c>
      <c r="Y104">
        <v>14</v>
      </c>
      <c r="Z104">
        <v>16</v>
      </c>
      <c r="AA104">
        <v>0</v>
      </c>
      <c r="AB104">
        <v>0</v>
      </c>
      <c r="AC104">
        <f t="shared" si="3"/>
        <v>124</v>
      </c>
      <c r="AD104">
        <f t="shared" si="3"/>
        <v>104</v>
      </c>
      <c r="AE104">
        <f t="shared" si="4"/>
        <v>228</v>
      </c>
    </row>
    <row r="105" spans="1:31" x14ac:dyDescent="0.25">
      <c r="A105" t="s">
        <v>44</v>
      </c>
      <c r="B105" t="s">
        <v>193</v>
      </c>
      <c r="C105" t="s">
        <v>300</v>
      </c>
      <c r="D105">
        <v>128882</v>
      </c>
      <c r="E105" t="s">
        <v>304</v>
      </c>
      <c r="F105" t="s">
        <v>305</v>
      </c>
      <c r="G105" t="s">
        <v>197</v>
      </c>
      <c r="H105" t="s">
        <v>254</v>
      </c>
      <c r="I105" t="s">
        <v>220</v>
      </c>
      <c r="J105" t="s">
        <v>306</v>
      </c>
      <c r="K105" t="s">
        <v>47</v>
      </c>
      <c r="L105" s="11" t="s">
        <v>48</v>
      </c>
      <c r="M105">
        <v>28</v>
      </c>
      <c r="N105">
        <v>30</v>
      </c>
      <c r="O105">
        <v>65</v>
      </c>
      <c r="P105">
        <v>60</v>
      </c>
      <c r="Q105">
        <v>65</v>
      </c>
      <c r="R105">
        <v>36</v>
      </c>
      <c r="S105">
        <v>30</v>
      </c>
      <c r="T105">
        <v>40</v>
      </c>
      <c r="U105">
        <v>48</v>
      </c>
      <c r="V105">
        <v>49</v>
      </c>
      <c r="W105">
        <v>56</v>
      </c>
      <c r="X105">
        <v>43</v>
      </c>
      <c r="Y105">
        <v>60</v>
      </c>
      <c r="Z105">
        <v>63</v>
      </c>
      <c r="AA105">
        <v>0</v>
      </c>
      <c r="AB105">
        <v>0</v>
      </c>
      <c r="AC105">
        <f t="shared" si="3"/>
        <v>352</v>
      </c>
      <c r="AD105">
        <f t="shared" si="3"/>
        <v>321</v>
      </c>
      <c r="AE105">
        <f t="shared" si="4"/>
        <v>673</v>
      </c>
    </row>
    <row r="106" spans="1:31" x14ac:dyDescent="0.25">
      <c r="A106" t="s">
        <v>44</v>
      </c>
      <c r="B106" t="s">
        <v>193</v>
      </c>
      <c r="C106" t="s">
        <v>300</v>
      </c>
      <c r="D106">
        <v>128888</v>
      </c>
      <c r="E106" t="s">
        <v>307</v>
      </c>
      <c r="F106" t="s">
        <v>119</v>
      </c>
      <c r="G106" t="s">
        <v>197</v>
      </c>
      <c r="H106" t="s">
        <v>254</v>
      </c>
      <c r="I106" t="s">
        <v>220</v>
      </c>
      <c r="J106" t="s">
        <v>308</v>
      </c>
      <c r="K106" t="s">
        <v>47</v>
      </c>
      <c r="L106" s="11" t="s">
        <v>48</v>
      </c>
      <c r="M106">
        <v>0</v>
      </c>
      <c r="N106">
        <v>0</v>
      </c>
      <c r="O106">
        <v>15</v>
      </c>
      <c r="P106">
        <v>12</v>
      </c>
      <c r="Q106">
        <v>17</v>
      </c>
      <c r="R106">
        <v>22</v>
      </c>
      <c r="S106">
        <v>15</v>
      </c>
      <c r="T106">
        <v>17</v>
      </c>
      <c r="U106">
        <v>17</v>
      </c>
      <c r="V106">
        <v>21</v>
      </c>
      <c r="W106">
        <v>13</v>
      </c>
      <c r="X106">
        <v>14</v>
      </c>
      <c r="Y106">
        <v>18</v>
      </c>
      <c r="Z106">
        <v>21</v>
      </c>
      <c r="AA106">
        <v>0</v>
      </c>
      <c r="AB106">
        <v>0</v>
      </c>
      <c r="AC106">
        <f t="shared" si="3"/>
        <v>95</v>
      </c>
      <c r="AD106">
        <f t="shared" si="3"/>
        <v>107</v>
      </c>
      <c r="AE106">
        <f t="shared" si="4"/>
        <v>202</v>
      </c>
    </row>
    <row r="107" spans="1:31" x14ac:dyDescent="0.25">
      <c r="A107" t="s">
        <v>44</v>
      </c>
      <c r="B107" t="s">
        <v>193</v>
      </c>
      <c r="C107" t="s">
        <v>300</v>
      </c>
      <c r="D107">
        <v>128892</v>
      </c>
      <c r="E107" t="s">
        <v>309</v>
      </c>
      <c r="F107" t="s">
        <v>310</v>
      </c>
      <c r="G107" t="s">
        <v>197</v>
      </c>
      <c r="H107" t="s">
        <v>254</v>
      </c>
      <c r="I107" t="s">
        <v>199</v>
      </c>
      <c r="J107" t="s">
        <v>311</v>
      </c>
      <c r="K107" t="s">
        <v>47</v>
      </c>
      <c r="L107" s="11" t="s">
        <v>48</v>
      </c>
      <c r="M107">
        <v>19</v>
      </c>
      <c r="N107">
        <v>18</v>
      </c>
      <c r="O107">
        <v>14</v>
      </c>
      <c r="P107">
        <v>14</v>
      </c>
      <c r="Q107">
        <v>13</v>
      </c>
      <c r="R107">
        <v>11</v>
      </c>
      <c r="S107">
        <v>21</v>
      </c>
      <c r="T107">
        <v>24</v>
      </c>
      <c r="U107">
        <v>7</v>
      </c>
      <c r="V107">
        <v>8</v>
      </c>
      <c r="W107">
        <v>15</v>
      </c>
      <c r="X107">
        <v>18</v>
      </c>
      <c r="Y107">
        <v>19</v>
      </c>
      <c r="Z107">
        <v>18</v>
      </c>
      <c r="AA107">
        <v>0</v>
      </c>
      <c r="AB107">
        <v>0</v>
      </c>
      <c r="AC107">
        <f t="shared" si="3"/>
        <v>108</v>
      </c>
      <c r="AD107">
        <f t="shared" si="3"/>
        <v>111</v>
      </c>
      <c r="AE107">
        <f t="shared" si="4"/>
        <v>219</v>
      </c>
    </row>
    <row r="108" spans="1:31" x14ac:dyDescent="0.25">
      <c r="A108" t="s">
        <v>44</v>
      </c>
      <c r="B108" t="s">
        <v>193</v>
      </c>
      <c r="C108" t="s">
        <v>300</v>
      </c>
      <c r="D108">
        <v>129053</v>
      </c>
      <c r="E108" t="s">
        <v>312</v>
      </c>
      <c r="F108" t="s">
        <v>313</v>
      </c>
      <c r="G108" t="s">
        <v>197</v>
      </c>
      <c r="H108" t="s">
        <v>254</v>
      </c>
      <c r="I108" t="s">
        <v>199</v>
      </c>
      <c r="J108" t="s">
        <v>314</v>
      </c>
      <c r="K108" t="s">
        <v>47</v>
      </c>
      <c r="L108" s="11" t="s">
        <v>48</v>
      </c>
      <c r="M108">
        <v>29</v>
      </c>
      <c r="N108">
        <v>36</v>
      </c>
      <c r="O108">
        <v>31</v>
      </c>
      <c r="P108">
        <v>29</v>
      </c>
      <c r="Q108">
        <v>53</v>
      </c>
      <c r="R108">
        <v>38</v>
      </c>
      <c r="S108">
        <v>23</v>
      </c>
      <c r="T108">
        <v>40</v>
      </c>
      <c r="U108">
        <v>30</v>
      </c>
      <c r="V108">
        <v>28</v>
      </c>
      <c r="W108">
        <v>36</v>
      </c>
      <c r="X108">
        <v>28</v>
      </c>
      <c r="Y108">
        <v>36</v>
      </c>
      <c r="Z108">
        <v>42</v>
      </c>
      <c r="AA108">
        <v>51</v>
      </c>
      <c r="AB108">
        <v>48</v>
      </c>
      <c r="AC108">
        <f t="shared" si="3"/>
        <v>289</v>
      </c>
      <c r="AD108">
        <f t="shared" si="3"/>
        <v>289</v>
      </c>
      <c r="AE108">
        <f t="shared" si="4"/>
        <v>578</v>
      </c>
    </row>
    <row r="109" spans="1:31" x14ac:dyDescent="0.25">
      <c r="A109" t="s">
        <v>44</v>
      </c>
      <c r="B109" t="s">
        <v>193</v>
      </c>
      <c r="C109" t="s">
        <v>300</v>
      </c>
      <c r="D109">
        <v>129056</v>
      </c>
      <c r="E109" t="s">
        <v>315</v>
      </c>
      <c r="F109" t="s">
        <v>316</v>
      </c>
      <c r="G109" t="s">
        <v>197</v>
      </c>
      <c r="H109" t="s">
        <v>254</v>
      </c>
      <c r="I109" t="s">
        <v>199</v>
      </c>
      <c r="J109" t="s">
        <v>317</v>
      </c>
      <c r="K109" t="s">
        <v>47</v>
      </c>
      <c r="L109" s="11" t="s">
        <v>48</v>
      </c>
      <c r="M109">
        <v>20</v>
      </c>
      <c r="N109">
        <v>24</v>
      </c>
      <c r="O109">
        <v>46</v>
      </c>
      <c r="P109">
        <v>27</v>
      </c>
      <c r="Q109">
        <v>17</v>
      </c>
      <c r="R109">
        <v>20</v>
      </c>
      <c r="S109">
        <v>33</v>
      </c>
      <c r="T109">
        <v>30</v>
      </c>
      <c r="U109">
        <v>23</v>
      </c>
      <c r="V109">
        <v>34</v>
      </c>
      <c r="W109">
        <v>30</v>
      </c>
      <c r="X109">
        <v>41</v>
      </c>
      <c r="Y109">
        <v>38</v>
      </c>
      <c r="Z109">
        <v>54</v>
      </c>
      <c r="AA109">
        <v>0</v>
      </c>
      <c r="AB109">
        <v>0</v>
      </c>
      <c r="AC109">
        <f t="shared" si="3"/>
        <v>207</v>
      </c>
      <c r="AD109">
        <f t="shared" si="3"/>
        <v>230</v>
      </c>
      <c r="AE109">
        <f t="shared" si="4"/>
        <v>437</v>
      </c>
    </row>
    <row r="110" spans="1:31" x14ac:dyDescent="0.25">
      <c r="A110" t="s">
        <v>44</v>
      </c>
      <c r="B110" t="s">
        <v>193</v>
      </c>
      <c r="C110" t="s">
        <v>300</v>
      </c>
      <c r="D110">
        <v>129058</v>
      </c>
      <c r="E110" t="s">
        <v>318</v>
      </c>
      <c r="F110" t="s">
        <v>319</v>
      </c>
      <c r="G110" t="s">
        <v>197</v>
      </c>
      <c r="H110" t="s">
        <v>254</v>
      </c>
      <c r="I110" t="s">
        <v>199</v>
      </c>
      <c r="J110" t="s">
        <v>320</v>
      </c>
      <c r="K110" t="s">
        <v>47</v>
      </c>
      <c r="L110" s="11" t="s">
        <v>48</v>
      </c>
      <c r="M110">
        <v>27</v>
      </c>
      <c r="N110">
        <v>19</v>
      </c>
      <c r="O110">
        <v>16</v>
      </c>
      <c r="P110">
        <v>14</v>
      </c>
      <c r="Q110">
        <v>22</v>
      </c>
      <c r="R110">
        <v>22</v>
      </c>
      <c r="S110">
        <v>19</v>
      </c>
      <c r="T110">
        <v>17</v>
      </c>
      <c r="U110">
        <v>13</v>
      </c>
      <c r="V110">
        <v>9</v>
      </c>
      <c r="W110">
        <v>15</v>
      </c>
      <c r="X110">
        <v>15</v>
      </c>
      <c r="Y110">
        <v>18</v>
      </c>
      <c r="Z110">
        <v>18</v>
      </c>
      <c r="AA110">
        <v>0</v>
      </c>
      <c r="AB110">
        <v>0</v>
      </c>
      <c r="AC110">
        <f t="shared" si="3"/>
        <v>130</v>
      </c>
      <c r="AD110">
        <f t="shared" si="3"/>
        <v>114</v>
      </c>
      <c r="AE110">
        <f t="shared" si="4"/>
        <v>244</v>
      </c>
    </row>
    <row r="111" spans="1:31" x14ac:dyDescent="0.25">
      <c r="A111" t="s">
        <v>44</v>
      </c>
      <c r="B111" t="s">
        <v>193</v>
      </c>
      <c r="C111" t="s">
        <v>300</v>
      </c>
      <c r="D111">
        <v>129060</v>
      </c>
      <c r="E111" t="s">
        <v>321</v>
      </c>
      <c r="F111" t="s">
        <v>322</v>
      </c>
      <c r="G111" t="s">
        <v>197</v>
      </c>
      <c r="H111" t="s">
        <v>254</v>
      </c>
      <c r="I111" t="s">
        <v>199</v>
      </c>
      <c r="J111" t="s">
        <v>323</v>
      </c>
      <c r="K111" t="s">
        <v>47</v>
      </c>
      <c r="L111" s="11" t="s">
        <v>48</v>
      </c>
      <c r="M111">
        <v>19</v>
      </c>
      <c r="N111">
        <v>26</v>
      </c>
      <c r="O111">
        <v>32</v>
      </c>
      <c r="P111">
        <v>27</v>
      </c>
      <c r="Q111">
        <v>34</v>
      </c>
      <c r="R111">
        <v>37</v>
      </c>
      <c r="S111">
        <v>27</v>
      </c>
      <c r="T111">
        <v>15</v>
      </c>
      <c r="U111">
        <v>29</v>
      </c>
      <c r="V111">
        <v>31</v>
      </c>
      <c r="W111">
        <v>24</v>
      </c>
      <c r="X111">
        <v>29</v>
      </c>
      <c r="Y111">
        <v>43</v>
      </c>
      <c r="Z111">
        <v>31</v>
      </c>
      <c r="AA111">
        <v>0</v>
      </c>
      <c r="AB111">
        <v>0</v>
      </c>
      <c r="AC111">
        <f t="shared" si="3"/>
        <v>208</v>
      </c>
      <c r="AD111">
        <f t="shared" si="3"/>
        <v>196</v>
      </c>
      <c r="AE111">
        <f t="shared" si="4"/>
        <v>404</v>
      </c>
    </row>
    <row r="112" spans="1:31" x14ac:dyDescent="0.25">
      <c r="A112" t="s">
        <v>44</v>
      </c>
      <c r="B112" t="s">
        <v>193</v>
      </c>
      <c r="C112" t="s">
        <v>300</v>
      </c>
      <c r="D112">
        <v>129061</v>
      </c>
      <c r="E112" t="s">
        <v>324</v>
      </c>
      <c r="F112" t="s">
        <v>325</v>
      </c>
      <c r="G112" t="s">
        <v>197</v>
      </c>
      <c r="H112" t="s">
        <v>254</v>
      </c>
      <c r="I112" t="s">
        <v>199</v>
      </c>
      <c r="J112" t="s">
        <v>326</v>
      </c>
      <c r="K112" t="s">
        <v>47</v>
      </c>
      <c r="L112" s="11" t="s">
        <v>48</v>
      </c>
      <c r="M112">
        <v>7</v>
      </c>
      <c r="N112">
        <v>5</v>
      </c>
      <c r="O112">
        <v>4</v>
      </c>
      <c r="P112">
        <v>4</v>
      </c>
      <c r="Q112">
        <v>2</v>
      </c>
      <c r="R112">
        <v>8</v>
      </c>
      <c r="S112">
        <v>4</v>
      </c>
      <c r="T112">
        <v>4</v>
      </c>
      <c r="U112">
        <v>8</v>
      </c>
      <c r="V112">
        <v>8</v>
      </c>
      <c r="W112">
        <v>3</v>
      </c>
      <c r="X112">
        <v>4</v>
      </c>
      <c r="Y112">
        <v>8</v>
      </c>
      <c r="Z112">
        <v>5</v>
      </c>
      <c r="AA112">
        <v>0</v>
      </c>
      <c r="AB112">
        <v>0</v>
      </c>
      <c r="AC112">
        <f t="shared" si="3"/>
        <v>36</v>
      </c>
      <c r="AD112">
        <f t="shared" si="3"/>
        <v>38</v>
      </c>
      <c r="AE112">
        <f t="shared" si="4"/>
        <v>74</v>
      </c>
    </row>
    <row r="113" spans="1:31" x14ac:dyDescent="0.25">
      <c r="A113" t="s">
        <v>44</v>
      </c>
      <c r="B113" t="s">
        <v>193</v>
      </c>
      <c r="C113" t="s">
        <v>300</v>
      </c>
      <c r="D113">
        <v>129068</v>
      </c>
      <c r="E113" t="s">
        <v>327</v>
      </c>
      <c r="F113" t="s">
        <v>328</v>
      </c>
      <c r="G113" t="s">
        <v>197</v>
      </c>
      <c r="H113" t="s">
        <v>254</v>
      </c>
      <c r="I113" t="s">
        <v>199</v>
      </c>
      <c r="J113" t="s">
        <v>329</v>
      </c>
      <c r="K113" t="s">
        <v>47</v>
      </c>
      <c r="L113" s="11" t="s">
        <v>48</v>
      </c>
      <c r="M113">
        <v>23</v>
      </c>
      <c r="N113">
        <v>13</v>
      </c>
      <c r="O113">
        <v>16</v>
      </c>
      <c r="P113">
        <v>17</v>
      </c>
      <c r="Q113">
        <v>22</v>
      </c>
      <c r="R113">
        <v>23</v>
      </c>
      <c r="S113">
        <v>20</v>
      </c>
      <c r="T113">
        <v>21</v>
      </c>
      <c r="U113">
        <v>31</v>
      </c>
      <c r="V113">
        <v>20</v>
      </c>
      <c r="W113">
        <v>21</v>
      </c>
      <c r="X113">
        <v>25</v>
      </c>
      <c r="Y113">
        <v>15</v>
      </c>
      <c r="Z113">
        <v>28</v>
      </c>
      <c r="AA113">
        <v>0</v>
      </c>
      <c r="AB113">
        <v>0</v>
      </c>
      <c r="AC113">
        <f t="shared" si="3"/>
        <v>148</v>
      </c>
      <c r="AD113">
        <f t="shared" si="3"/>
        <v>147</v>
      </c>
      <c r="AE113">
        <f t="shared" si="4"/>
        <v>295</v>
      </c>
    </row>
    <row r="114" spans="1:31" x14ac:dyDescent="0.25">
      <c r="A114" t="s">
        <v>44</v>
      </c>
      <c r="B114" t="s">
        <v>193</v>
      </c>
      <c r="C114" t="s">
        <v>300</v>
      </c>
      <c r="D114">
        <v>129069</v>
      </c>
      <c r="E114" t="s">
        <v>330</v>
      </c>
      <c r="F114" t="s">
        <v>119</v>
      </c>
      <c r="G114" t="s">
        <v>197</v>
      </c>
      <c r="H114" t="s">
        <v>254</v>
      </c>
      <c r="I114" t="s">
        <v>220</v>
      </c>
      <c r="J114" t="s">
        <v>331</v>
      </c>
      <c r="K114" t="s">
        <v>47</v>
      </c>
      <c r="L114" s="11" t="s">
        <v>48</v>
      </c>
      <c r="M114">
        <v>21</v>
      </c>
      <c r="N114">
        <v>18</v>
      </c>
      <c r="O114">
        <v>25</v>
      </c>
      <c r="P114">
        <v>23</v>
      </c>
      <c r="Q114">
        <v>19</v>
      </c>
      <c r="R114">
        <v>23</v>
      </c>
      <c r="S114">
        <v>18</v>
      </c>
      <c r="T114">
        <v>16</v>
      </c>
      <c r="U114">
        <v>24</v>
      </c>
      <c r="V114">
        <v>28</v>
      </c>
      <c r="W114">
        <v>26</v>
      </c>
      <c r="X114">
        <v>27</v>
      </c>
      <c r="Y114">
        <v>40</v>
      </c>
      <c r="Z114">
        <v>41</v>
      </c>
      <c r="AA114">
        <v>0</v>
      </c>
      <c r="AB114">
        <v>0</v>
      </c>
      <c r="AC114">
        <f t="shared" si="3"/>
        <v>173</v>
      </c>
      <c r="AD114">
        <f t="shared" si="3"/>
        <v>176</v>
      </c>
      <c r="AE114">
        <f t="shared" si="4"/>
        <v>349</v>
      </c>
    </row>
    <row r="115" spans="1:31" x14ac:dyDescent="0.25">
      <c r="A115" t="s">
        <v>44</v>
      </c>
      <c r="B115" t="s">
        <v>193</v>
      </c>
      <c r="C115" t="s">
        <v>300</v>
      </c>
      <c r="D115">
        <v>501413</v>
      </c>
      <c r="E115" t="s">
        <v>332</v>
      </c>
      <c r="F115" t="s">
        <v>333</v>
      </c>
      <c r="G115" t="s">
        <v>197</v>
      </c>
      <c r="H115" t="s">
        <v>254</v>
      </c>
      <c r="I115" t="s">
        <v>220</v>
      </c>
      <c r="J115" t="s">
        <v>306</v>
      </c>
      <c r="K115" t="s">
        <v>51</v>
      </c>
      <c r="L115" s="11" t="s">
        <v>52</v>
      </c>
      <c r="M115">
        <v>15</v>
      </c>
      <c r="N115">
        <v>16</v>
      </c>
      <c r="O115">
        <v>18</v>
      </c>
      <c r="P115">
        <v>16</v>
      </c>
      <c r="Q115">
        <v>20</v>
      </c>
      <c r="R115">
        <v>15</v>
      </c>
      <c r="S115">
        <v>15</v>
      </c>
      <c r="T115">
        <v>28</v>
      </c>
      <c r="U115">
        <v>20</v>
      </c>
      <c r="V115">
        <v>20</v>
      </c>
      <c r="W115">
        <v>20</v>
      </c>
      <c r="X115">
        <v>17</v>
      </c>
      <c r="Y115">
        <v>11</v>
      </c>
      <c r="Z115">
        <v>29</v>
      </c>
      <c r="AA115">
        <v>0</v>
      </c>
      <c r="AB115">
        <v>0</v>
      </c>
      <c r="AC115">
        <f t="shared" si="3"/>
        <v>119</v>
      </c>
      <c r="AD115">
        <f t="shared" si="3"/>
        <v>141</v>
      </c>
      <c r="AE115">
        <f t="shared" si="4"/>
        <v>260</v>
      </c>
    </row>
    <row r="116" spans="1:31" x14ac:dyDescent="0.25">
      <c r="A116" t="s">
        <v>44</v>
      </c>
      <c r="B116" t="s">
        <v>193</v>
      </c>
      <c r="C116" t="s">
        <v>300</v>
      </c>
      <c r="D116">
        <v>501414</v>
      </c>
      <c r="E116" t="s">
        <v>334</v>
      </c>
      <c r="F116" t="s">
        <v>335</v>
      </c>
      <c r="G116" t="s">
        <v>197</v>
      </c>
      <c r="H116" t="s">
        <v>254</v>
      </c>
      <c r="I116" t="s">
        <v>220</v>
      </c>
      <c r="J116" t="s">
        <v>336</v>
      </c>
      <c r="K116" t="s">
        <v>51</v>
      </c>
      <c r="L116" s="11" t="s">
        <v>52</v>
      </c>
      <c r="M116">
        <v>28</v>
      </c>
      <c r="N116">
        <v>27</v>
      </c>
      <c r="O116">
        <v>31</v>
      </c>
      <c r="P116">
        <v>31</v>
      </c>
      <c r="Q116">
        <v>28</v>
      </c>
      <c r="R116">
        <v>33</v>
      </c>
      <c r="S116">
        <v>22</v>
      </c>
      <c r="T116">
        <v>24</v>
      </c>
      <c r="U116">
        <v>23</v>
      </c>
      <c r="V116">
        <v>29</v>
      </c>
      <c r="W116">
        <v>25</v>
      </c>
      <c r="X116">
        <v>33</v>
      </c>
      <c r="Y116">
        <v>27</v>
      </c>
      <c r="Z116">
        <v>39</v>
      </c>
      <c r="AA116">
        <v>0</v>
      </c>
      <c r="AB116">
        <v>0</v>
      </c>
      <c r="AC116">
        <f t="shared" si="3"/>
        <v>184</v>
      </c>
      <c r="AD116">
        <f t="shared" si="3"/>
        <v>216</v>
      </c>
      <c r="AE116">
        <f t="shared" si="4"/>
        <v>400</v>
      </c>
    </row>
    <row r="117" spans="1:31" x14ac:dyDescent="0.25">
      <c r="A117" t="s">
        <v>44</v>
      </c>
      <c r="B117" t="s">
        <v>193</v>
      </c>
      <c r="C117" t="s">
        <v>300</v>
      </c>
      <c r="D117">
        <v>501417</v>
      </c>
      <c r="E117" t="s">
        <v>337</v>
      </c>
      <c r="F117" t="s">
        <v>338</v>
      </c>
      <c r="G117" t="s">
        <v>197</v>
      </c>
      <c r="H117" t="s">
        <v>254</v>
      </c>
      <c r="I117" t="s">
        <v>220</v>
      </c>
      <c r="J117" t="s">
        <v>339</v>
      </c>
      <c r="K117" t="s">
        <v>51</v>
      </c>
      <c r="L117" s="11" t="s">
        <v>52</v>
      </c>
      <c r="M117">
        <v>23</v>
      </c>
      <c r="N117">
        <v>23</v>
      </c>
      <c r="O117">
        <v>42</v>
      </c>
      <c r="P117">
        <v>32</v>
      </c>
      <c r="Q117">
        <v>35</v>
      </c>
      <c r="R117">
        <v>34</v>
      </c>
      <c r="S117">
        <v>21</v>
      </c>
      <c r="T117">
        <v>23</v>
      </c>
      <c r="U117">
        <v>35</v>
      </c>
      <c r="V117">
        <v>39</v>
      </c>
      <c r="W117">
        <v>60</v>
      </c>
      <c r="X117">
        <v>42</v>
      </c>
      <c r="Y117">
        <v>32</v>
      </c>
      <c r="Z117">
        <v>42</v>
      </c>
      <c r="AA117">
        <v>0</v>
      </c>
      <c r="AB117">
        <v>0</v>
      </c>
      <c r="AC117">
        <f t="shared" si="3"/>
        <v>248</v>
      </c>
      <c r="AD117">
        <f t="shared" si="3"/>
        <v>235</v>
      </c>
      <c r="AE117">
        <f t="shared" si="4"/>
        <v>483</v>
      </c>
    </row>
    <row r="118" spans="1:31" x14ac:dyDescent="0.25">
      <c r="A118" t="s">
        <v>44</v>
      </c>
      <c r="B118" t="s">
        <v>193</v>
      </c>
      <c r="C118" t="s">
        <v>340</v>
      </c>
      <c r="D118">
        <v>134180</v>
      </c>
      <c r="E118" t="s">
        <v>341</v>
      </c>
      <c r="F118" t="s">
        <v>342</v>
      </c>
      <c r="G118" t="s">
        <v>197</v>
      </c>
      <c r="H118" t="s">
        <v>343</v>
      </c>
      <c r="I118" t="s">
        <v>199</v>
      </c>
      <c r="J118" t="s">
        <v>344</v>
      </c>
      <c r="K118" t="s">
        <v>47</v>
      </c>
      <c r="L118" s="11" t="s">
        <v>48</v>
      </c>
      <c r="M118">
        <v>10</v>
      </c>
      <c r="N118">
        <v>6</v>
      </c>
      <c r="O118">
        <v>8</v>
      </c>
      <c r="P118">
        <v>8</v>
      </c>
      <c r="Q118">
        <v>3</v>
      </c>
      <c r="R118">
        <v>6</v>
      </c>
      <c r="S118">
        <v>15</v>
      </c>
      <c r="T118">
        <v>5</v>
      </c>
      <c r="U118">
        <v>9</v>
      </c>
      <c r="V118">
        <v>3</v>
      </c>
      <c r="W118">
        <v>6</v>
      </c>
      <c r="X118">
        <v>6</v>
      </c>
      <c r="Y118">
        <v>8</v>
      </c>
      <c r="Z118">
        <v>12</v>
      </c>
      <c r="AA118">
        <v>0</v>
      </c>
      <c r="AB118">
        <v>0</v>
      </c>
      <c r="AC118">
        <f t="shared" si="3"/>
        <v>59</v>
      </c>
      <c r="AD118">
        <f t="shared" si="3"/>
        <v>46</v>
      </c>
      <c r="AE118">
        <f t="shared" si="4"/>
        <v>105</v>
      </c>
    </row>
    <row r="119" spans="1:31" x14ac:dyDescent="0.25">
      <c r="A119" t="s">
        <v>44</v>
      </c>
      <c r="B119" t="s">
        <v>193</v>
      </c>
      <c r="C119" t="s">
        <v>340</v>
      </c>
      <c r="D119">
        <v>134274</v>
      </c>
      <c r="E119" t="s">
        <v>345</v>
      </c>
      <c r="F119" t="s">
        <v>346</v>
      </c>
      <c r="G119" t="s">
        <v>197</v>
      </c>
      <c r="H119" t="s">
        <v>343</v>
      </c>
      <c r="I119" t="s">
        <v>199</v>
      </c>
      <c r="J119" t="s">
        <v>344</v>
      </c>
      <c r="K119" t="s">
        <v>47</v>
      </c>
      <c r="L119" s="11" t="s">
        <v>48</v>
      </c>
      <c r="M119">
        <v>7</v>
      </c>
      <c r="N119">
        <v>10</v>
      </c>
      <c r="O119">
        <v>9</v>
      </c>
      <c r="P119">
        <v>13</v>
      </c>
      <c r="Q119">
        <v>9</v>
      </c>
      <c r="R119">
        <v>10</v>
      </c>
      <c r="S119">
        <v>11</v>
      </c>
      <c r="T119">
        <v>8</v>
      </c>
      <c r="U119">
        <v>7</v>
      </c>
      <c r="V119">
        <v>12</v>
      </c>
      <c r="W119">
        <v>8</v>
      </c>
      <c r="X119">
        <v>10</v>
      </c>
      <c r="Y119">
        <v>13</v>
      </c>
      <c r="Z119">
        <v>8</v>
      </c>
      <c r="AA119">
        <v>0</v>
      </c>
      <c r="AB119">
        <v>0</v>
      </c>
      <c r="AC119">
        <f t="shared" si="3"/>
        <v>64</v>
      </c>
      <c r="AD119">
        <f t="shared" si="3"/>
        <v>71</v>
      </c>
      <c r="AE119">
        <f t="shared" si="4"/>
        <v>135</v>
      </c>
    </row>
    <row r="120" spans="1:31" x14ac:dyDescent="0.25">
      <c r="A120" t="s">
        <v>44</v>
      </c>
      <c r="B120" t="s">
        <v>193</v>
      </c>
      <c r="C120" t="s">
        <v>347</v>
      </c>
      <c r="D120">
        <v>128964</v>
      </c>
      <c r="E120" t="s">
        <v>348</v>
      </c>
      <c r="F120" t="s">
        <v>119</v>
      </c>
      <c r="G120" t="s">
        <v>197</v>
      </c>
      <c r="H120" t="s">
        <v>343</v>
      </c>
      <c r="I120" t="s">
        <v>220</v>
      </c>
      <c r="J120" t="s">
        <v>349</v>
      </c>
      <c r="K120" t="s">
        <v>47</v>
      </c>
      <c r="L120" s="11" t="s">
        <v>48</v>
      </c>
      <c r="M120">
        <v>21</v>
      </c>
      <c r="N120">
        <v>13</v>
      </c>
      <c r="O120">
        <v>15</v>
      </c>
      <c r="P120">
        <v>18</v>
      </c>
      <c r="Q120">
        <v>15</v>
      </c>
      <c r="R120">
        <v>16</v>
      </c>
      <c r="S120">
        <v>23</v>
      </c>
      <c r="T120">
        <v>15</v>
      </c>
      <c r="U120">
        <v>24</v>
      </c>
      <c r="V120">
        <v>22</v>
      </c>
      <c r="W120">
        <v>25</v>
      </c>
      <c r="X120">
        <v>18</v>
      </c>
      <c r="Y120">
        <v>21</v>
      </c>
      <c r="Z120">
        <v>25</v>
      </c>
      <c r="AA120">
        <v>0</v>
      </c>
      <c r="AB120">
        <v>0</v>
      </c>
      <c r="AC120">
        <f t="shared" si="3"/>
        <v>144</v>
      </c>
      <c r="AD120">
        <f t="shared" si="3"/>
        <v>127</v>
      </c>
      <c r="AE120">
        <f t="shared" si="4"/>
        <v>271</v>
      </c>
    </row>
    <row r="121" spans="1:31" x14ac:dyDescent="0.25">
      <c r="A121" t="s">
        <v>44</v>
      </c>
      <c r="B121" t="s">
        <v>193</v>
      </c>
      <c r="C121" t="s">
        <v>347</v>
      </c>
      <c r="D121">
        <v>128967</v>
      </c>
      <c r="E121" t="s">
        <v>350</v>
      </c>
      <c r="F121" t="s">
        <v>351</v>
      </c>
      <c r="G121" t="s">
        <v>197</v>
      </c>
      <c r="H121" t="s">
        <v>343</v>
      </c>
      <c r="I121" t="s">
        <v>220</v>
      </c>
      <c r="J121" t="s">
        <v>352</v>
      </c>
      <c r="K121" t="s">
        <v>47</v>
      </c>
      <c r="L121" s="11" t="s">
        <v>48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f t="shared" si="3"/>
        <v>0</v>
      </c>
      <c r="AD121">
        <f t="shared" si="3"/>
        <v>0</v>
      </c>
      <c r="AE121">
        <f t="shared" si="4"/>
        <v>0</v>
      </c>
    </row>
    <row r="122" spans="1:31" x14ac:dyDescent="0.25">
      <c r="A122" t="s">
        <v>44</v>
      </c>
      <c r="B122" t="s">
        <v>193</v>
      </c>
      <c r="C122" t="s">
        <v>347</v>
      </c>
      <c r="D122">
        <v>128988</v>
      </c>
      <c r="E122" t="s">
        <v>353</v>
      </c>
      <c r="F122" t="s">
        <v>354</v>
      </c>
      <c r="G122" t="s">
        <v>197</v>
      </c>
      <c r="H122" t="s">
        <v>343</v>
      </c>
      <c r="I122" t="s">
        <v>220</v>
      </c>
      <c r="J122" t="s">
        <v>355</v>
      </c>
      <c r="K122" t="s">
        <v>47</v>
      </c>
      <c r="L122" s="11" t="s">
        <v>48</v>
      </c>
      <c r="M122">
        <v>18</v>
      </c>
      <c r="N122">
        <v>16</v>
      </c>
      <c r="O122">
        <v>14</v>
      </c>
      <c r="P122">
        <v>4</v>
      </c>
      <c r="Q122">
        <v>16</v>
      </c>
      <c r="R122">
        <v>13</v>
      </c>
      <c r="S122">
        <v>7</v>
      </c>
      <c r="T122">
        <v>4</v>
      </c>
      <c r="U122">
        <v>9</v>
      </c>
      <c r="V122">
        <v>12</v>
      </c>
      <c r="W122">
        <v>9</v>
      </c>
      <c r="X122">
        <v>12</v>
      </c>
      <c r="Y122">
        <v>8</v>
      </c>
      <c r="Z122">
        <v>11</v>
      </c>
      <c r="AA122">
        <v>0</v>
      </c>
      <c r="AB122">
        <v>0</v>
      </c>
      <c r="AC122">
        <f t="shared" si="3"/>
        <v>81</v>
      </c>
      <c r="AD122">
        <f t="shared" si="3"/>
        <v>72</v>
      </c>
      <c r="AE122">
        <f t="shared" si="4"/>
        <v>153</v>
      </c>
    </row>
    <row r="123" spans="1:31" x14ac:dyDescent="0.25">
      <c r="A123" t="s">
        <v>44</v>
      </c>
      <c r="B123" t="s">
        <v>193</v>
      </c>
      <c r="C123" t="s">
        <v>347</v>
      </c>
      <c r="D123">
        <v>128989</v>
      </c>
      <c r="E123" t="s">
        <v>356</v>
      </c>
      <c r="F123" t="s">
        <v>357</v>
      </c>
      <c r="G123" t="s">
        <v>197</v>
      </c>
      <c r="H123" t="s">
        <v>343</v>
      </c>
      <c r="I123" t="s">
        <v>220</v>
      </c>
      <c r="J123" t="s">
        <v>358</v>
      </c>
      <c r="K123" t="s">
        <v>47</v>
      </c>
      <c r="L123" s="11" t="s">
        <v>48</v>
      </c>
      <c r="M123">
        <v>16</v>
      </c>
      <c r="N123">
        <v>17</v>
      </c>
      <c r="O123">
        <v>22</v>
      </c>
      <c r="P123">
        <v>13</v>
      </c>
      <c r="Q123">
        <v>14</v>
      </c>
      <c r="R123">
        <v>24</v>
      </c>
      <c r="S123">
        <v>19</v>
      </c>
      <c r="T123">
        <v>10</v>
      </c>
      <c r="U123">
        <v>16</v>
      </c>
      <c r="V123">
        <v>22</v>
      </c>
      <c r="W123">
        <v>20</v>
      </c>
      <c r="X123">
        <v>16</v>
      </c>
      <c r="Y123">
        <v>14</v>
      </c>
      <c r="Z123">
        <v>15</v>
      </c>
      <c r="AA123">
        <v>0</v>
      </c>
      <c r="AB123">
        <v>0</v>
      </c>
      <c r="AC123">
        <f t="shared" si="3"/>
        <v>121</v>
      </c>
      <c r="AD123">
        <f t="shared" si="3"/>
        <v>117</v>
      </c>
      <c r="AE123">
        <f t="shared" si="4"/>
        <v>238</v>
      </c>
    </row>
    <row r="124" spans="1:31" x14ac:dyDescent="0.25">
      <c r="A124" t="s">
        <v>44</v>
      </c>
      <c r="B124" t="s">
        <v>193</v>
      </c>
      <c r="C124" t="s">
        <v>347</v>
      </c>
      <c r="D124">
        <v>128993</v>
      </c>
      <c r="E124" t="s">
        <v>359</v>
      </c>
      <c r="F124" t="s">
        <v>360</v>
      </c>
      <c r="G124" t="s">
        <v>197</v>
      </c>
      <c r="H124" t="s">
        <v>343</v>
      </c>
      <c r="I124" t="s">
        <v>199</v>
      </c>
      <c r="J124" t="s">
        <v>361</v>
      </c>
      <c r="K124" t="s">
        <v>47</v>
      </c>
      <c r="L124" s="11" t="s">
        <v>48</v>
      </c>
      <c r="M124">
        <v>16</v>
      </c>
      <c r="N124">
        <v>13</v>
      </c>
      <c r="O124">
        <v>12</v>
      </c>
      <c r="P124">
        <v>20</v>
      </c>
      <c r="Q124">
        <v>14</v>
      </c>
      <c r="R124">
        <v>13</v>
      </c>
      <c r="S124">
        <v>18</v>
      </c>
      <c r="T124">
        <v>8</v>
      </c>
      <c r="U124">
        <v>13</v>
      </c>
      <c r="V124">
        <v>14</v>
      </c>
      <c r="W124">
        <v>14</v>
      </c>
      <c r="X124">
        <v>5</v>
      </c>
      <c r="Y124">
        <v>14</v>
      </c>
      <c r="Z124">
        <v>7</v>
      </c>
      <c r="AA124">
        <v>0</v>
      </c>
      <c r="AB124">
        <v>0</v>
      </c>
      <c r="AC124">
        <f t="shared" si="3"/>
        <v>101</v>
      </c>
      <c r="AD124">
        <f t="shared" si="3"/>
        <v>80</v>
      </c>
      <c r="AE124">
        <f t="shared" si="4"/>
        <v>181</v>
      </c>
    </row>
    <row r="125" spans="1:31" x14ac:dyDescent="0.25">
      <c r="A125" t="s">
        <v>44</v>
      </c>
      <c r="B125" t="s">
        <v>193</v>
      </c>
      <c r="C125" t="s">
        <v>347</v>
      </c>
      <c r="D125">
        <v>129002</v>
      </c>
      <c r="E125" t="s">
        <v>362</v>
      </c>
      <c r="F125" t="s">
        <v>363</v>
      </c>
      <c r="G125" t="s">
        <v>197</v>
      </c>
      <c r="H125" t="s">
        <v>343</v>
      </c>
      <c r="I125" t="s">
        <v>220</v>
      </c>
      <c r="J125" t="s">
        <v>364</v>
      </c>
      <c r="K125" t="s">
        <v>47</v>
      </c>
      <c r="L125" s="11" t="s">
        <v>48</v>
      </c>
      <c r="M125">
        <v>38</v>
      </c>
      <c r="N125">
        <v>37</v>
      </c>
      <c r="O125">
        <v>34</v>
      </c>
      <c r="P125">
        <v>35</v>
      </c>
      <c r="Q125">
        <v>43</v>
      </c>
      <c r="R125">
        <v>43</v>
      </c>
      <c r="S125">
        <v>38</v>
      </c>
      <c r="T125">
        <v>37</v>
      </c>
      <c r="U125">
        <v>41</v>
      </c>
      <c r="V125">
        <v>41</v>
      </c>
      <c r="W125">
        <v>42</v>
      </c>
      <c r="X125">
        <v>41</v>
      </c>
      <c r="Y125">
        <v>46</v>
      </c>
      <c r="Z125">
        <v>46</v>
      </c>
      <c r="AA125">
        <v>0</v>
      </c>
      <c r="AB125">
        <v>0</v>
      </c>
      <c r="AC125">
        <f t="shared" si="3"/>
        <v>282</v>
      </c>
      <c r="AD125">
        <f t="shared" si="3"/>
        <v>280</v>
      </c>
      <c r="AE125">
        <f t="shared" si="4"/>
        <v>562</v>
      </c>
    </row>
    <row r="126" spans="1:31" x14ac:dyDescent="0.25">
      <c r="A126" t="s">
        <v>44</v>
      </c>
      <c r="B126" t="s">
        <v>193</v>
      </c>
      <c r="C126" t="s">
        <v>347</v>
      </c>
      <c r="D126">
        <v>129004</v>
      </c>
      <c r="E126" t="s">
        <v>365</v>
      </c>
      <c r="F126" t="s">
        <v>366</v>
      </c>
      <c r="G126" t="s">
        <v>197</v>
      </c>
      <c r="H126" t="s">
        <v>343</v>
      </c>
      <c r="I126" t="s">
        <v>220</v>
      </c>
      <c r="J126" t="s">
        <v>355</v>
      </c>
      <c r="K126" t="s">
        <v>47</v>
      </c>
      <c r="L126" s="11" t="s">
        <v>48</v>
      </c>
      <c r="M126">
        <v>5</v>
      </c>
      <c r="N126">
        <v>5</v>
      </c>
      <c r="O126">
        <v>5</v>
      </c>
      <c r="P126">
        <v>6</v>
      </c>
      <c r="Q126">
        <v>3</v>
      </c>
      <c r="R126">
        <v>5</v>
      </c>
      <c r="S126">
        <v>0</v>
      </c>
      <c r="T126">
        <v>4</v>
      </c>
      <c r="U126">
        <v>5</v>
      </c>
      <c r="V126">
        <v>0</v>
      </c>
      <c r="W126">
        <v>5</v>
      </c>
      <c r="X126">
        <v>6</v>
      </c>
      <c r="Y126">
        <v>6</v>
      </c>
      <c r="Z126">
        <v>6</v>
      </c>
      <c r="AA126">
        <v>0</v>
      </c>
      <c r="AB126">
        <v>0</v>
      </c>
      <c r="AC126">
        <f t="shared" si="3"/>
        <v>29</v>
      </c>
      <c r="AD126">
        <f t="shared" si="3"/>
        <v>32</v>
      </c>
      <c r="AE126">
        <f t="shared" si="4"/>
        <v>61</v>
      </c>
    </row>
    <row r="127" spans="1:31" x14ac:dyDescent="0.25">
      <c r="A127" t="s">
        <v>44</v>
      </c>
      <c r="B127" t="s">
        <v>193</v>
      </c>
      <c r="C127" t="s">
        <v>347</v>
      </c>
      <c r="D127">
        <v>129005</v>
      </c>
      <c r="E127" t="s">
        <v>367</v>
      </c>
      <c r="F127" t="s">
        <v>368</v>
      </c>
      <c r="G127" t="s">
        <v>197</v>
      </c>
      <c r="H127" t="s">
        <v>343</v>
      </c>
      <c r="I127" t="s">
        <v>220</v>
      </c>
      <c r="J127" t="s">
        <v>369</v>
      </c>
      <c r="K127" t="s">
        <v>47</v>
      </c>
      <c r="L127" s="11" t="s">
        <v>48</v>
      </c>
      <c r="M127">
        <v>17</v>
      </c>
      <c r="N127">
        <v>27</v>
      </c>
      <c r="O127">
        <v>34</v>
      </c>
      <c r="P127">
        <v>27</v>
      </c>
      <c r="Q127">
        <v>20</v>
      </c>
      <c r="R127">
        <v>16</v>
      </c>
      <c r="S127">
        <v>16</v>
      </c>
      <c r="T127">
        <v>24</v>
      </c>
      <c r="U127">
        <v>32</v>
      </c>
      <c r="V127">
        <v>17</v>
      </c>
      <c r="W127">
        <v>26</v>
      </c>
      <c r="X127">
        <v>22</v>
      </c>
      <c r="Y127">
        <v>30</v>
      </c>
      <c r="Z127">
        <v>28</v>
      </c>
      <c r="AA127">
        <v>0</v>
      </c>
      <c r="AB127">
        <v>0</v>
      </c>
      <c r="AC127">
        <f t="shared" si="3"/>
        <v>175</v>
      </c>
      <c r="AD127">
        <f t="shared" si="3"/>
        <v>161</v>
      </c>
      <c r="AE127">
        <f t="shared" si="4"/>
        <v>336</v>
      </c>
    </row>
    <row r="128" spans="1:31" x14ac:dyDescent="0.25">
      <c r="A128" t="s">
        <v>44</v>
      </c>
      <c r="B128" t="s">
        <v>193</v>
      </c>
      <c r="C128" t="s">
        <v>347</v>
      </c>
      <c r="D128">
        <v>129007</v>
      </c>
      <c r="E128" t="s">
        <v>370</v>
      </c>
      <c r="F128" t="s">
        <v>371</v>
      </c>
      <c r="G128" t="s">
        <v>197</v>
      </c>
      <c r="H128" t="s">
        <v>343</v>
      </c>
      <c r="I128" t="s">
        <v>220</v>
      </c>
      <c r="J128" t="s">
        <v>372</v>
      </c>
      <c r="K128" t="s">
        <v>47</v>
      </c>
      <c r="L128" s="11" t="s">
        <v>48</v>
      </c>
      <c r="M128">
        <v>3</v>
      </c>
      <c r="N128">
        <v>11</v>
      </c>
      <c r="O128">
        <v>11</v>
      </c>
      <c r="P128">
        <v>5</v>
      </c>
      <c r="Q128">
        <v>11</v>
      </c>
      <c r="R128">
        <v>8</v>
      </c>
      <c r="S128">
        <v>7</v>
      </c>
      <c r="T128">
        <v>10</v>
      </c>
      <c r="U128">
        <v>8</v>
      </c>
      <c r="V128">
        <v>9</v>
      </c>
      <c r="W128">
        <v>6</v>
      </c>
      <c r="X128">
        <v>12</v>
      </c>
      <c r="Y128">
        <v>11</v>
      </c>
      <c r="Z128">
        <v>8</v>
      </c>
      <c r="AA128">
        <v>0</v>
      </c>
      <c r="AB128">
        <v>0</v>
      </c>
      <c r="AC128">
        <f t="shared" si="3"/>
        <v>57</v>
      </c>
      <c r="AD128">
        <f t="shared" si="3"/>
        <v>63</v>
      </c>
      <c r="AE128">
        <f t="shared" si="4"/>
        <v>120</v>
      </c>
    </row>
    <row r="129" spans="1:31" x14ac:dyDescent="0.25">
      <c r="A129" t="s">
        <v>44</v>
      </c>
      <c r="B129" t="s">
        <v>193</v>
      </c>
      <c r="C129" t="s">
        <v>347</v>
      </c>
      <c r="D129">
        <v>205037</v>
      </c>
      <c r="E129" t="s">
        <v>373</v>
      </c>
      <c r="F129" t="s">
        <v>374</v>
      </c>
      <c r="G129" t="s">
        <v>197</v>
      </c>
      <c r="H129" t="s">
        <v>343</v>
      </c>
      <c r="I129" t="s">
        <v>220</v>
      </c>
      <c r="J129" t="s">
        <v>372</v>
      </c>
      <c r="K129" t="s">
        <v>47</v>
      </c>
      <c r="L129" s="11" t="s">
        <v>48</v>
      </c>
      <c r="M129">
        <v>13</v>
      </c>
      <c r="N129">
        <v>6</v>
      </c>
      <c r="O129">
        <v>6</v>
      </c>
      <c r="P129">
        <v>7</v>
      </c>
      <c r="Q129">
        <v>4</v>
      </c>
      <c r="R129">
        <v>10</v>
      </c>
      <c r="S129">
        <v>6</v>
      </c>
      <c r="T129">
        <v>7</v>
      </c>
      <c r="U129">
        <v>10</v>
      </c>
      <c r="V129">
        <v>6</v>
      </c>
      <c r="W129">
        <v>9</v>
      </c>
      <c r="X129">
        <v>7</v>
      </c>
      <c r="Y129">
        <v>4</v>
      </c>
      <c r="Z129">
        <v>7</v>
      </c>
      <c r="AA129">
        <v>0</v>
      </c>
      <c r="AB129">
        <v>0</v>
      </c>
      <c r="AC129">
        <f t="shared" si="3"/>
        <v>52</v>
      </c>
      <c r="AD129">
        <f t="shared" si="3"/>
        <v>50</v>
      </c>
      <c r="AE129">
        <f t="shared" si="4"/>
        <v>102</v>
      </c>
    </row>
    <row r="130" spans="1:31" x14ac:dyDescent="0.25">
      <c r="A130" t="s">
        <v>44</v>
      </c>
      <c r="B130" t="s">
        <v>193</v>
      </c>
      <c r="C130" t="s">
        <v>347</v>
      </c>
      <c r="D130">
        <v>501080</v>
      </c>
      <c r="E130" t="s">
        <v>375</v>
      </c>
      <c r="F130" t="s">
        <v>376</v>
      </c>
      <c r="G130" t="s">
        <v>197</v>
      </c>
      <c r="H130" t="s">
        <v>343</v>
      </c>
      <c r="I130" t="s">
        <v>220</v>
      </c>
      <c r="J130" t="s">
        <v>377</v>
      </c>
      <c r="K130" t="s">
        <v>51</v>
      </c>
      <c r="L130" s="11" t="s">
        <v>52</v>
      </c>
      <c r="M130">
        <v>10</v>
      </c>
      <c r="N130">
        <v>20</v>
      </c>
      <c r="O130">
        <v>15</v>
      </c>
      <c r="P130">
        <v>27</v>
      </c>
      <c r="Q130">
        <v>15</v>
      </c>
      <c r="R130">
        <v>26</v>
      </c>
      <c r="S130">
        <v>20</v>
      </c>
      <c r="T130">
        <v>20</v>
      </c>
      <c r="U130">
        <v>18</v>
      </c>
      <c r="V130">
        <v>10</v>
      </c>
      <c r="W130">
        <v>18</v>
      </c>
      <c r="X130">
        <v>20</v>
      </c>
      <c r="Y130">
        <v>20</v>
      </c>
      <c r="Z130">
        <v>22</v>
      </c>
      <c r="AA130">
        <v>0</v>
      </c>
      <c r="AB130">
        <v>0</v>
      </c>
      <c r="AC130">
        <f t="shared" si="3"/>
        <v>116</v>
      </c>
      <c r="AD130">
        <f t="shared" si="3"/>
        <v>145</v>
      </c>
      <c r="AE130">
        <f t="shared" si="4"/>
        <v>261</v>
      </c>
    </row>
    <row r="131" spans="1:31" x14ac:dyDescent="0.25">
      <c r="A131" t="s">
        <v>44</v>
      </c>
      <c r="B131" t="s">
        <v>193</v>
      </c>
      <c r="C131" t="s">
        <v>378</v>
      </c>
      <c r="D131">
        <v>128962</v>
      </c>
      <c r="E131" t="s">
        <v>379</v>
      </c>
      <c r="F131" t="s">
        <v>380</v>
      </c>
      <c r="G131" t="s">
        <v>197</v>
      </c>
      <c r="H131" t="s">
        <v>343</v>
      </c>
      <c r="I131" t="s">
        <v>199</v>
      </c>
      <c r="J131" t="s">
        <v>381</v>
      </c>
      <c r="K131" t="s">
        <v>47</v>
      </c>
      <c r="L131" s="11" t="s">
        <v>48</v>
      </c>
      <c r="M131">
        <v>12</v>
      </c>
      <c r="N131">
        <v>6</v>
      </c>
      <c r="O131">
        <v>11</v>
      </c>
      <c r="P131">
        <v>15</v>
      </c>
      <c r="Q131">
        <v>13</v>
      </c>
      <c r="R131">
        <v>12</v>
      </c>
      <c r="S131">
        <v>9</v>
      </c>
      <c r="T131">
        <v>11</v>
      </c>
      <c r="U131">
        <v>12</v>
      </c>
      <c r="V131">
        <v>12</v>
      </c>
      <c r="W131">
        <v>12</v>
      </c>
      <c r="X131">
        <v>21</v>
      </c>
      <c r="Y131">
        <v>22</v>
      </c>
      <c r="Z131">
        <v>17</v>
      </c>
      <c r="AA131">
        <v>2</v>
      </c>
      <c r="AB131">
        <v>0</v>
      </c>
      <c r="AC131">
        <f t="shared" si="3"/>
        <v>93</v>
      </c>
      <c r="AD131">
        <f t="shared" si="3"/>
        <v>94</v>
      </c>
      <c r="AE131">
        <f t="shared" si="4"/>
        <v>187</v>
      </c>
    </row>
    <row r="132" spans="1:31" x14ac:dyDescent="0.25">
      <c r="A132" t="s">
        <v>44</v>
      </c>
      <c r="B132" t="s">
        <v>193</v>
      </c>
      <c r="C132" t="s">
        <v>378</v>
      </c>
      <c r="D132">
        <v>128965</v>
      </c>
      <c r="E132" t="s">
        <v>382</v>
      </c>
      <c r="F132" t="s">
        <v>383</v>
      </c>
      <c r="G132" t="s">
        <v>197</v>
      </c>
      <c r="H132" t="s">
        <v>343</v>
      </c>
      <c r="I132" t="s">
        <v>199</v>
      </c>
      <c r="J132" t="s">
        <v>384</v>
      </c>
      <c r="K132" t="s">
        <v>47</v>
      </c>
      <c r="L132" s="11" t="s">
        <v>48</v>
      </c>
      <c r="M132">
        <v>23</v>
      </c>
      <c r="N132">
        <v>15</v>
      </c>
      <c r="O132">
        <v>33</v>
      </c>
      <c r="P132">
        <v>25</v>
      </c>
      <c r="Q132">
        <v>26</v>
      </c>
      <c r="R132">
        <v>21</v>
      </c>
      <c r="S132">
        <v>20</v>
      </c>
      <c r="T132">
        <v>26</v>
      </c>
      <c r="U132">
        <v>33</v>
      </c>
      <c r="V132">
        <v>39</v>
      </c>
      <c r="W132">
        <v>34</v>
      </c>
      <c r="X132">
        <v>22</v>
      </c>
      <c r="Y132">
        <v>24</v>
      </c>
      <c r="Z132">
        <v>29</v>
      </c>
      <c r="AA132">
        <v>0</v>
      </c>
      <c r="AB132">
        <v>0</v>
      </c>
      <c r="AC132">
        <f t="shared" si="3"/>
        <v>193</v>
      </c>
      <c r="AD132">
        <f t="shared" si="3"/>
        <v>177</v>
      </c>
      <c r="AE132">
        <f t="shared" si="4"/>
        <v>370</v>
      </c>
    </row>
    <row r="133" spans="1:31" x14ac:dyDescent="0.25">
      <c r="A133" t="s">
        <v>44</v>
      </c>
      <c r="B133" t="s">
        <v>193</v>
      </c>
      <c r="C133" t="s">
        <v>378</v>
      </c>
      <c r="D133">
        <v>128966</v>
      </c>
      <c r="E133" t="s">
        <v>385</v>
      </c>
      <c r="F133" t="s">
        <v>386</v>
      </c>
      <c r="G133" t="s">
        <v>197</v>
      </c>
      <c r="H133" t="s">
        <v>343</v>
      </c>
      <c r="I133" t="s">
        <v>199</v>
      </c>
      <c r="J133" t="s">
        <v>387</v>
      </c>
      <c r="K133" t="s">
        <v>47</v>
      </c>
      <c r="L133" s="11" t="s">
        <v>48</v>
      </c>
      <c r="M133">
        <v>17</v>
      </c>
      <c r="N133">
        <v>10</v>
      </c>
      <c r="O133">
        <v>10</v>
      </c>
      <c r="P133">
        <v>10</v>
      </c>
      <c r="Q133">
        <v>17</v>
      </c>
      <c r="R133">
        <v>12</v>
      </c>
      <c r="S133">
        <v>10</v>
      </c>
      <c r="T133">
        <v>11</v>
      </c>
      <c r="U133">
        <v>10</v>
      </c>
      <c r="V133">
        <v>12</v>
      </c>
      <c r="W133">
        <v>12</v>
      </c>
      <c r="X133">
        <v>15</v>
      </c>
      <c r="Y133">
        <v>14</v>
      </c>
      <c r="Z133">
        <v>9</v>
      </c>
      <c r="AA133">
        <v>0</v>
      </c>
      <c r="AB133">
        <v>0</v>
      </c>
      <c r="AC133">
        <f t="shared" si="3"/>
        <v>90</v>
      </c>
      <c r="AD133">
        <f t="shared" si="3"/>
        <v>79</v>
      </c>
      <c r="AE133">
        <f t="shared" si="4"/>
        <v>169</v>
      </c>
    </row>
    <row r="134" spans="1:31" x14ac:dyDescent="0.25">
      <c r="A134" t="s">
        <v>44</v>
      </c>
      <c r="B134" t="s">
        <v>193</v>
      </c>
      <c r="C134" t="s">
        <v>378</v>
      </c>
      <c r="D134">
        <v>128968</v>
      </c>
      <c r="E134" t="s">
        <v>388</v>
      </c>
      <c r="F134" t="s">
        <v>389</v>
      </c>
      <c r="G134" t="s">
        <v>197</v>
      </c>
      <c r="H134" t="s">
        <v>343</v>
      </c>
      <c r="I134" t="s">
        <v>199</v>
      </c>
      <c r="J134" t="s">
        <v>390</v>
      </c>
      <c r="K134" t="s">
        <v>47</v>
      </c>
      <c r="L134" s="11" t="s">
        <v>48</v>
      </c>
      <c r="M134">
        <v>23</v>
      </c>
      <c r="N134">
        <v>26</v>
      </c>
      <c r="O134">
        <v>37</v>
      </c>
      <c r="P134">
        <v>26</v>
      </c>
      <c r="Q134">
        <v>34</v>
      </c>
      <c r="R134">
        <v>29</v>
      </c>
      <c r="S134">
        <v>26</v>
      </c>
      <c r="T134">
        <v>20</v>
      </c>
      <c r="U134">
        <v>30</v>
      </c>
      <c r="V134">
        <v>18</v>
      </c>
      <c r="W134">
        <v>31</v>
      </c>
      <c r="X134">
        <v>38</v>
      </c>
      <c r="Y134">
        <v>37</v>
      </c>
      <c r="Z134">
        <v>26</v>
      </c>
      <c r="AA134">
        <v>0</v>
      </c>
      <c r="AB134">
        <v>0</v>
      </c>
      <c r="AC134">
        <f t="shared" si="3"/>
        <v>218</v>
      </c>
      <c r="AD134">
        <f t="shared" si="3"/>
        <v>183</v>
      </c>
      <c r="AE134">
        <f t="shared" si="4"/>
        <v>401</v>
      </c>
    </row>
    <row r="135" spans="1:31" x14ac:dyDescent="0.25">
      <c r="A135" t="s">
        <v>44</v>
      </c>
      <c r="B135" t="s">
        <v>193</v>
      </c>
      <c r="C135" t="s">
        <v>378</v>
      </c>
      <c r="D135">
        <v>128971</v>
      </c>
      <c r="E135" t="s">
        <v>391</v>
      </c>
      <c r="F135" t="s">
        <v>392</v>
      </c>
      <c r="G135" t="s">
        <v>197</v>
      </c>
      <c r="H135" t="s">
        <v>343</v>
      </c>
      <c r="I135" t="s">
        <v>199</v>
      </c>
      <c r="J135" t="s">
        <v>393</v>
      </c>
      <c r="K135" t="s">
        <v>47</v>
      </c>
      <c r="L135" s="11" t="s">
        <v>48</v>
      </c>
      <c r="M135">
        <v>23</v>
      </c>
      <c r="N135">
        <v>21</v>
      </c>
      <c r="O135">
        <v>28</v>
      </c>
      <c r="P135">
        <v>32</v>
      </c>
      <c r="Q135">
        <v>38</v>
      </c>
      <c r="R135">
        <v>32</v>
      </c>
      <c r="S135">
        <v>20</v>
      </c>
      <c r="T135">
        <v>18</v>
      </c>
      <c r="U135">
        <v>28</v>
      </c>
      <c r="V135">
        <v>25</v>
      </c>
      <c r="W135">
        <v>26</v>
      </c>
      <c r="X135">
        <v>31</v>
      </c>
      <c r="Y135">
        <v>28</v>
      </c>
      <c r="Z135">
        <v>26</v>
      </c>
      <c r="AA135">
        <v>0</v>
      </c>
      <c r="AB135">
        <v>0</v>
      </c>
      <c r="AC135">
        <f t="shared" si="3"/>
        <v>191</v>
      </c>
      <c r="AD135">
        <f t="shared" si="3"/>
        <v>185</v>
      </c>
      <c r="AE135">
        <f t="shared" si="4"/>
        <v>376</v>
      </c>
    </row>
    <row r="136" spans="1:31" x14ac:dyDescent="0.25">
      <c r="A136" t="s">
        <v>44</v>
      </c>
      <c r="B136" t="s">
        <v>193</v>
      </c>
      <c r="C136" t="s">
        <v>378</v>
      </c>
      <c r="D136">
        <v>128973</v>
      </c>
      <c r="E136" t="s">
        <v>394</v>
      </c>
      <c r="F136" t="s">
        <v>395</v>
      </c>
      <c r="G136" t="s">
        <v>197</v>
      </c>
      <c r="H136" t="s">
        <v>343</v>
      </c>
      <c r="I136" t="s">
        <v>199</v>
      </c>
      <c r="J136" t="s">
        <v>387</v>
      </c>
      <c r="K136" t="s">
        <v>47</v>
      </c>
      <c r="L136" s="11" t="s">
        <v>48</v>
      </c>
      <c r="M136">
        <v>4</v>
      </c>
      <c r="N136">
        <v>4</v>
      </c>
      <c r="O136">
        <v>2</v>
      </c>
      <c r="P136">
        <v>2</v>
      </c>
      <c r="Q136">
        <v>4</v>
      </c>
      <c r="R136">
        <v>7</v>
      </c>
      <c r="S136">
        <v>5</v>
      </c>
      <c r="T136">
        <v>4</v>
      </c>
      <c r="U136">
        <v>5</v>
      </c>
      <c r="V136">
        <v>6</v>
      </c>
      <c r="W136">
        <v>2</v>
      </c>
      <c r="X136">
        <v>3</v>
      </c>
      <c r="Y136">
        <v>5</v>
      </c>
      <c r="Z136">
        <v>6</v>
      </c>
      <c r="AA136">
        <v>0</v>
      </c>
      <c r="AB136">
        <v>0</v>
      </c>
      <c r="AC136">
        <f t="shared" si="3"/>
        <v>27</v>
      </c>
      <c r="AD136">
        <f t="shared" si="3"/>
        <v>32</v>
      </c>
      <c r="AE136">
        <f t="shared" si="4"/>
        <v>59</v>
      </c>
    </row>
    <row r="137" spans="1:31" x14ac:dyDescent="0.25">
      <c r="A137" t="s">
        <v>44</v>
      </c>
      <c r="B137" t="s">
        <v>193</v>
      </c>
      <c r="C137" t="s">
        <v>378</v>
      </c>
      <c r="D137">
        <v>128974</v>
      </c>
      <c r="E137" t="s">
        <v>396</v>
      </c>
      <c r="F137" t="s">
        <v>397</v>
      </c>
      <c r="G137" t="s">
        <v>197</v>
      </c>
      <c r="H137" t="s">
        <v>343</v>
      </c>
      <c r="I137" t="s">
        <v>199</v>
      </c>
      <c r="J137" t="s">
        <v>381</v>
      </c>
      <c r="K137" t="s">
        <v>47</v>
      </c>
      <c r="L137" s="11" t="s">
        <v>48</v>
      </c>
      <c r="M137">
        <v>16</v>
      </c>
      <c r="N137">
        <v>14</v>
      </c>
      <c r="O137">
        <v>27</v>
      </c>
      <c r="P137">
        <v>10</v>
      </c>
      <c r="Q137">
        <v>24</v>
      </c>
      <c r="R137">
        <v>12</v>
      </c>
      <c r="S137">
        <v>13</v>
      </c>
      <c r="T137">
        <v>30</v>
      </c>
      <c r="U137">
        <v>19</v>
      </c>
      <c r="V137">
        <v>27</v>
      </c>
      <c r="W137">
        <v>32</v>
      </c>
      <c r="X137">
        <v>29</v>
      </c>
      <c r="Y137">
        <v>12</v>
      </c>
      <c r="Z137">
        <v>21</v>
      </c>
      <c r="AA137">
        <v>0</v>
      </c>
      <c r="AB137">
        <v>0</v>
      </c>
      <c r="AC137">
        <f t="shared" si="3"/>
        <v>143</v>
      </c>
      <c r="AD137">
        <f t="shared" si="3"/>
        <v>143</v>
      </c>
      <c r="AE137">
        <f t="shared" si="4"/>
        <v>286</v>
      </c>
    </row>
    <row r="138" spans="1:31" x14ac:dyDescent="0.25">
      <c r="A138" t="s">
        <v>44</v>
      </c>
      <c r="B138" t="s">
        <v>193</v>
      </c>
      <c r="C138" t="s">
        <v>378</v>
      </c>
      <c r="D138">
        <v>128975</v>
      </c>
      <c r="E138" t="s">
        <v>398</v>
      </c>
      <c r="F138" t="s">
        <v>399</v>
      </c>
      <c r="G138" t="s">
        <v>197</v>
      </c>
      <c r="H138" t="s">
        <v>343</v>
      </c>
      <c r="I138" t="s">
        <v>199</v>
      </c>
      <c r="J138" t="s">
        <v>400</v>
      </c>
      <c r="K138" t="s">
        <v>47</v>
      </c>
      <c r="L138" s="11" t="s">
        <v>48</v>
      </c>
      <c r="M138">
        <v>3</v>
      </c>
      <c r="N138">
        <v>10</v>
      </c>
      <c r="O138">
        <v>3</v>
      </c>
      <c r="P138">
        <v>12</v>
      </c>
      <c r="Q138">
        <v>1</v>
      </c>
      <c r="R138">
        <v>13</v>
      </c>
      <c r="S138">
        <v>4</v>
      </c>
      <c r="T138">
        <v>1</v>
      </c>
      <c r="U138">
        <v>4</v>
      </c>
      <c r="V138">
        <v>4</v>
      </c>
      <c r="W138">
        <v>9</v>
      </c>
      <c r="X138">
        <v>6</v>
      </c>
      <c r="Y138">
        <v>9</v>
      </c>
      <c r="Z138">
        <v>6</v>
      </c>
      <c r="AA138">
        <v>0</v>
      </c>
      <c r="AB138">
        <v>0</v>
      </c>
      <c r="AC138">
        <f t="shared" ref="AC138:AD201" si="5">M138+O138+Q138+S138+U138+W138+Y138+AA138</f>
        <v>33</v>
      </c>
      <c r="AD138">
        <f t="shared" si="5"/>
        <v>52</v>
      </c>
      <c r="AE138">
        <f t="shared" si="4"/>
        <v>85</v>
      </c>
    </row>
    <row r="139" spans="1:31" x14ac:dyDescent="0.25">
      <c r="A139" t="s">
        <v>44</v>
      </c>
      <c r="B139" t="s">
        <v>193</v>
      </c>
      <c r="C139" t="s">
        <v>378</v>
      </c>
      <c r="D139">
        <v>128977</v>
      </c>
      <c r="E139" t="s">
        <v>401</v>
      </c>
      <c r="F139" t="s">
        <v>402</v>
      </c>
      <c r="G139" t="s">
        <v>197</v>
      </c>
      <c r="H139" t="s">
        <v>343</v>
      </c>
      <c r="I139" t="s">
        <v>199</v>
      </c>
      <c r="J139" t="s">
        <v>403</v>
      </c>
      <c r="K139" t="s">
        <v>47</v>
      </c>
      <c r="L139" s="11" t="s">
        <v>48</v>
      </c>
      <c r="M139">
        <v>41</v>
      </c>
      <c r="N139">
        <v>40</v>
      </c>
      <c r="O139">
        <v>58</v>
      </c>
      <c r="P139">
        <v>53</v>
      </c>
      <c r="Q139">
        <v>45</v>
      </c>
      <c r="R139">
        <v>77</v>
      </c>
      <c r="S139">
        <v>48</v>
      </c>
      <c r="T139">
        <v>65</v>
      </c>
      <c r="U139">
        <v>67</v>
      </c>
      <c r="V139">
        <v>63</v>
      </c>
      <c r="W139">
        <v>50</v>
      </c>
      <c r="X139">
        <v>84</v>
      </c>
      <c r="Y139">
        <v>77</v>
      </c>
      <c r="Z139">
        <v>103</v>
      </c>
      <c r="AA139">
        <v>2</v>
      </c>
      <c r="AB139">
        <v>1</v>
      </c>
      <c r="AC139">
        <f t="shared" si="5"/>
        <v>388</v>
      </c>
      <c r="AD139">
        <f t="shared" si="5"/>
        <v>486</v>
      </c>
      <c r="AE139">
        <f t="shared" si="4"/>
        <v>874</v>
      </c>
    </row>
    <row r="140" spans="1:31" x14ac:dyDescent="0.25">
      <c r="A140" t="s">
        <v>44</v>
      </c>
      <c r="B140" t="s">
        <v>193</v>
      </c>
      <c r="C140" t="s">
        <v>378</v>
      </c>
      <c r="D140">
        <v>128978</v>
      </c>
      <c r="E140" t="s">
        <v>404</v>
      </c>
      <c r="F140" t="s">
        <v>405</v>
      </c>
      <c r="G140" t="s">
        <v>197</v>
      </c>
      <c r="H140" t="s">
        <v>343</v>
      </c>
      <c r="I140" t="s">
        <v>199</v>
      </c>
      <c r="J140" t="s">
        <v>403</v>
      </c>
      <c r="K140" t="s">
        <v>47</v>
      </c>
      <c r="L140" s="11" t="s">
        <v>48</v>
      </c>
      <c r="M140">
        <v>85</v>
      </c>
      <c r="N140">
        <v>87</v>
      </c>
      <c r="O140">
        <v>110</v>
      </c>
      <c r="P140">
        <v>127</v>
      </c>
      <c r="Q140">
        <v>100</v>
      </c>
      <c r="R140">
        <v>120</v>
      </c>
      <c r="S140">
        <v>95</v>
      </c>
      <c r="T140">
        <v>90</v>
      </c>
      <c r="U140">
        <v>120</v>
      </c>
      <c r="V140">
        <v>116</v>
      </c>
      <c r="W140">
        <v>85</v>
      </c>
      <c r="X140">
        <v>90</v>
      </c>
      <c r="Y140">
        <v>115</v>
      </c>
      <c r="Z140">
        <v>122</v>
      </c>
      <c r="AA140">
        <v>0</v>
      </c>
      <c r="AB140">
        <v>0</v>
      </c>
      <c r="AC140">
        <f t="shared" si="5"/>
        <v>710</v>
      </c>
      <c r="AD140">
        <f t="shared" si="5"/>
        <v>752</v>
      </c>
      <c r="AE140">
        <f t="shared" si="4"/>
        <v>1462</v>
      </c>
    </row>
    <row r="141" spans="1:31" x14ac:dyDescent="0.25">
      <c r="A141" t="s">
        <v>44</v>
      </c>
      <c r="B141" t="s">
        <v>193</v>
      </c>
      <c r="C141" t="s">
        <v>378</v>
      </c>
      <c r="D141">
        <v>128980</v>
      </c>
      <c r="E141" t="s">
        <v>406</v>
      </c>
      <c r="F141" t="s">
        <v>407</v>
      </c>
      <c r="G141" t="s">
        <v>197</v>
      </c>
      <c r="H141" t="s">
        <v>343</v>
      </c>
      <c r="I141" t="s">
        <v>220</v>
      </c>
      <c r="J141" t="s">
        <v>400</v>
      </c>
      <c r="K141" t="s">
        <v>47</v>
      </c>
      <c r="L141" s="11" t="s">
        <v>48</v>
      </c>
      <c r="M141">
        <v>10</v>
      </c>
      <c r="N141">
        <v>9</v>
      </c>
      <c r="O141">
        <v>10</v>
      </c>
      <c r="P141">
        <v>15</v>
      </c>
      <c r="Q141">
        <v>13</v>
      </c>
      <c r="R141">
        <v>15</v>
      </c>
      <c r="S141">
        <v>10</v>
      </c>
      <c r="T141">
        <v>10</v>
      </c>
      <c r="U141">
        <v>14</v>
      </c>
      <c r="V141">
        <v>7</v>
      </c>
      <c r="W141">
        <v>11</v>
      </c>
      <c r="X141">
        <v>7</v>
      </c>
      <c r="Y141">
        <v>9</v>
      </c>
      <c r="Z141">
        <v>17</v>
      </c>
      <c r="AA141">
        <v>0</v>
      </c>
      <c r="AB141">
        <v>0</v>
      </c>
      <c r="AC141">
        <f t="shared" si="5"/>
        <v>77</v>
      </c>
      <c r="AD141">
        <f t="shared" si="5"/>
        <v>80</v>
      </c>
      <c r="AE141">
        <f t="shared" si="4"/>
        <v>157</v>
      </c>
    </row>
    <row r="142" spans="1:31" x14ac:dyDescent="0.25">
      <c r="A142" t="s">
        <v>44</v>
      </c>
      <c r="B142" t="s">
        <v>193</v>
      </c>
      <c r="C142" t="s">
        <v>378</v>
      </c>
      <c r="D142">
        <v>128981</v>
      </c>
      <c r="E142" t="s">
        <v>408</v>
      </c>
      <c r="F142" t="s">
        <v>386</v>
      </c>
      <c r="G142" t="s">
        <v>197</v>
      </c>
      <c r="H142" t="s">
        <v>343</v>
      </c>
      <c r="I142" t="s">
        <v>199</v>
      </c>
      <c r="J142" t="s">
        <v>400</v>
      </c>
      <c r="K142" t="s">
        <v>47</v>
      </c>
      <c r="L142" s="11" t="s">
        <v>48</v>
      </c>
      <c r="M142">
        <v>23</v>
      </c>
      <c r="N142">
        <v>20</v>
      </c>
      <c r="O142">
        <v>21</v>
      </c>
      <c r="P142">
        <v>26</v>
      </c>
      <c r="Q142">
        <v>24</v>
      </c>
      <c r="R142">
        <v>16</v>
      </c>
      <c r="S142">
        <v>22</v>
      </c>
      <c r="T142">
        <v>15</v>
      </c>
      <c r="U142">
        <v>23</v>
      </c>
      <c r="V142">
        <v>18</v>
      </c>
      <c r="W142">
        <v>27</v>
      </c>
      <c r="X142">
        <v>24</v>
      </c>
      <c r="Y142">
        <v>33</v>
      </c>
      <c r="Z142">
        <v>22</v>
      </c>
      <c r="AA142">
        <v>0</v>
      </c>
      <c r="AB142">
        <v>0</v>
      </c>
      <c r="AC142">
        <f t="shared" si="5"/>
        <v>173</v>
      </c>
      <c r="AD142">
        <f t="shared" si="5"/>
        <v>141</v>
      </c>
      <c r="AE142">
        <f t="shared" si="4"/>
        <v>314</v>
      </c>
    </row>
    <row r="143" spans="1:31" x14ac:dyDescent="0.25">
      <c r="A143" t="s">
        <v>44</v>
      </c>
      <c r="B143" t="s">
        <v>193</v>
      </c>
      <c r="C143" t="s">
        <v>378</v>
      </c>
      <c r="D143">
        <v>128983</v>
      </c>
      <c r="E143" t="s">
        <v>409</v>
      </c>
      <c r="F143" t="s">
        <v>410</v>
      </c>
      <c r="G143" t="s">
        <v>197</v>
      </c>
      <c r="H143" t="s">
        <v>343</v>
      </c>
      <c r="I143" t="s">
        <v>199</v>
      </c>
      <c r="J143" t="s">
        <v>400</v>
      </c>
      <c r="K143" t="s">
        <v>47</v>
      </c>
      <c r="L143" s="11" t="s">
        <v>48</v>
      </c>
      <c r="M143">
        <v>5</v>
      </c>
      <c r="N143">
        <v>3</v>
      </c>
      <c r="O143">
        <v>8</v>
      </c>
      <c r="P143">
        <v>10</v>
      </c>
      <c r="Q143">
        <v>7</v>
      </c>
      <c r="R143">
        <v>2</v>
      </c>
      <c r="S143">
        <v>8</v>
      </c>
      <c r="T143">
        <v>12</v>
      </c>
      <c r="U143">
        <v>4</v>
      </c>
      <c r="V143">
        <v>4</v>
      </c>
      <c r="W143">
        <v>3</v>
      </c>
      <c r="X143">
        <v>4</v>
      </c>
      <c r="Y143">
        <v>2</v>
      </c>
      <c r="Z143">
        <v>5</v>
      </c>
      <c r="AA143">
        <v>0</v>
      </c>
      <c r="AB143">
        <v>0</v>
      </c>
      <c r="AC143">
        <f t="shared" si="5"/>
        <v>37</v>
      </c>
      <c r="AD143">
        <f t="shared" si="5"/>
        <v>40</v>
      </c>
      <c r="AE143">
        <f t="shared" si="4"/>
        <v>77</v>
      </c>
    </row>
    <row r="144" spans="1:31" x14ac:dyDescent="0.25">
      <c r="A144" t="s">
        <v>44</v>
      </c>
      <c r="B144" t="s">
        <v>193</v>
      </c>
      <c r="C144" t="s">
        <v>378</v>
      </c>
      <c r="D144">
        <v>128985</v>
      </c>
      <c r="E144" t="s">
        <v>411</v>
      </c>
      <c r="F144" t="s">
        <v>266</v>
      </c>
      <c r="G144" t="s">
        <v>197</v>
      </c>
      <c r="H144" t="s">
        <v>343</v>
      </c>
      <c r="I144" t="s">
        <v>199</v>
      </c>
      <c r="J144" t="s">
        <v>412</v>
      </c>
      <c r="K144" t="s">
        <v>47</v>
      </c>
      <c r="L144" s="11" t="s">
        <v>48</v>
      </c>
      <c r="M144">
        <v>25</v>
      </c>
      <c r="N144">
        <v>25</v>
      </c>
      <c r="O144">
        <v>27</v>
      </c>
      <c r="P144">
        <v>45</v>
      </c>
      <c r="Q144">
        <v>20</v>
      </c>
      <c r="R144">
        <v>24</v>
      </c>
      <c r="S144">
        <v>31</v>
      </c>
      <c r="T144">
        <v>25</v>
      </c>
      <c r="U144">
        <v>30</v>
      </c>
      <c r="V144">
        <v>21</v>
      </c>
      <c r="W144">
        <v>30</v>
      </c>
      <c r="X144">
        <v>38</v>
      </c>
      <c r="Y144">
        <v>34</v>
      </c>
      <c r="Z144">
        <v>40</v>
      </c>
      <c r="AA144">
        <v>0</v>
      </c>
      <c r="AB144">
        <v>0</v>
      </c>
      <c r="AC144">
        <f t="shared" si="5"/>
        <v>197</v>
      </c>
      <c r="AD144">
        <f t="shared" si="5"/>
        <v>218</v>
      </c>
      <c r="AE144">
        <f t="shared" si="4"/>
        <v>415</v>
      </c>
    </row>
    <row r="145" spans="1:31" x14ac:dyDescent="0.25">
      <c r="A145" t="s">
        <v>44</v>
      </c>
      <c r="B145" t="s">
        <v>193</v>
      </c>
      <c r="C145" t="s">
        <v>378</v>
      </c>
      <c r="D145">
        <v>128987</v>
      </c>
      <c r="E145" t="s">
        <v>413</v>
      </c>
      <c r="F145" t="s">
        <v>414</v>
      </c>
      <c r="G145" t="s">
        <v>197</v>
      </c>
      <c r="H145" t="s">
        <v>343</v>
      </c>
      <c r="I145" t="s">
        <v>220</v>
      </c>
      <c r="J145" t="s">
        <v>387</v>
      </c>
      <c r="K145" t="s">
        <v>47</v>
      </c>
      <c r="L145" s="11" t="s">
        <v>48</v>
      </c>
      <c r="M145">
        <v>55</v>
      </c>
      <c r="N145">
        <v>54</v>
      </c>
      <c r="O145">
        <v>63</v>
      </c>
      <c r="P145">
        <v>58</v>
      </c>
      <c r="Q145">
        <v>52</v>
      </c>
      <c r="R145">
        <v>53</v>
      </c>
      <c r="S145">
        <v>57</v>
      </c>
      <c r="T145">
        <v>30</v>
      </c>
      <c r="U145">
        <v>65</v>
      </c>
      <c r="V145">
        <v>56</v>
      </c>
      <c r="W145">
        <v>59</v>
      </c>
      <c r="X145">
        <v>60</v>
      </c>
      <c r="Y145">
        <v>47</v>
      </c>
      <c r="Z145">
        <v>48</v>
      </c>
      <c r="AA145">
        <v>3</v>
      </c>
      <c r="AB145">
        <v>0</v>
      </c>
      <c r="AC145">
        <f t="shared" si="5"/>
        <v>401</v>
      </c>
      <c r="AD145">
        <f t="shared" si="5"/>
        <v>359</v>
      </c>
      <c r="AE145">
        <f t="shared" si="4"/>
        <v>760</v>
      </c>
    </row>
    <row r="146" spans="1:31" x14ac:dyDescent="0.25">
      <c r="A146" t="s">
        <v>44</v>
      </c>
      <c r="B146" t="s">
        <v>193</v>
      </c>
      <c r="C146" t="s">
        <v>378</v>
      </c>
      <c r="D146">
        <v>205021</v>
      </c>
      <c r="E146" t="s">
        <v>415</v>
      </c>
      <c r="F146" t="s">
        <v>416</v>
      </c>
      <c r="G146" t="s">
        <v>197</v>
      </c>
      <c r="H146" t="s">
        <v>343</v>
      </c>
      <c r="I146" t="s">
        <v>199</v>
      </c>
      <c r="J146" t="s">
        <v>384</v>
      </c>
      <c r="K146" t="s">
        <v>47</v>
      </c>
      <c r="L146" s="11" t="s">
        <v>48</v>
      </c>
      <c r="M146">
        <v>5</v>
      </c>
      <c r="N146">
        <v>5</v>
      </c>
      <c r="O146">
        <v>7</v>
      </c>
      <c r="P146">
        <v>10</v>
      </c>
      <c r="Q146">
        <v>6</v>
      </c>
      <c r="R146">
        <v>7</v>
      </c>
      <c r="S146">
        <v>8</v>
      </c>
      <c r="T146">
        <v>3</v>
      </c>
      <c r="U146">
        <v>10</v>
      </c>
      <c r="V146">
        <v>11</v>
      </c>
      <c r="W146">
        <v>6</v>
      </c>
      <c r="X146">
        <v>6</v>
      </c>
      <c r="Y146">
        <v>5</v>
      </c>
      <c r="Z146">
        <v>5</v>
      </c>
      <c r="AA146">
        <v>0</v>
      </c>
      <c r="AB146">
        <v>0</v>
      </c>
      <c r="AC146">
        <f t="shared" si="5"/>
        <v>47</v>
      </c>
      <c r="AD146">
        <f t="shared" si="5"/>
        <v>47</v>
      </c>
      <c r="AE146">
        <f t="shared" si="4"/>
        <v>94</v>
      </c>
    </row>
    <row r="147" spans="1:31" x14ac:dyDescent="0.25">
      <c r="A147" t="s">
        <v>44</v>
      </c>
      <c r="B147" t="s">
        <v>193</v>
      </c>
      <c r="C147" t="s">
        <v>417</v>
      </c>
      <c r="D147">
        <v>128992</v>
      </c>
      <c r="E147" t="s">
        <v>418</v>
      </c>
      <c r="F147" t="s">
        <v>419</v>
      </c>
      <c r="G147" t="s">
        <v>197</v>
      </c>
      <c r="H147" t="s">
        <v>343</v>
      </c>
      <c r="I147" t="s">
        <v>220</v>
      </c>
      <c r="J147" t="s">
        <v>420</v>
      </c>
      <c r="K147" t="s">
        <v>47</v>
      </c>
      <c r="L147" s="11" t="s">
        <v>48</v>
      </c>
      <c r="M147">
        <v>4</v>
      </c>
      <c r="N147">
        <v>8</v>
      </c>
      <c r="O147">
        <v>15</v>
      </c>
      <c r="P147">
        <v>15</v>
      </c>
      <c r="Q147">
        <v>10</v>
      </c>
      <c r="R147">
        <v>13</v>
      </c>
      <c r="S147">
        <v>10</v>
      </c>
      <c r="T147">
        <v>10</v>
      </c>
      <c r="U147">
        <v>10</v>
      </c>
      <c r="V147">
        <v>10</v>
      </c>
      <c r="W147">
        <v>8</v>
      </c>
      <c r="X147">
        <v>18</v>
      </c>
      <c r="Y147">
        <v>11</v>
      </c>
      <c r="Z147">
        <v>21</v>
      </c>
      <c r="AA147">
        <v>0</v>
      </c>
      <c r="AB147">
        <v>0</v>
      </c>
      <c r="AC147">
        <f t="shared" si="5"/>
        <v>68</v>
      </c>
      <c r="AD147">
        <f t="shared" si="5"/>
        <v>95</v>
      </c>
      <c r="AE147">
        <f t="shared" si="4"/>
        <v>163</v>
      </c>
    </row>
    <row r="148" spans="1:31" x14ac:dyDescent="0.25">
      <c r="A148" t="s">
        <v>44</v>
      </c>
      <c r="B148" t="s">
        <v>193</v>
      </c>
      <c r="C148" t="s">
        <v>417</v>
      </c>
      <c r="D148">
        <v>128996</v>
      </c>
      <c r="E148" t="s">
        <v>421</v>
      </c>
      <c r="F148" t="s">
        <v>422</v>
      </c>
      <c r="G148" t="s">
        <v>197</v>
      </c>
      <c r="H148" t="s">
        <v>343</v>
      </c>
      <c r="I148" t="s">
        <v>199</v>
      </c>
      <c r="J148" t="s">
        <v>423</v>
      </c>
      <c r="K148" t="s">
        <v>47</v>
      </c>
      <c r="L148" s="11" t="s">
        <v>48</v>
      </c>
      <c r="M148">
        <v>28</v>
      </c>
      <c r="N148">
        <v>28</v>
      </c>
      <c r="O148">
        <v>34</v>
      </c>
      <c r="P148">
        <v>28</v>
      </c>
      <c r="Q148">
        <v>39</v>
      </c>
      <c r="R148">
        <v>36</v>
      </c>
      <c r="S148">
        <v>25</v>
      </c>
      <c r="T148">
        <v>27</v>
      </c>
      <c r="U148">
        <v>32</v>
      </c>
      <c r="V148">
        <v>42</v>
      </c>
      <c r="W148">
        <v>42</v>
      </c>
      <c r="X148">
        <v>45</v>
      </c>
      <c r="Y148">
        <v>36</v>
      </c>
      <c r="Z148">
        <v>49</v>
      </c>
      <c r="AA148">
        <v>0</v>
      </c>
      <c r="AB148">
        <v>0</v>
      </c>
      <c r="AC148">
        <f t="shared" si="5"/>
        <v>236</v>
      </c>
      <c r="AD148">
        <f t="shared" si="5"/>
        <v>255</v>
      </c>
      <c r="AE148">
        <f t="shared" si="4"/>
        <v>491</v>
      </c>
    </row>
    <row r="149" spans="1:31" x14ac:dyDescent="0.25">
      <c r="A149" t="s">
        <v>44</v>
      </c>
      <c r="B149" t="s">
        <v>193</v>
      </c>
      <c r="C149" t="s">
        <v>417</v>
      </c>
      <c r="D149">
        <v>128997</v>
      </c>
      <c r="E149" t="s">
        <v>424</v>
      </c>
      <c r="F149" t="s">
        <v>425</v>
      </c>
      <c r="G149" t="s">
        <v>197</v>
      </c>
      <c r="H149" t="s">
        <v>343</v>
      </c>
      <c r="I149" t="s">
        <v>199</v>
      </c>
      <c r="J149" t="s">
        <v>420</v>
      </c>
      <c r="K149" t="s">
        <v>47</v>
      </c>
      <c r="L149" s="11" t="s">
        <v>48</v>
      </c>
      <c r="M149">
        <v>33</v>
      </c>
      <c r="N149">
        <v>52</v>
      </c>
      <c r="O149">
        <v>23</v>
      </c>
      <c r="P149">
        <v>39</v>
      </c>
      <c r="Q149">
        <v>40</v>
      </c>
      <c r="R149">
        <v>43</v>
      </c>
      <c r="S149">
        <v>46</v>
      </c>
      <c r="T149">
        <v>52</v>
      </c>
      <c r="U149">
        <v>6</v>
      </c>
      <c r="V149">
        <v>12</v>
      </c>
      <c r="W149">
        <v>8</v>
      </c>
      <c r="X149">
        <v>22</v>
      </c>
      <c r="Y149">
        <v>27</v>
      </c>
      <c r="Z149">
        <v>59</v>
      </c>
      <c r="AA149">
        <v>0</v>
      </c>
      <c r="AB149">
        <v>0</v>
      </c>
      <c r="AC149">
        <f t="shared" si="5"/>
        <v>183</v>
      </c>
      <c r="AD149">
        <f t="shared" si="5"/>
        <v>279</v>
      </c>
      <c r="AE149">
        <f t="shared" si="4"/>
        <v>462</v>
      </c>
    </row>
    <row r="150" spans="1:31" x14ac:dyDescent="0.25">
      <c r="A150" t="s">
        <v>44</v>
      </c>
      <c r="B150" t="s">
        <v>193</v>
      </c>
      <c r="C150" t="s">
        <v>417</v>
      </c>
      <c r="D150">
        <v>128998</v>
      </c>
      <c r="E150" t="s">
        <v>426</v>
      </c>
      <c r="F150" t="s">
        <v>427</v>
      </c>
      <c r="G150" t="s">
        <v>197</v>
      </c>
      <c r="H150" t="s">
        <v>343</v>
      </c>
      <c r="I150" t="s">
        <v>199</v>
      </c>
      <c r="J150" t="s">
        <v>420</v>
      </c>
      <c r="K150" t="s">
        <v>47</v>
      </c>
      <c r="L150" s="11" t="s">
        <v>48</v>
      </c>
      <c r="M150">
        <v>20</v>
      </c>
      <c r="N150">
        <v>14</v>
      </c>
      <c r="O150">
        <v>8</v>
      </c>
      <c r="P150">
        <v>11</v>
      </c>
      <c r="Q150">
        <v>10</v>
      </c>
      <c r="R150">
        <v>12</v>
      </c>
      <c r="S150">
        <v>6</v>
      </c>
      <c r="T150">
        <v>11</v>
      </c>
      <c r="U150">
        <v>19</v>
      </c>
      <c r="V150">
        <v>7</v>
      </c>
      <c r="W150">
        <v>14</v>
      </c>
      <c r="X150">
        <v>14</v>
      </c>
      <c r="Y150">
        <v>17</v>
      </c>
      <c r="Z150">
        <v>15</v>
      </c>
      <c r="AA150">
        <v>0</v>
      </c>
      <c r="AB150">
        <v>0</v>
      </c>
      <c r="AC150">
        <f t="shared" si="5"/>
        <v>94</v>
      </c>
      <c r="AD150">
        <f t="shared" si="5"/>
        <v>84</v>
      </c>
      <c r="AE150">
        <f t="shared" si="4"/>
        <v>178</v>
      </c>
    </row>
    <row r="151" spans="1:31" x14ac:dyDescent="0.25">
      <c r="A151" t="s">
        <v>44</v>
      </c>
      <c r="B151" t="s">
        <v>193</v>
      </c>
      <c r="C151" t="s">
        <v>417</v>
      </c>
      <c r="D151">
        <v>128999</v>
      </c>
      <c r="E151" t="s">
        <v>428</v>
      </c>
      <c r="F151" t="s">
        <v>429</v>
      </c>
      <c r="G151" t="s">
        <v>197</v>
      </c>
      <c r="H151" t="s">
        <v>343</v>
      </c>
      <c r="I151" t="s">
        <v>199</v>
      </c>
      <c r="J151" t="s">
        <v>420</v>
      </c>
      <c r="K151" t="s">
        <v>47</v>
      </c>
      <c r="L151" s="11" t="s">
        <v>48</v>
      </c>
      <c r="M151">
        <v>42</v>
      </c>
      <c r="N151">
        <v>34</v>
      </c>
      <c r="O151">
        <v>51</v>
      </c>
      <c r="P151">
        <v>73</v>
      </c>
      <c r="Q151">
        <v>75</v>
      </c>
      <c r="R151">
        <v>46</v>
      </c>
      <c r="S151">
        <v>61</v>
      </c>
      <c r="T151">
        <v>52</v>
      </c>
      <c r="U151">
        <v>61</v>
      </c>
      <c r="V151">
        <v>56</v>
      </c>
      <c r="W151">
        <v>55</v>
      </c>
      <c r="X151">
        <v>66</v>
      </c>
      <c r="Y151">
        <v>72</v>
      </c>
      <c r="Z151">
        <v>86</v>
      </c>
      <c r="AA151">
        <v>0</v>
      </c>
      <c r="AB151">
        <v>0</v>
      </c>
      <c r="AC151">
        <f t="shared" si="5"/>
        <v>417</v>
      </c>
      <c r="AD151">
        <f t="shared" si="5"/>
        <v>413</v>
      </c>
      <c r="AE151">
        <f t="shared" ref="AE151:AE214" si="6">SUM(AC151:AD151)</f>
        <v>830</v>
      </c>
    </row>
    <row r="152" spans="1:31" x14ac:dyDescent="0.25">
      <c r="A152" t="s">
        <v>44</v>
      </c>
      <c r="B152" t="s">
        <v>193</v>
      </c>
      <c r="C152" t="s">
        <v>417</v>
      </c>
      <c r="D152">
        <v>129001</v>
      </c>
      <c r="E152" t="s">
        <v>430</v>
      </c>
      <c r="F152" t="s">
        <v>431</v>
      </c>
      <c r="G152" t="s">
        <v>197</v>
      </c>
      <c r="H152" t="s">
        <v>343</v>
      </c>
      <c r="I152" t="s">
        <v>220</v>
      </c>
      <c r="J152" t="s">
        <v>432</v>
      </c>
      <c r="K152" t="s">
        <v>47</v>
      </c>
      <c r="L152" s="11" t="s">
        <v>48</v>
      </c>
      <c r="M152">
        <v>5</v>
      </c>
      <c r="N152">
        <v>14</v>
      </c>
      <c r="O152">
        <v>17</v>
      </c>
      <c r="P152">
        <v>12</v>
      </c>
      <c r="Q152">
        <v>19</v>
      </c>
      <c r="R152">
        <v>14</v>
      </c>
      <c r="S152">
        <v>7</v>
      </c>
      <c r="T152">
        <v>8</v>
      </c>
      <c r="U152">
        <v>13</v>
      </c>
      <c r="V152">
        <v>15</v>
      </c>
      <c r="W152">
        <v>10</v>
      </c>
      <c r="X152">
        <v>11</v>
      </c>
      <c r="Y152">
        <v>7</v>
      </c>
      <c r="Z152">
        <v>13</v>
      </c>
      <c r="AA152">
        <v>0</v>
      </c>
      <c r="AB152">
        <v>0</v>
      </c>
      <c r="AC152">
        <f t="shared" si="5"/>
        <v>78</v>
      </c>
      <c r="AD152">
        <f t="shared" si="5"/>
        <v>87</v>
      </c>
      <c r="AE152">
        <f t="shared" si="6"/>
        <v>165</v>
      </c>
    </row>
    <row r="153" spans="1:31" x14ac:dyDescent="0.25">
      <c r="A153" t="s">
        <v>44</v>
      </c>
      <c r="B153" t="s">
        <v>193</v>
      </c>
      <c r="C153" t="s">
        <v>417</v>
      </c>
      <c r="D153">
        <v>129003</v>
      </c>
      <c r="E153" t="s">
        <v>433</v>
      </c>
      <c r="F153" t="s">
        <v>434</v>
      </c>
      <c r="G153" t="s">
        <v>197</v>
      </c>
      <c r="H153" t="s">
        <v>343</v>
      </c>
      <c r="I153" t="s">
        <v>199</v>
      </c>
      <c r="J153" t="s">
        <v>435</v>
      </c>
      <c r="K153" t="s">
        <v>47</v>
      </c>
      <c r="L153" s="11" t="s">
        <v>48</v>
      </c>
      <c r="M153">
        <v>27</v>
      </c>
      <c r="N153">
        <v>35</v>
      </c>
      <c r="O153">
        <v>39</v>
      </c>
      <c r="P153">
        <v>38</v>
      </c>
      <c r="Q153">
        <v>41</v>
      </c>
      <c r="R153">
        <v>42</v>
      </c>
      <c r="S153">
        <v>31</v>
      </c>
      <c r="T153">
        <v>23</v>
      </c>
      <c r="U153">
        <v>25</v>
      </c>
      <c r="V153">
        <v>27</v>
      </c>
      <c r="W153">
        <v>42</v>
      </c>
      <c r="X153">
        <v>16</v>
      </c>
      <c r="Y153">
        <v>25</v>
      </c>
      <c r="Z153">
        <v>28</v>
      </c>
      <c r="AA153">
        <v>0</v>
      </c>
      <c r="AB153">
        <v>0</v>
      </c>
      <c r="AC153">
        <f t="shared" si="5"/>
        <v>230</v>
      </c>
      <c r="AD153">
        <f t="shared" si="5"/>
        <v>209</v>
      </c>
      <c r="AE153">
        <f t="shared" si="6"/>
        <v>439</v>
      </c>
    </row>
    <row r="154" spans="1:31" x14ac:dyDescent="0.25">
      <c r="A154" t="s">
        <v>44</v>
      </c>
      <c r="B154" t="s">
        <v>193</v>
      </c>
      <c r="C154" t="s">
        <v>417</v>
      </c>
      <c r="D154">
        <v>129006</v>
      </c>
      <c r="E154" t="s">
        <v>436</v>
      </c>
      <c r="F154" t="s">
        <v>437</v>
      </c>
      <c r="G154" t="s">
        <v>197</v>
      </c>
      <c r="H154" t="s">
        <v>343</v>
      </c>
      <c r="I154" t="s">
        <v>199</v>
      </c>
      <c r="J154" t="s">
        <v>423</v>
      </c>
      <c r="K154" t="s">
        <v>47</v>
      </c>
      <c r="L154" s="11" t="s">
        <v>48</v>
      </c>
      <c r="M154">
        <v>16</v>
      </c>
      <c r="N154">
        <v>18</v>
      </c>
      <c r="O154">
        <v>19</v>
      </c>
      <c r="P154">
        <v>10</v>
      </c>
      <c r="Q154">
        <v>16</v>
      </c>
      <c r="R154">
        <v>20</v>
      </c>
      <c r="S154">
        <v>13</v>
      </c>
      <c r="T154">
        <v>12</v>
      </c>
      <c r="U154">
        <v>19</v>
      </c>
      <c r="V154">
        <v>19</v>
      </c>
      <c r="W154">
        <v>13</v>
      </c>
      <c r="X154">
        <v>15</v>
      </c>
      <c r="Y154">
        <v>23</v>
      </c>
      <c r="Z154">
        <v>22</v>
      </c>
      <c r="AA154">
        <v>0</v>
      </c>
      <c r="AB154">
        <v>0</v>
      </c>
      <c r="AC154">
        <f t="shared" si="5"/>
        <v>119</v>
      </c>
      <c r="AD154">
        <f t="shared" si="5"/>
        <v>116</v>
      </c>
      <c r="AE154">
        <f t="shared" si="6"/>
        <v>235</v>
      </c>
    </row>
    <row r="155" spans="1:31" x14ac:dyDescent="0.25">
      <c r="A155" t="s">
        <v>44</v>
      </c>
      <c r="B155" t="s">
        <v>193</v>
      </c>
      <c r="C155" t="s">
        <v>417</v>
      </c>
      <c r="D155">
        <v>129008</v>
      </c>
      <c r="E155" t="s">
        <v>438</v>
      </c>
      <c r="F155" t="s">
        <v>439</v>
      </c>
      <c r="G155" t="s">
        <v>197</v>
      </c>
      <c r="H155" t="s">
        <v>343</v>
      </c>
      <c r="I155" t="s">
        <v>199</v>
      </c>
      <c r="J155" t="s">
        <v>440</v>
      </c>
      <c r="K155" t="s">
        <v>47</v>
      </c>
      <c r="L155" s="11" t="s">
        <v>48</v>
      </c>
      <c r="M155">
        <v>19</v>
      </c>
      <c r="N155">
        <v>13</v>
      </c>
      <c r="O155">
        <v>9</v>
      </c>
      <c r="P155">
        <v>10</v>
      </c>
      <c r="Q155">
        <v>14</v>
      </c>
      <c r="R155">
        <v>11</v>
      </c>
      <c r="S155">
        <v>12</v>
      </c>
      <c r="T155">
        <v>14</v>
      </c>
      <c r="U155">
        <v>12</v>
      </c>
      <c r="V155">
        <v>13</v>
      </c>
      <c r="W155">
        <v>16</v>
      </c>
      <c r="X155">
        <v>15</v>
      </c>
      <c r="Y155">
        <v>18</v>
      </c>
      <c r="Z155">
        <v>20</v>
      </c>
      <c r="AA155">
        <v>0</v>
      </c>
      <c r="AB155">
        <v>0</v>
      </c>
      <c r="AC155">
        <f t="shared" si="5"/>
        <v>100</v>
      </c>
      <c r="AD155">
        <f t="shared" si="5"/>
        <v>96</v>
      </c>
      <c r="AE155">
        <f t="shared" si="6"/>
        <v>196</v>
      </c>
    </row>
    <row r="156" spans="1:31" x14ac:dyDescent="0.25">
      <c r="A156" t="s">
        <v>44</v>
      </c>
      <c r="B156" t="s">
        <v>193</v>
      </c>
      <c r="C156" t="s">
        <v>417</v>
      </c>
      <c r="D156">
        <v>129011</v>
      </c>
      <c r="E156" t="s">
        <v>441</v>
      </c>
      <c r="F156" t="s">
        <v>442</v>
      </c>
      <c r="G156" t="s">
        <v>197</v>
      </c>
      <c r="H156" t="s">
        <v>343</v>
      </c>
      <c r="I156" t="s">
        <v>199</v>
      </c>
      <c r="J156" t="s">
        <v>440</v>
      </c>
      <c r="K156" t="s">
        <v>47</v>
      </c>
      <c r="L156" s="11" t="s">
        <v>48</v>
      </c>
      <c r="M156">
        <v>15</v>
      </c>
      <c r="N156">
        <v>23</v>
      </c>
      <c r="O156">
        <v>15</v>
      </c>
      <c r="P156">
        <v>15</v>
      </c>
      <c r="Q156">
        <v>14</v>
      </c>
      <c r="R156">
        <v>14</v>
      </c>
      <c r="S156">
        <v>12</v>
      </c>
      <c r="T156">
        <v>10</v>
      </c>
      <c r="U156">
        <v>19</v>
      </c>
      <c r="V156">
        <v>12</v>
      </c>
      <c r="W156">
        <v>25</v>
      </c>
      <c r="X156">
        <v>29</v>
      </c>
      <c r="Y156">
        <v>20</v>
      </c>
      <c r="Z156">
        <v>13</v>
      </c>
      <c r="AA156">
        <v>0</v>
      </c>
      <c r="AB156">
        <v>0</v>
      </c>
      <c r="AC156">
        <f t="shared" si="5"/>
        <v>120</v>
      </c>
      <c r="AD156">
        <f t="shared" si="5"/>
        <v>116</v>
      </c>
      <c r="AE156">
        <f t="shared" si="6"/>
        <v>236</v>
      </c>
    </row>
    <row r="157" spans="1:31" x14ac:dyDescent="0.25">
      <c r="A157" t="s">
        <v>44</v>
      </c>
      <c r="B157" t="s">
        <v>193</v>
      </c>
      <c r="C157" t="s">
        <v>417</v>
      </c>
      <c r="D157">
        <v>205034</v>
      </c>
      <c r="E157" t="s">
        <v>443</v>
      </c>
      <c r="F157" t="s">
        <v>444</v>
      </c>
      <c r="G157" t="s">
        <v>197</v>
      </c>
      <c r="H157" t="s">
        <v>343</v>
      </c>
      <c r="I157" t="s">
        <v>199</v>
      </c>
      <c r="J157" t="s">
        <v>435</v>
      </c>
      <c r="K157" t="s">
        <v>47</v>
      </c>
      <c r="L157" s="11" t="s">
        <v>48</v>
      </c>
      <c r="M157">
        <v>12</v>
      </c>
      <c r="N157">
        <v>12</v>
      </c>
      <c r="O157">
        <v>11</v>
      </c>
      <c r="P157">
        <v>9</v>
      </c>
      <c r="Q157">
        <v>9</v>
      </c>
      <c r="R157">
        <v>14</v>
      </c>
      <c r="S157">
        <v>14</v>
      </c>
      <c r="T157">
        <v>4</v>
      </c>
      <c r="U157">
        <v>6</v>
      </c>
      <c r="V157">
        <v>16</v>
      </c>
      <c r="W157">
        <v>10</v>
      </c>
      <c r="X157">
        <v>6</v>
      </c>
      <c r="Y157">
        <v>13</v>
      </c>
      <c r="Z157">
        <v>17</v>
      </c>
      <c r="AA157">
        <v>0</v>
      </c>
      <c r="AB157">
        <v>0</v>
      </c>
      <c r="AC157">
        <f t="shared" si="5"/>
        <v>75</v>
      </c>
      <c r="AD157">
        <f t="shared" si="5"/>
        <v>78</v>
      </c>
      <c r="AE157">
        <f t="shared" si="6"/>
        <v>153</v>
      </c>
    </row>
    <row r="158" spans="1:31" x14ac:dyDescent="0.25">
      <c r="A158" t="s">
        <v>44</v>
      </c>
      <c r="B158" t="s">
        <v>193</v>
      </c>
      <c r="C158" t="s">
        <v>417</v>
      </c>
      <c r="D158">
        <v>205053</v>
      </c>
      <c r="E158" t="s">
        <v>445</v>
      </c>
      <c r="F158" t="s">
        <v>446</v>
      </c>
      <c r="G158" t="s">
        <v>197</v>
      </c>
      <c r="H158" t="s">
        <v>343</v>
      </c>
      <c r="I158" t="s">
        <v>199</v>
      </c>
      <c r="J158" t="s">
        <v>420</v>
      </c>
      <c r="K158" t="s">
        <v>47</v>
      </c>
      <c r="L158" s="11" t="s">
        <v>48</v>
      </c>
      <c r="M158">
        <v>12</v>
      </c>
      <c r="N158">
        <v>18</v>
      </c>
      <c r="O158">
        <v>10</v>
      </c>
      <c r="P158">
        <v>10</v>
      </c>
      <c r="Q158">
        <v>9</v>
      </c>
      <c r="R158">
        <v>11</v>
      </c>
      <c r="S158">
        <v>11</v>
      </c>
      <c r="T158">
        <v>6</v>
      </c>
      <c r="U158">
        <v>7</v>
      </c>
      <c r="V158">
        <v>9</v>
      </c>
      <c r="W158">
        <v>10</v>
      </c>
      <c r="X158">
        <v>9</v>
      </c>
      <c r="Y158">
        <v>2</v>
      </c>
      <c r="Z158">
        <v>11</v>
      </c>
      <c r="AA158">
        <v>0</v>
      </c>
      <c r="AB158">
        <v>0</v>
      </c>
      <c r="AC158">
        <f t="shared" si="5"/>
        <v>61</v>
      </c>
      <c r="AD158">
        <f t="shared" si="5"/>
        <v>74</v>
      </c>
      <c r="AE158">
        <f t="shared" si="6"/>
        <v>135</v>
      </c>
    </row>
    <row r="159" spans="1:31" x14ac:dyDescent="0.25">
      <c r="A159" t="s">
        <v>44</v>
      </c>
      <c r="B159" t="s">
        <v>193</v>
      </c>
      <c r="C159" t="s">
        <v>417</v>
      </c>
      <c r="D159">
        <v>205054</v>
      </c>
      <c r="E159" t="s">
        <v>447</v>
      </c>
      <c r="F159" t="s">
        <v>448</v>
      </c>
      <c r="G159" t="s">
        <v>197</v>
      </c>
      <c r="H159" t="s">
        <v>343</v>
      </c>
      <c r="I159" t="s">
        <v>199</v>
      </c>
      <c r="J159" t="s">
        <v>420</v>
      </c>
      <c r="K159" t="s">
        <v>47</v>
      </c>
      <c r="L159" s="11" t="s">
        <v>48</v>
      </c>
      <c r="M159">
        <v>9</v>
      </c>
      <c r="N159">
        <v>10</v>
      </c>
      <c r="O159">
        <v>5</v>
      </c>
      <c r="P159">
        <v>8</v>
      </c>
      <c r="Q159">
        <v>9</v>
      </c>
      <c r="R159">
        <v>9</v>
      </c>
      <c r="S159">
        <v>6</v>
      </c>
      <c r="T159">
        <v>5</v>
      </c>
      <c r="U159">
        <v>12</v>
      </c>
      <c r="V159">
        <v>9</v>
      </c>
      <c r="W159">
        <v>13</v>
      </c>
      <c r="X159">
        <v>10</v>
      </c>
      <c r="Y159">
        <v>8</v>
      </c>
      <c r="Z159">
        <v>9</v>
      </c>
      <c r="AA159">
        <v>0</v>
      </c>
      <c r="AB159">
        <v>0</v>
      </c>
      <c r="AC159">
        <f t="shared" si="5"/>
        <v>62</v>
      </c>
      <c r="AD159">
        <f t="shared" si="5"/>
        <v>60</v>
      </c>
      <c r="AE159">
        <f t="shared" si="6"/>
        <v>122</v>
      </c>
    </row>
    <row r="160" spans="1:31" x14ac:dyDescent="0.25">
      <c r="A160" t="s">
        <v>44</v>
      </c>
      <c r="B160" t="s">
        <v>193</v>
      </c>
      <c r="C160" t="s">
        <v>417</v>
      </c>
      <c r="D160">
        <v>205055</v>
      </c>
      <c r="E160" t="s">
        <v>449</v>
      </c>
      <c r="F160" t="s">
        <v>450</v>
      </c>
      <c r="G160" t="s">
        <v>197</v>
      </c>
      <c r="H160" t="s">
        <v>343</v>
      </c>
      <c r="I160" t="s">
        <v>220</v>
      </c>
      <c r="J160" t="s">
        <v>420</v>
      </c>
      <c r="K160" t="s">
        <v>47</v>
      </c>
      <c r="L160" s="11" t="s">
        <v>48</v>
      </c>
      <c r="M160">
        <v>2</v>
      </c>
      <c r="N160">
        <v>11</v>
      </c>
      <c r="O160">
        <v>8</v>
      </c>
      <c r="P160">
        <v>8</v>
      </c>
      <c r="Q160">
        <v>4</v>
      </c>
      <c r="R160">
        <v>5</v>
      </c>
      <c r="S160">
        <v>9</v>
      </c>
      <c r="T160">
        <v>4</v>
      </c>
      <c r="U160">
        <v>9</v>
      </c>
      <c r="V160">
        <v>6</v>
      </c>
      <c r="W160">
        <v>10</v>
      </c>
      <c r="X160">
        <v>8</v>
      </c>
      <c r="Y160">
        <v>5</v>
      </c>
      <c r="Z160">
        <v>6</v>
      </c>
      <c r="AA160">
        <v>0</v>
      </c>
      <c r="AB160">
        <v>0</v>
      </c>
      <c r="AC160">
        <f t="shared" si="5"/>
        <v>47</v>
      </c>
      <c r="AD160">
        <f t="shared" si="5"/>
        <v>48</v>
      </c>
      <c r="AE160">
        <f t="shared" si="6"/>
        <v>95</v>
      </c>
    </row>
    <row r="161" spans="1:31" x14ac:dyDescent="0.25">
      <c r="A161" t="s">
        <v>44</v>
      </c>
      <c r="B161" t="s">
        <v>193</v>
      </c>
      <c r="C161" t="s">
        <v>417</v>
      </c>
      <c r="D161">
        <v>501078</v>
      </c>
      <c r="E161" t="s">
        <v>451</v>
      </c>
      <c r="F161" t="s">
        <v>452</v>
      </c>
      <c r="G161" t="s">
        <v>197</v>
      </c>
      <c r="H161" t="s">
        <v>343</v>
      </c>
      <c r="I161" t="s">
        <v>199</v>
      </c>
      <c r="J161" t="s">
        <v>420</v>
      </c>
      <c r="K161" t="s">
        <v>51</v>
      </c>
      <c r="L161" s="11" t="s">
        <v>52</v>
      </c>
      <c r="M161">
        <v>14</v>
      </c>
      <c r="N161">
        <v>16</v>
      </c>
      <c r="O161">
        <v>9</v>
      </c>
      <c r="P161">
        <v>25</v>
      </c>
      <c r="Q161">
        <v>11</v>
      </c>
      <c r="R161">
        <v>9</v>
      </c>
      <c r="S161">
        <v>11</v>
      </c>
      <c r="T161">
        <v>12</v>
      </c>
      <c r="U161">
        <v>13</v>
      </c>
      <c r="V161">
        <v>19</v>
      </c>
      <c r="W161">
        <v>12</v>
      </c>
      <c r="X161">
        <v>11</v>
      </c>
      <c r="Y161">
        <v>11</v>
      </c>
      <c r="Z161">
        <v>24</v>
      </c>
      <c r="AA161">
        <v>0</v>
      </c>
      <c r="AB161">
        <v>0</v>
      </c>
      <c r="AC161">
        <f t="shared" si="5"/>
        <v>81</v>
      </c>
      <c r="AD161">
        <f t="shared" si="5"/>
        <v>116</v>
      </c>
      <c r="AE161">
        <f t="shared" si="6"/>
        <v>197</v>
      </c>
    </row>
    <row r="162" spans="1:31" x14ac:dyDescent="0.25">
      <c r="A162" t="s">
        <v>44</v>
      </c>
      <c r="B162" t="s">
        <v>193</v>
      </c>
      <c r="C162" t="s">
        <v>417</v>
      </c>
      <c r="D162">
        <v>501411</v>
      </c>
      <c r="E162" t="s">
        <v>453</v>
      </c>
      <c r="F162" t="s">
        <v>454</v>
      </c>
      <c r="G162" t="s">
        <v>197</v>
      </c>
      <c r="H162" t="s">
        <v>343</v>
      </c>
      <c r="I162" t="s">
        <v>220</v>
      </c>
      <c r="J162" t="s">
        <v>432</v>
      </c>
      <c r="K162" t="s">
        <v>51</v>
      </c>
      <c r="L162" s="11" t="s">
        <v>52</v>
      </c>
      <c r="M162">
        <v>32</v>
      </c>
      <c r="N162">
        <v>29</v>
      </c>
      <c r="O162">
        <v>19</v>
      </c>
      <c r="P162">
        <v>14</v>
      </c>
      <c r="Q162">
        <v>27</v>
      </c>
      <c r="R162">
        <v>25</v>
      </c>
      <c r="S162">
        <v>25</v>
      </c>
      <c r="T162">
        <v>26</v>
      </c>
      <c r="U162">
        <v>14</v>
      </c>
      <c r="V162">
        <v>25</v>
      </c>
      <c r="W162">
        <v>23</v>
      </c>
      <c r="X162">
        <v>24</v>
      </c>
      <c r="Y162">
        <v>16</v>
      </c>
      <c r="Z162">
        <v>27</v>
      </c>
      <c r="AA162">
        <v>0</v>
      </c>
      <c r="AB162">
        <v>0</v>
      </c>
      <c r="AC162">
        <f t="shared" si="5"/>
        <v>156</v>
      </c>
      <c r="AD162">
        <f t="shared" si="5"/>
        <v>170</v>
      </c>
      <c r="AE162">
        <f t="shared" si="6"/>
        <v>326</v>
      </c>
    </row>
    <row r="163" spans="1:31" x14ac:dyDescent="0.25">
      <c r="A163" t="s">
        <v>44</v>
      </c>
      <c r="B163" t="s">
        <v>193</v>
      </c>
      <c r="C163" t="s">
        <v>455</v>
      </c>
      <c r="D163">
        <v>128961</v>
      </c>
      <c r="E163" t="s">
        <v>456</v>
      </c>
      <c r="F163" t="s">
        <v>457</v>
      </c>
      <c r="G163" t="s">
        <v>197</v>
      </c>
      <c r="H163" t="s">
        <v>343</v>
      </c>
      <c r="I163" t="s">
        <v>199</v>
      </c>
      <c r="J163" t="s">
        <v>458</v>
      </c>
      <c r="K163" t="s">
        <v>47</v>
      </c>
      <c r="L163" s="11" t="s">
        <v>48</v>
      </c>
      <c r="M163">
        <v>7</v>
      </c>
      <c r="N163">
        <v>9</v>
      </c>
      <c r="O163">
        <v>19</v>
      </c>
      <c r="P163">
        <v>18</v>
      </c>
      <c r="Q163">
        <v>17</v>
      </c>
      <c r="R163">
        <v>14</v>
      </c>
      <c r="S163">
        <v>11</v>
      </c>
      <c r="T163">
        <v>16</v>
      </c>
      <c r="U163">
        <v>10</v>
      </c>
      <c r="V163">
        <v>13</v>
      </c>
      <c r="W163">
        <v>18</v>
      </c>
      <c r="X163">
        <v>15</v>
      </c>
      <c r="Y163">
        <v>19</v>
      </c>
      <c r="Z163">
        <v>10</v>
      </c>
      <c r="AA163">
        <v>0</v>
      </c>
      <c r="AB163">
        <v>0</v>
      </c>
      <c r="AC163">
        <f t="shared" si="5"/>
        <v>101</v>
      </c>
      <c r="AD163">
        <f t="shared" si="5"/>
        <v>95</v>
      </c>
      <c r="AE163">
        <f t="shared" si="6"/>
        <v>196</v>
      </c>
    </row>
    <row r="164" spans="1:31" x14ac:dyDescent="0.25">
      <c r="A164" t="s">
        <v>44</v>
      </c>
      <c r="B164" t="s">
        <v>193</v>
      </c>
      <c r="C164" t="s">
        <v>455</v>
      </c>
      <c r="D164">
        <v>128963</v>
      </c>
      <c r="E164" t="s">
        <v>459</v>
      </c>
      <c r="F164" t="s">
        <v>460</v>
      </c>
      <c r="G164" t="s">
        <v>197</v>
      </c>
      <c r="H164" t="s">
        <v>343</v>
      </c>
      <c r="I164" t="s">
        <v>199</v>
      </c>
      <c r="J164" t="s">
        <v>461</v>
      </c>
      <c r="K164" t="s">
        <v>47</v>
      </c>
      <c r="L164" s="11" t="s">
        <v>48</v>
      </c>
      <c r="M164">
        <v>15</v>
      </c>
      <c r="N164">
        <v>13</v>
      </c>
      <c r="O164">
        <v>21</v>
      </c>
      <c r="P164">
        <v>12</v>
      </c>
      <c r="Q164">
        <v>15</v>
      </c>
      <c r="R164">
        <v>15</v>
      </c>
      <c r="S164">
        <v>12</v>
      </c>
      <c r="T164">
        <v>15</v>
      </c>
      <c r="U164">
        <v>15</v>
      </c>
      <c r="V164">
        <v>14</v>
      </c>
      <c r="W164">
        <v>15</v>
      </c>
      <c r="X164">
        <v>15</v>
      </c>
      <c r="Y164">
        <v>12</v>
      </c>
      <c r="Z164">
        <v>15</v>
      </c>
      <c r="AA164">
        <v>0</v>
      </c>
      <c r="AB164">
        <v>0</v>
      </c>
      <c r="AC164">
        <f t="shared" si="5"/>
        <v>105</v>
      </c>
      <c r="AD164">
        <f t="shared" si="5"/>
        <v>99</v>
      </c>
      <c r="AE164">
        <f t="shared" si="6"/>
        <v>204</v>
      </c>
    </row>
    <row r="165" spans="1:31" x14ac:dyDescent="0.25">
      <c r="A165" t="s">
        <v>44</v>
      </c>
      <c r="B165" t="s">
        <v>193</v>
      </c>
      <c r="C165" t="s">
        <v>455</v>
      </c>
      <c r="D165">
        <v>128969</v>
      </c>
      <c r="E165" t="s">
        <v>462</v>
      </c>
      <c r="F165" t="s">
        <v>463</v>
      </c>
      <c r="G165" t="s">
        <v>197</v>
      </c>
      <c r="H165" t="s">
        <v>343</v>
      </c>
      <c r="I165" t="s">
        <v>220</v>
      </c>
      <c r="J165" t="s">
        <v>458</v>
      </c>
      <c r="K165" t="s">
        <v>47</v>
      </c>
      <c r="L165" s="11" t="s">
        <v>48</v>
      </c>
      <c r="M165">
        <v>3</v>
      </c>
      <c r="N165">
        <v>4</v>
      </c>
      <c r="O165">
        <v>5</v>
      </c>
      <c r="P165">
        <v>5</v>
      </c>
      <c r="Q165">
        <v>6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f t="shared" si="5"/>
        <v>14</v>
      </c>
      <c r="AD165">
        <f t="shared" si="5"/>
        <v>11</v>
      </c>
      <c r="AE165">
        <f t="shared" si="6"/>
        <v>25</v>
      </c>
    </row>
    <row r="166" spans="1:31" x14ac:dyDescent="0.25">
      <c r="A166" t="s">
        <v>44</v>
      </c>
      <c r="B166" t="s">
        <v>193</v>
      </c>
      <c r="C166" t="s">
        <v>455</v>
      </c>
      <c r="D166">
        <v>128970</v>
      </c>
      <c r="E166" t="s">
        <v>464</v>
      </c>
      <c r="F166" t="s">
        <v>119</v>
      </c>
      <c r="G166" t="s">
        <v>197</v>
      </c>
      <c r="H166" t="s">
        <v>343</v>
      </c>
      <c r="I166" t="s">
        <v>199</v>
      </c>
      <c r="J166" t="s">
        <v>461</v>
      </c>
      <c r="K166" t="s">
        <v>47</v>
      </c>
      <c r="L166" s="11" t="s">
        <v>48</v>
      </c>
      <c r="M166">
        <v>9</v>
      </c>
      <c r="N166">
        <v>13</v>
      </c>
      <c r="O166">
        <v>19</v>
      </c>
      <c r="P166">
        <v>17</v>
      </c>
      <c r="Q166">
        <v>30</v>
      </c>
      <c r="R166">
        <v>21</v>
      </c>
      <c r="S166">
        <v>12</v>
      </c>
      <c r="T166">
        <v>13</v>
      </c>
      <c r="U166">
        <v>17</v>
      </c>
      <c r="V166">
        <v>24</v>
      </c>
      <c r="W166">
        <v>23</v>
      </c>
      <c r="X166">
        <v>23</v>
      </c>
      <c r="Y166">
        <v>27</v>
      </c>
      <c r="Z166">
        <v>23</v>
      </c>
      <c r="AA166">
        <v>0</v>
      </c>
      <c r="AB166">
        <v>0</v>
      </c>
      <c r="AC166">
        <f t="shared" si="5"/>
        <v>137</v>
      </c>
      <c r="AD166">
        <f t="shared" si="5"/>
        <v>134</v>
      </c>
      <c r="AE166">
        <f t="shared" si="6"/>
        <v>271</v>
      </c>
    </row>
    <row r="167" spans="1:31" x14ac:dyDescent="0.25">
      <c r="A167" t="s">
        <v>44</v>
      </c>
      <c r="B167" t="s">
        <v>193</v>
      </c>
      <c r="C167" t="s">
        <v>455</v>
      </c>
      <c r="D167">
        <v>128972</v>
      </c>
      <c r="E167" t="s">
        <v>465</v>
      </c>
      <c r="F167" t="s">
        <v>119</v>
      </c>
      <c r="G167" t="s">
        <v>197</v>
      </c>
      <c r="H167" t="s">
        <v>343</v>
      </c>
      <c r="I167" t="s">
        <v>220</v>
      </c>
      <c r="J167" t="s">
        <v>466</v>
      </c>
      <c r="K167" t="s">
        <v>47</v>
      </c>
      <c r="L167" s="11" t="s">
        <v>48</v>
      </c>
      <c r="M167">
        <v>19</v>
      </c>
      <c r="N167">
        <v>18</v>
      </c>
      <c r="O167">
        <v>33</v>
      </c>
      <c r="P167">
        <v>29</v>
      </c>
      <c r="Q167">
        <v>38</v>
      </c>
      <c r="R167">
        <v>26</v>
      </c>
      <c r="S167">
        <v>23</v>
      </c>
      <c r="T167">
        <v>28</v>
      </c>
      <c r="U167">
        <v>24</v>
      </c>
      <c r="V167">
        <v>32</v>
      </c>
      <c r="W167">
        <v>33</v>
      </c>
      <c r="X167">
        <v>25</v>
      </c>
      <c r="Y167">
        <v>39</v>
      </c>
      <c r="Z167">
        <v>42</v>
      </c>
      <c r="AA167">
        <v>0</v>
      </c>
      <c r="AB167">
        <v>0</v>
      </c>
      <c r="AC167">
        <f t="shared" si="5"/>
        <v>209</v>
      </c>
      <c r="AD167">
        <f t="shared" si="5"/>
        <v>200</v>
      </c>
      <c r="AE167">
        <f t="shared" si="6"/>
        <v>409</v>
      </c>
    </row>
    <row r="168" spans="1:31" x14ac:dyDescent="0.25">
      <c r="A168" t="s">
        <v>44</v>
      </c>
      <c r="B168" t="s">
        <v>193</v>
      </c>
      <c r="C168" t="s">
        <v>455</v>
      </c>
      <c r="D168">
        <v>128976</v>
      </c>
      <c r="E168" t="s">
        <v>467</v>
      </c>
      <c r="F168" t="s">
        <v>468</v>
      </c>
      <c r="G168" t="s">
        <v>197</v>
      </c>
      <c r="H168" t="s">
        <v>343</v>
      </c>
      <c r="I168" t="s">
        <v>220</v>
      </c>
      <c r="J168" t="s">
        <v>461</v>
      </c>
      <c r="K168" t="s">
        <v>47</v>
      </c>
      <c r="L168" s="11" t="s">
        <v>48</v>
      </c>
      <c r="M168">
        <v>8</v>
      </c>
      <c r="N168">
        <v>7</v>
      </c>
      <c r="O168">
        <v>8</v>
      </c>
      <c r="P168">
        <v>6</v>
      </c>
      <c r="Q168">
        <v>6</v>
      </c>
      <c r="R168">
        <v>2</v>
      </c>
      <c r="S168">
        <v>8</v>
      </c>
      <c r="T168">
        <v>5</v>
      </c>
      <c r="U168">
        <v>10</v>
      </c>
      <c r="V168">
        <v>3</v>
      </c>
      <c r="W168">
        <v>8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f t="shared" si="5"/>
        <v>48</v>
      </c>
      <c r="AD168">
        <f t="shared" si="5"/>
        <v>28</v>
      </c>
      <c r="AE168">
        <f t="shared" si="6"/>
        <v>76</v>
      </c>
    </row>
    <row r="169" spans="1:31" x14ac:dyDescent="0.25">
      <c r="A169" t="s">
        <v>44</v>
      </c>
      <c r="B169" t="s">
        <v>193</v>
      </c>
      <c r="C169" t="s">
        <v>455</v>
      </c>
      <c r="D169">
        <v>128979</v>
      </c>
      <c r="E169" t="s">
        <v>469</v>
      </c>
      <c r="F169" t="s">
        <v>470</v>
      </c>
      <c r="G169" t="s">
        <v>197</v>
      </c>
      <c r="H169" t="s">
        <v>343</v>
      </c>
      <c r="I169" t="s">
        <v>199</v>
      </c>
      <c r="J169" t="s">
        <v>461</v>
      </c>
      <c r="K169" t="s">
        <v>47</v>
      </c>
      <c r="L169" s="11" t="s">
        <v>48</v>
      </c>
      <c r="M169">
        <v>6</v>
      </c>
      <c r="N169">
        <v>6</v>
      </c>
      <c r="O169">
        <v>11</v>
      </c>
      <c r="P169">
        <v>13</v>
      </c>
      <c r="Q169">
        <v>18</v>
      </c>
      <c r="R169">
        <v>14</v>
      </c>
      <c r="S169">
        <v>7</v>
      </c>
      <c r="T169">
        <v>11</v>
      </c>
      <c r="U169">
        <v>12</v>
      </c>
      <c r="V169">
        <v>7</v>
      </c>
      <c r="W169">
        <v>19</v>
      </c>
      <c r="X169">
        <v>10</v>
      </c>
      <c r="Y169">
        <v>18</v>
      </c>
      <c r="Z169">
        <v>19</v>
      </c>
      <c r="AA169">
        <v>0</v>
      </c>
      <c r="AB169">
        <v>0</v>
      </c>
      <c r="AC169">
        <f t="shared" si="5"/>
        <v>91</v>
      </c>
      <c r="AD169">
        <f t="shared" si="5"/>
        <v>80</v>
      </c>
      <c r="AE169">
        <f t="shared" si="6"/>
        <v>171</v>
      </c>
    </row>
    <row r="170" spans="1:31" x14ac:dyDescent="0.25">
      <c r="A170" t="s">
        <v>44</v>
      </c>
      <c r="B170" t="s">
        <v>193</v>
      </c>
      <c r="C170" t="s">
        <v>455</v>
      </c>
      <c r="D170">
        <v>128982</v>
      </c>
      <c r="E170" t="s">
        <v>471</v>
      </c>
      <c r="F170" t="s">
        <v>472</v>
      </c>
      <c r="G170" t="s">
        <v>197</v>
      </c>
      <c r="H170" t="s">
        <v>343</v>
      </c>
      <c r="I170" t="s">
        <v>220</v>
      </c>
      <c r="J170" t="s">
        <v>473</v>
      </c>
      <c r="K170" t="s">
        <v>47</v>
      </c>
      <c r="L170" s="11" t="s">
        <v>48</v>
      </c>
      <c r="M170">
        <v>13</v>
      </c>
      <c r="N170">
        <v>22</v>
      </c>
      <c r="O170">
        <v>38</v>
      </c>
      <c r="P170">
        <v>26</v>
      </c>
      <c r="Q170">
        <v>22</v>
      </c>
      <c r="R170">
        <v>23</v>
      </c>
      <c r="S170">
        <v>20</v>
      </c>
      <c r="T170">
        <v>20</v>
      </c>
      <c r="U170">
        <v>18</v>
      </c>
      <c r="V170">
        <v>23</v>
      </c>
      <c r="W170">
        <v>10</v>
      </c>
      <c r="X170">
        <v>17</v>
      </c>
      <c r="Y170">
        <v>20</v>
      </c>
      <c r="Z170">
        <v>29</v>
      </c>
      <c r="AA170">
        <v>0</v>
      </c>
      <c r="AB170">
        <v>0</v>
      </c>
      <c r="AC170">
        <f t="shared" si="5"/>
        <v>141</v>
      </c>
      <c r="AD170">
        <f t="shared" si="5"/>
        <v>160</v>
      </c>
      <c r="AE170">
        <f t="shared" si="6"/>
        <v>301</v>
      </c>
    </row>
    <row r="171" spans="1:31" x14ac:dyDescent="0.25">
      <c r="A171" t="s">
        <v>44</v>
      </c>
      <c r="B171" t="s">
        <v>193</v>
      </c>
      <c r="C171" t="s">
        <v>455</v>
      </c>
      <c r="D171">
        <v>128984</v>
      </c>
      <c r="E171" t="s">
        <v>474</v>
      </c>
      <c r="F171" t="s">
        <v>475</v>
      </c>
      <c r="G171" t="s">
        <v>197</v>
      </c>
      <c r="H171" t="s">
        <v>343</v>
      </c>
      <c r="I171" t="s">
        <v>199</v>
      </c>
      <c r="J171" t="s">
        <v>458</v>
      </c>
      <c r="K171" t="s">
        <v>47</v>
      </c>
      <c r="L171" s="11" t="s">
        <v>48</v>
      </c>
      <c r="M171">
        <v>25</v>
      </c>
      <c r="N171">
        <v>23</v>
      </c>
      <c r="O171">
        <v>34</v>
      </c>
      <c r="P171">
        <v>30</v>
      </c>
      <c r="Q171">
        <v>27</v>
      </c>
      <c r="R171">
        <v>36</v>
      </c>
      <c r="S171">
        <v>44</v>
      </c>
      <c r="T171">
        <v>39</v>
      </c>
      <c r="U171">
        <v>51</v>
      </c>
      <c r="V171">
        <v>35</v>
      </c>
      <c r="W171">
        <v>31</v>
      </c>
      <c r="X171">
        <v>33</v>
      </c>
      <c r="Y171">
        <v>37</v>
      </c>
      <c r="Z171">
        <v>52</v>
      </c>
      <c r="AA171">
        <v>0</v>
      </c>
      <c r="AB171">
        <v>0</v>
      </c>
      <c r="AC171">
        <f t="shared" si="5"/>
        <v>249</v>
      </c>
      <c r="AD171">
        <f t="shared" si="5"/>
        <v>248</v>
      </c>
      <c r="AE171">
        <f t="shared" si="6"/>
        <v>497</v>
      </c>
    </row>
    <row r="172" spans="1:31" x14ac:dyDescent="0.25">
      <c r="A172" t="s">
        <v>44</v>
      </c>
      <c r="B172" t="s">
        <v>193</v>
      </c>
      <c r="C172" t="s">
        <v>455</v>
      </c>
      <c r="D172">
        <v>128990</v>
      </c>
      <c r="E172" t="s">
        <v>476</v>
      </c>
      <c r="F172" t="s">
        <v>477</v>
      </c>
      <c r="G172" t="s">
        <v>197</v>
      </c>
      <c r="H172" t="s">
        <v>343</v>
      </c>
      <c r="I172" t="s">
        <v>199</v>
      </c>
      <c r="J172" t="s">
        <v>344</v>
      </c>
      <c r="K172" t="s">
        <v>47</v>
      </c>
      <c r="L172" s="11" t="s">
        <v>48</v>
      </c>
      <c r="M172">
        <v>24</v>
      </c>
      <c r="N172">
        <v>29</v>
      </c>
      <c r="O172">
        <v>20</v>
      </c>
      <c r="P172">
        <v>22</v>
      </c>
      <c r="Q172">
        <v>21</v>
      </c>
      <c r="R172">
        <v>26</v>
      </c>
      <c r="S172">
        <v>25</v>
      </c>
      <c r="T172">
        <v>16</v>
      </c>
      <c r="U172">
        <v>17</v>
      </c>
      <c r="V172">
        <v>17</v>
      </c>
      <c r="W172">
        <v>20</v>
      </c>
      <c r="X172">
        <v>22</v>
      </c>
      <c r="Y172">
        <v>25</v>
      </c>
      <c r="Z172">
        <v>31</v>
      </c>
      <c r="AA172">
        <v>0</v>
      </c>
      <c r="AB172">
        <v>0</v>
      </c>
      <c r="AC172">
        <f t="shared" si="5"/>
        <v>152</v>
      </c>
      <c r="AD172">
        <f t="shared" si="5"/>
        <v>163</v>
      </c>
      <c r="AE172">
        <f t="shared" si="6"/>
        <v>315</v>
      </c>
    </row>
    <row r="173" spans="1:31" x14ac:dyDescent="0.25">
      <c r="A173" t="s">
        <v>44</v>
      </c>
      <c r="B173" t="s">
        <v>193</v>
      </c>
      <c r="C173" t="s">
        <v>455</v>
      </c>
      <c r="D173">
        <v>128991</v>
      </c>
      <c r="E173" t="s">
        <v>478</v>
      </c>
      <c r="F173" t="s">
        <v>479</v>
      </c>
      <c r="G173" t="s">
        <v>197</v>
      </c>
      <c r="H173" t="s">
        <v>343</v>
      </c>
      <c r="I173" t="s">
        <v>220</v>
      </c>
      <c r="J173" t="s">
        <v>480</v>
      </c>
      <c r="K173" t="s">
        <v>47</v>
      </c>
      <c r="L173" s="11" t="s">
        <v>48</v>
      </c>
      <c r="M173">
        <v>8</v>
      </c>
      <c r="N173">
        <v>4</v>
      </c>
      <c r="O173">
        <v>5</v>
      </c>
      <c r="P173">
        <v>2</v>
      </c>
      <c r="Q173">
        <v>10</v>
      </c>
      <c r="R173">
        <v>10</v>
      </c>
      <c r="S173">
        <v>8</v>
      </c>
      <c r="T173">
        <v>8</v>
      </c>
      <c r="U173">
        <v>3</v>
      </c>
      <c r="V173">
        <v>10</v>
      </c>
      <c r="W173">
        <v>8</v>
      </c>
      <c r="X173">
        <v>8</v>
      </c>
      <c r="Y173">
        <v>10</v>
      </c>
      <c r="Z173">
        <v>11</v>
      </c>
      <c r="AA173">
        <v>0</v>
      </c>
      <c r="AB173">
        <v>0</v>
      </c>
      <c r="AC173">
        <f t="shared" si="5"/>
        <v>52</v>
      </c>
      <c r="AD173">
        <f t="shared" si="5"/>
        <v>53</v>
      </c>
      <c r="AE173">
        <f t="shared" si="6"/>
        <v>105</v>
      </c>
    </row>
    <row r="174" spans="1:31" x14ac:dyDescent="0.25">
      <c r="A174" t="s">
        <v>44</v>
      </c>
      <c r="B174" t="s">
        <v>193</v>
      </c>
      <c r="C174" t="s">
        <v>455</v>
      </c>
      <c r="D174">
        <v>128995</v>
      </c>
      <c r="E174" t="s">
        <v>481</v>
      </c>
      <c r="F174" t="s">
        <v>482</v>
      </c>
      <c r="G174" t="s">
        <v>197</v>
      </c>
      <c r="H174" t="s">
        <v>343</v>
      </c>
      <c r="I174" t="s">
        <v>220</v>
      </c>
      <c r="J174" t="s">
        <v>480</v>
      </c>
      <c r="K174" t="s">
        <v>47</v>
      </c>
      <c r="L174" s="11" t="s">
        <v>48</v>
      </c>
      <c r="M174">
        <v>3</v>
      </c>
      <c r="N174">
        <v>6</v>
      </c>
      <c r="O174">
        <v>5</v>
      </c>
      <c r="P174">
        <v>5</v>
      </c>
      <c r="Q174">
        <v>5</v>
      </c>
      <c r="R174">
        <v>6</v>
      </c>
      <c r="S174">
        <v>6</v>
      </c>
      <c r="T174">
        <v>7</v>
      </c>
      <c r="U174">
        <v>4</v>
      </c>
      <c r="V174">
        <v>9</v>
      </c>
      <c r="W174">
        <v>3</v>
      </c>
      <c r="X174">
        <v>3</v>
      </c>
      <c r="Y174">
        <v>9</v>
      </c>
      <c r="Z174">
        <v>7</v>
      </c>
      <c r="AA174">
        <v>0</v>
      </c>
      <c r="AB174">
        <v>0</v>
      </c>
      <c r="AC174">
        <f t="shared" si="5"/>
        <v>35</v>
      </c>
      <c r="AD174">
        <f t="shared" si="5"/>
        <v>43</v>
      </c>
      <c r="AE174">
        <f t="shared" si="6"/>
        <v>78</v>
      </c>
    </row>
    <row r="175" spans="1:31" x14ac:dyDescent="0.25">
      <c r="A175" t="s">
        <v>44</v>
      </c>
      <c r="B175" t="s">
        <v>193</v>
      </c>
      <c r="C175" t="s">
        <v>455</v>
      </c>
      <c r="D175">
        <v>129000</v>
      </c>
      <c r="E175" t="s">
        <v>483</v>
      </c>
      <c r="F175" t="s">
        <v>484</v>
      </c>
      <c r="G175" t="s">
        <v>197</v>
      </c>
      <c r="H175" t="s">
        <v>343</v>
      </c>
      <c r="I175" t="s">
        <v>199</v>
      </c>
      <c r="J175" t="s">
        <v>485</v>
      </c>
      <c r="K175" t="s">
        <v>47</v>
      </c>
      <c r="L175" s="11" t="s">
        <v>48</v>
      </c>
      <c r="M175">
        <v>7</v>
      </c>
      <c r="N175">
        <v>5</v>
      </c>
      <c r="O175">
        <v>14</v>
      </c>
      <c r="P175">
        <v>7</v>
      </c>
      <c r="Q175">
        <v>12</v>
      </c>
      <c r="R175">
        <v>4</v>
      </c>
      <c r="S175">
        <v>10</v>
      </c>
      <c r="T175">
        <v>5</v>
      </c>
      <c r="U175">
        <v>7</v>
      </c>
      <c r="V175">
        <v>4</v>
      </c>
      <c r="W175">
        <v>9</v>
      </c>
      <c r="X175">
        <v>8</v>
      </c>
      <c r="Y175">
        <v>11</v>
      </c>
      <c r="Z175">
        <v>6</v>
      </c>
      <c r="AA175">
        <v>0</v>
      </c>
      <c r="AB175">
        <v>0</v>
      </c>
      <c r="AC175">
        <f t="shared" si="5"/>
        <v>70</v>
      </c>
      <c r="AD175">
        <f t="shared" si="5"/>
        <v>39</v>
      </c>
      <c r="AE175">
        <f t="shared" si="6"/>
        <v>109</v>
      </c>
    </row>
    <row r="176" spans="1:31" x14ac:dyDescent="0.25">
      <c r="A176" t="s">
        <v>44</v>
      </c>
      <c r="B176" t="s">
        <v>193</v>
      </c>
      <c r="C176" t="s">
        <v>455</v>
      </c>
      <c r="D176">
        <v>205013</v>
      </c>
      <c r="E176" t="s">
        <v>486</v>
      </c>
      <c r="F176" t="s">
        <v>487</v>
      </c>
      <c r="G176" t="s">
        <v>197</v>
      </c>
      <c r="H176" t="s">
        <v>343</v>
      </c>
      <c r="I176" t="s">
        <v>199</v>
      </c>
      <c r="J176" t="s">
        <v>480</v>
      </c>
      <c r="K176" t="s">
        <v>47</v>
      </c>
      <c r="L176" s="11" t="s">
        <v>48</v>
      </c>
      <c r="M176">
        <v>8</v>
      </c>
      <c r="N176">
        <v>4</v>
      </c>
      <c r="O176">
        <v>12</v>
      </c>
      <c r="P176">
        <v>8</v>
      </c>
      <c r="Q176">
        <v>3</v>
      </c>
      <c r="R176">
        <v>6</v>
      </c>
      <c r="S176">
        <v>2</v>
      </c>
      <c r="T176">
        <v>4</v>
      </c>
      <c r="U176">
        <v>5</v>
      </c>
      <c r="V176">
        <v>8</v>
      </c>
      <c r="W176">
        <v>6</v>
      </c>
      <c r="X176">
        <v>6</v>
      </c>
      <c r="Y176">
        <v>11</v>
      </c>
      <c r="Z176">
        <v>3</v>
      </c>
      <c r="AA176">
        <v>0</v>
      </c>
      <c r="AB176">
        <v>0</v>
      </c>
      <c r="AC176">
        <f t="shared" si="5"/>
        <v>47</v>
      </c>
      <c r="AD176">
        <f t="shared" si="5"/>
        <v>39</v>
      </c>
      <c r="AE176">
        <f t="shared" si="6"/>
        <v>86</v>
      </c>
    </row>
    <row r="177" spans="1:31" x14ac:dyDescent="0.25">
      <c r="A177" t="s">
        <v>44</v>
      </c>
      <c r="B177" t="s">
        <v>193</v>
      </c>
      <c r="C177" t="s">
        <v>455</v>
      </c>
      <c r="D177">
        <v>205025</v>
      </c>
      <c r="E177" t="s">
        <v>488</v>
      </c>
      <c r="F177" t="s">
        <v>489</v>
      </c>
      <c r="G177" t="s">
        <v>197</v>
      </c>
      <c r="H177" t="s">
        <v>343</v>
      </c>
      <c r="I177" t="s">
        <v>220</v>
      </c>
      <c r="J177" t="s">
        <v>458</v>
      </c>
      <c r="K177" t="s">
        <v>47</v>
      </c>
      <c r="L177" s="11" t="s">
        <v>48</v>
      </c>
      <c r="M177">
        <v>10</v>
      </c>
      <c r="N177">
        <v>8</v>
      </c>
      <c r="O177">
        <v>21</v>
      </c>
      <c r="P177">
        <v>21</v>
      </c>
      <c r="Q177">
        <v>14</v>
      </c>
      <c r="R177">
        <v>7</v>
      </c>
      <c r="S177">
        <v>15</v>
      </c>
      <c r="T177">
        <v>15</v>
      </c>
      <c r="U177">
        <v>9</v>
      </c>
      <c r="V177">
        <v>9</v>
      </c>
      <c r="W177">
        <v>12</v>
      </c>
      <c r="X177">
        <v>14</v>
      </c>
      <c r="Y177">
        <v>32</v>
      </c>
      <c r="Z177">
        <v>24</v>
      </c>
      <c r="AA177">
        <v>0</v>
      </c>
      <c r="AB177">
        <v>0</v>
      </c>
      <c r="AC177">
        <f t="shared" si="5"/>
        <v>113</v>
      </c>
      <c r="AD177">
        <f t="shared" si="5"/>
        <v>98</v>
      </c>
      <c r="AE177">
        <f t="shared" si="6"/>
        <v>211</v>
      </c>
    </row>
    <row r="178" spans="1:31" x14ac:dyDescent="0.25">
      <c r="A178" t="s">
        <v>44</v>
      </c>
      <c r="B178" t="s">
        <v>193</v>
      </c>
      <c r="C178" t="s">
        <v>455</v>
      </c>
      <c r="D178">
        <v>205026</v>
      </c>
      <c r="E178" t="s">
        <v>490</v>
      </c>
      <c r="F178" t="s">
        <v>491</v>
      </c>
      <c r="G178" t="s">
        <v>197</v>
      </c>
      <c r="H178" t="s">
        <v>343</v>
      </c>
      <c r="I178" t="s">
        <v>199</v>
      </c>
      <c r="J178" t="s">
        <v>458</v>
      </c>
      <c r="K178" t="s">
        <v>47</v>
      </c>
      <c r="L178" s="11" t="s">
        <v>48</v>
      </c>
      <c r="M178">
        <v>3</v>
      </c>
      <c r="N178">
        <v>4</v>
      </c>
      <c r="O178">
        <v>5</v>
      </c>
      <c r="P178">
        <v>3</v>
      </c>
      <c r="Q178">
        <v>4</v>
      </c>
      <c r="R178">
        <v>8</v>
      </c>
      <c r="S178">
        <v>8</v>
      </c>
      <c r="T178">
        <v>4</v>
      </c>
      <c r="U178">
        <v>9</v>
      </c>
      <c r="V178">
        <v>4</v>
      </c>
      <c r="W178">
        <v>7</v>
      </c>
      <c r="X178">
        <v>6</v>
      </c>
      <c r="Y178">
        <v>5</v>
      </c>
      <c r="Z178">
        <v>5</v>
      </c>
      <c r="AA178">
        <v>0</v>
      </c>
      <c r="AB178">
        <v>0</v>
      </c>
      <c r="AC178">
        <f t="shared" si="5"/>
        <v>41</v>
      </c>
      <c r="AD178">
        <f t="shared" si="5"/>
        <v>34</v>
      </c>
      <c r="AE178">
        <f t="shared" si="6"/>
        <v>75</v>
      </c>
    </row>
    <row r="179" spans="1:31" x14ac:dyDescent="0.25">
      <c r="A179" t="s">
        <v>44</v>
      </c>
      <c r="B179" t="s">
        <v>193</v>
      </c>
      <c r="C179" t="s">
        <v>455</v>
      </c>
      <c r="D179">
        <v>205029</v>
      </c>
      <c r="E179" t="s">
        <v>492</v>
      </c>
      <c r="F179" t="s">
        <v>493</v>
      </c>
      <c r="G179" t="s">
        <v>197</v>
      </c>
      <c r="H179" t="s">
        <v>343</v>
      </c>
      <c r="I179" t="s">
        <v>220</v>
      </c>
      <c r="J179" t="s">
        <v>458</v>
      </c>
      <c r="K179" t="s">
        <v>47</v>
      </c>
      <c r="L179" s="11" t="s">
        <v>48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</v>
      </c>
      <c r="T179">
        <v>3</v>
      </c>
      <c r="U179">
        <v>8</v>
      </c>
      <c r="V179">
        <v>6</v>
      </c>
      <c r="W179">
        <v>3</v>
      </c>
      <c r="X179">
        <v>8</v>
      </c>
      <c r="Y179">
        <v>7</v>
      </c>
      <c r="Z179">
        <v>13</v>
      </c>
      <c r="AA179">
        <v>0</v>
      </c>
      <c r="AB179">
        <v>0</v>
      </c>
      <c r="AC179">
        <f t="shared" si="5"/>
        <v>22</v>
      </c>
      <c r="AD179">
        <f t="shared" si="5"/>
        <v>30</v>
      </c>
      <c r="AE179">
        <f t="shared" si="6"/>
        <v>52</v>
      </c>
    </row>
    <row r="180" spans="1:31" x14ac:dyDescent="0.25">
      <c r="A180" t="s">
        <v>44</v>
      </c>
      <c r="B180" t="s">
        <v>193</v>
      </c>
      <c r="C180" t="s">
        <v>455</v>
      </c>
      <c r="D180">
        <v>205032</v>
      </c>
      <c r="E180" t="s">
        <v>494</v>
      </c>
      <c r="F180" t="s">
        <v>495</v>
      </c>
      <c r="G180" t="s">
        <v>197</v>
      </c>
      <c r="H180" t="s">
        <v>343</v>
      </c>
      <c r="I180" t="s">
        <v>220</v>
      </c>
      <c r="J180" t="s">
        <v>458</v>
      </c>
      <c r="K180" t="s">
        <v>47</v>
      </c>
      <c r="L180" s="11" t="s">
        <v>48</v>
      </c>
      <c r="M180">
        <v>12</v>
      </c>
      <c r="N180">
        <v>5</v>
      </c>
      <c r="O180">
        <v>11</v>
      </c>
      <c r="P180">
        <v>5</v>
      </c>
      <c r="Q180">
        <v>8</v>
      </c>
      <c r="R180">
        <v>4</v>
      </c>
      <c r="S180">
        <v>9</v>
      </c>
      <c r="T180">
        <v>9</v>
      </c>
      <c r="U180">
        <v>6</v>
      </c>
      <c r="V180">
        <v>5</v>
      </c>
      <c r="W180">
        <v>8</v>
      </c>
      <c r="X180">
        <v>3</v>
      </c>
      <c r="Y180">
        <v>7</v>
      </c>
      <c r="Z180">
        <v>10</v>
      </c>
      <c r="AA180">
        <v>0</v>
      </c>
      <c r="AB180">
        <v>0</v>
      </c>
      <c r="AC180">
        <f t="shared" si="5"/>
        <v>61</v>
      </c>
      <c r="AD180">
        <f t="shared" si="5"/>
        <v>41</v>
      </c>
      <c r="AE180">
        <f t="shared" si="6"/>
        <v>102</v>
      </c>
    </row>
    <row r="181" spans="1:31" x14ac:dyDescent="0.25">
      <c r="A181" t="s">
        <v>44</v>
      </c>
      <c r="B181" t="s">
        <v>193</v>
      </c>
      <c r="C181" t="s">
        <v>455</v>
      </c>
      <c r="D181">
        <v>205035</v>
      </c>
      <c r="E181" t="s">
        <v>496</v>
      </c>
      <c r="F181" t="s">
        <v>497</v>
      </c>
      <c r="G181" t="s">
        <v>197</v>
      </c>
      <c r="H181" t="s">
        <v>343</v>
      </c>
      <c r="I181" t="s">
        <v>220</v>
      </c>
      <c r="J181" t="s">
        <v>485</v>
      </c>
      <c r="K181" t="s">
        <v>47</v>
      </c>
      <c r="L181" s="11" t="s">
        <v>48</v>
      </c>
      <c r="M181">
        <v>9</v>
      </c>
      <c r="N181">
        <v>5</v>
      </c>
      <c r="O181">
        <v>5</v>
      </c>
      <c r="P181">
        <v>5</v>
      </c>
      <c r="Q181">
        <v>4</v>
      </c>
      <c r="R181">
        <v>7</v>
      </c>
      <c r="S181">
        <v>3</v>
      </c>
      <c r="T181">
        <v>6</v>
      </c>
      <c r="U181">
        <v>6</v>
      </c>
      <c r="V181">
        <v>3</v>
      </c>
      <c r="W181">
        <v>10</v>
      </c>
      <c r="X181">
        <v>7</v>
      </c>
      <c r="Y181">
        <v>8</v>
      </c>
      <c r="Z181">
        <v>4</v>
      </c>
      <c r="AA181">
        <v>0</v>
      </c>
      <c r="AB181">
        <v>0</v>
      </c>
      <c r="AC181">
        <f t="shared" si="5"/>
        <v>45</v>
      </c>
      <c r="AD181">
        <f t="shared" si="5"/>
        <v>37</v>
      </c>
      <c r="AE181">
        <f t="shared" si="6"/>
        <v>82</v>
      </c>
    </row>
    <row r="182" spans="1:31" x14ac:dyDescent="0.25">
      <c r="A182" t="s">
        <v>44</v>
      </c>
      <c r="B182" t="s">
        <v>193</v>
      </c>
      <c r="C182" t="s">
        <v>455</v>
      </c>
      <c r="D182">
        <v>205036</v>
      </c>
      <c r="E182" t="s">
        <v>498</v>
      </c>
      <c r="F182" t="s">
        <v>499</v>
      </c>
      <c r="G182" t="s">
        <v>197</v>
      </c>
      <c r="H182" t="s">
        <v>343</v>
      </c>
      <c r="I182" t="s">
        <v>220</v>
      </c>
      <c r="J182" t="s">
        <v>344</v>
      </c>
      <c r="K182" t="s">
        <v>47</v>
      </c>
      <c r="L182" s="11" t="s">
        <v>48</v>
      </c>
      <c r="M182">
        <v>4</v>
      </c>
      <c r="N182">
        <v>6</v>
      </c>
      <c r="O182">
        <v>2</v>
      </c>
      <c r="P182">
        <v>3</v>
      </c>
      <c r="Q182">
        <v>4</v>
      </c>
      <c r="R182">
        <v>2</v>
      </c>
      <c r="S182">
        <v>2</v>
      </c>
      <c r="T182">
        <v>7</v>
      </c>
      <c r="U182">
        <v>6</v>
      </c>
      <c r="V182">
        <v>7</v>
      </c>
      <c r="W182">
        <v>6</v>
      </c>
      <c r="X182">
        <v>3</v>
      </c>
      <c r="Y182">
        <v>4</v>
      </c>
      <c r="Z182">
        <v>6</v>
      </c>
      <c r="AA182">
        <v>0</v>
      </c>
      <c r="AB182">
        <v>0</v>
      </c>
      <c r="AC182">
        <f t="shared" si="5"/>
        <v>28</v>
      </c>
      <c r="AD182">
        <f t="shared" si="5"/>
        <v>34</v>
      </c>
      <c r="AE182">
        <f t="shared" si="6"/>
        <v>62</v>
      </c>
    </row>
    <row r="183" spans="1:31" x14ac:dyDescent="0.25">
      <c r="A183" t="s">
        <v>44</v>
      </c>
      <c r="B183" t="s">
        <v>193</v>
      </c>
      <c r="C183" t="s">
        <v>455</v>
      </c>
      <c r="D183">
        <v>205038</v>
      </c>
      <c r="E183" t="s">
        <v>500</v>
      </c>
      <c r="F183" t="s">
        <v>501</v>
      </c>
      <c r="G183" t="s">
        <v>197</v>
      </c>
      <c r="H183" t="s">
        <v>343</v>
      </c>
      <c r="I183" t="s">
        <v>220</v>
      </c>
      <c r="J183" t="s">
        <v>344</v>
      </c>
      <c r="K183" t="s">
        <v>47</v>
      </c>
      <c r="L183" s="11" t="s">
        <v>48</v>
      </c>
      <c r="M183">
        <v>6</v>
      </c>
      <c r="N183">
        <v>3</v>
      </c>
      <c r="O183">
        <v>10</v>
      </c>
      <c r="P183">
        <v>3</v>
      </c>
      <c r="Q183">
        <v>7</v>
      </c>
      <c r="R183">
        <v>4</v>
      </c>
      <c r="S183">
        <v>11</v>
      </c>
      <c r="T183">
        <v>3</v>
      </c>
      <c r="U183">
        <v>3</v>
      </c>
      <c r="V183">
        <v>4</v>
      </c>
      <c r="W183">
        <v>6</v>
      </c>
      <c r="X183">
        <v>5</v>
      </c>
      <c r="Y183">
        <v>0</v>
      </c>
      <c r="Z183">
        <v>5</v>
      </c>
      <c r="AA183">
        <v>0</v>
      </c>
      <c r="AB183">
        <v>0</v>
      </c>
      <c r="AC183">
        <f t="shared" si="5"/>
        <v>43</v>
      </c>
      <c r="AD183">
        <f t="shared" si="5"/>
        <v>27</v>
      </c>
      <c r="AE183">
        <f t="shared" si="6"/>
        <v>70</v>
      </c>
    </row>
    <row r="184" spans="1:31" x14ac:dyDescent="0.25">
      <c r="A184" t="s">
        <v>44</v>
      </c>
      <c r="B184" t="s">
        <v>193</v>
      </c>
      <c r="C184" t="s">
        <v>455</v>
      </c>
      <c r="D184">
        <v>205039</v>
      </c>
      <c r="E184" t="s">
        <v>502</v>
      </c>
      <c r="F184" t="s">
        <v>503</v>
      </c>
      <c r="G184" t="s">
        <v>197</v>
      </c>
      <c r="H184" t="s">
        <v>343</v>
      </c>
      <c r="I184" t="s">
        <v>199</v>
      </c>
      <c r="J184" t="s">
        <v>480</v>
      </c>
      <c r="K184" t="s">
        <v>47</v>
      </c>
      <c r="L184" s="11" t="s">
        <v>48</v>
      </c>
      <c r="M184">
        <v>10</v>
      </c>
      <c r="N184">
        <v>10</v>
      </c>
      <c r="O184">
        <v>13</v>
      </c>
      <c r="P184">
        <v>12</v>
      </c>
      <c r="Q184">
        <v>12</v>
      </c>
      <c r="R184">
        <v>9</v>
      </c>
      <c r="S184">
        <v>11</v>
      </c>
      <c r="T184">
        <v>7</v>
      </c>
      <c r="U184">
        <v>8</v>
      </c>
      <c r="V184">
        <v>11</v>
      </c>
      <c r="W184">
        <v>10</v>
      </c>
      <c r="X184">
        <v>9</v>
      </c>
      <c r="Y184">
        <v>7</v>
      </c>
      <c r="Z184">
        <v>9</v>
      </c>
      <c r="AA184">
        <v>0</v>
      </c>
      <c r="AB184">
        <v>0</v>
      </c>
      <c r="AC184">
        <f t="shared" si="5"/>
        <v>71</v>
      </c>
      <c r="AD184">
        <f t="shared" si="5"/>
        <v>67</v>
      </c>
      <c r="AE184">
        <f t="shared" si="6"/>
        <v>138</v>
      </c>
    </row>
    <row r="185" spans="1:31" x14ac:dyDescent="0.25">
      <c r="A185" t="s">
        <v>44</v>
      </c>
      <c r="B185" t="s">
        <v>193</v>
      </c>
      <c r="C185" t="s">
        <v>455</v>
      </c>
      <c r="D185">
        <v>205040</v>
      </c>
      <c r="E185" t="s">
        <v>504</v>
      </c>
      <c r="F185" t="s">
        <v>505</v>
      </c>
      <c r="G185" t="s">
        <v>197</v>
      </c>
      <c r="H185" t="s">
        <v>343</v>
      </c>
      <c r="I185" t="s">
        <v>220</v>
      </c>
      <c r="J185" t="s">
        <v>344</v>
      </c>
      <c r="K185" t="s">
        <v>47</v>
      </c>
      <c r="L185" s="11" t="s">
        <v>48</v>
      </c>
      <c r="M185">
        <v>18</v>
      </c>
      <c r="N185">
        <v>11</v>
      </c>
      <c r="O185">
        <v>10</v>
      </c>
      <c r="P185">
        <v>5</v>
      </c>
      <c r="Q185">
        <v>4</v>
      </c>
      <c r="R185">
        <v>6</v>
      </c>
      <c r="S185">
        <v>21</v>
      </c>
      <c r="T185">
        <v>18</v>
      </c>
      <c r="U185">
        <v>7</v>
      </c>
      <c r="V185">
        <v>11</v>
      </c>
      <c r="W185">
        <v>13</v>
      </c>
      <c r="X185">
        <v>11</v>
      </c>
      <c r="Y185">
        <v>5</v>
      </c>
      <c r="Z185">
        <v>9</v>
      </c>
      <c r="AA185">
        <v>0</v>
      </c>
      <c r="AB185">
        <v>0</v>
      </c>
      <c r="AC185">
        <f t="shared" si="5"/>
        <v>78</v>
      </c>
      <c r="AD185">
        <f t="shared" si="5"/>
        <v>71</v>
      </c>
      <c r="AE185">
        <f t="shared" si="6"/>
        <v>149</v>
      </c>
    </row>
    <row r="186" spans="1:31" x14ac:dyDescent="0.25">
      <c r="A186" t="s">
        <v>44</v>
      </c>
      <c r="B186" t="s">
        <v>193</v>
      </c>
      <c r="C186" t="s">
        <v>455</v>
      </c>
      <c r="D186">
        <v>205042</v>
      </c>
      <c r="E186" t="s">
        <v>506</v>
      </c>
      <c r="F186" t="s">
        <v>507</v>
      </c>
      <c r="G186" t="s">
        <v>197</v>
      </c>
      <c r="H186" t="s">
        <v>343</v>
      </c>
      <c r="I186" t="s">
        <v>220</v>
      </c>
      <c r="J186" t="s">
        <v>344</v>
      </c>
      <c r="K186" t="s">
        <v>47</v>
      </c>
      <c r="L186" s="11" t="s">
        <v>48</v>
      </c>
      <c r="M186">
        <v>5</v>
      </c>
      <c r="N186">
        <v>8</v>
      </c>
      <c r="O186">
        <v>6</v>
      </c>
      <c r="P186">
        <v>4</v>
      </c>
      <c r="Q186">
        <v>6</v>
      </c>
      <c r="R186">
        <v>1</v>
      </c>
      <c r="S186">
        <v>6</v>
      </c>
      <c r="T186">
        <v>6</v>
      </c>
      <c r="U186">
        <v>10</v>
      </c>
      <c r="V186">
        <v>7</v>
      </c>
      <c r="W186">
        <v>7</v>
      </c>
      <c r="X186">
        <v>6</v>
      </c>
      <c r="Y186">
        <v>11</v>
      </c>
      <c r="Z186">
        <v>9</v>
      </c>
      <c r="AA186">
        <v>0</v>
      </c>
      <c r="AB186">
        <v>0</v>
      </c>
      <c r="AC186">
        <f t="shared" si="5"/>
        <v>51</v>
      </c>
      <c r="AD186">
        <f t="shared" si="5"/>
        <v>41</v>
      </c>
      <c r="AE186">
        <f t="shared" si="6"/>
        <v>92</v>
      </c>
    </row>
    <row r="187" spans="1:31" x14ac:dyDescent="0.25">
      <c r="A187" t="s">
        <v>44</v>
      </c>
      <c r="B187" t="s">
        <v>193</v>
      </c>
      <c r="C187" t="s">
        <v>455</v>
      </c>
      <c r="D187">
        <v>205056</v>
      </c>
      <c r="E187" t="s">
        <v>508</v>
      </c>
      <c r="F187" t="s">
        <v>509</v>
      </c>
      <c r="G187" t="s">
        <v>197</v>
      </c>
      <c r="H187" t="s">
        <v>343</v>
      </c>
      <c r="I187" t="s">
        <v>220</v>
      </c>
      <c r="J187" t="s">
        <v>458</v>
      </c>
      <c r="K187" t="s">
        <v>47</v>
      </c>
      <c r="L187" s="11" t="s">
        <v>48</v>
      </c>
      <c r="M187">
        <v>0</v>
      </c>
      <c r="N187">
        <v>1</v>
      </c>
      <c r="O187">
        <v>14</v>
      </c>
      <c r="P187">
        <v>8</v>
      </c>
      <c r="Q187">
        <v>6</v>
      </c>
      <c r="R187">
        <v>9</v>
      </c>
      <c r="S187">
        <v>7</v>
      </c>
      <c r="T187">
        <v>4</v>
      </c>
      <c r="U187">
        <v>7</v>
      </c>
      <c r="V187">
        <v>3</v>
      </c>
      <c r="W187">
        <v>7</v>
      </c>
      <c r="X187">
        <v>9</v>
      </c>
      <c r="Y187">
        <v>9</v>
      </c>
      <c r="Z187">
        <v>4</v>
      </c>
      <c r="AA187">
        <v>0</v>
      </c>
      <c r="AB187">
        <v>0</v>
      </c>
      <c r="AC187">
        <f t="shared" si="5"/>
        <v>50</v>
      </c>
      <c r="AD187">
        <f t="shared" si="5"/>
        <v>38</v>
      </c>
      <c r="AE187">
        <f t="shared" si="6"/>
        <v>88</v>
      </c>
    </row>
    <row r="188" spans="1:31" x14ac:dyDescent="0.25">
      <c r="A188" s="12" t="s">
        <v>44</v>
      </c>
      <c r="B188" s="12" t="s">
        <v>193</v>
      </c>
      <c r="C188" s="12" t="s">
        <v>455</v>
      </c>
      <c r="D188" s="12">
        <v>501412</v>
      </c>
      <c r="E188" s="12" t="s">
        <v>510</v>
      </c>
      <c r="F188" s="12" t="s">
        <v>511</v>
      </c>
      <c r="G188" s="12" t="s">
        <v>197</v>
      </c>
      <c r="H188" s="12" t="s">
        <v>343</v>
      </c>
      <c r="I188" t="s">
        <v>220</v>
      </c>
      <c r="J188" s="12" t="s">
        <v>344</v>
      </c>
      <c r="K188" s="12" t="s">
        <v>51</v>
      </c>
      <c r="L188" s="11" t="s">
        <v>52</v>
      </c>
      <c r="M188">
        <v>13</v>
      </c>
      <c r="N188">
        <v>11</v>
      </c>
      <c r="O188">
        <v>10</v>
      </c>
      <c r="P188">
        <v>15</v>
      </c>
      <c r="Q188">
        <v>11</v>
      </c>
      <c r="R188">
        <v>11</v>
      </c>
      <c r="S188">
        <v>12</v>
      </c>
      <c r="T188">
        <v>11</v>
      </c>
      <c r="U188">
        <v>9</v>
      </c>
      <c r="V188">
        <v>14</v>
      </c>
      <c r="W188">
        <v>14</v>
      </c>
      <c r="X188">
        <v>19</v>
      </c>
      <c r="Y188">
        <v>22</v>
      </c>
      <c r="Z188">
        <v>14</v>
      </c>
      <c r="AA188">
        <v>0</v>
      </c>
      <c r="AB188">
        <v>0</v>
      </c>
      <c r="AC188">
        <f t="shared" si="5"/>
        <v>91</v>
      </c>
      <c r="AD188">
        <f t="shared" si="5"/>
        <v>95</v>
      </c>
      <c r="AE188">
        <f t="shared" si="6"/>
        <v>186</v>
      </c>
    </row>
    <row r="189" spans="1:31" x14ac:dyDescent="0.25">
      <c r="A189" t="s">
        <v>44</v>
      </c>
      <c r="B189" t="s">
        <v>193</v>
      </c>
      <c r="C189" t="s">
        <v>512</v>
      </c>
      <c r="D189">
        <v>129054</v>
      </c>
      <c r="E189" t="s">
        <v>513</v>
      </c>
      <c r="F189" t="s">
        <v>196</v>
      </c>
      <c r="G189" t="s">
        <v>197</v>
      </c>
      <c r="H189" t="s">
        <v>514</v>
      </c>
      <c r="I189" t="s">
        <v>199</v>
      </c>
      <c r="J189" t="s">
        <v>515</v>
      </c>
      <c r="K189" t="s">
        <v>47</v>
      </c>
      <c r="L189" s="11" t="s">
        <v>48</v>
      </c>
      <c r="M189">
        <v>17</v>
      </c>
      <c r="N189">
        <v>17</v>
      </c>
      <c r="O189">
        <v>21</v>
      </c>
      <c r="P189">
        <v>22</v>
      </c>
      <c r="Q189">
        <v>35</v>
      </c>
      <c r="R189">
        <v>18</v>
      </c>
      <c r="S189">
        <v>28</v>
      </c>
      <c r="T189">
        <v>14</v>
      </c>
      <c r="U189">
        <v>34</v>
      </c>
      <c r="V189">
        <v>17</v>
      </c>
      <c r="W189">
        <v>23</v>
      </c>
      <c r="X189">
        <v>32</v>
      </c>
      <c r="Y189">
        <v>22</v>
      </c>
      <c r="Z189">
        <v>35</v>
      </c>
      <c r="AA189">
        <v>0</v>
      </c>
      <c r="AB189">
        <v>0</v>
      </c>
      <c r="AC189">
        <f t="shared" si="5"/>
        <v>180</v>
      </c>
      <c r="AD189">
        <f t="shared" si="5"/>
        <v>155</v>
      </c>
      <c r="AE189">
        <f t="shared" si="6"/>
        <v>335</v>
      </c>
    </row>
    <row r="190" spans="1:31" x14ac:dyDescent="0.25">
      <c r="A190" t="s">
        <v>44</v>
      </c>
      <c r="B190" t="s">
        <v>193</v>
      </c>
      <c r="C190" t="s">
        <v>512</v>
      </c>
      <c r="D190">
        <v>129057</v>
      </c>
      <c r="E190" t="s">
        <v>516</v>
      </c>
      <c r="F190" t="s">
        <v>196</v>
      </c>
      <c r="G190" t="s">
        <v>197</v>
      </c>
      <c r="H190" t="s">
        <v>514</v>
      </c>
      <c r="I190" t="s">
        <v>199</v>
      </c>
      <c r="J190" t="s">
        <v>517</v>
      </c>
      <c r="K190" t="s">
        <v>47</v>
      </c>
      <c r="L190" s="11" t="s">
        <v>48</v>
      </c>
      <c r="M190">
        <v>7</v>
      </c>
      <c r="N190">
        <v>8</v>
      </c>
      <c r="O190">
        <v>13</v>
      </c>
      <c r="P190">
        <v>10</v>
      </c>
      <c r="Q190">
        <v>6</v>
      </c>
      <c r="R190">
        <v>9</v>
      </c>
      <c r="S190">
        <v>7</v>
      </c>
      <c r="T190">
        <v>6</v>
      </c>
      <c r="U190">
        <v>5</v>
      </c>
      <c r="V190">
        <v>12</v>
      </c>
      <c r="W190">
        <v>13</v>
      </c>
      <c r="X190">
        <v>8</v>
      </c>
      <c r="Y190">
        <v>9</v>
      </c>
      <c r="Z190">
        <v>9</v>
      </c>
      <c r="AA190">
        <v>0</v>
      </c>
      <c r="AB190">
        <v>0</v>
      </c>
      <c r="AC190">
        <f t="shared" si="5"/>
        <v>60</v>
      </c>
      <c r="AD190">
        <f t="shared" si="5"/>
        <v>62</v>
      </c>
      <c r="AE190">
        <f t="shared" si="6"/>
        <v>122</v>
      </c>
    </row>
    <row r="191" spans="1:31" x14ac:dyDescent="0.25">
      <c r="A191" t="s">
        <v>44</v>
      </c>
      <c r="B191" t="s">
        <v>193</v>
      </c>
      <c r="C191" t="s">
        <v>512</v>
      </c>
      <c r="D191">
        <v>129059</v>
      </c>
      <c r="E191" t="s">
        <v>518</v>
      </c>
      <c r="F191" t="s">
        <v>196</v>
      </c>
      <c r="G191" t="s">
        <v>197</v>
      </c>
      <c r="H191" t="s">
        <v>514</v>
      </c>
      <c r="I191" t="s">
        <v>199</v>
      </c>
      <c r="J191" t="s">
        <v>519</v>
      </c>
      <c r="K191" t="s">
        <v>47</v>
      </c>
      <c r="L191" s="11" t="s">
        <v>48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f t="shared" si="5"/>
        <v>0</v>
      </c>
      <c r="AD191">
        <f t="shared" si="5"/>
        <v>0</v>
      </c>
      <c r="AE191">
        <f t="shared" si="6"/>
        <v>0</v>
      </c>
    </row>
    <row r="192" spans="1:31" x14ac:dyDescent="0.25">
      <c r="A192" t="s">
        <v>44</v>
      </c>
      <c r="B192" t="s">
        <v>193</v>
      </c>
      <c r="C192" t="s">
        <v>512</v>
      </c>
      <c r="D192">
        <v>129062</v>
      </c>
      <c r="E192" t="s">
        <v>520</v>
      </c>
      <c r="F192" t="s">
        <v>196</v>
      </c>
      <c r="G192" t="s">
        <v>197</v>
      </c>
      <c r="H192" t="s">
        <v>514</v>
      </c>
      <c r="I192" t="s">
        <v>199</v>
      </c>
      <c r="J192" t="s">
        <v>521</v>
      </c>
      <c r="K192" t="s">
        <v>47</v>
      </c>
      <c r="L192" s="11" t="s">
        <v>48</v>
      </c>
      <c r="M192">
        <v>4</v>
      </c>
      <c r="N192">
        <v>5</v>
      </c>
      <c r="O192">
        <v>6</v>
      </c>
      <c r="P192">
        <v>10</v>
      </c>
      <c r="Q192">
        <v>10</v>
      </c>
      <c r="R192">
        <v>13</v>
      </c>
      <c r="S192">
        <v>11</v>
      </c>
      <c r="T192">
        <v>13</v>
      </c>
      <c r="U192">
        <v>7</v>
      </c>
      <c r="V192">
        <v>5</v>
      </c>
      <c r="W192">
        <v>7</v>
      </c>
      <c r="X192">
        <v>12</v>
      </c>
      <c r="Y192">
        <v>9</v>
      </c>
      <c r="Z192">
        <v>10</v>
      </c>
      <c r="AA192">
        <v>0</v>
      </c>
      <c r="AB192">
        <v>0</v>
      </c>
      <c r="AC192">
        <f t="shared" si="5"/>
        <v>54</v>
      </c>
      <c r="AD192">
        <f t="shared" si="5"/>
        <v>68</v>
      </c>
      <c r="AE192">
        <f t="shared" si="6"/>
        <v>122</v>
      </c>
    </row>
    <row r="193" spans="1:31" x14ac:dyDescent="0.25">
      <c r="A193" t="s">
        <v>44</v>
      </c>
      <c r="B193" t="s">
        <v>193</v>
      </c>
      <c r="C193" t="s">
        <v>512</v>
      </c>
      <c r="D193">
        <v>129063</v>
      </c>
      <c r="E193" t="s">
        <v>522</v>
      </c>
      <c r="F193" t="s">
        <v>196</v>
      </c>
      <c r="G193" t="s">
        <v>197</v>
      </c>
      <c r="H193" t="s">
        <v>514</v>
      </c>
      <c r="I193" t="s">
        <v>220</v>
      </c>
      <c r="J193" t="s">
        <v>523</v>
      </c>
      <c r="K193" t="s">
        <v>47</v>
      </c>
      <c r="L193" s="11" t="s">
        <v>48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f t="shared" si="5"/>
        <v>0</v>
      </c>
      <c r="AD193">
        <f t="shared" si="5"/>
        <v>0</v>
      </c>
      <c r="AE193">
        <f t="shared" si="6"/>
        <v>0</v>
      </c>
    </row>
    <row r="194" spans="1:31" x14ac:dyDescent="0.25">
      <c r="A194" t="s">
        <v>44</v>
      </c>
      <c r="B194" t="s">
        <v>193</v>
      </c>
      <c r="C194" t="s">
        <v>512</v>
      </c>
      <c r="D194">
        <v>129064</v>
      </c>
      <c r="E194" t="s">
        <v>524</v>
      </c>
      <c r="F194" t="s">
        <v>525</v>
      </c>
      <c r="G194" t="s">
        <v>197</v>
      </c>
      <c r="H194" t="s">
        <v>514</v>
      </c>
      <c r="I194" t="s">
        <v>220</v>
      </c>
      <c r="J194" t="s">
        <v>526</v>
      </c>
      <c r="K194" t="s">
        <v>47</v>
      </c>
      <c r="L194" s="11" t="s">
        <v>48</v>
      </c>
      <c r="M194">
        <v>3</v>
      </c>
      <c r="N194">
        <v>3</v>
      </c>
      <c r="O194">
        <v>5</v>
      </c>
      <c r="P194">
        <v>8</v>
      </c>
      <c r="Q194">
        <v>3</v>
      </c>
      <c r="R194">
        <v>5</v>
      </c>
      <c r="S194">
        <v>5</v>
      </c>
      <c r="T194">
        <v>0</v>
      </c>
      <c r="U194">
        <v>5</v>
      </c>
      <c r="V194">
        <v>3</v>
      </c>
      <c r="W194">
        <v>3</v>
      </c>
      <c r="X194">
        <v>5</v>
      </c>
      <c r="Y194">
        <v>3</v>
      </c>
      <c r="Z194">
        <v>8</v>
      </c>
      <c r="AA194">
        <v>0</v>
      </c>
      <c r="AB194">
        <v>0</v>
      </c>
      <c r="AC194">
        <f t="shared" si="5"/>
        <v>27</v>
      </c>
      <c r="AD194">
        <f t="shared" si="5"/>
        <v>32</v>
      </c>
      <c r="AE194">
        <f t="shared" si="6"/>
        <v>59</v>
      </c>
    </row>
    <row r="195" spans="1:31" x14ac:dyDescent="0.25">
      <c r="A195" t="s">
        <v>44</v>
      </c>
      <c r="B195" t="s">
        <v>193</v>
      </c>
      <c r="C195" t="s">
        <v>512</v>
      </c>
      <c r="D195">
        <v>129067</v>
      </c>
      <c r="E195" t="s">
        <v>527</v>
      </c>
      <c r="F195" t="s">
        <v>528</v>
      </c>
      <c r="G195" t="s">
        <v>197</v>
      </c>
      <c r="H195" t="s">
        <v>514</v>
      </c>
      <c r="I195" t="s">
        <v>199</v>
      </c>
      <c r="J195" t="s">
        <v>529</v>
      </c>
      <c r="K195" t="s">
        <v>47</v>
      </c>
      <c r="L195" s="11" t="s">
        <v>48</v>
      </c>
      <c r="M195">
        <v>21</v>
      </c>
      <c r="N195">
        <v>24</v>
      </c>
      <c r="O195">
        <v>30</v>
      </c>
      <c r="P195">
        <v>15</v>
      </c>
      <c r="Q195">
        <v>24</v>
      </c>
      <c r="R195">
        <v>16</v>
      </c>
      <c r="S195">
        <v>29</v>
      </c>
      <c r="T195">
        <v>16</v>
      </c>
      <c r="U195">
        <v>26</v>
      </c>
      <c r="V195">
        <v>13</v>
      </c>
      <c r="W195">
        <v>16</v>
      </c>
      <c r="X195">
        <v>26</v>
      </c>
      <c r="Y195">
        <v>13</v>
      </c>
      <c r="Z195">
        <v>19</v>
      </c>
      <c r="AA195">
        <v>0</v>
      </c>
      <c r="AB195">
        <v>0</v>
      </c>
      <c r="AC195">
        <f t="shared" si="5"/>
        <v>159</v>
      </c>
      <c r="AD195">
        <f t="shared" si="5"/>
        <v>129</v>
      </c>
      <c r="AE195">
        <f t="shared" si="6"/>
        <v>288</v>
      </c>
    </row>
    <row r="196" spans="1:31" x14ac:dyDescent="0.25">
      <c r="A196" t="s">
        <v>44</v>
      </c>
      <c r="B196" t="s">
        <v>193</v>
      </c>
      <c r="C196" t="s">
        <v>512</v>
      </c>
      <c r="D196">
        <v>129070</v>
      </c>
      <c r="E196" t="s">
        <v>530</v>
      </c>
      <c r="F196" t="s">
        <v>196</v>
      </c>
      <c r="G196" t="s">
        <v>197</v>
      </c>
      <c r="H196" t="s">
        <v>514</v>
      </c>
      <c r="I196" t="s">
        <v>199</v>
      </c>
      <c r="J196" t="s">
        <v>531</v>
      </c>
      <c r="K196" t="s">
        <v>47</v>
      </c>
      <c r="L196" s="11" t="s">
        <v>48</v>
      </c>
      <c r="M196">
        <v>9</v>
      </c>
      <c r="N196">
        <v>3</v>
      </c>
      <c r="O196">
        <v>11</v>
      </c>
      <c r="P196">
        <v>5</v>
      </c>
      <c r="Q196">
        <v>9</v>
      </c>
      <c r="R196">
        <v>13</v>
      </c>
      <c r="S196">
        <v>5</v>
      </c>
      <c r="T196">
        <v>3</v>
      </c>
      <c r="U196">
        <v>5</v>
      </c>
      <c r="V196">
        <v>8</v>
      </c>
      <c r="W196">
        <v>9</v>
      </c>
      <c r="X196">
        <v>11</v>
      </c>
      <c r="Y196">
        <v>10</v>
      </c>
      <c r="Z196">
        <v>8</v>
      </c>
      <c r="AA196">
        <v>0</v>
      </c>
      <c r="AB196">
        <v>0</v>
      </c>
      <c r="AC196">
        <f t="shared" si="5"/>
        <v>58</v>
      </c>
      <c r="AD196">
        <f t="shared" si="5"/>
        <v>51</v>
      </c>
      <c r="AE196">
        <f t="shared" si="6"/>
        <v>109</v>
      </c>
    </row>
    <row r="197" spans="1:31" x14ac:dyDescent="0.25">
      <c r="A197" t="s">
        <v>44</v>
      </c>
      <c r="B197" t="s">
        <v>193</v>
      </c>
      <c r="C197" t="s">
        <v>512</v>
      </c>
      <c r="D197">
        <v>129071</v>
      </c>
      <c r="E197" t="s">
        <v>532</v>
      </c>
      <c r="F197" t="s">
        <v>196</v>
      </c>
      <c r="G197" t="s">
        <v>197</v>
      </c>
      <c r="H197" t="s">
        <v>514</v>
      </c>
      <c r="I197" t="s">
        <v>199</v>
      </c>
      <c r="J197" t="s">
        <v>533</v>
      </c>
      <c r="K197" t="s">
        <v>47</v>
      </c>
      <c r="L197" s="11" t="s">
        <v>48</v>
      </c>
      <c r="M197">
        <v>12</v>
      </c>
      <c r="N197">
        <v>2</v>
      </c>
      <c r="O197">
        <v>12</v>
      </c>
      <c r="P197">
        <v>13</v>
      </c>
      <c r="Q197">
        <v>9</v>
      </c>
      <c r="R197">
        <v>12</v>
      </c>
      <c r="S197">
        <v>2</v>
      </c>
      <c r="T197">
        <v>2</v>
      </c>
      <c r="U197">
        <v>8</v>
      </c>
      <c r="V197">
        <v>10</v>
      </c>
      <c r="W197">
        <v>9</v>
      </c>
      <c r="X197">
        <v>12</v>
      </c>
      <c r="Y197">
        <v>13</v>
      </c>
      <c r="Z197">
        <v>8</v>
      </c>
      <c r="AA197">
        <v>0</v>
      </c>
      <c r="AB197">
        <v>0</v>
      </c>
      <c r="AC197">
        <f t="shared" si="5"/>
        <v>65</v>
      </c>
      <c r="AD197">
        <f t="shared" si="5"/>
        <v>59</v>
      </c>
      <c r="AE197">
        <f t="shared" si="6"/>
        <v>124</v>
      </c>
    </row>
    <row r="198" spans="1:31" x14ac:dyDescent="0.25">
      <c r="A198" t="s">
        <v>44</v>
      </c>
      <c r="B198" t="s">
        <v>193</v>
      </c>
      <c r="C198" t="s">
        <v>512</v>
      </c>
      <c r="D198">
        <v>129072</v>
      </c>
      <c r="E198" t="s">
        <v>534</v>
      </c>
      <c r="F198" t="s">
        <v>535</v>
      </c>
      <c r="G198" t="s">
        <v>197</v>
      </c>
      <c r="H198" t="s">
        <v>514</v>
      </c>
      <c r="I198" t="s">
        <v>199</v>
      </c>
      <c r="J198" t="s">
        <v>536</v>
      </c>
      <c r="K198" t="s">
        <v>47</v>
      </c>
      <c r="L198" s="11" t="s">
        <v>48</v>
      </c>
      <c r="M198">
        <v>6</v>
      </c>
      <c r="N198">
        <v>9</v>
      </c>
      <c r="O198">
        <v>14</v>
      </c>
      <c r="P198">
        <v>11</v>
      </c>
      <c r="Q198">
        <v>10</v>
      </c>
      <c r="R198">
        <v>17</v>
      </c>
      <c r="S198">
        <v>10</v>
      </c>
      <c r="T198">
        <v>7</v>
      </c>
      <c r="U198">
        <v>8</v>
      </c>
      <c r="V198">
        <v>10</v>
      </c>
      <c r="W198">
        <v>15</v>
      </c>
      <c r="X198">
        <v>13</v>
      </c>
      <c r="Y198">
        <v>7</v>
      </c>
      <c r="Z198">
        <v>10</v>
      </c>
      <c r="AA198">
        <v>0</v>
      </c>
      <c r="AB198">
        <v>0</v>
      </c>
      <c r="AC198">
        <f t="shared" si="5"/>
        <v>70</v>
      </c>
      <c r="AD198">
        <f t="shared" si="5"/>
        <v>77</v>
      </c>
      <c r="AE198">
        <f t="shared" si="6"/>
        <v>147</v>
      </c>
    </row>
    <row r="199" spans="1:31" x14ac:dyDescent="0.25">
      <c r="A199" t="s">
        <v>44</v>
      </c>
      <c r="B199" t="s">
        <v>193</v>
      </c>
      <c r="C199" t="s">
        <v>512</v>
      </c>
      <c r="D199">
        <v>129073</v>
      </c>
      <c r="E199" t="s">
        <v>537</v>
      </c>
      <c r="F199" t="s">
        <v>386</v>
      </c>
      <c r="G199" t="s">
        <v>197</v>
      </c>
      <c r="H199" t="s">
        <v>514</v>
      </c>
      <c r="I199" t="s">
        <v>199</v>
      </c>
      <c r="J199" t="s">
        <v>538</v>
      </c>
      <c r="K199" t="s">
        <v>47</v>
      </c>
      <c r="L199" s="11" t="s">
        <v>48</v>
      </c>
      <c r="M199">
        <v>7</v>
      </c>
      <c r="N199">
        <v>6</v>
      </c>
      <c r="O199">
        <v>6</v>
      </c>
      <c r="P199">
        <v>4</v>
      </c>
      <c r="Q199">
        <v>7</v>
      </c>
      <c r="R199">
        <v>12</v>
      </c>
      <c r="S199">
        <v>11</v>
      </c>
      <c r="T199">
        <v>5</v>
      </c>
      <c r="U199">
        <v>8</v>
      </c>
      <c r="V199">
        <v>3</v>
      </c>
      <c r="W199">
        <v>8</v>
      </c>
      <c r="X199">
        <v>11</v>
      </c>
      <c r="Y199">
        <v>12</v>
      </c>
      <c r="Z199">
        <v>6</v>
      </c>
      <c r="AA199">
        <v>0</v>
      </c>
      <c r="AB199">
        <v>0</v>
      </c>
      <c r="AC199">
        <f t="shared" si="5"/>
        <v>59</v>
      </c>
      <c r="AD199">
        <f t="shared" si="5"/>
        <v>47</v>
      </c>
      <c r="AE199">
        <f t="shared" si="6"/>
        <v>106</v>
      </c>
    </row>
    <row r="200" spans="1:31" x14ac:dyDescent="0.25">
      <c r="A200" t="s">
        <v>44</v>
      </c>
      <c r="B200" t="s">
        <v>193</v>
      </c>
      <c r="C200" t="s">
        <v>512</v>
      </c>
      <c r="D200">
        <v>129074</v>
      </c>
      <c r="E200" t="s">
        <v>539</v>
      </c>
      <c r="F200" t="s">
        <v>328</v>
      </c>
      <c r="G200" t="s">
        <v>197</v>
      </c>
      <c r="H200" t="s">
        <v>514</v>
      </c>
      <c r="I200" t="s">
        <v>199</v>
      </c>
      <c r="J200" t="s">
        <v>540</v>
      </c>
      <c r="K200" t="s">
        <v>47</v>
      </c>
      <c r="L200" s="11" t="s">
        <v>48</v>
      </c>
      <c r="M200">
        <v>18</v>
      </c>
      <c r="N200">
        <v>11</v>
      </c>
      <c r="O200">
        <v>14</v>
      </c>
      <c r="P200">
        <v>13</v>
      </c>
      <c r="Q200">
        <v>18</v>
      </c>
      <c r="R200">
        <v>11</v>
      </c>
      <c r="S200">
        <v>5</v>
      </c>
      <c r="T200">
        <v>11</v>
      </c>
      <c r="U200">
        <v>8</v>
      </c>
      <c r="V200">
        <v>10</v>
      </c>
      <c r="W200">
        <v>11</v>
      </c>
      <c r="X200">
        <v>6</v>
      </c>
      <c r="Y200">
        <v>11</v>
      </c>
      <c r="Z200">
        <v>9</v>
      </c>
      <c r="AA200">
        <v>0</v>
      </c>
      <c r="AB200">
        <v>0</v>
      </c>
      <c r="AC200">
        <f t="shared" si="5"/>
        <v>85</v>
      </c>
      <c r="AD200">
        <f t="shared" si="5"/>
        <v>71</v>
      </c>
      <c r="AE200">
        <f t="shared" si="6"/>
        <v>156</v>
      </c>
    </row>
    <row r="201" spans="1:31" x14ac:dyDescent="0.25">
      <c r="A201" t="s">
        <v>44</v>
      </c>
      <c r="B201" t="s">
        <v>193</v>
      </c>
      <c r="C201" t="s">
        <v>512</v>
      </c>
      <c r="D201">
        <v>205014</v>
      </c>
      <c r="E201" t="s">
        <v>541</v>
      </c>
      <c r="F201" t="s">
        <v>196</v>
      </c>
      <c r="G201" t="s">
        <v>197</v>
      </c>
      <c r="H201" t="s">
        <v>514</v>
      </c>
      <c r="I201" t="s">
        <v>199</v>
      </c>
      <c r="J201" t="s">
        <v>531</v>
      </c>
      <c r="K201" t="s">
        <v>47</v>
      </c>
      <c r="L201" s="11" t="s">
        <v>48</v>
      </c>
      <c r="M201">
        <v>10</v>
      </c>
      <c r="N201">
        <v>8</v>
      </c>
      <c r="O201">
        <v>11</v>
      </c>
      <c r="P201">
        <v>11</v>
      </c>
      <c r="Q201">
        <v>10</v>
      </c>
      <c r="R201">
        <v>10</v>
      </c>
      <c r="S201">
        <v>6</v>
      </c>
      <c r="T201">
        <v>4</v>
      </c>
      <c r="U201">
        <v>10</v>
      </c>
      <c r="V201">
        <v>7</v>
      </c>
      <c r="W201">
        <v>12</v>
      </c>
      <c r="X201">
        <v>10</v>
      </c>
      <c r="Y201">
        <v>14</v>
      </c>
      <c r="Z201">
        <v>6</v>
      </c>
      <c r="AA201">
        <v>0</v>
      </c>
      <c r="AB201">
        <v>0</v>
      </c>
      <c r="AC201">
        <f t="shared" si="5"/>
        <v>73</v>
      </c>
      <c r="AD201">
        <f t="shared" si="5"/>
        <v>56</v>
      </c>
      <c r="AE201">
        <f t="shared" si="6"/>
        <v>129</v>
      </c>
    </row>
    <row r="202" spans="1:31" x14ac:dyDescent="0.25">
      <c r="A202" t="s">
        <v>44</v>
      </c>
      <c r="B202" t="s">
        <v>193</v>
      </c>
      <c r="C202" t="s">
        <v>512</v>
      </c>
      <c r="D202">
        <v>205015</v>
      </c>
      <c r="E202" t="s">
        <v>542</v>
      </c>
      <c r="F202" t="s">
        <v>196</v>
      </c>
      <c r="G202" t="s">
        <v>197</v>
      </c>
      <c r="H202" t="s">
        <v>514</v>
      </c>
      <c r="I202" t="s">
        <v>199</v>
      </c>
      <c r="J202" t="s">
        <v>526</v>
      </c>
      <c r="K202" t="s">
        <v>47</v>
      </c>
      <c r="L202" s="11" t="s">
        <v>48</v>
      </c>
      <c r="M202">
        <v>4</v>
      </c>
      <c r="N202">
        <v>1</v>
      </c>
      <c r="O202">
        <v>3</v>
      </c>
      <c r="P202">
        <v>3</v>
      </c>
      <c r="Q202">
        <v>4</v>
      </c>
      <c r="R202">
        <v>5</v>
      </c>
      <c r="S202">
        <v>5</v>
      </c>
      <c r="T202">
        <v>5</v>
      </c>
      <c r="U202">
        <v>2</v>
      </c>
      <c r="V202">
        <v>1</v>
      </c>
      <c r="W202">
        <v>4</v>
      </c>
      <c r="X202">
        <v>2</v>
      </c>
      <c r="Y202">
        <v>2</v>
      </c>
      <c r="Z202">
        <v>1</v>
      </c>
      <c r="AA202">
        <v>0</v>
      </c>
      <c r="AB202">
        <v>0</v>
      </c>
      <c r="AC202">
        <f t="shared" ref="AC202:AD249" si="7">M202+O202+Q202+S202+U202+W202+Y202+AA202</f>
        <v>24</v>
      </c>
      <c r="AD202">
        <f t="shared" si="7"/>
        <v>18</v>
      </c>
      <c r="AE202">
        <f t="shared" si="6"/>
        <v>42</v>
      </c>
    </row>
    <row r="203" spans="1:31" x14ac:dyDescent="0.25">
      <c r="A203" t="s">
        <v>44</v>
      </c>
      <c r="B203" t="s">
        <v>193</v>
      </c>
      <c r="C203" t="s">
        <v>512</v>
      </c>
      <c r="D203">
        <v>205016</v>
      </c>
      <c r="E203" t="s">
        <v>543</v>
      </c>
      <c r="F203" t="s">
        <v>196</v>
      </c>
      <c r="G203" t="s">
        <v>197</v>
      </c>
      <c r="H203" t="s">
        <v>514</v>
      </c>
      <c r="I203" t="s">
        <v>220</v>
      </c>
      <c r="J203" t="s">
        <v>521</v>
      </c>
      <c r="K203" t="s">
        <v>47</v>
      </c>
      <c r="L203" s="11" t="s">
        <v>48</v>
      </c>
      <c r="M203">
        <v>11</v>
      </c>
      <c r="N203">
        <v>12</v>
      </c>
      <c r="O203">
        <v>12</v>
      </c>
      <c r="P203">
        <v>5</v>
      </c>
      <c r="Q203">
        <v>7</v>
      </c>
      <c r="R203">
        <v>6</v>
      </c>
      <c r="S203">
        <v>10</v>
      </c>
      <c r="T203">
        <v>16</v>
      </c>
      <c r="U203">
        <v>5</v>
      </c>
      <c r="V203">
        <v>10</v>
      </c>
      <c r="W203">
        <v>3</v>
      </c>
      <c r="X203">
        <v>12</v>
      </c>
      <c r="Y203">
        <v>5</v>
      </c>
      <c r="Z203">
        <v>11</v>
      </c>
      <c r="AA203">
        <v>0</v>
      </c>
      <c r="AB203">
        <v>0</v>
      </c>
      <c r="AC203">
        <f t="shared" si="7"/>
        <v>53</v>
      </c>
      <c r="AD203">
        <f t="shared" si="7"/>
        <v>72</v>
      </c>
      <c r="AE203">
        <f t="shared" si="6"/>
        <v>125</v>
      </c>
    </row>
    <row r="204" spans="1:31" x14ac:dyDescent="0.25">
      <c r="A204" t="s">
        <v>44</v>
      </c>
      <c r="B204" t="s">
        <v>193</v>
      </c>
      <c r="C204" t="s">
        <v>512</v>
      </c>
      <c r="D204">
        <v>501079</v>
      </c>
      <c r="E204" t="s">
        <v>544</v>
      </c>
      <c r="F204" t="s">
        <v>545</v>
      </c>
      <c r="G204" t="s">
        <v>197</v>
      </c>
      <c r="H204" t="s">
        <v>514</v>
      </c>
      <c r="I204" t="s">
        <v>220</v>
      </c>
      <c r="J204" t="s">
        <v>540</v>
      </c>
      <c r="K204" t="s">
        <v>51</v>
      </c>
      <c r="L204" s="11" t="s">
        <v>52</v>
      </c>
      <c r="M204">
        <v>8</v>
      </c>
      <c r="N204">
        <v>7</v>
      </c>
      <c r="O204">
        <v>19</v>
      </c>
      <c r="P204">
        <v>11</v>
      </c>
      <c r="Q204">
        <v>20</v>
      </c>
      <c r="R204">
        <v>19</v>
      </c>
      <c r="S204">
        <v>15</v>
      </c>
      <c r="T204">
        <v>15</v>
      </c>
      <c r="U204">
        <v>9</v>
      </c>
      <c r="V204">
        <v>12</v>
      </c>
      <c r="W204">
        <v>16</v>
      </c>
      <c r="X204">
        <v>18</v>
      </c>
      <c r="Y204">
        <v>20</v>
      </c>
      <c r="Z204">
        <v>17</v>
      </c>
      <c r="AA204">
        <v>0</v>
      </c>
      <c r="AB204">
        <v>0</v>
      </c>
      <c r="AC204">
        <f t="shared" si="7"/>
        <v>107</v>
      </c>
      <c r="AD204">
        <f t="shared" si="7"/>
        <v>99</v>
      </c>
      <c r="AE204">
        <f t="shared" si="6"/>
        <v>206</v>
      </c>
    </row>
    <row r="205" spans="1:31" x14ac:dyDescent="0.25">
      <c r="A205" t="s">
        <v>44</v>
      </c>
      <c r="B205" t="s">
        <v>193</v>
      </c>
      <c r="C205" t="s">
        <v>546</v>
      </c>
      <c r="D205">
        <v>109429</v>
      </c>
      <c r="E205" t="s">
        <v>547</v>
      </c>
      <c r="F205" t="s">
        <v>548</v>
      </c>
      <c r="G205" t="s">
        <v>197</v>
      </c>
      <c r="H205" t="s">
        <v>549</v>
      </c>
      <c r="I205" t="s">
        <v>199</v>
      </c>
      <c r="J205" t="s">
        <v>550</v>
      </c>
      <c r="K205" t="s">
        <v>47</v>
      </c>
      <c r="L205" s="11" t="s">
        <v>48</v>
      </c>
      <c r="M205">
        <v>3</v>
      </c>
      <c r="N205">
        <v>1</v>
      </c>
      <c r="O205">
        <v>4</v>
      </c>
      <c r="P205">
        <v>7</v>
      </c>
      <c r="Q205">
        <v>4</v>
      </c>
      <c r="R205">
        <v>5</v>
      </c>
      <c r="S205">
        <v>1</v>
      </c>
      <c r="T205">
        <v>0</v>
      </c>
      <c r="U205">
        <v>5</v>
      </c>
      <c r="V205">
        <v>6</v>
      </c>
      <c r="W205">
        <v>2</v>
      </c>
      <c r="X205">
        <v>5</v>
      </c>
      <c r="Y205">
        <v>6</v>
      </c>
      <c r="Z205">
        <v>4</v>
      </c>
      <c r="AA205">
        <v>0</v>
      </c>
      <c r="AB205">
        <v>0</v>
      </c>
      <c r="AC205">
        <f t="shared" si="7"/>
        <v>25</v>
      </c>
      <c r="AD205">
        <f t="shared" si="7"/>
        <v>28</v>
      </c>
      <c r="AE205">
        <f t="shared" si="6"/>
        <v>53</v>
      </c>
    </row>
    <row r="206" spans="1:31" x14ac:dyDescent="0.25">
      <c r="A206" t="s">
        <v>44</v>
      </c>
      <c r="B206" t="s">
        <v>193</v>
      </c>
      <c r="C206" t="s">
        <v>551</v>
      </c>
      <c r="D206">
        <v>129102</v>
      </c>
      <c r="E206" t="s">
        <v>552</v>
      </c>
      <c r="F206" t="s">
        <v>45</v>
      </c>
      <c r="G206" t="s">
        <v>197</v>
      </c>
      <c r="H206" t="s">
        <v>549</v>
      </c>
      <c r="I206" t="s">
        <v>199</v>
      </c>
      <c r="J206" t="s">
        <v>553</v>
      </c>
      <c r="K206" t="s">
        <v>47</v>
      </c>
      <c r="L206" s="11" t="s">
        <v>48</v>
      </c>
      <c r="M206">
        <v>3</v>
      </c>
      <c r="N206">
        <v>5</v>
      </c>
      <c r="O206">
        <v>12</v>
      </c>
      <c r="P206">
        <v>10</v>
      </c>
      <c r="Q206">
        <v>5</v>
      </c>
      <c r="R206">
        <v>11</v>
      </c>
      <c r="S206">
        <v>9</v>
      </c>
      <c r="T206">
        <v>6</v>
      </c>
      <c r="U206">
        <v>5</v>
      </c>
      <c r="V206">
        <v>7</v>
      </c>
      <c r="W206">
        <v>3</v>
      </c>
      <c r="X206">
        <v>3</v>
      </c>
      <c r="Y206">
        <v>7</v>
      </c>
      <c r="Z206">
        <v>5</v>
      </c>
      <c r="AA206">
        <v>0</v>
      </c>
      <c r="AB206">
        <v>0</v>
      </c>
      <c r="AC206">
        <f t="shared" si="7"/>
        <v>44</v>
      </c>
      <c r="AD206">
        <f t="shared" si="7"/>
        <v>47</v>
      </c>
      <c r="AE206">
        <f t="shared" si="6"/>
        <v>91</v>
      </c>
    </row>
    <row r="207" spans="1:31" x14ac:dyDescent="0.25">
      <c r="A207" t="s">
        <v>44</v>
      </c>
      <c r="B207" t="s">
        <v>193</v>
      </c>
      <c r="C207" t="s">
        <v>551</v>
      </c>
      <c r="D207">
        <v>129103</v>
      </c>
      <c r="E207" t="s">
        <v>554</v>
      </c>
      <c r="F207" t="s">
        <v>555</v>
      </c>
      <c r="G207" t="s">
        <v>197</v>
      </c>
      <c r="H207" t="s">
        <v>549</v>
      </c>
      <c r="I207" t="s">
        <v>199</v>
      </c>
      <c r="J207" t="s">
        <v>556</v>
      </c>
      <c r="K207" t="s">
        <v>47</v>
      </c>
      <c r="L207" s="11" t="s">
        <v>48</v>
      </c>
      <c r="M207">
        <v>66</v>
      </c>
      <c r="N207">
        <v>22</v>
      </c>
      <c r="O207">
        <v>61</v>
      </c>
      <c r="P207">
        <v>55</v>
      </c>
      <c r="Q207">
        <v>55</v>
      </c>
      <c r="R207">
        <v>51</v>
      </c>
      <c r="S207">
        <v>53</v>
      </c>
      <c r="T207">
        <v>38</v>
      </c>
      <c r="U207">
        <v>59</v>
      </c>
      <c r="V207">
        <v>47</v>
      </c>
      <c r="W207">
        <v>62</v>
      </c>
      <c r="X207">
        <v>61</v>
      </c>
      <c r="Y207">
        <v>81</v>
      </c>
      <c r="Z207">
        <v>61</v>
      </c>
      <c r="AA207">
        <v>0</v>
      </c>
      <c r="AB207">
        <v>0</v>
      </c>
      <c r="AC207">
        <f t="shared" si="7"/>
        <v>437</v>
      </c>
      <c r="AD207">
        <f t="shared" si="7"/>
        <v>335</v>
      </c>
      <c r="AE207">
        <f t="shared" si="6"/>
        <v>772</v>
      </c>
    </row>
    <row r="208" spans="1:31" x14ac:dyDescent="0.25">
      <c r="A208" t="s">
        <v>44</v>
      </c>
      <c r="B208" t="s">
        <v>193</v>
      </c>
      <c r="C208" t="s">
        <v>551</v>
      </c>
      <c r="D208">
        <v>129104</v>
      </c>
      <c r="E208" t="s">
        <v>557</v>
      </c>
      <c r="F208" t="s">
        <v>558</v>
      </c>
      <c r="G208" t="s">
        <v>197</v>
      </c>
      <c r="H208" t="s">
        <v>549</v>
      </c>
      <c r="I208" t="s">
        <v>220</v>
      </c>
      <c r="J208" t="s">
        <v>558</v>
      </c>
      <c r="K208" t="s">
        <v>47</v>
      </c>
      <c r="L208" s="11" t="s">
        <v>48</v>
      </c>
      <c r="M208">
        <v>19</v>
      </c>
      <c r="N208">
        <v>19</v>
      </c>
      <c r="O208">
        <v>22</v>
      </c>
      <c r="P208">
        <v>24</v>
      </c>
      <c r="Q208">
        <v>31</v>
      </c>
      <c r="R208">
        <v>13</v>
      </c>
      <c r="S208">
        <v>8</v>
      </c>
      <c r="T208">
        <v>18</v>
      </c>
      <c r="U208">
        <v>14</v>
      </c>
      <c r="V208">
        <v>16</v>
      </c>
      <c r="W208">
        <v>20</v>
      </c>
      <c r="X208">
        <v>16</v>
      </c>
      <c r="Y208">
        <v>25</v>
      </c>
      <c r="Z208">
        <v>25</v>
      </c>
      <c r="AA208">
        <v>0</v>
      </c>
      <c r="AB208">
        <v>0</v>
      </c>
      <c r="AC208">
        <f t="shared" si="7"/>
        <v>139</v>
      </c>
      <c r="AD208">
        <f t="shared" si="7"/>
        <v>131</v>
      </c>
      <c r="AE208">
        <f t="shared" si="6"/>
        <v>270</v>
      </c>
    </row>
    <row r="209" spans="1:31" x14ac:dyDescent="0.25">
      <c r="A209" t="s">
        <v>44</v>
      </c>
      <c r="B209" t="s">
        <v>193</v>
      </c>
      <c r="C209" t="s">
        <v>551</v>
      </c>
      <c r="D209">
        <v>129105</v>
      </c>
      <c r="E209" t="s">
        <v>559</v>
      </c>
      <c r="F209" t="s">
        <v>560</v>
      </c>
      <c r="G209" t="s">
        <v>197</v>
      </c>
      <c r="H209" t="s">
        <v>549</v>
      </c>
      <c r="I209" t="s">
        <v>199</v>
      </c>
      <c r="J209" t="s">
        <v>553</v>
      </c>
      <c r="K209" t="s">
        <v>47</v>
      </c>
      <c r="L209" s="11" t="s">
        <v>48</v>
      </c>
      <c r="M209">
        <v>15</v>
      </c>
      <c r="N209">
        <v>8</v>
      </c>
      <c r="O209">
        <v>17</v>
      </c>
      <c r="P209">
        <v>20</v>
      </c>
      <c r="Q209">
        <v>8</v>
      </c>
      <c r="R209">
        <v>12</v>
      </c>
      <c r="S209">
        <v>10</v>
      </c>
      <c r="T209">
        <v>14</v>
      </c>
      <c r="U209">
        <v>14</v>
      </c>
      <c r="V209">
        <v>16</v>
      </c>
      <c r="W209">
        <v>7</v>
      </c>
      <c r="X209">
        <v>13</v>
      </c>
      <c r="Y209">
        <v>11</v>
      </c>
      <c r="Z209">
        <v>20</v>
      </c>
      <c r="AA209">
        <v>0</v>
      </c>
      <c r="AB209">
        <v>0</v>
      </c>
      <c r="AC209">
        <f t="shared" si="7"/>
        <v>82</v>
      </c>
      <c r="AD209">
        <f t="shared" si="7"/>
        <v>103</v>
      </c>
      <c r="AE209">
        <f t="shared" si="6"/>
        <v>185</v>
      </c>
    </row>
    <row r="210" spans="1:31" x14ac:dyDescent="0.25">
      <c r="A210" t="s">
        <v>44</v>
      </c>
      <c r="B210" t="s">
        <v>193</v>
      </c>
      <c r="C210" t="s">
        <v>551</v>
      </c>
      <c r="D210">
        <v>129108</v>
      </c>
      <c r="E210" t="s">
        <v>561</v>
      </c>
      <c r="F210" t="s">
        <v>562</v>
      </c>
      <c r="G210" t="s">
        <v>197</v>
      </c>
      <c r="H210" t="s">
        <v>549</v>
      </c>
      <c r="I210" t="s">
        <v>199</v>
      </c>
      <c r="J210" t="s">
        <v>562</v>
      </c>
      <c r="K210" t="s">
        <v>47</v>
      </c>
      <c r="L210" s="11" t="s">
        <v>48</v>
      </c>
      <c r="M210">
        <v>3</v>
      </c>
      <c r="N210">
        <v>6</v>
      </c>
      <c r="O210">
        <v>10</v>
      </c>
      <c r="P210">
        <v>18</v>
      </c>
      <c r="Q210">
        <v>8</v>
      </c>
      <c r="R210">
        <v>26</v>
      </c>
      <c r="S210">
        <v>16</v>
      </c>
      <c r="T210">
        <v>11</v>
      </c>
      <c r="U210">
        <v>12</v>
      </c>
      <c r="V210">
        <v>14</v>
      </c>
      <c r="W210">
        <v>9</v>
      </c>
      <c r="X210">
        <v>13</v>
      </c>
      <c r="Y210">
        <v>19</v>
      </c>
      <c r="Z210">
        <v>11</v>
      </c>
      <c r="AA210">
        <v>0</v>
      </c>
      <c r="AB210">
        <v>0</v>
      </c>
      <c r="AC210">
        <f t="shared" si="7"/>
        <v>77</v>
      </c>
      <c r="AD210">
        <f t="shared" si="7"/>
        <v>99</v>
      </c>
      <c r="AE210">
        <f t="shared" si="6"/>
        <v>176</v>
      </c>
    </row>
    <row r="211" spans="1:31" x14ac:dyDescent="0.25">
      <c r="A211" t="s">
        <v>44</v>
      </c>
      <c r="B211" t="s">
        <v>193</v>
      </c>
      <c r="C211" t="s">
        <v>551</v>
      </c>
      <c r="D211">
        <v>129109</v>
      </c>
      <c r="E211" t="s">
        <v>563</v>
      </c>
      <c r="F211" t="s">
        <v>564</v>
      </c>
      <c r="G211" t="s">
        <v>197</v>
      </c>
      <c r="H211" t="s">
        <v>549</v>
      </c>
      <c r="I211" t="s">
        <v>199</v>
      </c>
      <c r="J211" t="s">
        <v>564</v>
      </c>
      <c r="K211" t="s">
        <v>47</v>
      </c>
      <c r="L211" s="11" t="s">
        <v>48</v>
      </c>
      <c r="M211">
        <v>11</v>
      </c>
      <c r="N211">
        <v>14</v>
      </c>
      <c r="O211">
        <v>11</v>
      </c>
      <c r="P211">
        <v>13</v>
      </c>
      <c r="Q211">
        <v>8</v>
      </c>
      <c r="R211">
        <v>9</v>
      </c>
      <c r="S211">
        <v>14</v>
      </c>
      <c r="T211">
        <v>7</v>
      </c>
      <c r="U211">
        <v>8</v>
      </c>
      <c r="V211">
        <v>10</v>
      </c>
      <c r="W211">
        <v>20</v>
      </c>
      <c r="X211">
        <v>10</v>
      </c>
      <c r="Y211">
        <v>16</v>
      </c>
      <c r="Z211">
        <v>11</v>
      </c>
      <c r="AA211">
        <v>0</v>
      </c>
      <c r="AB211">
        <v>0</v>
      </c>
      <c r="AC211">
        <f t="shared" si="7"/>
        <v>88</v>
      </c>
      <c r="AD211">
        <f t="shared" si="7"/>
        <v>74</v>
      </c>
      <c r="AE211">
        <f t="shared" si="6"/>
        <v>162</v>
      </c>
    </row>
    <row r="212" spans="1:31" x14ac:dyDescent="0.25">
      <c r="A212" t="s">
        <v>44</v>
      </c>
      <c r="B212" t="s">
        <v>193</v>
      </c>
      <c r="C212" t="s">
        <v>551</v>
      </c>
      <c r="D212">
        <v>129110</v>
      </c>
      <c r="E212" t="s">
        <v>565</v>
      </c>
      <c r="F212" t="s">
        <v>566</v>
      </c>
      <c r="G212" t="s">
        <v>197</v>
      </c>
      <c r="H212" t="s">
        <v>549</v>
      </c>
      <c r="I212" t="s">
        <v>199</v>
      </c>
      <c r="J212" t="s">
        <v>553</v>
      </c>
      <c r="K212" t="s">
        <v>47</v>
      </c>
      <c r="L212" s="11" t="s">
        <v>48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f t="shared" si="7"/>
        <v>0</v>
      </c>
      <c r="AD212">
        <f t="shared" si="7"/>
        <v>0</v>
      </c>
      <c r="AE212">
        <f t="shared" si="6"/>
        <v>0</v>
      </c>
    </row>
    <row r="213" spans="1:31" x14ac:dyDescent="0.25">
      <c r="A213" t="s">
        <v>44</v>
      </c>
      <c r="B213" t="s">
        <v>193</v>
      </c>
      <c r="C213" t="s">
        <v>551</v>
      </c>
      <c r="D213">
        <v>129113</v>
      </c>
      <c r="E213" t="s">
        <v>567</v>
      </c>
      <c r="F213" t="s">
        <v>568</v>
      </c>
      <c r="G213" t="s">
        <v>197</v>
      </c>
      <c r="H213" t="s">
        <v>549</v>
      </c>
      <c r="I213" t="s">
        <v>220</v>
      </c>
      <c r="J213" t="s">
        <v>569</v>
      </c>
      <c r="K213" t="s">
        <v>47</v>
      </c>
      <c r="L213" s="11" t="s">
        <v>48</v>
      </c>
      <c r="M213">
        <v>7</v>
      </c>
      <c r="N213">
        <v>4</v>
      </c>
      <c r="O213">
        <v>6</v>
      </c>
      <c r="P213">
        <v>9</v>
      </c>
      <c r="Q213">
        <v>11</v>
      </c>
      <c r="R213">
        <v>13</v>
      </c>
      <c r="S213">
        <v>10</v>
      </c>
      <c r="T213">
        <v>5</v>
      </c>
      <c r="U213">
        <v>10</v>
      </c>
      <c r="V213">
        <v>8</v>
      </c>
      <c r="W213">
        <v>7</v>
      </c>
      <c r="X213">
        <v>6</v>
      </c>
      <c r="Y213">
        <v>10</v>
      </c>
      <c r="Z213">
        <v>5</v>
      </c>
      <c r="AA213">
        <v>0</v>
      </c>
      <c r="AB213">
        <v>0</v>
      </c>
      <c r="AC213">
        <f t="shared" si="7"/>
        <v>61</v>
      </c>
      <c r="AD213">
        <f t="shared" si="7"/>
        <v>50</v>
      </c>
      <c r="AE213">
        <f t="shared" si="6"/>
        <v>111</v>
      </c>
    </row>
    <row r="214" spans="1:31" x14ac:dyDescent="0.25">
      <c r="A214" t="s">
        <v>44</v>
      </c>
      <c r="B214" t="s">
        <v>193</v>
      </c>
      <c r="C214" t="s">
        <v>551</v>
      </c>
      <c r="D214">
        <v>129114</v>
      </c>
      <c r="E214" t="s">
        <v>570</v>
      </c>
      <c r="F214" t="s">
        <v>553</v>
      </c>
      <c r="G214" t="s">
        <v>197</v>
      </c>
      <c r="H214" t="s">
        <v>549</v>
      </c>
      <c r="I214" t="s">
        <v>199</v>
      </c>
      <c r="J214" t="s">
        <v>553</v>
      </c>
      <c r="K214" t="s">
        <v>47</v>
      </c>
      <c r="L214" s="11" t="s">
        <v>48</v>
      </c>
      <c r="M214">
        <v>9</v>
      </c>
      <c r="N214">
        <v>10</v>
      </c>
      <c r="O214">
        <v>4</v>
      </c>
      <c r="P214">
        <v>9</v>
      </c>
      <c r="Q214">
        <v>9</v>
      </c>
      <c r="R214">
        <v>5</v>
      </c>
      <c r="S214">
        <v>5</v>
      </c>
      <c r="T214">
        <v>5</v>
      </c>
      <c r="U214">
        <v>10</v>
      </c>
      <c r="V214">
        <v>4</v>
      </c>
      <c r="W214">
        <v>8</v>
      </c>
      <c r="X214">
        <v>3</v>
      </c>
      <c r="Y214">
        <v>8</v>
      </c>
      <c r="Z214">
        <v>8</v>
      </c>
      <c r="AA214">
        <v>1</v>
      </c>
      <c r="AB214">
        <v>1</v>
      </c>
      <c r="AC214">
        <f t="shared" si="7"/>
        <v>54</v>
      </c>
      <c r="AD214">
        <f t="shared" si="7"/>
        <v>45</v>
      </c>
      <c r="AE214">
        <f t="shared" si="6"/>
        <v>99</v>
      </c>
    </row>
    <row r="215" spans="1:31" x14ac:dyDescent="0.25">
      <c r="A215" t="s">
        <v>44</v>
      </c>
      <c r="B215" t="s">
        <v>193</v>
      </c>
      <c r="C215" t="s">
        <v>551</v>
      </c>
      <c r="D215">
        <v>129115</v>
      </c>
      <c r="E215" t="s">
        <v>571</v>
      </c>
      <c r="F215" t="s">
        <v>572</v>
      </c>
      <c r="G215" t="s">
        <v>197</v>
      </c>
      <c r="H215" t="s">
        <v>549</v>
      </c>
      <c r="I215" t="s">
        <v>199</v>
      </c>
      <c r="J215" t="s">
        <v>572</v>
      </c>
      <c r="K215" t="s">
        <v>47</v>
      </c>
      <c r="L215" s="11" t="s">
        <v>48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f t="shared" si="7"/>
        <v>0</v>
      </c>
      <c r="AD215">
        <f t="shared" si="7"/>
        <v>0</v>
      </c>
      <c r="AE215">
        <f t="shared" ref="AE215:AE278" si="8">SUM(AC215:AD215)</f>
        <v>0</v>
      </c>
    </row>
    <row r="216" spans="1:31" x14ac:dyDescent="0.25">
      <c r="A216" t="s">
        <v>44</v>
      </c>
      <c r="B216" t="s">
        <v>193</v>
      </c>
      <c r="C216" t="s">
        <v>551</v>
      </c>
      <c r="D216">
        <v>129116</v>
      </c>
      <c r="E216" t="s">
        <v>573</v>
      </c>
      <c r="F216" t="s">
        <v>574</v>
      </c>
      <c r="G216" t="s">
        <v>197</v>
      </c>
      <c r="H216" t="s">
        <v>549</v>
      </c>
      <c r="I216" t="s">
        <v>220</v>
      </c>
      <c r="J216" t="s">
        <v>556</v>
      </c>
      <c r="K216" t="s">
        <v>47</v>
      </c>
      <c r="L216" s="11" t="s">
        <v>48</v>
      </c>
      <c r="M216">
        <v>6</v>
      </c>
      <c r="N216">
        <v>11</v>
      </c>
      <c r="O216">
        <v>13</v>
      </c>
      <c r="P216">
        <v>8</v>
      </c>
      <c r="Q216">
        <v>9</v>
      </c>
      <c r="R216">
        <v>6</v>
      </c>
      <c r="S216">
        <v>8</v>
      </c>
      <c r="T216">
        <v>8</v>
      </c>
      <c r="U216">
        <v>10</v>
      </c>
      <c r="V216">
        <v>7</v>
      </c>
      <c r="W216">
        <v>11</v>
      </c>
      <c r="X216">
        <v>11</v>
      </c>
      <c r="Y216">
        <v>15</v>
      </c>
      <c r="Z216">
        <v>16</v>
      </c>
      <c r="AA216">
        <v>0</v>
      </c>
      <c r="AB216">
        <v>0</v>
      </c>
      <c r="AC216">
        <f t="shared" si="7"/>
        <v>72</v>
      </c>
      <c r="AD216">
        <f t="shared" si="7"/>
        <v>67</v>
      </c>
      <c r="AE216">
        <f t="shared" si="8"/>
        <v>139</v>
      </c>
    </row>
    <row r="217" spans="1:31" x14ac:dyDescent="0.25">
      <c r="A217" t="s">
        <v>44</v>
      </c>
      <c r="B217" t="s">
        <v>193</v>
      </c>
      <c r="C217" t="s">
        <v>551</v>
      </c>
      <c r="D217">
        <v>129119</v>
      </c>
      <c r="E217" t="s">
        <v>575</v>
      </c>
      <c r="F217" t="s">
        <v>550</v>
      </c>
      <c r="G217" t="s">
        <v>197</v>
      </c>
      <c r="H217" t="s">
        <v>549</v>
      </c>
      <c r="I217" t="s">
        <v>220</v>
      </c>
      <c r="J217" t="s">
        <v>550</v>
      </c>
      <c r="K217" t="s">
        <v>47</v>
      </c>
      <c r="L217" s="11" t="s">
        <v>48</v>
      </c>
      <c r="M217">
        <v>13</v>
      </c>
      <c r="N217">
        <v>7</v>
      </c>
      <c r="O217">
        <v>19</v>
      </c>
      <c r="P217">
        <v>14</v>
      </c>
      <c r="Q217">
        <v>19</v>
      </c>
      <c r="R217">
        <v>9</v>
      </c>
      <c r="S217">
        <v>12</v>
      </c>
      <c r="T217">
        <v>11</v>
      </c>
      <c r="U217">
        <v>9</v>
      </c>
      <c r="V217">
        <v>13</v>
      </c>
      <c r="W217">
        <v>7</v>
      </c>
      <c r="X217">
        <v>8</v>
      </c>
      <c r="Y217">
        <v>12</v>
      </c>
      <c r="Z217">
        <v>20</v>
      </c>
      <c r="AA217">
        <v>0</v>
      </c>
      <c r="AB217">
        <v>0</v>
      </c>
      <c r="AC217">
        <f t="shared" si="7"/>
        <v>91</v>
      </c>
      <c r="AD217">
        <f t="shared" si="7"/>
        <v>82</v>
      </c>
      <c r="AE217">
        <f t="shared" si="8"/>
        <v>173</v>
      </c>
    </row>
    <row r="218" spans="1:31" x14ac:dyDescent="0.25">
      <c r="A218" t="s">
        <v>44</v>
      </c>
      <c r="B218" t="s">
        <v>193</v>
      </c>
      <c r="C218" t="s">
        <v>551</v>
      </c>
      <c r="D218">
        <v>129124</v>
      </c>
      <c r="E218" t="s">
        <v>576</v>
      </c>
      <c r="F218" t="s">
        <v>49</v>
      </c>
      <c r="G218" t="s">
        <v>197</v>
      </c>
      <c r="H218" t="s">
        <v>549</v>
      </c>
      <c r="I218" t="s">
        <v>220</v>
      </c>
      <c r="J218" t="s">
        <v>49</v>
      </c>
      <c r="K218" t="s">
        <v>47</v>
      </c>
      <c r="L218" s="11" t="s">
        <v>48</v>
      </c>
      <c r="M218">
        <v>10</v>
      </c>
      <c r="N218">
        <v>57</v>
      </c>
      <c r="O218">
        <v>12</v>
      </c>
      <c r="P218">
        <v>87</v>
      </c>
      <c r="Q218">
        <v>34</v>
      </c>
      <c r="R218">
        <v>64</v>
      </c>
      <c r="S218">
        <v>16</v>
      </c>
      <c r="T218">
        <v>89</v>
      </c>
      <c r="U218">
        <v>29</v>
      </c>
      <c r="V218">
        <v>54</v>
      </c>
      <c r="W218">
        <v>49</v>
      </c>
      <c r="X218">
        <v>35</v>
      </c>
      <c r="Y218">
        <v>54</v>
      </c>
      <c r="Z218">
        <v>23</v>
      </c>
      <c r="AA218">
        <v>0</v>
      </c>
      <c r="AB218">
        <v>0</v>
      </c>
      <c r="AC218">
        <f t="shared" si="7"/>
        <v>204</v>
      </c>
      <c r="AD218">
        <f t="shared" si="7"/>
        <v>409</v>
      </c>
      <c r="AE218">
        <f t="shared" si="8"/>
        <v>613</v>
      </c>
    </row>
    <row r="219" spans="1:31" x14ac:dyDescent="0.25">
      <c r="A219" t="s">
        <v>44</v>
      </c>
      <c r="B219" t="s">
        <v>193</v>
      </c>
      <c r="C219" t="s">
        <v>551</v>
      </c>
      <c r="D219">
        <v>129127</v>
      </c>
      <c r="E219" t="s">
        <v>577</v>
      </c>
      <c r="F219" t="s">
        <v>578</v>
      </c>
      <c r="G219" t="s">
        <v>197</v>
      </c>
      <c r="H219" t="s">
        <v>549</v>
      </c>
      <c r="I219" t="s">
        <v>220</v>
      </c>
      <c r="J219" t="s">
        <v>578</v>
      </c>
      <c r="K219" t="s">
        <v>47</v>
      </c>
      <c r="L219" s="11" t="s">
        <v>48</v>
      </c>
      <c r="M219">
        <v>27</v>
      </c>
      <c r="N219">
        <v>19</v>
      </c>
      <c r="O219">
        <v>27</v>
      </c>
      <c r="P219">
        <v>28</v>
      </c>
      <c r="Q219">
        <v>20</v>
      </c>
      <c r="R219">
        <v>19</v>
      </c>
      <c r="S219">
        <v>15</v>
      </c>
      <c r="T219">
        <v>13</v>
      </c>
      <c r="U219">
        <v>13</v>
      </c>
      <c r="V219">
        <v>13</v>
      </c>
      <c r="W219">
        <v>15</v>
      </c>
      <c r="X219">
        <v>18</v>
      </c>
      <c r="Y219">
        <v>18</v>
      </c>
      <c r="Z219">
        <v>22</v>
      </c>
      <c r="AA219">
        <v>0</v>
      </c>
      <c r="AB219">
        <v>0</v>
      </c>
      <c r="AC219">
        <f t="shared" si="7"/>
        <v>135</v>
      </c>
      <c r="AD219">
        <f t="shared" si="7"/>
        <v>132</v>
      </c>
      <c r="AE219">
        <f t="shared" si="8"/>
        <v>267</v>
      </c>
    </row>
    <row r="220" spans="1:31" x14ac:dyDescent="0.25">
      <c r="A220" t="s">
        <v>44</v>
      </c>
      <c r="B220" t="s">
        <v>193</v>
      </c>
      <c r="C220" t="s">
        <v>551</v>
      </c>
      <c r="D220">
        <v>129128</v>
      </c>
      <c r="E220" t="s">
        <v>579</v>
      </c>
      <c r="F220" t="s">
        <v>580</v>
      </c>
      <c r="G220" t="s">
        <v>197</v>
      </c>
      <c r="H220" t="s">
        <v>549</v>
      </c>
      <c r="I220" t="s">
        <v>199</v>
      </c>
      <c r="J220" t="s">
        <v>581</v>
      </c>
      <c r="K220" t="s">
        <v>47</v>
      </c>
      <c r="L220" s="11" t="s">
        <v>48</v>
      </c>
      <c r="M220">
        <v>17</v>
      </c>
      <c r="N220">
        <v>9</v>
      </c>
      <c r="O220">
        <v>11</v>
      </c>
      <c r="P220">
        <v>14</v>
      </c>
      <c r="Q220">
        <v>21</v>
      </c>
      <c r="R220">
        <v>15</v>
      </c>
      <c r="S220">
        <v>7</v>
      </c>
      <c r="T220">
        <v>11</v>
      </c>
      <c r="U220">
        <v>10</v>
      </c>
      <c r="V220">
        <v>10</v>
      </c>
      <c r="W220">
        <v>16</v>
      </c>
      <c r="X220">
        <v>16</v>
      </c>
      <c r="Y220">
        <v>14</v>
      </c>
      <c r="Z220">
        <v>9</v>
      </c>
      <c r="AA220">
        <v>0</v>
      </c>
      <c r="AB220">
        <v>0</v>
      </c>
      <c r="AC220">
        <f t="shared" si="7"/>
        <v>96</v>
      </c>
      <c r="AD220">
        <f t="shared" si="7"/>
        <v>84</v>
      </c>
      <c r="AE220">
        <f t="shared" si="8"/>
        <v>180</v>
      </c>
    </row>
    <row r="221" spans="1:31" x14ac:dyDescent="0.25">
      <c r="A221" t="s">
        <v>44</v>
      </c>
      <c r="B221" t="s">
        <v>193</v>
      </c>
      <c r="C221" t="s">
        <v>582</v>
      </c>
      <c r="D221">
        <v>129106</v>
      </c>
      <c r="E221" t="s">
        <v>583</v>
      </c>
      <c r="F221" t="s">
        <v>584</v>
      </c>
      <c r="G221" t="s">
        <v>197</v>
      </c>
      <c r="H221" t="s">
        <v>549</v>
      </c>
      <c r="I221" t="s">
        <v>220</v>
      </c>
      <c r="J221" t="s">
        <v>585</v>
      </c>
      <c r="K221" t="s">
        <v>47</v>
      </c>
      <c r="L221" s="11" t="s">
        <v>48</v>
      </c>
      <c r="M221">
        <v>22</v>
      </c>
      <c r="N221">
        <v>19</v>
      </c>
      <c r="O221">
        <v>32</v>
      </c>
      <c r="P221">
        <v>30</v>
      </c>
      <c r="Q221">
        <v>23</v>
      </c>
      <c r="R221">
        <v>23</v>
      </c>
      <c r="S221">
        <v>22</v>
      </c>
      <c r="T221">
        <v>23</v>
      </c>
      <c r="U221">
        <v>24</v>
      </c>
      <c r="V221">
        <v>21</v>
      </c>
      <c r="W221">
        <v>34</v>
      </c>
      <c r="X221">
        <v>21</v>
      </c>
      <c r="Y221">
        <v>28</v>
      </c>
      <c r="Z221">
        <v>18</v>
      </c>
      <c r="AA221">
        <v>0</v>
      </c>
      <c r="AB221">
        <v>0</v>
      </c>
      <c r="AC221">
        <f t="shared" si="7"/>
        <v>185</v>
      </c>
      <c r="AD221">
        <f t="shared" si="7"/>
        <v>155</v>
      </c>
      <c r="AE221">
        <f t="shared" si="8"/>
        <v>340</v>
      </c>
    </row>
    <row r="222" spans="1:31" x14ac:dyDescent="0.25">
      <c r="A222" t="s">
        <v>44</v>
      </c>
      <c r="B222" t="s">
        <v>193</v>
      </c>
      <c r="C222" t="s">
        <v>582</v>
      </c>
      <c r="D222">
        <v>129107</v>
      </c>
      <c r="E222" t="s">
        <v>586</v>
      </c>
      <c r="F222" t="s">
        <v>587</v>
      </c>
      <c r="G222" t="s">
        <v>197</v>
      </c>
      <c r="H222" t="s">
        <v>549</v>
      </c>
      <c r="I222" t="s">
        <v>220</v>
      </c>
      <c r="J222" t="s">
        <v>588</v>
      </c>
      <c r="K222" t="s">
        <v>47</v>
      </c>
      <c r="L222" s="11" t="s">
        <v>48</v>
      </c>
      <c r="M222">
        <v>9</v>
      </c>
      <c r="N222">
        <v>14</v>
      </c>
      <c r="O222">
        <v>15</v>
      </c>
      <c r="P222">
        <v>19</v>
      </c>
      <c r="Q222">
        <v>21</v>
      </c>
      <c r="R222">
        <v>12</v>
      </c>
      <c r="S222">
        <v>9</v>
      </c>
      <c r="T222">
        <v>9</v>
      </c>
      <c r="U222">
        <v>17</v>
      </c>
      <c r="V222">
        <v>9</v>
      </c>
      <c r="W222">
        <v>15</v>
      </c>
      <c r="X222">
        <v>13</v>
      </c>
      <c r="Y222">
        <v>13</v>
      </c>
      <c r="Z222">
        <v>17</v>
      </c>
      <c r="AA222">
        <v>0</v>
      </c>
      <c r="AB222">
        <v>0</v>
      </c>
      <c r="AC222">
        <f t="shared" si="7"/>
        <v>99</v>
      </c>
      <c r="AD222">
        <f t="shared" si="7"/>
        <v>93</v>
      </c>
      <c r="AE222">
        <f t="shared" si="8"/>
        <v>192</v>
      </c>
    </row>
    <row r="223" spans="1:31" x14ac:dyDescent="0.25">
      <c r="A223" t="s">
        <v>44</v>
      </c>
      <c r="B223" t="s">
        <v>193</v>
      </c>
      <c r="C223" t="s">
        <v>582</v>
      </c>
      <c r="D223">
        <v>129111</v>
      </c>
      <c r="E223" t="s">
        <v>589</v>
      </c>
      <c r="F223" t="s">
        <v>590</v>
      </c>
      <c r="G223" t="s">
        <v>197</v>
      </c>
      <c r="H223" t="s">
        <v>549</v>
      </c>
      <c r="I223" t="s">
        <v>199</v>
      </c>
      <c r="J223" t="s">
        <v>403</v>
      </c>
      <c r="K223" t="s">
        <v>47</v>
      </c>
      <c r="L223" s="11" t="s">
        <v>48</v>
      </c>
      <c r="M223">
        <v>111</v>
      </c>
      <c r="N223">
        <v>92</v>
      </c>
      <c r="O223">
        <v>108</v>
      </c>
      <c r="P223">
        <v>88</v>
      </c>
      <c r="Q223">
        <v>138</v>
      </c>
      <c r="R223">
        <v>113</v>
      </c>
      <c r="S223">
        <v>55</v>
      </c>
      <c r="T223">
        <v>59</v>
      </c>
      <c r="U223">
        <v>74</v>
      </c>
      <c r="V223">
        <v>66</v>
      </c>
      <c r="W223">
        <v>123</v>
      </c>
      <c r="X223">
        <v>120</v>
      </c>
      <c r="Y223">
        <v>85</v>
      </c>
      <c r="Z223">
        <v>113</v>
      </c>
      <c r="AA223">
        <v>0</v>
      </c>
      <c r="AB223">
        <v>0</v>
      </c>
      <c r="AC223">
        <f t="shared" si="7"/>
        <v>694</v>
      </c>
      <c r="AD223">
        <f t="shared" si="7"/>
        <v>651</v>
      </c>
      <c r="AE223">
        <f t="shared" si="8"/>
        <v>1345</v>
      </c>
    </row>
    <row r="224" spans="1:31" x14ac:dyDescent="0.25">
      <c r="A224" t="s">
        <v>44</v>
      </c>
      <c r="B224" t="s">
        <v>193</v>
      </c>
      <c r="C224" t="s">
        <v>582</v>
      </c>
      <c r="D224">
        <v>129112</v>
      </c>
      <c r="E224" t="s">
        <v>591</v>
      </c>
      <c r="F224" t="s">
        <v>592</v>
      </c>
      <c r="G224" t="s">
        <v>197</v>
      </c>
      <c r="H224" t="s">
        <v>549</v>
      </c>
      <c r="I224" t="s">
        <v>199</v>
      </c>
      <c r="J224" t="s">
        <v>593</v>
      </c>
      <c r="K224" t="s">
        <v>47</v>
      </c>
      <c r="L224" s="11" t="s">
        <v>48</v>
      </c>
      <c r="M224">
        <v>11</v>
      </c>
      <c r="N224">
        <v>9</v>
      </c>
      <c r="O224">
        <v>18</v>
      </c>
      <c r="P224">
        <v>18</v>
      </c>
      <c r="Q224">
        <v>19</v>
      </c>
      <c r="R224">
        <v>14</v>
      </c>
      <c r="S224">
        <v>11</v>
      </c>
      <c r="T224">
        <v>7</v>
      </c>
      <c r="U224">
        <v>17</v>
      </c>
      <c r="V224">
        <v>8</v>
      </c>
      <c r="W224">
        <v>15</v>
      </c>
      <c r="X224">
        <v>18</v>
      </c>
      <c r="Y224">
        <v>12</v>
      </c>
      <c r="Z224">
        <v>11</v>
      </c>
      <c r="AA224">
        <v>0</v>
      </c>
      <c r="AB224">
        <v>0</v>
      </c>
      <c r="AC224">
        <f t="shared" si="7"/>
        <v>103</v>
      </c>
      <c r="AD224">
        <f t="shared" si="7"/>
        <v>85</v>
      </c>
      <c r="AE224">
        <f t="shared" si="8"/>
        <v>188</v>
      </c>
    </row>
    <row r="225" spans="1:31" x14ac:dyDescent="0.25">
      <c r="A225" t="s">
        <v>44</v>
      </c>
      <c r="B225" t="s">
        <v>193</v>
      </c>
      <c r="C225" t="s">
        <v>582</v>
      </c>
      <c r="D225">
        <v>129117</v>
      </c>
      <c r="E225" t="s">
        <v>594</v>
      </c>
      <c r="F225" t="s">
        <v>509</v>
      </c>
      <c r="G225" t="s">
        <v>197</v>
      </c>
      <c r="H225" t="s">
        <v>549</v>
      </c>
      <c r="I225" t="s">
        <v>220</v>
      </c>
      <c r="J225" t="s">
        <v>595</v>
      </c>
      <c r="K225" t="s">
        <v>47</v>
      </c>
      <c r="L225" s="11" t="s">
        <v>48</v>
      </c>
      <c r="M225">
        <v>6</v>
      </c>
      <c r="N225">
        <v>3</v>
      </c>
      <c r="O225">
        <v>10</v>
      </c>
      <c r="P225">
        <v>14</v>
      </c>
      <c r="Q225">
        <v>20</v>
      </c>
      <c r="R225">
        <v>7</v>
      </c>
      <c r="S225">
        <v>14</v>
      </c>
      <c r="T225">
        <v>5</v>
      </c>
      <c r="U225">
        <v>12</v>
      </c>
      <c r="V225">
        <v>11</v>
      </c>
      <c r="W225">
        <v>7</v>
      </c>
      <c r="X225">
        <v>10</v>
      </c>
      <c r="Y225">
        <v>8</v>
      </c>
      <c r="Z225">
        <v>13</v>
      </c>
      <c r="AA225">
        <v>0</v>
      </c>
      <c r="AB225">
        <v>0</v>
      </c>
      <c r="AC225">
        <f t="shared" si="7"/>
        <v>77</v>
      </c>
      <c r="AD225">
        <f t="shared" si="7"/>
        <v>63</v>
      </c>
      <c r="AE225">
        <f t="shared" si="8"/>
        <v>140</v>
      </c>
    </row>
    <row r="226" spans="1:31" x14ac:dyDescent="0.25">
      <c r="A226" t="s">
        <v>44</v>
      </c>
      <c r="B226" t="s">
        <v>193</v>
      </c>
      <c r="C226" t="s">
        <v>582</v>
      </c>
      <c r="D226">
        <v>129118</v>
      </c>
      <c r="E226" t="s">
        <v>596</v>
      </c>
      <c r="F226" t="s">
        <v>597</v>
      </c>
      <c r="G226" t="s">
        <v>197</v>
      </c>
      <c r="H226" t="s">
        <v>549</v>
      </c>
      <c r="I226" t="s">
        <v>199</v>
      </c>
      <c r="J226" t="s">
        <v>598</v>
      </c>
      <c r="K226" t="s">
        <v>47</v>
      </c>
      <c r="L226" s="11" t="s">
        <v>48</v>
      </c>
      <c r="M226">
        <v>18</v>
      </c>
      <c r="N226">
        <v>18</v>
      </c>
      <c r="O226">
        <v>15</v>
      </c>
      <c r="P226">
        <v>9</v>
      </c>
      <c r="Q226">
        <v>13</v>
      </c>
      <c r="R226">
        <v>7</v>
      </c>
      <c r="S226">
        <v>10</v>
      </c>
      <c r="T226">
        <v>11</v>
      </c>
      <c r="U226">
        <v>13</v>
      </c>
      <c r="V226">
        <v>17</v>
      </c>
      <c r="W226">
        <v>21</v>
      </c>
      <c r="X226">
        <v>14</v>
      </c>
      <c r="Y226">
        <v>16</v>
      </c>
      <c r="Z226">
        <v>11</v>
      </c>
      <c r="AA226">
        <v>0</v>
      </c>
      <c r="AB226">
        <v>0</v>
      </c>
      <c r="AC226">
        <f t="shared" si="7"/>
        <v>106</v>
      </c>
      <c r="AD226">
        <f t="shared" si="7"/>
        <v>87</v>
      </c>
      <c r="AE226">
        <f t="shared" si="8"/>
        <v>193</v>
      </c>
    </row>
    <row r="227" spans="1:31" x14ac:dyDescent="0.25">
      <c r="A227" t="s">
        <v>44</v>
      </c>
      <c r="B227" t="s">
        <v>193</v>
      </c>
      <c r="C227" t="s">
        <v>582</v>
      </c>
      <c r="D227">
        <v>129120</v>
      </c>
      <c r="E227" t="s">
        <v>599</v>
      </c>
      <c r="F227" t="s">
        <v>600</v>
      </c>
      <c r="G227" t="s">
        <v>197</v>
      </c>
      <c r="H227" t="s">
        <v>549</v>
      </c>
      <c r="I227" t="s">
        <v>199</v>
      </c>
      <c r="J227" t="s">
        <v>601</v>
      </c>
      <c r="K227" t="s">
        <v>47</v>
      </c>
      <c r="L227" s="11" t="s">
        <v>48</v>
      </c>
      <c r="M227">
        <v>26</v>
      </c>
      <c r="N227">
        <v>23</v>
      </c>
      <c r="O227">
        <v>23</v>
      </c>
      <c r="P227">
        <v>22</v>
      </c>
      <c r="Q227">
        <v>32</v>
      </c>
      <c r="R227">
        <v>16</v>
      </c>
      <c r="S227">
        <v>20</v>
      </c>
      <c r="T227">
        <v>17</v>
      </c>
      <c r="U227">
        <v>13</v>
      </c>
      <c r="V227">
        <v>17</v>
      </c>
      <c r="W227">
        <v>12</v>
      </c>
      <c r="X227">
        <v>18</v>
      </c>
      <c r="Y227">
        <v>24</v>
      </c>
      <c r="Z227">
        <v>22</v>
      </c>
      <c r="AA227">
        <v>0</v>
      </c>
      <c r="AB227">
        <v>0</v>
      </c>
      <c r="AC227">
        <f t="shared" si="7"/>
        <v>150</v>
      </c>
      <c r="AD227">
        <f t="shared" si="7"/>
        <v>135</v>
      </c>
      <c r="AE227">
        <f t="shared" si="8"/>
        <v>285</v>
      </c>
    </row>
    <row r="228" spans="1:31" x14ac:dyDescent="0.25">
      <c r="A228" t="s">
        <v>44</v>
      </c>
      <c r="B228" t="s">
        <v>193</v>
      </c>
      <c r="C228" t="s">
        <v>582</v>
      </c>
      <c r="D228">
        <v>129121</v>
      </c>
      <c r="E228" t="s">
        <v>602</v>
      </c>
      <c r="F228" t="s">
        <v>603</v>
      </c>
      <c r="G228" t="s">
        <v>197</v>
      </c>
      <c r="H228" t="s">
        <v>549</v>
      </c>
      <c r="I228" t="s">
        <v>199</v>
      </c>
      <c r="J228" t="s">
        <v>50</v>
      </c>
      <c r="K228" t="s">
        <v>47</v>
      </c>
      <c r="L228" s="11" t="s">
        <v>48</v>
      </c>
      <c r="M228">
        <v>6</v>
      </c>
      <c r="N228">
        <v>4</v>
      </c>
      <c r="O228">
        <v>5</v>
      </c>
      <c r="P228">
        <v>5</v>
      </c>
      <c r="Q228">
        <v>6</v>
      </c>
      <c r="R228">
        <v>4</v>
      </c>
      <c r="S228">
        <v>4</v>
      </c>
      <c r="T228">
        <v>5</v>
      </c>
      <c r="U228">
        <v>4</v>
      </c>
      <c r="V228">
        <v>5</v>
      </c>
      <c r="W228">
        <v>4</v>
      </c>
      <c r="X228">
        <v>4</v>
      </c>
      <c r="Y228">
        <v>9</v>
      </c>
      <c r="Z228">
        <v>10</v>
      </c>
      <c r="AA228">
        <v>0</v>
      </c>
      <c r="AB228">
        <v>0</v>
      </c>
      <c r="AC228">
        <f t="shared" si="7"/>
        <v>38</v>
      </c>
      <c r="AD228">
        <f t="shared" si="7"/>
        <v>37</v>
      </c>
      <c r="AE228">
        <f t="shared" si="8"/>
        <v>75</v>
      </c>
    </row>
    <row r="229" spans="1:31" x14ac:dyDescent="0.25">
      <c r="A229" t="s">
        <v>44</v>
      </c>
      <c r="B229" t="s">
        <v>193</v>
      </c>
      <c r="C229" t="s">
        <v>582</v>
      </c>
      <c r="D229">
        <v>129122</v>
      </c>
      <c r="E229" t="s">
        <v>604</v>
      </c>
      <c r="F229" t="s">
        <v>605</v>
      </c>
      <c r="G229" t="s">
        <v>197</v>
      </c>
      <c r="H229" t="s">
        <v>549</v>
      </c>
      <c r="I229" t="s">
        <v>220</v>
      </c>
      <c r="J229" t="s">
        <v>50</v>
      </c>
      <c r="K229" t="s">
        <v>47</v>
      </c>
      <c r="L229" s="11" t="s">
        <v>48</v>
      </c>
      <c r="M229">
        <v>6</v>
      </c>
      <c r="N229">
        <v>1</v>
      </c>
      <c r="O229">
        <v>6</v>
      </c>
      <c r="P229">
        <v>8</v>
      </c>
      <c r="Q229">
        <v>3</v>
      </c>
      <c r="R229">
        <v>9</v>
      </c>
      <c r="S229">
        <v>6</v>
      </c>
      <c r="T229">
        <v>6</v>
      </c>
      <c r="U229">
        <v>5</v>
      </c>
      <c r="V229">
        <v>11</v>
      </c>
      <c r="W229">
        <v>7</v>
      </c>
      <c r="X229">
        <v>13</v>
      </c>
      <c r="Y229">
        <v>8</v>
      </c>
      <c r="Z229">
        <v>5</v>
      </c>
      <c r="AA229">
        <v>0</v>
      </c>
      <c r="AB229">
        <v>0</v>
      </c>
      <c r="AC229">
        <f t="shared" si="7"/>
        <v>41</v>
      </c>
      <c r="AD229">
        <f t="shared" si="7"/>
        <v>53</v>
      </c>
      <c r="AE229">
        <f t="shared" si="8"/>
        <v>94</v>
      </c>
    </row>
    <row r="230" spans="1:31" x14ac:dyDescent="0.25">
      <c r="A230" t="s">
        <v>44</v>
      </c>
      <c r="B230" t="s">
        <v>193</v>
      </c>
      <c r="C230" t="s">
        <v>582</v>
      </c>
      <c r="D230">
        <v>129123</v>
      </c>
      <c r="E230" t="s">
        <v>606</v>
      </c>
      <c r="F230" t="s">
        <v>607</v>
      </c>
      <c r="G230" t="s">
        <v>197</v>
      </c>
      <c r="H230" t="s">
        <v>549</v>
      </c>
      <c r="I230" t="s">
        <v>199</v>
      </c>
      <c r="J230" t="s">
        <v>608</v>
      </c>
      <c r="K230" t="s">
        <v>47</v>
      </c>
      <c r="L230" s="11" t="s">
        <v>48</v>
      </c>
      <c r="M230">
        <v>24</v>
      </c>
      <c r="N230">
        <v>20</v>
      </c>
      <c r="O230">
        <v>35</v>
      </c>
      <c r="P230">
        <v>27</v>
      </c>
      <c r="Q230">
        <v>21</v>
      </c>
      <c r="R230">
        <v>21</v>
      </c>
      <c r="S230">
        <v>22</v>
      </c>
      <c r="T230">
        <v>12</v>
      </c>
      <c r="U230">
        <v>30</v>
      </c>
      <c r="V230">
        <v>25</v>
      </c>
      <c r="W230">
        <v>26</v>
      </c>
      <c r="X230">
        <v>23</v>
      </c>
      <c r="Y230">
        <v>24</v>
      </c>
      <c r="Z230">
        <v>24</v>
      </c>
      <c r="AA230">
        <v>0</v>
      </c>
      <c r="AB230">
        <v>0</v>
      </c>
      <c r="AC230">
        <f t="shared" si="7"/>
        <v>182</v>
      </c>
      <c r="AD230">
        <f t="shared" si="7"/>
        <v>152</v>
      </c>
      <c r="AE230">
        <f t="shared" si="8"/>
        <v>334</v>
      </c>
    </row>
    <row r="231" spans="1:31" x14ac:dyDescent="0.25">
      <c r="A231" t="s">
        <v>44</v>
      </c>
      <c r="B231" t="s">
        <v>193</v>
      </c>
      <c r="C231" t="s">
        <v>582</v>
      </c>
      <c r="D231">
        <v>129125</v>
      </c>
      <c r="E231" t="s">
        <v>609</v>
      </c>
      <c r="F231" t="s">
        <v>610</v>
      </c>
      <c r="G231" t="s">
        <v>197</v>
      </c>
      <c r="H231" t="s">
        <v>549</v>
      </c>
      <c r="I231" t="s">
        <v>199</v>
      </c>
      <c r="J231" t="s">
        <v>50</v>
      </c>
      <c r="K231" t="s">
        <v>47</v>
      </c>
      <c r="L231" s="11" t="s">
        <v>48</v>
      </c>
      <c r="M231">
        <v>15</v>
      </c>
      <c r="N231">
        <v>14</v>
      </c>
      <c r="O231">
        <v>15</v>
      </c>
      <c r="P231">
        <v>8</v>
      </c>
      <c r="Q231">
        <v>15</v>
      </c>
      <c r="R231">
        <v>19</v>
      </c>
      <c r="S231">
        <v>27</v>
      </c>
      <c r="T231">
        <v>21</v>
      </c>
      <c r="U231">
        <v>26</v>
      </c>
      <c r="V231">
        <v>21</v>
      </c>
      <c r="W231">
        <v>19</v>
      </c>
      <c r="X231">
        <v>25</v>
      </c>
      <c r="Y231">
        <v>25</v>
      </c>
      <c r="Z231">
        <v>25</v>
      </c>
      <c r="AA231">
        <v>0</v>
      </c>
      <c r="AB231">
        <v>0</v>
      </c>
      <c r="AC231">
        <f t="shared" si="7"/>
        <v>142</v>
      </c>
      <c r="AD231">
        <f t="shared" si="7"/>
        <v>133</v>
      </c>
      <c r="AE231">
        <f t="shared" si="8"/>
        <v>275</v>
      </c>
    </row>
    <row r="232" spans="1:31" x14ac:dyDescent="0.25">
      <c r="A232" t="s">
        <v>44</v>
      </c>
      <c r="B232" t="s">
        <v>193</v>
      </c>
      <c r="C232" t="s">
        <v>582</v>
      </c>
      <c r="D232">
        <v>129126</v>
      </c>
      <c r="E232" t="s">
        <v>611</v>
      </c>
      <c r="F232" t="s">
        <v>612</v>
      </c>
      <c r="G232" t="s">
        <v>197</v>
      </c>
      <c r="H232" t="s">
        <v>549</v>
      </c>
      <c r="I232" t="s">
        <v>199</v>
      </c>
      <c r="J232" t="s">
        <v>331</v>
      </c>
      <c r="K232" t="s">
        <v>47</v>
      </c>
      <c r="L232" s="11" t="s">
        <v>48</v>
      </c>
      <c r="M232">
        <v>11</v>
      </c>
      <c r="N232">
        <v>13</v>
      </c>
      <c r="O232">
        <v>18</v>
      </c>
      <c r="P232">
        <v>20</v>
      </c>
      <c r="Q232">
        <v>21</v>
      </c>
      <c r="R232">
        <v>15</v>
      </c>
      <c r="S232">
        <v>21</v>
      </c>
      <c r="T232">
        <v>12</v>
      </c>
      <c r="U232">
        <v>13</v>
      </c>
      <c r="V232">
        <v>21</v>
      </c>
      <c r="W232">
        <v>16</v>
      </c>
      <c r="X232">
        <v>14</v>
      </c>
      <c r="Y232">
        <v>19</v>
      </c>
      <c r="Z232">
        <v>16</v>
      </c>
      <c r="AA232">
        <v>0</v>
      </c>
      <c r="AB232">
        <v>0</v>
      </c>
      <c r="AC232">
        <f t="shared" si="7"/>
        <v>119</v>
      </c>
      <c r="AD232">
        <f t="shared" si="7"/>
        <v>111</v>
      </c>
      <c r="AE232">
        <f t="shared" si="8"/>
        <v>230</v>
      </c>
    </row>
    <row r="233" spans="1:31" x14ac:dyDescent="0.25">
      <c r="A233" t="s">
        <v>44</v>
      </c>
      <c r="B233" t="s">
        <v>193</v>
      </c>
      <c r="C233" t="s">
        <v>582</v>
      </c>
      <c r="D233">
        <v>129129</v>
      </c>
      <c r="E233" t="s">
        <v>613</v>
      </c>
      <c r="F233" t="s">
        <v>610</v>
      </c>
      <c r="G233" t="s">
        <v>197</v>
      </c>
      <c r="H233" t="s">
        <v>549</v>
      </c>
      <c r="I233" t="s">
        <v>199</v>
      </c>
      <c r="J233" t="s">
        <v>588</v>
      </c>
      <c r="K233" t="s">
        <v>47</v>
      </c>
      <c r="L233" s="11" t="s">
        <v>48</v>
      </c>
      <c r="M233">
        <v>33</v>
      </c>
      <c r="N233">
        <v>35</v>
      </c>
      <c r="O233">
        <v>38</v>
      </c>
      <c r="P233">
        <v>43</v>
      </c>
      <c r="Q233">
        <v>41</v>
      </c>
      <c r="R233">
        <v>41</v>
      </c>
      <c r="S233">
        <v>36</v>
      </c>
      <c r="T233">
        <v>24</v>
      </c>
      <c r="U233">
        <v>33</v>
      </c>
      <c r="V233">
        <v>39</v>
      </c>
      <c r="W233">
        <v>27</v>
      </c>
      <c r="X233">
        <v>37</v>
      </c>
      <c r="Y233">
        <v>25</v>
      </c>
      <c r="Z233">
        <v>26</v>
      </c>
      <c r="AA233">
        <v>0</v>
      </c>
      <c r="AB233">
        <v>0</v>
      </c>
      <c r="AC233">
        <f t="shared" si="7"/>
        <v>233</v>
      </c>
      <c r="AD233">
        <f t="shared" si="7"/>
        <v>245</v>
      </c>
      <c r="AE233">
        <f t="shared" si="8"/>
        <v>478</v>
      </c>
    </row>
  </sheetData>
  <autoFilter ref="A9:AB233" xr:uid="{00000000-0009-0000-0000-000000000000}"/>
  <mergeCells count="9">
    <mergeCell ref="Y6:Z6"/>
    <mergeCell ref="AA6:AB6"/>
    <mergeCell ref="AC6:AE6"/>
    <mergeCell ref="M6:N6"/>
    <mergeCell ref="O6:P6"/>
    <mergeCell ref="Q6:R6"/>
    <mergeCell ref="S6:T6"/>
    <mergeCell ref="U6:V6"/>
    <mergeCell ref="W6:X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5FF4-5148-44D9-8928-7D26D4D1D374}">
  <dimension ref="A1:W30"/>
  <sheetViews>
    <sheetView zoomScale="85" zoomScaleNormal="85" workbookViewId="0">
      <pane xSplit="4" ySplit="8" topLeftCell="E10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31" sqref="A31:XFD76"/>
    </sheetView>
  </sheetViews>
  <sheetFormatPr defaultRowHeight="15" x14ac:dyDescent="0.25"/>
  <cols>
    <col min="2" max="2" width="27.140625" bestFit="1" customWidth="1"/>
    <col min="13" max="20" width="11.7109375" bestFit="1" customWidth="1"/>
    <col min="21" max="23" width="13.28515625" bestFit="1" customWidth="1"/>
  </cols>
  <sheetData>
    <row r="1" spans="1:23" x14ac:dyDescent="0.25">
      <c r="A1" s="1" t="s">
        <v>614</v>
      </c>
    </row>
    <row r="2" spans="1:23" x14ac:dyDescent="0.25">
      <c r="A2" s="1" t="s">
        <v>1</v>
      </c>
      <c r="L2" s="2"/>
    </row>
    <row r="3" spans="1:23" x14ac:dyDescent="0.25">
      <c r="A3" s="1" t="s">
        <v>615</v>
      </c>
      <c r="L3" s="2"/>
    </row>
    <row r="5" spans="1:23" x14ac:dyDescent="0.25">
      <c r="M5" s="3" t="s">
        <v>616</v>
      </c>
      <c r="N5" s="3"/>
      <c r="O5" s="3" t="s">
        <v>617</v>
      </c>
      <c r="P5" s="3"/>
      <c r="Q5" s="3" t="s">
        <v>618</v>
      </c>
      <c r="R5" s="3"/>
      <c r="S5" s="3" t="s">
        <v>619</v>
      </c>
      <c r="T5" s="3"/>
      <c r="U5" s="13" t="s">
        <v>11</v>
      </c>
      <c r="V5" s="13"/>
      <c r="W5" s="13"/>
    </row>
    <row r="6" spans="1:23" x14ac:dyDescent="0.25">
      <c r="M6" s="14" t="s">
        <v>12</v>
      </c>
      <c r="N6" s="14" t="s">
        <v>13</v>
      </c>
      <c r="O6" s="14" t="s">
        <v>12</v>
      </c>
      <c r="P6" s="14" t="s">
        <v>13</v>
      </c>
      <c r="Q6" s="14" t="s">
        <v>12</v>
      </c>
      <c r="R6" s="14" t="s">
        <v>13</v>
      </c>
      <c r="S6" s="14" t="s">
        <v>12</v>
      </c>
      <c r="T6" s="14" t="s">
        <v>13</v>
      </c>
      <c r="U6" s="14" t="s">
        <v>12</v>
      </c>
      <c r="V6" s="14" t="s">
        <v>13</v>
      </c>
      <c r="W6" s="14" t="s">
        <v>14</v>
      </c>
    </row>
    <row r="7" spans="1:23" x14ac:dyDescent="0.25">
      <c r="M7" s="2">
        <f>SUM(M9:M30)</f>
        <v>743</v>
      </c>
      <c r="N7" s="2">
        <f>SUM(N9:N30)</f>
        <v>772</v>
      </c>
      <c r="O7" s="2">
        <f>SUM(O9:O30)</f>
        <v>730</v>
      </c>
      <c r="P7" s="2">
        <f>SUM(P9:P30)</f>
        <v>820</v>
      </c>
      <c r="Q7" s="2">
        <f>SUM(Q9:Q30)</f>
        <v>459</v>
      </c>
      <c r="R7" s="2">
        <f>SUM(R9:R30)</f>
        <v>624</v>
      </c>
      <c r="S7" s="2">
        <f>SUM(S9:S30)</f>
        <v>360</v>
      </c>
      <c r="T7" s="2">
        <f>SUM(T9:T30)</f>
        <v>496</v>
      </c>
      <c r="U7" s="2">
        <f>SUM(U9:U30)</f>
        <v>2292</v>
      </c>
      <c r="V7" s="2">
        <f>SUM(V9:V30)</f>
        <v>2712</v>
      </c>
      <c r="W7" s="2">
        <f>SUM(W9:W30)</f>
        <v>5004</v>
      </c>
    </row>
    <row r="8" spans="1:23" ht="15.75" thickBot="1" x14ac:dyDescent="0.3">
      <c r="A8" s="8" t="s">
        <v>15</v>
      </c>
      <c r="B8" s="8" t="s">
        <v>16</v>
      </c>
      <c r="C8" s="8" t="s">
        <v>17</v>
      </c>
      <c r="D8" s="8" t="s">
        <v>18</v>
      </c>
      <c r="E8" s="8" t="s">
        <v>19</v>
      </c>
      <c r="F8" s="8" t="s">
        <v>20</v>
      </c>
      <c r="G8" s="8" t="s">
        <v>21</v>
      </c>
      <c r="H8" s="8" t="s">
        <v>22</v>
      </c>
      <c r="I8" s="8" t="s">
        <v>23</v>
      </c>
      <c r="J8" s="8" t="s">
        <v>24</v>
      </c>
      <c r="K8" s="8" t="s">
        <v>25</v>
      </c>
      <c r="L8" s="9" t="s">
        <v>26</v>
      </c>
      <c r="M8" s="10" t="s">
        <v>620</v>
      </c>
      <c r="N8" s="10" t="s">
        <v>621</v>
      </c>
      <c r="O8" s="10" t="s">
        <v>622</v>
      </c>
      <c r="P8" s="10" t="s">
        <v>623</v>
      </c>
      <c r="Q8" s="10" t="s">
        <v>624</v>
      </c>
      <c r="R8" s="10" t="s">
        <v>625</v>
      </c>
      <c r="S8" s="10" t="s">
        <v>626</v>
      </c>
      <c r="T8" s="10" t="s">
        <v>627</v>
      </c>
      <c r="U8" s="6" t="s">
        <v>12</v>
      </c>
      <c r="V8" s="6" t="s">
        <v>13</v>
      </c>
      <c r="W8" s="15" t="s">
        <v>14</v>
      </c>
    </row>
    <row r="9" spans="1:23" ht="15.75" thickTop="1" x14ac:dyDescent="0.25">
      <c r="A9" t="s">
        <v>44</v>
      </c>
      <c r="B9" t="s">
        <v>53</v>
      </c>
      <c r="C9" t="s">
        <v>54</v>
      </c>
      <c r="D9">
        <v>304325</v>
      </c>
      <c r="E9" t="s">
        <v>632</v>
      </c>
      <c r="F9" t="s">
        <v>633</v>
      </c>
      <c r="G9" t="s">
        <v>57</v>
      </c>
      <c r="H9" t="s">
        <v>58</v>
      </c>
      <c r="I9" t="s">
        <v>46</v>
      </c>
      <c r="J9" t="s">
        <v>67</v>
      </c>
      <c r="K9" t="s">
        <v>628</v>
      </c>
      <c r="L9" s="11" t="s">
        <v>629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s="11">
        <f t="shared" ref="U9:V30" si="0">M9+O9+Q9+S9</f>
        <v>0</v>
      </c>
      <c r="V9" s="11">
        <f t="shared" si="0"/>
        <v>0</v>
      </c>
      <c r="W9">
        <f t="shared" ref="W9:W30" si="1">SUM(U9:V9)</f>
        <v>0</v>
      </c>
    </row>
    <row r="10" spans="1:23" x14ac:dyDescent="0.25">
      <c r="A10" t="s">
        <v>44</v>
      </c>
      <c r="B10" t="s">
        <v>53</v>
      </c>
      <c r="C10" t="s">
        <v>54</v>
      </c>
      <c r="D10">
        <v>304326</v>
      </c>
      <c r="E10" t="s">
        <v>634</v>
      </c>
      <c r="F10" t="s">
        <v>635</v>
      </c>
      <c r="G10" t="s">
        <v>57</v>
      </c>
      <c r="H10" t="s">
        <v>58</v>
      </c>
      <c r="I10" t="s">
        <v>46</v>
      </c>
      <c r="J10" t="s">
        <v>67</v>
      </c>
      <c r="K10" t="s">
        <v>628</v>
      </c>
      <c r="L10" s="11" t="s">
        <v>629</v>
      </c>
      <c r="M10">
        <v>149</v>
      </c>
      <c r="N10">
        <v>94</v>
      </c>
      <c r="O10">
        <v>132</v>
      </c>
      <c r="P10">
        <v>144</v>
      </c>
      <c r="Q10">
        <v>97</v>
      </c>
      <c r="R10">
        <v>91</v>
      </c>
      <c r="S10">
        <v>71</v>
      </c>
      <c r="T10">
        <v>79</v>
      </c>
      <c r="U10" s="11">
        <f t="shared" si="0"/>
        <v>449</v>
      </c>
      <c r="V10" s="11">
        <f t="shared" si="0"/>
        <v>408</v>
      </c>
      <c r="W10">
        <f t="shared" si="1"/>
        <v>857</v>
      </c>
    </row>
    <row r="11" spans="1:23" x14ac:dyDescent="0.25">
      <c r="A11" t="s">
        <v>44</v>
      </c>
      <c r="B11" t="s">
        <v>53</v>
      </c>
      <c r="C11" t="s">
        <v>54</v>
      </c>
      <c r="D11">
        <v>305680</v>
      </c>
      <c r="E11" t="s">
        <v>636</v>
      </c>
      <c r="F11" t="s">
        <v>637</v>
      </c>
      <c r="G11" t="s">
        <v>57</v>
      </c>
      <c r="H11" t="s">
        <v>58</v>
      </c>
      <c r="I11" t="s">
        <v>46</v>
      </c>
      <c r="J11" t="s">
        <v>102</v>
      </c>
      <c r="K11" t="s">
        <v>630</v>
      </c>
      <c r="L11" s="11" t="s">
        <v>631</v>
      </c>
      <c r="M11">
        <v>9</v>
      </c>
      <c r="N11">
        <v>8</v>
      </c>
      <c r="O11">
        <v>5</v>
      </c>
      <c r="P11">
        <v>12</v>
      </c>
      <c r="Q11">
        <v>0</v>
      </c>
      <c r="R11">
        <v>0</v>
      </c>
      <c r="S11">
        <v>0</v>
      </c>
      <c r="T11">
        <v>14</v>
      </c>
      <c r="U11" s="11">
        <f t="shared" si="0"/>
        <v>14</v>
      </c>
      <c r="V11" s="11">
        <f t="shared" si="0"/>
        <v>34</v>
      </c>
      <c r="W11">
        <f t="shared" si="1"/>
        <v>48</v>
      </c>
    </row>
    <row r="12" spans="1:23" x14ac:dyDescent="0.25">
      <c r="A12" t="s">
        <v>44</v>
      </c>
      <c r="B12" t="s">
        <v>53</v>
      </c>
      <c r="C12" t="s">
        <v>54</v>
      </c>
      <c r="D12">
        <v>325104</v>
      </c>
      <c r="E12" t="s">
        <v>638</v>
      </c>
      <c r="F12" t="s">
        <v>639</v>
      </c>
      <c r="G12" t="s">
        <v>57</v>
      </c>
      <c r="H12" t="s">
        <v>58</v>
      </c>
      <c r="I12" t="s">
        <v>46</v>
      </c>
      <c r="J12" t="s">
        <v>59</v>
      </c>
      <c r="K12" t="s">
        <v>628</v>
      </c>
      <c r="L12" s="11" t="s">
        <v>629</v>
      </c>
      <c r="M12">
        <v>43</v>
      </c>
      <c r="N12">
        <v>79</v>
      </c>
      <c r="O12">
        <v>60</v>
      </c>
      <c r="P12">
        <v>89</v>
      </c>
      <c r="Q12">
        <v>30</v>
      </c>
      <c r="R12">
        <v>49</v>
      </c>
      <c r="S12">
        <v>16</v>
      </c>
      <c r="T12">
        <v>43</v>
      </c>
      <c r="U12" s="11">
        <f t="shared" si="0"/>
        <v>149</v>
      </c>
      <c r="V12" s="11">
        <f t="shared" si="0"/>
        <v>260</v>
      </c>
      <c r="W12">
        <f t="shared" si="1"/>
        <v>409</v>
      </c>
    </row>
    <row r="13" spans="1:23" x14ac:dyDescent="0.25">
      <c r="A13" t="s">
        <v>44</v>
      </c>
      <c r="B13" t="s">
        <v>53</v>
      </c>
      <c r="C13" t="s">
        <v>54</v>
      </c>
      <c r="D13">
        <v>500454</v>
      </c>
      <c r="E13" t="s">
        <v>83</v>
      </c>
      <c r="F13" t="s">
        <v>84</v>
      </c>
      <c r="G13" t="s">
        <v>57</v>
      </c>
      <c r="H13" t="s">
        <v>58</v>
      </c>
      <c r="I13" t="s">
        <v>46</v>
      </c>
      <c r="J13" t="s">
        <v>67</v>
      </c>
      <c r="K13" t="s">
        <v>85</v>
      </c>
      <c r="L13" s="11" t="s">
        <v>86</v>
      </c>
      <c r="M13">
        <v>7</v>
      </c>
      <c r="N13">
        <v>7</v>
      </c>
      <c r="O13">
        <v>19</v>
      </c>
      <c r="P13">
        <v>19</v>
      </c>
      <c r="Q13">
        <v>10</v>
      </c>
      <c r="R13">
        <v>12</v>
      </c>
      <c r="S13">
        <v>9</v>
      </c>
      <c r="T13">
        <v>7</v>
      </c>
      <c r="U13" s="11">
        <f t="shared" si="0"/>
        <v>45</v>
      </c>
      <c r="V13" s="11">
        <f t="shared" si="0"/>
        <v>45</v>
      </c>
      <c r="W13">
        <f t="shared" si="1"/>
        <v>90</v>
      </c>
    </row>
    <row r="14" spans="1:23" x14ac:dyDescent="0.25">
      <c r="A14" t="s">
        <v>44</v>
      </c>
      <c r="B14" t="s">
        <v>53</v>
      </c>
      <c r="C14" t="s">
        <v>54</v>
      </c>
      <c r="D14">
        <v>501424</v>
      </c>
      <c r="E14" t="s">
        <v>87</v>
      </c>
      <c r="F14" t="s">
        <v>88</v>
      </c>
      <c r="G14" t="s">
        <v>57</v>
      </c>
      <c r="H14" t="s">
        <v>58</v>
      </c>
      <c r="I14" t="s">
        <v>46</v>
      </c>
      <c r="J14" t="s">
        <v>89</v>
      </c>
      <c r="K14" t="s">
        <v>51</v>
      </c>
      <c r="L14" s="11" t="s">
        <v>52</v>
      </c>
      <c r="M14">
        <v>17</v>
      </c>
      <c r="N14">
        <v>11</v>
      </c>
      <c r="O14">
        <v>5</v>
      </c>
      <c r="P14">
        <v>10</v>
      </c>
      <c r="Q14">
        <v>0</v>
      </c>
      <c r="R14">
        <v>0</v>
      </c>
      <c r="S14">
        <v>0</v>
      </c>
      <c r="T14">
        <v>0</v>
      </c>
      <c r="U14" s="11">
        <f t="shared" si="0"/>
        <v>22</v>
      </c>
      <c r="V14" s="11">
        <f t="shared" si="0"/>
        <v>21</v>
      </c>
      <c r="W14">
        <f t="shared" si="1"/>
        <v>43</v>
      </c>
    </row>
    <row r="15" spans="1:23" x14ac:dyDescent="0.25">
      <c r="A15" t="s">
        <v>44</v>
      </c>
      <c r="B15" t="s">
        <v>53</v>
      </c>
      <c r="C15" t="s">
        <v>90</v>
      </c>
      <c r="D15">
        <v>304303</v>
      </c>
      <c r="E15" t="s">
        <v>640</v>
      </c>
      <c r="F15" t="s">
        <v>641</v>
      </c>
      <c r="G15" t="s">
        <v>57</v>
      </c>
      <c r="H15" t="s">
        <v>58</v>
      </c>
      <c r="I15" t="s">
        <v>46</v>
      </c>
      <c r="J15" t="s">
        <v>96</v>
      </c>
      <c r="K15" t="s">
        <v>628</v>
      </c>
      <c r="L15" s="11" t="s">
        <v>629</v>
      </c>
      <c r="M15">
        <v>20</v>
      </c>
      <c r="N15">
        <v>25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s="11">
        <f t="shared" si="0"/>
        <v>20</v>
      </c>
      <c r="V15" s="11">
        <f t="shared" si="0"/>
        <v>25</v>
      </c>
      <c r="W15">
        <f t="shared" si="1"/>
        <v>45</v>
      </c>
    </row>
    <row r="16" spans="1:23" x14ac:dyDescent="0.25">
      <c r="A16" t="s">
        <v>44</v>
      </c>
      <c r="B16" t="s">
        <v>53</v>
      </c>
      <c r="C16" t="s">
        <v>90</v>
      </c>
      <c r="D16">
        <v>304305</v>
      </c>
      <c r="E16" t="s">
        <v>642</v>
      </c>
      <c r="F16" t="s">
        <v>643</v>
      </c>
      <c r="G16" t="s">
        <v>57</v>
      </c>
      <c r="H16" t="s">
        <v>58</v>
      </c>
      <c r="I16" t="s">
        <v>46</v>
      </c>
      <c r="J16" t="s">
        <v>107</v>
      </c>
      <c r="K16" t="s">
        <v>628</v>
      </c>
      <c r="L16" s="11" t="s">
        <v>629</v>
      </c>
      <c r="M16">
        <v>42</v>
      </c>
      <c r="N16">
        <v>80</v>
      </c>
      <c r="O16">
        <v>63</v>
      </c>
      <c r="P16">
        <v>71</v>
      </c>
      <c r="Q16">
        <v>35</v>
      </c>
      <c r="R16">
        <v>45</v>
      </c>
      <c r="S16">
        <v>24</v>
      </c>
      <c r="T16">
        <v>42</v>
      </c>
      <c r="U16" s="11">
        <f t="shared" si="0"/>
        <v>164</v>
      </c>
      <c r="V16" s="11">
        <f t="shared" si="0"/>
        <v>238</v>
      </c>
      <c r="W16">
        <f t="shared" si="1"/>
        <v>402</v>
      </c>
    </row>
    <row r="17" spans="1:23" x14ac:dyDescent="0.25">
      <c r="A17" t="s">
        <v>44</v>
      </c>
      <c r="B17" t="s">
        <v>53</v>
      </c>
      <c r="C17" t="s">
        <v>90</v>
      </c>
      <c r="D17">
        <v>304314</v>
      </c>
      <c r="E17" t="s">
        <v>644</v>
      </c>
      <c r="F17" t="s">
        <v>127</v>
      </c>
      <c r="G17" t="s">
        <v>57</v>
      </c>
      <c r="H17" t="s">
        <v>58</v>
      </c>
      <c r="I17" t="s">
        <v>46</v>
      </c>
      <c r="J17" t="s">
        <v>128</v>
      </c>
      <c r="K17" t="s">
        <v>628</v>
      </c>
      <c r="L17" s="11" t="s">
        <v>629</v>
      </c>
      <c r="M17">
        <v>40</v>
      </c>
      <c r="N17">
        <v>20</v>
      </c>
      <c r="O17">
        <v>40</v>
      </c>
      <c r="P17">
        <v>4</v>
      </c>
      <c r="Q17">
        <v>45</v>
      </c>
      <c r="R17">
        <v>22</v>
      </c>
      <c r="S17">
        <v>23</v>
      </c>
      <c r="T17">
        <v>8</v>
      </c>
      <c r="U17" s="11">
        <f t="shared" si="0"/>
        <v>148</v>
      </c>
      <c r="V17" s="11">
        <f t="shared" si="0"/>
        <v>54</v>
      </c>
      <c r="W17">
        <f t="shared" si="1"/>
        <v>202</v>
      </c>
    </row>
    <row r="18" spans="1:23" x14ac:dyDescent="0.25">
      <c r="A18" t="s">
        <v>44</v>
      </c>
      <c r="B18" t="s">
        <v>53</v>
      </c>
      <c r="C18" t="s">
        <v>90</v>
      </c>
      <c r="D18">
        <v>304327</v>
      </c>
      <c r="E18" t="s">
        <v>645</v>
      </c>
      <c r="F18" t="s">
        <v>646</v>
      </c>
      <c r="G18" t="s">
        <v>57</v>
      </c>
      <c r="H18" t="s">
        <v>58</v>
      </c>
      <c r="I18" t="s">
        <v>46</v>
      </c>
      <c r="J18" t="s">
        <v>125</v>
      </c>
      <c r="K18" t="s">
        <v>628</v>
      </c>
      <c r="L18" s="11" t="s">
        <v>629</v>
      </c>
      <c r="M18">
        <v>142</v>
      </c>
      <c r="N18">
        <v>115</v>
      </c>
      <c r="O18">
        <v>91</v>
      </c>
      <c r="P18">
        <v>99</v>
      </c>
      <c r="Q18">
        <v>45</v>
      </c>
      <c r="R18">
        <v>101</v>
      </c>
      <c r="S18">
        <v>57</v>
      </c>
      <c r="T18">
        <v>78</v>
      </c>
      <c r="U18" s="11">
        <f t="shared" si="0"/>
        <v>335</v>
      </c>
      <c r="V18" s="11">
        <f t="shared" si="0"/>
        <v>393</v>
      </c>
      <c r="W18">
        <f t="shared" si="1"/>
        <v>728</v>
      </c>
    </row>
    <row r="19" spans="1:23" x14ac:dyDescent="0.25">
      <c r="A19" t="s">
        <v>44</v>
      </c>
      <c r="B19" t="s">
        <v>53</v>
      </c>
      <c r="C19" t="s">
        <v>90</v>
      </c>
      <c r="D19">
        <v>304328</v>
      </c>
      <c r="E19" t="s">
        <v>647</v>
      </c>
      <c r="F19" t="s">
        <v>648</v>
      </c>
      <c r="G19" t="s">
        <v>57</v>
      </c>
      <c r="H19" t="s">
        <v>58</v>
      </c>
      <c r="I19" t="s">
        <v>46</v>
      </c>
      <c r="J19" t="s">
        <v>102</v>
      </c>
      <c r="K19" t="s">
        <v>628</v>
      </c>
      <c r="L19" s="11" t="s">
        <v>629</v>
      </c>
      <c r="M19">
        <v>20</v>
      </c>
      <c r="N19">
        <v>39</v>
      </c>
      <c r="O19">
        <v>15</v>
      </c>
      <c r="P19">
        <v>33</v>
      </c>
      <c r="Q19">
        <v>31</v>
      </c>
      <c r="R19">
        <v>38</v>
      </c>
      <c r="S19">
        <v>12</v>
      </c>
      <c r="T19">
        <v>30</v>
      </c>
      <c r="U19" s="11">
        <f t="shared" si="0"/>
        <v>78</v>
      </c>
      <c r="V19" s="11">
        <f t="shared" si="0"/>
        <v>140</v>
      </c>
      <c r="W19">
        <f t="shared" si="1"/>
        <v>218</v>
      </c>
    </row>
    <row r="20" spans="1:23" x14ac:dyDescent="0.25">
      <c r="A20" t="s">
        <v>44</v>
      </c>
      <c r="B20" t="s">
        <v>53</v>
      </c>
      <c r="C20" t="s">
        <v>90</v>
      </c>
      <c r="D20">
        <v>304338</v>
      </c>
      <c r="E20" t="s">
        <v>649</v>
      </c>
      <c r="F20" t="s">
        <v>650</v>
      </c>
      <c r="G20" t="s">
        <v>57</v>
      </c>
      <c r="H20" t="s">
        <v>58</v>
      </c>
      <c r="I20" t="s">
        <v>46</v>
      </c>
      <c r="J20" t="s">
        <v>142</v>
      </c>
      <c r="K20" t="s">
        <v>628</v>
      </c>
      <c r="L20" s="11" t="s">
        <v>629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s="11">
        <f t="shared" si="0"/>
        <v>0</v>
      </c>
      <c r="V20" s="11">
        <f t="shared" si="0"/>
        <v>0</v>
      </c>
      <c r="W20">
        <f t="shared" si="1"/>
        <v>0</v>
      </c>
    </row>
    <row r="21" spans="1:23" x14ac:dyDescent="0.25">
      <c r="A21" t="s">
        <v>44</v>
      </c>
      <c r="B21" t="s">
        <v>53</v>
      </c>
      <c r="C21" t="s">
        <v>90</v>
      </c>
      <c r="D21">
        <v>316104</v>
      </c>
      <c r="E21" t="s">
        <v>651</v>
      </c>
      <c r="F21" t="s">
        <v>429</v>
      </c>
      <c r="G21" t="s">
        <v>57</v>
      </c>
      <c r="H21" t="s">
        <v>58</v>
      </c>
      <c r="I21" t="s">
        <v>46</v>
      </c>
      <c r="J21" t="s">
        <v>113</v>
      </c>
      <c r="K21" t="s">
        <v>628</v>
      </c>
      <c r="L21" s="11" t="s">
        <v>629</v>
      </c>
      <c r="M21">
        <v>46</v>
      </c>
      <c r="N21">
        <v>43</v>
      </c>
      <c r="O21">
        <v>70</v>
      </c>
      <c r="P21">
        <v>72</v>
      </c>
      <c r="Q21">
        <v>29</v>
      </c>
      <c r="R21">
        <v>48</v>
      </c>
      <c r="S21">
        <v>35</v>
      </c>
      <c r="T21">
        <v>45</v>
      </c>
      <c r="U21" s="11">
        <f t="shared" si="0"/>
        <v>180</v>
      </c>
      <c r="V21" s="11">
        <f t="shared" si="0"/>
        <v>208</v>
      </c>
      <c r="W21">
        <f t="shared" si="1"/>
        <v>388</v>
      </c>
    </row>
    <row r="22" spans="1:23" x14ac:dyDescent="0.25">
      <c r="A22" t="s">
        <v>44</v>
      </c>
      <c r="B22" t="s">
        <v>53</v>
      </c>
      <c r="C22" t="s">
        <v>90</v>
      </c>
      <c r="D22">
        <v>325101</v>
      </c>
      <c r="E22" t="s">
        <v>652</v>
      </c>
      <c r="F22" t="s">
        <v>653</v>
      </c>
      <c r="G22" t="s">
        <v>57</v>
      </c>
      <c r="H22" t="s">
        <v>58</v>
      </c>
      <c r="I22" t="s">
        <v>46</v>
      </c>
      <c r="J22" t="s">
        <v>102</v>
      </c>
      <c r="K22" t="s">
        <v>630</v>
      </c>
      <c r="L22" s="11" t="s">
        <v>631</v>
      </c>
      <c r="M22">
        <v>35</v>
      </c>
      <c r="N22">
        <v>35</v>
      </c>
      <c r="O22">
        <v>49</v>
      </c>
      <c r="P22">
        <v>50</v>
      </c>
      <c r="Q22">
        <v>21</v>
      </c>
      <c r="R22">
        <v>38</v>
      </c>
      <c r="S22">
        <v>36</v>
      </c>
      <c r="T22">
        <v>37</v>
      </c>
      <c r="U22" s="11">
        <f t="shared" si="0"/>
        <v>141</v>
      </c>
      <c r="V22" s="11">
        <f t="shared" si="0"/>
        <v>160</v>
      </c>
      <c r="W22">
        <f t="shared" si="1"/>
        <v>301</v>
      </c>
    </row>
    <row r="23" spans="1:23" x14ac:dyDescent="0.25">
      <c r="A23" t="s">
        <v>44</v>
      </c>
      <c r="B23" t="s">
        <v>53</v>
      </c>
      <c r="C23" t="s">
        <v>90</v>
      </c>
      <c r="D23">
        <v>325102</v>
      </c>
      <c r="E23" t="s">
        <v>654</v>
      </c>
      <c r="F23" t="s">
        <v>655</v>
      </c>
      <c r="G23" t="s">
        <v>57</v>
      </c>
      <c r="H23" t="s">
        <v>58</v>
      </c>
      <c r="I23" t="s">
        <v>46</v>
      </c>
      <c r="J23" t="s">
        <v>99</v>
      </c>
      <c r="K23" t="s">
        <v>628</v>
      </c>
      <c r="L23" s="11" t="s">
        <v>629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s="11">
        <f t="shared" si="0"/>
        <v>0</v>
      </c>
      <c r="V23" s="11">
        <f t="shared" si="0"/>
        <v>0</v>
      </c>
      <c r="W23">
        <f t="shared" si="1"/>
        <v>0</v>
      </c>
    </row>
    <row r="24" spans="1:23" x14ac:dyDescent="0.25">
      <c r="A24" t="s">
        <v>44</v>
      </c>
      <c r="B24" t="s">
        <v>53</v>
      </c>
      <c r="C24" t="s">
        <v>90</v>
      </c>
      <c r="D24">
        <v>325106</v>
      </c>
      <c r="E24" t="s">
        <v>656</v>
      </c>
      <c r="F24" t="s">
        <v>177</v>
      </c>
      <c r="G24" t="s">
        <v>57</v>
      </c>
      <c r="H24" t="s">
        <v>58</v>
      </c>
      <c r="I24" t="s">
        <v>46</v>
      </c>
      <c r="J24" t="s">
        <v>151</v>
      </c>
      <c r="K24" t="s">
        <v>628</v>
      </c>
      <c r="L24" s="11" t="s">
        <v>629</v>
      </c>
      <c r="M24">
        <v>22</v>
      </c>
      <c r="N24">
        <v>36</v>
      </c>
      <c r="O24">
        <v>36</v>
      </c>
      <c r="P24">
        <v>60</v>
      </c>
      <c r="Q24">
        <v>18</v>
      </c>
      <c r="R24">
        <v>43</v>
      </c>
      <c r="S24">
        <v>10</v>
      </c>
      <c r="T24">
        <v>33</v>
      </c>
      <c r="U24" s="11">
        <f t="shared" si="0"/>
        <v>86</v>
      </c>
      <c r="V24" s="11">
        <f t="shared" si="0"/>
        <v>172</v>
      </c>
      <c r="W24">
        <f t="shared" si="1"/>
        <v>258</v>
      </c>
    </row>
    <row r="25" spans="1:23" x14ac:dyDescent="0.25">
      <c r="A25" t="s">
        <v>44</v>
      </c>
      <c r="B25" t="s">
        <v>53</v>
      </c>
      <c r="C25" t="s">
        <v>154</v>
      </c>
      <c r="D25">
        <v>304313</v>
      </c>
      <c r="E25" t="s">
        <v>657</v>
      </c>
      <c r="F25" t="s">
        <v>658</v>
      </c>
      <c r="G25" t="s">
        <v>57</v>
      </c>
      <c r="H25" t="s">
        <v>58</v>
      </c>
      <c r="I25" t="s">
        <v>46</v>
      </c>
      <c r="J25" t="s">
        <v>163</v>
      </c>
      <c r="K25" t="s">
        <v>628</v>
      </c>
      <c r="L25" s="11" t="s">
        <v>629</v>
      </c>
      <c r="M25">
        <v>47</v>
      </c>
      <c r="N25">
        <v>55</v>
      </c>
      <c r="O25">
        <v>35</v>
      </c>
      <c r="P25">
        <v>32</v>
      </c>
      <c r="Q25">
        <v>37</v>
      </c>
      <c r="R25">
        <v>45</v>
      </c>
      <c r="S25">
        <v>23</v>
      </c>
      <c r="T25">
        <v>40</v>
      </c>
      <c r="U25" s="11">
        <f t="shared" si="0"/>
        <v>142</v>
      </c>
      <c r="V25" s="11">
        <f t="shared" si="0"/>
        <v>172</v>
      </c>
      <c r="W25">
        <f t="shared" si="1"/>
        <v>314</v>
      </c>
    </row>
    <row r="26" spans="1:23" x14ac:dyDescent="0.25">
      <c r="A26" t="s">
        <v>44</v>
      </c>
      <c r="B26" t="s">
        <v>53</v>
      </c>
      <c r="C26" t="s">
        <v>154</v>
      </c>
      <c r="D26">
        <v>304318</v>
      </c>
      <c r="E26" t="s">
        <v>659</v>
      </c>
      <c r="F26" t="s">
        <v>660</v>
      </c>
      <c r="G26" t="s">
        <v>57</v>
      </c>
      <c r="H26" t="s">
        <v>58</v>
      </c>
      <c r="I26" t="s">
        <v>46</v>
      </c>
      <c r="J26" t="s">
        <v>171</v>
      </c>
      <c r="K26" t="s">
        <v>628</v>
      </c>
      <c r="L26" s="11" t="s">
        <v>629</v>
      </c>
      <c r="M26">
        <v>49</v>
      </c>
      <c r="N26">
        <v>53</v>
      </c>
      <c r="O26">
        <v>57</v>
      </c>
      <c r="P26">
        <v>46</v>
      </c>
      <c r="Q26">
        <v>2</v>
      </c>
      <c r="R26">
        <v>31</v>
      </c>
      <c r="S26">
        <v>12</v>
      </c>
      <c r="T26">
        <v>16</v>
      </c>
      <c r="U26" s="11">
        <f t="shared" si="0"/>
        <v>120</v>
      </c>
      <c r="V26" s="11">
        <f t="shared" si="0"/>
        <v>146</v>
      </c>
      <c r="W26">
        <f t="shared" si="1"/>
        <v>266</v>
      </c>
    </row>
    <row r="27" spans="1:23" x14ac:dyDescent="0.25">
      <c r="A27" t="s">
        <v>44</v>
      </c>
      <c r="B27" t="s">
        <v>53</v>
      </c>
      <c r="C27" t="s">
        <v>154</v>
      </c>
      <c r="D27">
        <v>325105</v>
      </c>
      <c r="E27" t="s">
        <v>661</v>
      </c>
      <c r="F27" t="s">
        <v>173</v>
      </c>
      <c r="G27" t="s">
        <v>57</v>
      </c>
      <c r="H27" t="s">
        <v>58</v>
      </c>
      <c r="I27" t="s">
        <v>46</v>
      </c>
      <c r="J27" t="s">
        <v>157</v>
      </c>
      <c r="K27" t="s">
        <v>628</v>
      </c>
      <c r="L27" s="11" t="s">
        <v>629</v>
      </c>
      <c r="M27">
        <v>29</v>
      </c>
      <c r="N27">
        <v>47</v>
      </c>
      <c r="O27">
        <v>26</v>
      </c>
      <c r="P27">
        <v>44</v>
      </c>
      <c r="Q27">
        <v>38</v>
      </c>
      <c r="R27">
        <v>39</v>
      </c>
      <c r="S27">
        <v>32</v>
      </c>
      <c r="T27">
        <v>24</v>
      </c>
      <c r="U27" s="11">
        <f t="shared" si="0"/>
        <v>125</v>
      </c>
      <c r="V27" s="11">
        <f t="shared" si="0"/>
        <v>154</v>
      </c>
      <c r="W27">
        <f t="shared" si="1"/>
        <v>279</v>
      </c>
    </row>
    <row r="28" spans="1:23" x14ac:dyDescent="0.25">
      <c r="A28" t="s">
        <v>44</v>
      </c>
      <c r="B28" t="s">
        <v>53</v>
      </c>
      <c r="C28" t="s">
        <v>154</v>
      </c>
      <c r="D28">
        <v>501085</v>
      </c>
      <c r="E28" t="s">
        <v>185</v>
      </c>
      <c r="F28" t="s">
        <v>186</v>
      </c>
      <c r="G28" t="s">
        <v>57</v>
      </c>
      <c r="H28" t="s">
        <v>58</v>
      </c>
      <c r="I28" t="s">
        <v>46</v>
      </c>
      <c r="J28" t="s">
        <v>187</v>
      </c>
      <c r="K28" t="s">
        <v>51</v>
      </c>
      <c r="L28" s="11" t="s">
        <v>52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11">
        <f t="shared" si="0"/>
        <v>0</v>
      </c>
      <c r="V28" s="11">
        <f t="shared" si="0"/>
        <v>0</v>
      </c>
      <c r="W28">
        <f t="shared" si="1"/>
        <v>0</v>
      </c>
    </row>
    <row r="29" spans="1:23" x14ac:dyDescent="0.25">
      <c r="A29" t="s">
        <v>44</v>
      </c>
      <c r="B29" t="s">
        <v>53</v>
      </c>
      <c r="C29" t="s">
        <v>154</v>
      </c>
      <c r="D29">
        <v>501086</v>
      </c>
      <c r="E29" t="s">
        <v>188</v>
      </c>
      <c r="F29" t="s">
        <v>189</v>
      </c>
      <c r="G29" t="s">
        <v>57</v>
      </c>
      <c r="H29" t="s">
        <v>58</v>
      </c>
      <c r="I29" t="s">
        <v>46</v>
      </c>
      <c r="J29" t="s">
        <v>190</v>
      </c>
      <c r="K29" t="s">
        <v>51</v>
      </c>
      <c r="L29" s="11" t="s">
        <v>52</v>
      </c>
      <c r="M29">
        <v>14</v>
      </c>
      <c r="N29">
        <v>8</v>
      </c>
      <c r="O29">
        <v>16</v>
      </c>
      <c r="P29">
        <v>20</v>
      </c>
      <c r="Q29">
        <v>9</v>
      </c>
      <c r="R29">
        <v>9</v>
      </c>
      <c r="S29">
        <v>0</v>
      </c>
      <c r="T29">
        <v>0</v>
      </c>
      <c r="U29" s="11">
        <f t="shared" si="0"/>
        <v>39</v>
      </c>
      <c r="V29" s="11">
        <f t="shared" si="0"/>
        <v>37</v>
      </c>
      <c r="W29">
        <f t="shared" si="1"/>
        <v>76</v>
      </c>
    </row>
    <row r="30" spans="1:23" x14ac:dyDescent="0.25">
      <c r="A30" t="s">
        <v>44</v>
      </c>
      <c r="B30" t="s">
        <v>53</v>
      </c>
      <c r="C30" t="s">
        <v>154</v>
      </c>
      <c r="D30">
        <v>501087</v>
      </c>
      <c r="E30" t="s">
        <v>191</v>
      </c>
      <c r="F30" t="s">
        <v>192</v>
      </c>
      <c r="G30" t="s">
        <v>57</v>
      </c>
      <c r="H30" t="s">
        <v>58</v>
      </c>
      <c r="I30" t="s">
        <v>46</v>
      </c>
      <c r="J30" t="s">
        <v>160</v>
      </c>
      <c r="K30" t="s">
        <v>51</v>
      </c>
      <c r="L30" s="11" t="s">
        <v>52</v>
      </c>
      <c r="M30">
        <v>12</v>
      </c>
      <c r="N30">
        <v>17</v>
      </c>
      <c r="O30">
        <v>11</v>
      </c>
      <c r="P30">
        <v>15</v>
      </c>
      <c r="Q30">
        <v>12</v>
      </c>
      <c r="R30">
        <v>13</v>
      </c>
      <c r="S30">
        <v>0</v>
      </c>
      <c r="T30">
        <v>0</v>
      </c>
      <c r="U30" s="11">
        <f t="shared" si="0"/>
        <v>35</v>
      </c>
      <c r="V30" s="11">
        <f t="shared" si="0"/>
        <v>45</v>
      </c>
      <c r="W30">
        <f t="shared" si="1"/>
        <v>80</v>
      </c>
    </row>
  </sheetData>
  <autoFilter ref="A8:W8" xr:uid="{00000000-0009-0000-0000-000001000000}"/>
  <mergeCells count="5">
    <mergeCell ref="M5:N5"/>
    <mergeCell ref="O5:P5"/>
    <mergeCell ref="Q5:R5"/>
    <mergeCell ref="S5:T5"/>
    <mergeCell ref="U5:W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00A4-B126-4C4B-8BB3-0E3FD34477CC}">
  <dimension ref="A1:S53"/>
  <sheetViews>
    <sheetView tabSelected="1" zoomScale="85" zoomScaleNormal="85" workbookViewId="0">
      <pane xSplit="4" ySplit="7" topLeftCell="E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I34" sqref="I34"/>
    </sheetView>
  </sheetViews>
  <sheetFormatPr defaultRowHeight="15" x14ac:dyDescent="0.25"/>
  <cols>
    <col min="2" max="2" width="27.140625" bestFit="1" customWidth="1"/>
    <col min="13" max="19" width="11.7109375" bestFit="1" customWidth="1"/>
  </cols>
  <sheetData>
    <row r="1" spans="1:19" x14ac:dyDescent="0.25">
      <c r="A1" s="1" t="s">
        <v>662</v>
      </c>
    </row>
    <row r="2" spans="1:19" x14ac:dyDescent="0.25">
      <c r="A2" s="1" t="s">
        <v>1</v>
      </c>
      <c r="L2" s="2"/>
    </row>
    <row r="3" spans="1:19" x14ac:dyDescent="0.25">
      <c r="A3" s="1" t="s">
        <v>663</v>
      </c>
      <c r="L3" s="2"/>
    </row>
    <row r="4" spans="1:19" ht="31.15" customHeight="1" x14ac:dyDescent="0.25">
      <c r="L4" s="2"/>
      <c r="M4" s="16" t="s">
        <v>664</v>
      </c>
      <c r="N4" s="16"/>
      <c r="O4" s="16" t="s">
        <v>664</v>
      </c>
      <c r="P4" s="16"/>
      <c r="Q4" s="16" t="s">
        <v>665</v>
      </c>
      <c r="R4" s="16"/>
      <c r="S4" s="16"/>
    </row>
    <row r="5" spans="1:19" x14ac:dyDescent="0.25">
      <c r="A5" s="1"/>
      <c r="L5" s="2"/>
      <c r="M5" s="17" t="s">
        <v>12</v>
      </c>
      <c r="N5" s="17" t="s">
        <v>13</v>
      </c>
      <c r="O5" s="17" t="s">
        <v>12</v>
      </c>
      <c r="P5" s="17" t="s">
        <v>13</v>
      </c>
      <c r="Q5" s="17" t="s">
        <v>12</v>
      </c>
      <c r="R5" s="17" t="s">
        <v>13</v>
      </c>
      <c r="S5" s="17" t="s">
        <v>14</v>
      </c>
    </row>
    <row r="6" spans="1:19" x14ac:dyDescent="0.25">
      <c r="M6" s="2">
        <f>SUM(M8:M23)</f>
        <v>398</v>
      </c>
      <c r="N6" s="2">
        <f>SUM(N8:N23)</f>
        <v>624</v>
      </c>
      <c r="O6" s="2">
        <f>SUM(O8:O23)</f>
        <v>406</v>
      </c>
      <c r="P6" s="2">
        <f>SUM(P8:P23)</f>
        <v>527</v>
      </c>
      <c r="Q6" s="2">
        <f>SUM(Q8:Q23)</f>
        <v>804</v>
      </c>
      <c r="R6" s="2">
        <f>SUM(R8:R23)</f>
        <v>1151</v>
      </c>
      <c r="S6" s="2">
        <f>SUM(S8:S23)</f>
        <v>1955</v>
      </c>
    </row>
    <row r="7" spans="1:19" x14ac:dyDescent="0.25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24</v>
      </c>
      <c r="K7" s="8" t="s">
        <v>25</v>
      </c>
      <c r="L7" s="9" t="s">
        <v>26</v>
      </c>
      <c r="M7" s="10" t="s">
        <v>666</v>
      </c>
      <c r="N7" s="10" t="s">
        <v>667</v>
      </c>
      <c r="O7" s="10" t="s">
        <v>668</v>
      </c>
      <c r="P7" s="10" t="s">
        <v>669</v>
      </c>
      <c r="Q7" s="17" t="s">
        <v>12</v>
      </c>
      <c r="R7" s="17" t="s">
        <v>13</v>
      </c>
      <c r="S7" s="17" t="s">
        <v>14</v>
      </c>
    </row>
    <row r="8" spans="1:19" x14ac:dyDescent="0.25">
      <c r="A8" t="s">
        <v>44</v>
      </c>
      <c r="B8" t="s">
        <v>53</v>
      </c>
      <c r="C8" t="s">
        <v>54</v>
      </c>
      <c r="D8">
        <v>304325</v>
      </c>
      <c r="E8" t="s">
        <v>632</v>
      </c>
      <c r="F8" t="s">
        <v>633</v>
      </c>
      <c r="G8" t="s">
        <v>57</v>
      </c>
      <c r="H8" t="s">
        <v>58</v>
      </c>
      <c r="I8" t="s">
        <v>46</v>
      </c>
      <c r="J8" t="s">
        <v>67</v>
      </c>
      <c r="K8" t="s">
        <v>628</v>
      </c>
      <c r="L8" s="11" t="s">
        <v>629</v>
      </c>
      <c r="M8">
        <v>180</v>
      </c>
      <c r="N8">
        <v>320</v>
      </c>
      <c r="O8">
        <v>210</v>
      </c>
      <c r="P8">
        <v>310</v>
      </c>
      <c r="Q8">
        <f t="shared" ref="Q8:R23" si="0">M8+O8</f>
        <v>390</v>
      </c>
      <c r="R8">
        <f t="shared" si="0"/>
        <v>630</v>
      </c>
      <c r="S8">
        <f t="shared" ref="S8:S23" si="1">SUM(Q8:R8)</f>
        <v>1020</v>
      </c>
    </row>
    <row r="9" spans="1:19" x14ac:dyDescent="0.25">
      <c r="A9" t="s">
        <v>44</v>
      </c>
      <c r="B9" t="s">
        <v>53</v>
      </c>
      <c r="C9" t="s">
        <v>54</v>
      </c>
      <c r="D9">
        <v>304326</v>
      </c>
      <c r="E9" t="s">
        <v>634</v>
      </c>
      <c r="F9" t="s">
        <v>635</v>
      </c>
      <c r="G9" t="s">
        <v>57</v>
      </c>
      <c r="H9" t="s">
        <v>58</v>
      </c>
      <c r="I9" t="s">
        <v>46</v>
      </c>
      <c r="J9" t="s">
        <v>67</v>
      </c>
      <c r="K9" t="s">
        <v>628</v>
      </c>
      <c r="L9" s="11" t="s">
        <v>629</v>
      </c>
      <c r="M9">
        <v>72</v>
      </c>
      <c r="N9">
        <v>65</v>
      </c>
      <c r="O9">
        <v>85</v>
      </c>
      <c r="P9">
        <v>72</v>
      </c>
      <c r="Q9">
        <f t="shared" si="0"/>
        <v>157</v>
      </c>
      <c r="R9">
        <f t="shared" si="0"/>
        <v>137</v>
      </c>
      <c r="S9">
        <f t="shared" si="1"/>
        <v>294</v>
      </c>
    </row>
    <row r="10" spans="1:19" x14ac:dyDescent="0.25">
      <c r="A10" t="s">
        <v>44</v>
      </c>
      <c r="B10" t="s">
        <v>53</v>
      </c>
      <c r="C10" t="s">
        <v>54</v>
      </c>
      <c r="D10">
        <v>325104</v>
      </c>
      <c r="E10" t="s">
        <v>638</v>
      </c>
      <c r="F10" t="s">
        <v>639</v>
      </c>
      <c r="G10" t="s">
        <v>57</v>
      </c>
      <c r="H10" t="s">
        <v>58</v>
      </c>
      <c r="I10" t="s">
        <v>46</v>
      </c>
      <c r="J10" t="s">
        <v>59</v>
      </c>
      <c r="K10" t="s">
        <v>628</v>
      </c>
      <c r="L10" s="11" t="s">
        <v>629</v>
      </c>
      <c r="M10">
        <v>22</v>
      </c>
      <c r="N10">
        <v>37</v>
      </c>
      <c r="O10">
        <v>22</v>
      </c>
      <c r="P10">
        <v>36</v>
      </c>
      <c r="Q10">
        <f t="shared" si="0"/>
        <v>44</v>
      </c>
      <c r="R10">
        <f t="shared" si="0"/>
        <v>73</v>
      </c>
      <c r="S10">
        <f t="shared" si="1"/>
        <v>117</v>
      </c>
    </row>
    <row r="11" spans="1:19" x14ac:dyDescent="0.25">
      <c r="A11" t="s">
        <v>44</v>
      </c>
      <c r="B11" t="s">
        <v>53</v>
      </c>
      <c r="C11" t="s">
        <v>54</v>
      </c>
      <c r="D11">
        <v>500454</v>
      </c>
      <c r="E11" t="s">
        <v>83</v>
      </c>
      <c r="F11" t="s">
        <v>84</v>
      </c>
      <c r="G11" t="s">
        <v>57</v>
      </c>
      <c r="H11" t="s">
        <v>58</v>
      </c>
      <c r="I11" t="s">
        <v>46</v>
      </c>
      <c r="J11" t="s">
        <v>67</v>
      </c>
      <c r="K11" t="s">
        <v>85</v>
      </c>
      <c r="L11" s="11" t="s">
        <v>86</v>
      </c>
      <c r="M11">
        <v>9</v>
      </c>
      <c r="N11">
        <v>7</v>
      </c>
      <c r="O11">
        <v>4</v>
      </c>
      <c r="P11">
        <v>4</v>
      </c>
      <c r="Q11">
        <f t="shared" si="0"/>
        <v>13</v>
      </c>
      <c r="R11">
        <f t="shared" si="0"/>
        <v>11</v>
      </c>
      <c r="S11">
        <f t="shared" si="1"/>
        <v>24</v>
      </c>
    </row>
    <row r="12" spans="1:19" x14ac:dyDescent="0.25">
      <c r="A12" t="s">
        <v>44</v>
      </c>
      <c r="B12" t="s">
        <v>53</v>
      </c>
      <c r="C12" t="s">
        <v>90</v>
      </c>
      <c r="D12">
        <v>304303</v>
      </c>
      <c r="E12" t="s">
        <v>640</v>
      </c>
      <c r="F12" t="s">
        <v>641</v>
      </c>
      <c r="G12" t="s">
        <v>57</v>
      </c>
      <c r="H12" t="s">
        <v>58</v>
      </c>
      <c r="I12" t="s">
        <v>46</v>
      </c>
      <c r="J12" t="s">
        <v>96</v>
      </c>
      <c r="K12" t="s">
        <v>628</v>
      </c>
      <c r="L12" s="11" t="s">
        <v>629</v>
      </c>
      <c r="M12">
        <v>16</v>
      </c>
      <c r="N12">
        <v>28</v>
      </c>
      <c r="O12">
        <v>16</v>
      </c>
      <c r="P12">
        <v>20</v>
      </c>
      <c r="Q12">
        <f t="shared" si="0"/>
        <v>32</v>
      </c>
      <c r="R12">
        <f t="shared" si="0"/>
        <v>48</v>
      </c>
      <c r="S12">
        <f t="shared" si="1"/>
        <v>80</v>
      </c>
    </row>
    <row r="13" spans="1:19" x14ac:dyDescent="0.25">
      <c r="A13" t="s">
        <v>44</v>
      </c>
      <c r="B13" t="s">
        <v>53</v>
      </c>
      <c r="C13" t="s">
        <v>90</v>
      </c>
      <c r="D13">
        <v>304305</v>
      </c>
      <c r="E13" t="s">
        <v>642</v>
      </c>
      <c r="F13" t="s">
        <v>643</v>
      </c>
      <c r="G13" t="s">
        <v>57</v>
      </c>
      <c r="H13" t="s">
        <v>58</v>
      </c>
      <c r="I13" t="s">
        <v>46</v>
      </c>
      <c r="J13" t="s">
        <v>107</v>
      </c>
      <c r="K13" t="s">
        <v>628</v>
      </c>
      <c r="L13" s="11" t="s">
        <v>629</v>
      </c>
      <c r="M13">
        <v>12</v>
      </c>
      <c r="N13">
        <v>17</v>
      </c>
      <c r="O13">
        <v>8</v>
      </c>
      <c r="P13">
        <v>24</v>
      </c>
      <c r="Q13">
        <f t="shared" si="0"/>
        <v>20</v>
      </c>
      <c r="R13">
        <f t="shared" si="0"/>
        <v>41</v>
      </c>
      <c r="S13">
        <f t="shared" si="1"/>
        <v>61</v>
      </c>
    </row>
    <row r="14" spans="1:19" x14ac:dyDescent="0.25">
      <c r="A14" t="s">
        <v>44</v>
      </c>
      <c r="B14" t="s">
        <v>53</v>
      </c>
      <c r="C14" t="s">
        <v>90</v>
      </c>
      <c r="D14">
        <v>304314</v>
      </c>
      <c r="E14" t="s">
        <v>644</v>
      </c>
      <c r="F14" t="s">
        <v>127</v>
      </c>
      <c r="G14" t="s">
        <v>57</v>
      </c>
      <c r="H14" t="s">
        <v>58</v>
      </c>
      <c r="I14" t="s">
        <v>46</v>
      </c>
      <c r="J14" t="s">
        <v>128</v>
      </c>
      <c r="K14" t="s">
        <v>628</v>
      </c>
      <c r="L14" s="11" t="s">
        <v>629</v>
      </c>
      <c r="M14">
        <v>18</v>
      </c>
      <c r="N14">
        <v>18</v>
      </c>
      <c r="O14">
        <v>11</v>
      </c>
      <c r="P14">
        <v>6</v>
      </c>
      <c r="Q14">
        <f t="shared" si="0"/>
        <v>29</v>
      </c>
      <c r="R14">
        <f t="shared" si="0"/>
        <v>24</v>
      </c>
      <c r="S14">
        <f t="shared" si="1"/>
        <v>53</v>
      </c>
    </row>
    <row r="15" spans="1:19" x14ac:dyDescent="0.25">
      <c r="A15" t="s">
        <v>44</v>
      </c>
      <c r="B15" t="s">
        <v>53</v>
      </c>
      <c r="C15" t="s">
        <v>90</v>
      </c>
      <c r="D15">
        <v>304327</v>
      </c>
      <c r="E15" t="s">
        <v>645</v>
      </c>
      <c r="F15" t="s">
        <v>646</v>
      </c>
      <c r="G15" t="s">
        <v>57</v>
      </c>
      <c r="H15" t="s">
        <v>58</v>
      </c>
      <c r="I15" t="s">
        <v>46</v>
      </c>
      <c r="J15" t="s">
        <v>125</v>
      </c>
      <c r="K15" t="s">
        <v>628</v>
      </c>
      <c r="L15" s="11" t="s">
        <v>629</v>
      </c>
      <c r="M15">
        <v>0</v>
      </c>
      <c r="N15">
        <v>0</v>
      </c>
      <c r="O15">
        <v>0</v>
      </c>
      <c r="P15">
        <v>0</v>
      </c>
      <c r="Q15">
        <f t="shared" si="0"/>
        <v>0</v>
      </c>
      <c r="R15">
        <f t="shared" si="0"/>
        <v>0</v>
      </c>
      <c r="S15">
        <f t="shared" si="1"/>
        <v>0</v>
      </c>
    </row>
    <row r="16" spans="1:19" x14ac:dyDescent="0.25">
      <c r="A16" t="s">
        <v>44</v>
      </c>
      <c r="B16" t="s">
        <v>53</v>
      </c>
      <c r="C16" t="s">
        <v>90</v>
      </c>
      <c r="D16">
        <v>304328</v>
      </c>
      <c r="E16" t="s">
        <v>647</v>
      </c>
      <c r="F16" t="s">
        <v>648</v>
      </c>
      <c r="G16" t="s">
        <v>57</v>
      </c>
      <c r="H16" t="s">
        <v>58</v>
      </c>
      <c r="I16" t="s">
        <v>46</v>
      </c>
      <c r="J16" t="s">
        <v>102</v>
      </c>
      <c r="K16" t="s">
        <v>628</v>
      </c>
      <c r="L16" s="11" t="s">
        <v>629</v>
      </c>
      <c r="M16">
        <v>30</v>
      </c>
      <c r="N16">
        <v>62</v>
      </c>
      <c r="O16">
        <v>40</v>
      </c>
      <c r="P16">
        <v>41</v>
      </c>
      <c r="Q16">
        <f t="shared" si="0"/>
        <v>70</v>
      </c>
      <c r="R16">
        <f t="shared" si="0"/>
        <v>103</v>
      </c>
      <c r="S16">
        <f t="shared" si="1"/>
        <v>173</v>
      </c>
    </row>
    <row r="17" spans="1:19" x14ac:dyDescent="0.25">
      <c r="A17" t="s">
        <v>44</v>
      </c>
      <c r="B17" t="s">
        <v>53</v>
      </c>
      <c r="C17" t="s">
        <v>90</v>
      </c>
      <c r="D17">
        <v>304338</v>
      </c>
      <c r="E17" t="s">
        <v>649</v>
      </c>
      <c r="F17" t="s">
        <v>650</v>
      </c>
      <c r="G17" t="s">
        <v>57</v>
      </c>
      <c r="H17" t="s">
        <v>58</v>
      </c>
      <c r="I17" t="s">
        <v>46</v>
      </c>
      <c r="J17" t="s">
        <v>142</v>
      </c>
      <c r="K17" t="s">
        <v>628</v>
      </c>
      <c r="L17" s="11" t="s">
        <v>629</v>
      </c>
      <c r="M17">
        <v>0</v>
      </c>
      <c r="N17">
        <v>0</v>
      </c>
      <c r="O17">
        <v>0</v>
      </c>
      <c r="P17">
        <v>0</v>
      </c>
      <c r="Q17">
        <f t="shared" si="0"/>
        <v>0</v>
      </c>
      <c r="R17">
        <f t="shared" si="0"/>
        <v>0</v>
      </c>
      <c r="S17">
        <f t="shared" si="1"/>
        <v>0</v>
      </c>
    </row>
    <row r="18" spans="1:19" x14ac:dyDescent="0.25">
      <c r="A18" t="s">
        <v>44</v>
      </c>
      <c r="B18" t="s">
        <v>53</v>
      </c>
      <c r="C18" t="s">
        <v>90</v>
      </c>
      <c r="D18">
        <v>316104</v>
      </c>
      <c r="E18" t="s">
        <v>651</v>
      </c>
      <c r="F18" t="s">
        <v>429</v>
      </c>
      <c r="G18" t="s">
        <v>57</v>
      </c>
      <c r="H18" t="s">
        <v>58</v>
      </c>
      <c r="I18" t="s">
        <v>46</v>
      </c>
      <c r="J18" t="s">
        <v>113</v>
      </c>
      <c r="K18" t="s">
        <v>628</v>
      </c>
      <c r="L18" s="11" t="s">
        <v>629</v>
      </c>
      <c r="M18">
        <v>7</v>
      </c>
      <c r="N18">
        <v>22</v>
      </c>
      <c r="O18">
        <v>4</v>
      </c>
      <c r="P18">
        <v>10</v>
      </c>
      <c r="Q18">
        <f t="shared" si="0"/>
        <v>11</v>
      </c>
      <c r="R18">
        <f t="shared" si="0"/>
        <v>32</v>
      </c>
      <c r="S18">
        <f t="shared" si="1"/>
        <v>43</v>
      </c>
    </row>
    <row r="19" spans="1:19" x14ac:dyDescent="0.25">
      <c r="A19" t="s">
        <v>44</v>
      </c>
      <c r="B19" t="s">
        <v>53</v>
      </c>
      <c r="C19" t="s">
        <v>90</v>
      </c>
      <c r="D19">
        <v>325102</v>
      </c>
      <c r="E19" t="s">
        <v>654</v>
      </c>
      <c r="F19" t="s">
        <v>655</v>
      </c>
      <c r="G19" t="s">
        <v>57</v>
      </c>
      <c r="H19" t="s">
        <v>58</v>
      </c>
      <c r="I19" t="s">
        <v>46</v>
      </c>
      <c r="J19" t="s">
        <v>99</v>
      </c>
      <c r="K19" t="s">
        <v>628</v>
      </c>
      <c r="L19" s="11" t="s">
        <v>629</v>
      </c>
      <c r="M19">
        <v>0</v>
      </c>
      <c r="N19">
        <v>0</v>
      </c>
      <c r="O19">
        <v>0</v>
      </c>
      <c r="P19">
        <v>0</v>
      </c>
      <c r="Q19">
        <f t="shared" si="0"/>
        <v>0</v>
      </c>
      <c r="R19">
        <f t="shared" si="0"/>
        <v>0</v>
      </c>
      <c r="S19">
        <f t="shared" si="1"/>
        <v>0</v>
      </c>
    </row>
    <row r="20" spans="1:19" x14ac:dyDescent="0.25">
      <c r="A20" t="s">
        <v>44</v>
      </c>
      <c r="B20" t="s">
        <v>53</v>
      </c>
      <c r="C20" t="s">
        <v>90</v>
      </c>
      <c r="D20">
        <v>325106</v>
      </c>
      <c r="E20" t="s">
        <v>656</v>
      </c>
      <c r="F20" t="s">
        <v>177</v>
      </c>
      <c r="G20" t="s">
        <v>57</v>
      </c>
      <c r="H20" t="s">
        <v>58</v>
      </c>
      <c r="I20" t="s">
        <v>46</v>
      </c>
      <c r="J20" t="s">
        <v>151</v>
      </c>
      <c r="K20" t="s">
        <v>628</v>
      </c>
      <c r="L20" s="11" t="s">
        <v>629</v>
      </c>
      <c r="M20">
        <v>14</v>
      </c>
      <c r="N20">
        <v>26</v>
      </c>
      <c r="O20">
        <v>1</v>
      </c>
      <c r="P20">
        <v>2</v>
      </c>
      <c r="Q20">
        <f t="shared" si="0"/>
        <v>15</v>
      </c>
      <c r="R20">
        <f t="shared" si="0"/>
        <v>28</v>
      </c>
      <c r="S20">
        <f t="shared" si="1"/>
        <v>43</v>
      </c>
    </row>
    <row r="21" spans="1:19" x14ac:dyDescent="0.25">
      <c r="A21" t="s">
        <v>44</v>
      </c>
      <c r="B21" t="s">
        <v>53</v>
      </c>
      <c r="C21" t="s">
        <v>154</v>
      </c>
      <c r="D21">
        <v>304313</v>
      </c>
      <c r="E21" t="s">
        <v>657</v>
      </c>
      <c r="F21" t="s">
        <v>658</v>
      </c>
      <c r="G21" t="s">
        <v>57</v>
      </c>
      <c r="H21" t="s">
        <v>58</v>
      </c>
      <c r="I21" t="s">
        <v>46</v>
      </c>
      <c r="J21" t="s">
        <v>163</v>
      </c>
      <c r="K21" t="s">
        <v>628</v>
      </c>
      <c r="L21" s="11" t="s">
        <v>629</v>
      </c>
      <c r="M21">
        <v>0</v>
      </c>
      <c r="N21">
        <v>0</v>
      </c>
      <c r="O21">
        <v>0</v>
      </c>
      <c r="P21">
        <v>0</v>
      </c>
      <c r="Q21">
        <f t="shared" si="0"/>
        <v>0</v>
      </c>
      <c r="R21">
        <f t="shared" si="0"/>
        <v>0</v>
      </c>
      <c r="S21">
        <f t="shared" si="1"/>
        <v>0</v>
      </c>
    </row>
    <row r="22" spans="1:19" x14ac:dyDescent="0.25">
      <c r="A22" t="s">
        <v>44</v>
      </c>
      <c r="B22" t="s">
        <v>53</v>
      </c>
      <c r="C22" t="s">
        <v>154</v>
      </c>
      <c r="D22">
        <v>304318</v>
      </c>
      <c r="E22" t="s">
        <v>659</v>
      </c>
      <c r="F22" t="s">
        <v>660</v>
      </c>
      <c r="G22" t="s">
        <v>57</v>
      </c>
      <c r="H22" t="s">
        <v>58</v>
      </c>
      <c r="I22" t="s">
        <v>46</v>
      </c>
      <c r="J22" t="s">
        <v>171</v>
      </c>
      <c r="K22" t="s">
        <v>628</v>
      </c>
      <c r="L22" s="11" t="s">
        <v>629</v>
      </c>
      <c r="M22">
        <v>6</v>
      </c>
      <c r="N22">
        <v>13</v>
      </c>
      <c r="O22">
        <v>5</v>
      </c>
      <c r="P22">
        <v>2</v>
      </c>
      <c r="Q22">
        <f t="shared" si="0"/>
        <v>11</v>
      </c>
      <c r="R22">
        <f t="shared" si="0"/>
        <v>15</v>
      </c>
      <c r="S22">
        <f t="shared" si="1"/>
        <v>26</v>
      </c>
    </row>
    <row r="23" spans="1:19" x14ac:dyDescent="0.25">
      <c r="A23" t="s">
        <v>44</v>
      </c>
      <c r="B23" t="s">
        <v>53</v>
      </c>
      <c r="C23" t="s">
        <v>154</v>
      </c>
      <c r="D23">
        <v>325105</v>
      </c>
      <c r="E23" t="s">
        <v>661</v>
      </c>
      <c r="F23" t="s">
        <v>173</v>
      </c>
      <c r="G23" t="s">
        <v>57</v>
      </c>
      <c r="H23" t="s">
        <v>58</v>
      </c>
      <c r="I23" t="s">
        <v>46</v>
      </c>
      <c r="J23" t="s">
        <v>157</v>
      </c>
      <c r="K23" t="s">
        <v>628</v>
      </c>
      <c r="L23" s="11" t="s">
        <v>629</v>
      </c>
      <c r="M23">
        <v>12</v>
      </c>
      <c r="N23">
        <v>9</v>
      </c>
      <c r="O23">
        <v>0</v>
      </c>
      <c r="P23">
        <v>0</v>
      </c>
      <c r="Q23">
        <f t="shared" si="0"/>
        <v>12</v>
      </c>
      <c r="R23">
        <f t="shared" si="0"/>
        <v>9</v>
      </c>
      <c r="S23">
        <f t="shared" si="1"/>
        <v>21</v>
      </c>
    </row>
    <row r="30" spans="1:19" x14ac:dyDescent="0.25">
      <c r="A30" s="1"/>
    </row>
    <row r="31" spans="1:19" x14ac:dyDescent="0.25">
      <c r="L31" s="11"/>
    </row>
    <row r="32" spans="1:19" x14ac:dyDescent="0.25">
      <c r="L32" s="11"/>
    </row>
    <row r="33" spans="12:12" x14ac:dyDescent="0.25">
      <c r="L33" s="11"/>
    </row>
    <row r="34" spans="12:12" x14ac:dyDescent="0.25">
      <c r="L34" s="11"/>
    </row>
    <row r="35" spans="12:12" x14ac:dyDescent="0.25">
      <c r="L35" s="11"/>
    </row>
    <row r="36" spans="12:12" x14ac:dyDescent="0.25">
      <c r="L36" s="11"/>
    </row>
    <row r="37" spans="12:12" x14ac:dyDescent="0.25">
      <c r="L37" s="11"/>
    </row>
    <row r="38" spans="12:12" x14ac:dyDescent="0.25">
      <c r="L38" s="11"/>
    </row>
    <row r="39" spans="12:12" x14ac:dyDescent="0.25">
      <c r="L39" s="11"/>
    </row>
    <row r="40" spans="12:12" x14ac:dyDescent="0.25">
      <c r="L40" s="11"/>
    </row>
    <row r="41" spans="12:12" x14ac:dyDescent="0.25">
      <c r="L41" s="11"/>
    </row>
    <row r="42" spans="12:12" x14ac:dyDescent="0.25">
      <c r="L42" s="11"/>
    </row>
    <row r="43" spans="12:12" x14ac:dyDescent="0.25">
      <c r="L43" s="11"/>
    </row>
    <row r="44" spans="12:12" x14ac:dyDescent="0.25">
      <c r="L44" s="11"/>
    </row>
    <row r="45" spans="12:12" x14ac:dyDescent="0.25">
      <c r="L45" s="11"/>
    </row>
    <row r="46" spans="12:12" x14ac:dyDescent="0.25">
      <c r="L46" s="11"/>
    </row>
    <row r="47" spans="12:12" x14ac:dyDescent="0.25">
      <c r="L47" s="11"/>
    </row>
    <row r="48" spans="12:12" x14ac:dyDescent="0.25">
      <c r="L48" s="11"/>
    </row>
    <row r="49" spans="12:12" x14ac:dyDescent="0.25">
      <c r="L49" s="11"/>
    </row>
    <row r="50" spans="12:12" x14ac:dyDescent="0.25">
      <c r="L50" s="11"/>
    </row>
    <row r="51" spans="12:12" x14ac:dyDescent="0.25">
      <c r="L51" s="11"/>
    </row>
    <row r="52" spans="12:12" x14ac:dyDescent="0.25">
      <c r="L52" s="11"/>
    </row>
    <row r="53" spans="12:12" x14ac:dyDescent="0.25">
      <c r="L53" s="11"/>
    </row>
  </sheetData>
  <autoFilter ref="A7:S23" xr:uid="{00000000-0009-0000-0000-000002000000}"/>
  <mergeCells count="3">
    <mergeCell ref="M4:N4"/>
    <mergeCell ref="O4:P4"/>
    <mergeCell ref="Q4:S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2023-08-01T06:51:19Z</dcterms:created>
  <dcterms:modified xsi:type="dcterms:W3CDTF">2023-08-01T06:52:24Z</dcterms:modified>
</cp:coreProperties>
</file>